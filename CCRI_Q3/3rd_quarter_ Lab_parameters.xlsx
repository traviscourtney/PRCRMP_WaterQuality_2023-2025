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sistemaupr-my.sharepoint.com/personal/travis_courtney_upr_edu/Documents/Documents/R/CCRI_Q3/"/>
    </mc:Choice>
  </mc:AlternateContent>
  <xr:revisionPtr revIDLastSave="0" documentId="11_D704BE1BAC6284A512E6CB8A9D8C8C6F023EF9C2" xr6:coauthVersionLast="47" xr6:coauthVersionMax="47" xr10:uidLastSave="{00000000-0000-0000-0000-000000000000}"/>
  <bookViews>
    <workbookView xWindow="-120" yWindow="-120" windowWidth="29040" windowHeight="15720" activeTab="10" xr2:uid="{00000000-000D-0000-FFFF-FFFF00000000}"/>
  </bookViews>
  <sheets>
    <sheet name="TSS" sheetId="1" r:id="rId1"/>
    <sheet name="SS" sheetId="2" r:id="rId2"/>
    <sheet name="Ent" sheetId="3" r:id="rId3"/>
    <sheet name="BOD" sheetId="4" r:id="rId4"/>
    <sheet name="Chlor.a" sheetId="5" r:id="rId5"/>
    <sheet name="Turbidity" sheetId="6" r:id="rId6"/>
    <sheet name="All DIC raw data" sheetId="7" r:id="rId7"/>
    <sheet name="DIC Temperatures" sheetId="8" r:id="rId8"/>
    <sheet name="All TA raw data" sheetId="9" r:id="rId9"/>
    <sheet name="NOx_PO4" sheetId="10" r:id="rId10"/>
    <sheet name="TKN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mGsFslQq0DBo4DU93tjxyYp/iXl7amGWbUifdwkp/Xs="/>
    </ext>
  </extLst>
</workbook>
</file>

<file path=xl/calcChain.xml><?xml version="1.0" encoding="utf-8"?>
<calcChain xmlns="http://schemas.openxmlformats.org/spreadsheetml/2006/main">
  <c r="M325" i="9" l="1"/>
  <c r="L325" i="9"/>
  <c r="M324" i="9"/>
  <c r="L324" i="9"/>
  <c r="M323" i="9"/>
  <c r="L323" i="9"/>
  <c r="M322" i="9"/>
  <c r="L322" i="9"/>
  <c r="L321" i="9"/>
  <c r="M321" i="9" s="1"/>
  <c r="M320" i="9"/>
  <c r="L320" i="9"/>
  <c r="L319" i="9"/>
  <c r="M319" i="9" s="1"/>
  <c r="M318" i="9"/>
  <c r="L318" i="9"/>
  <c r="L317" i="9"/>
  <c r="M317" i="9" s="1"/>
  <c r="M316" i="9"/>
  <c r="L316" i="9"/>
  <c r="L315" i="9"/>
  <c r="M315" i="9" s="1"/>
  <c r="M314" i="9"/>
  <c r="L314" i="9"/>
  <c r="L313" i="9"/>
  <c r="M313" i="9" s="1"/>
  <c r="M312" i="9"/>
  <c r="L312" i="9"/>
  <c r="L311" i="9"/>
  <c r="M311" i="9" s="1"/>
  <c r="M310" i="9"/>
  <c r="L310" i="9"/>
  <c r="L309" i="9"/>
  <c r="M309" i="9" s="1"/>
  <c r="L308" i="9"/>
  <c r="M308" i="9" s="1"/>
  <c r="L307" i="9"/>
  <c r="M307" i="9" s="1"/>
  <c r="M306" i="9"/>
  <c r="L306" i="9"/>
  <c r="L305" i="9"/>
  <c r="M305" i="9" s="1"/>
  <c r="L304" i="9"/>
  <c r="M304" i="9" s="1"/>
  <c r="L303" i="9"/>
  <c r="M303" i="9" s="1"/>
  <c r="M302" i="9"/>
  <c r="L302" i="9"/>
  <c r="L301" i="9"/>
  <c r="M301" i="9" s="1"/>
  <c r="L300" i="9"/>
  <c r="M300" i="9" s="1"/>
  <c r="L299" i="9"/>
  <c r="M299" i="9" s="1"/>
  <c r="M298" i="9"/>
  <c r="L298" i="9"/>
  <c r="L297" i="9"/>
  <c r="M297" i="9" s="1"/>
  <c r="L296" i="9"/>
  <c r="M296" i="9" s="1"/>
  <c r="L295" i="9"/>
  <c r="M295" i="9" s="1"/>
  <c r="M294" i="9"/>
  <c r="L294" i="9"/>
  <c r="L293" i="9"/>
  <c r="M293" i="9" s="1"/>
  <c r="L292" i="9"/>
  <c r="M292" i="9" s="1"/>
  <c r="L291" i="9"/>
  <c r="M291" i="9" s="1"/>
  <c r="M290" i="9"/>
  <c r="L290" i="9"/>
  <c r="L289" i="9"/>
  <c r="M289" i="9" s="1"/>
  <c r="L288" i="9"/>
  <c r="M288" i="9" s="1"/>
  <c r="L287" i="9"/>
  <c r="M287" i="9" s="1"/>
  <c r="M286" i="9"/>
  <c r="L286" i="9"/>
  <c r="L285" i="9"/>
  <c r="M285" i="9" s="1"/>
  <c r="L284" i="9"/>
  <c r="M284" i="9" s="1"/>
  <c r="L283" i="9"/>
  <c r="M283" i="9" s="1"/>
  <c r="M282" i="9"/>
  <c r="L282" i="9"/>
  <c r="L281" i="9"/>
  <c r="M281" i="9" s="1"/>
  <c r="L280" i="9"/>
  <c r="M280" i="9" s="1"/>
  <c r="L279" i="9"/>
  <c r="M279" i="9" s="1"/>
  <c r="M278" i="9"/>
  <c r="L278" i="9"/>
  <c r="L277" i="9"/>
  <c r="M277" i="9" s="1"/>
  <c r="L276" i="9"/>
  <c r="M276" i="9" s="1"/>
  <c r="L275" i="9"/>
  <c r="M275" i="9" s="1"/>
  <c r="M274" i="9"/>
  <c r="L274" i="9"/>
  <c r="L273" i="9"/>
  <c r="M273" i="9" s="1"/>
  <c r="L272" i="9"/>
  <c r="M272" i="9" s="1"/>
  <c r="L271" i="9"/>
  <c r="M271" i="9" s="1"/>
  <c r="M270" i="9"/>
  <c r="L270" i="9"/>
  <c r="L269" i="9"/>
  <c r="M269" i="9" s="1"/>
  <c r="L268" i="9"/>
  <c r="M268" i="9" s="1"/>
  <c r="L267" i="9"/>
  <c r="M267" i="9" s="1"/>
  <c r="M266" i="9"/>
  <c r="L266" i="9"/>
  <c r="L265" i="9"/>
  <c r="M265" i="9" s="1"/>
  <c r="L264" i="9"/>
  <c r="M264" i="9" s="1"/>
  <c r="L263" i="9"/>
  <c r="M263" i="9" s="1"/>
  <c r="L262" i="9"/>
  <c r="M262" i="9" s="1"/>
  <c r="L261" i="9"/>
  <c r="M261" i="9" s="1"/>
  <c r="L260" i="9"/>
  <c r="M260" i="9" s="1"/>
  <c r="L259" i="9"/>
  <c r="M259" i="9" s="1"/>
  <c r="L258" i="9"/>
  <c r="M258" i="9" s="1"/>
  <c r="L257" i="9"/>
  <c r="M257" i="9" s="1"/>
  <c r="L256" i="9"/>
  <c r="M256" i="9" s="1"/>
  <c r="L255" i="9"/>
  <c r="M255" i="9" s="1"/>
  <c r="L254" i="9"/>
  <c r="M254" i="9" s="1"/>
  <c r="L253" i="9"/>
  <c r="M253" i="9" s="1"/>
  <c r="L252" i="9"/>
  <c r="M252" i="9" s="1"/>
  <c r="L251" i="9"/>
  <c r="M251" i="9" s="1"/>
  <c r="L250" i="9"/>
  <c r="M250" i="9" s="1"/>
  <c r="L249" i="9"/>
  <c r="M249" i="9" s="1"/>
  <c r="L248" i="9"/>
  <c r="M248" i="9" s="1"/>
  <c r="L247" i="9"/>
  <c r="M247" i="9" s="1"/>
  <c r="L246" i="9"/>
  <c r="M246" i="9" s="1"/>
  <c r="L245" i="9"/>
  <c r="M245" i="9" s="1"/>
  <c r="L244" i="9"/>
  <c r="M244" i="9" s="1"/>
  <c r="L243" i="9"/>
  <c r="M243" i="9" s="1"/>
  <c r="L242" i="9"/>
  <c r="M242" i="9" s="1"/>
  <c r="L241" i="9"/>
  <c r="M241" i="9" s="1"/>
  <c r="L240" i="9"/>
  <c r="M240" i="9" s="1"/>
  <c r="L239" i="9"/>
  <c r="M239" i="9" s="1"/>
  <c r="L238" i="9"/>
  <c r="M238" i="9" s="1"/>
  <c r="L237" i="9"/>
  <c r="M237" i="9" s="1"/>
  <c r="L236" i="9"/>
  <c r="M236" i="9" s="1"/>
  <c r="L235" i="9"/>
  <c r="M235" i="9" s="1"/>
  <c r="L234" i="9"/>
  <c r="M234" i="9" s="1"/>
  <c r="L233" i="9"/>
  <c r="M233" i="9" s="1"/>
  <c r="L232" i="9"/>
  <c r="M232" i="9" s="1"/>
  <c r="L231" i="9"/>
  <c r="M231" i="9" s="1"/>
  <c r="L230" i="9"/>
  <c r="M230" i="9" s="1"/>
  <c r="L229" i="9"/>
  <c r="M229" i="9" s="1"/>
  <c r="L228" i="9"/>
  <c r="M228" i="9" s="1"/>
  <c r="L227" i="9"/>
  <c r="M227" i="9" s="1"/>
  <c r="L226" i="9"/>
  <c r="M226" i="9" s="1"/>
  <c r="L225" i="9"/>
  <c r="M225" i="9" s="1"/>
  <c r="L224" i="9"/>
  <c r="M224" i="9" s="1"/>
  <c r="L223" i="9"/>
  <c r="M223" i="9" s="1"/>
  <c r="L222" i="9"/>
  <c r="M222" i="9" s="1"/>
  <c r="L221" i="9"/>
  <c r="M221" i="9" s="1"/>
  <c r="L220" i="9"/>
  <c r="M220" i="9" s="1"/>
  <c r="L219" i="9"/>
  <c r="M219" i="9" s="1"/>
  <c r="L218" i="9"/>
  <c r="M218" i="9" s="1"/>
  <c r="L217" i="9"/>
  <c r="M217" i="9" s="1"/>
  <c r="L216" i="9"/>
  <c r="M216" i="9" s="1"/>
  <c r="L215" i="9"/>
  <c r="M215" i="9" s="1"/>
  <c r="L214" i="9"/>
  <c r="M214" i="9" s="1"/>
  <c r="L213" i="9"/>
  <c r="M213" i="9" s="1"/>
  <c r="L212" i="9"/>
  <c r="M212" i="9" s="1"/>
  <c r="L211" i="9"/>
  <c r="M211" i="9" s="1"/>
  <c r="L210" i="9"/>
  <c r="M210" i="9" s="1"/>
  <c r="L209" i="9"/>
  <c r="M209" i="9" s="1"/>
  <c r="L208" i="9"/>
  <c r="M208" i="9" s="1"/>
  <c r="L207" i="9"/>
  <c r="M207" i="9" s="1"/>
  <c r="L206" i="9"/>
  <c r="M206" i="9" s="1"/>
  <c r="L205" i="9"/>
  <c r="M205" i="9" s="1"/>
  <c r="L204" i="9"/>
  <c r="M204" i="9" s="1"/>
  <c r="L203" i="9"/>
  <c r="M203" i="9" s="1"/>
  <c r="L202" i="9"/>
  <c r="M202" i="9" s="1"/>
  <c r="L201" i="9"/>
  <c r="M201" i="9" s="1"/>
  <c r="L200" i="9"/>
  <c r="M200" i="9" s="1"/>
  <c r="L199" i="9"/>
  <c r="M199" i="9" s="1"/>
  <c r="L198" i="9"/>
  <c r="M198" i="9" s="1"/>
  <c r="L197" i="9"/>
  <c r="M197" i="9" s="1"/>
  <c r="L196" i="9"/>
  <c r="M196" i="9" s="1"/>
  <c r="L195" i="9"/>
  <c r="M195" i="9" s="1"/>
  <c r="L194" i="9"/>
  <c r="M194" i="9" s="1"/>
  <c r="L193" i="9"/>
  <c r="M193" i="9" s="1"/>
  <c r="L192" i="9"/>
  <c r="M192" i="9" s="1"/>
  <c r="L191" i="9"/>
  <c r="M191" i="9" s="1"/>
  <c r="L190" i="9"/>
  <c r="M190" i="9" s="1"/>
  <c r="L189" i="9"/>
  <c r="M189" i="9" s="1"/>
  <c r="L188" i="9"/>
  <c r="M188" i="9" s="1"/>
  <c r="L187" i="9"/>
  <c r="M187" i="9" s="1"/>
  <c r="L186" i="9"/>
  <c r="M186" i="9" s="1"/>
  <c r="L185" i="9"/>
  <c r="M185" i="9" s="1"/>
  <c r="L184" i="9"/>
  <c r="M184" i="9" s="1"/>
  <c r="L183" i="9"/>
  <c r="M183" i="9" s="1"/>
  <c r="L182" i="9"/>
  <c r="M182" i="9" s="1"/>
  <c r="L181" i="9"/>
  <c r="M181" i="9" s="1"/>
  <c r="L180" i="9"/>
  <c r="M180" i="9" s="1"/>
  <c r="L179" i="9"/>
  <c r="M179" i="9" s="1"/>
  <c r="L178" i="9"/>
  <c r="M178" i="9" s="1"/>
  <c r="L177" i="9"/>
  <c r="M177" i="9" s="1"/>
  <c r="L176" i="9"/>
  <c r="M176" i="9" s="1"/>
  <c r="L175" i="9"/>
  <c r="M175" i="9" s="1"/>
  <c r="L174" i="9"/>
  <c r="M174" i="9" s="1"/>
  <c r="L173" i="9"/>
  <c r="M173" i="9" s="1"/>
  <c r="L172" i="9"/>
  <c r="M172" i="9" s="1"/>
  <c r="L171" i="9"/>
  <c r="M171" i="9" s="1"/>
  <c r="L170" i="9"/>
  <c r="M170" i="9" s="1"/>
  <c r="L169" i="9"/>
  <c r="M169" i="9" s="1"/>
  <c r="L168" i="9"/>
  <c r="M168" i="9" s="1"/>
  <c r="L167" i="9"/>
  <c r="M167" i="9" s="1"/>
  <c r="L166" i="9"/>
  <c r="M166" i="9" s="1"/>
  <c r="L165" i="9"/>
  <c r="M165" i="9" s="1"/>
  <c r="L164" i="9"/>
  <c r="M164" i="9" s="1"/>
  <c r="L163" i="9"/>
  <c r="M163" i="9" s="1"/>
  <c r="L162" i="9"/>
  <c r="M162" i="9" s="1"/>
  <c r="L161" i="9"/>
  <c r="M161" i="9" s="1"/>
  <c r="L160" i="9"/>
  <c r="M160" i="9" s="1"/>
  <c r="L159" i="9"/>
  <c r="M159" i="9" s="1"/>
  <c r="L158" i="9"/>
  <c r="M158" i="9" s="1"/>
  <c r="L157" i="9"/>
  <c r="M157" i="9" s="1"/>
  <c r="L156" i="9"/>
  <c r="M156" i="9" s="1"/>
  <c r="L155" i="9"/>
  <c r="M155" i="9" s="1"/>
  <c r="L154" i="9"/>
  <c r="M154" i="9" s="1"/>
  <c r="L153" i="9"/>
  <c r="M153" i="9" s="1"/>
  <c r="L152" i="9"/>
  <c r="M152" i="9" s="1"/>
  <c r="L151" i="9"/>
  <c r="M151" i="9" s="1"/>
  <c r="L150" i="9"/>
  <c r="M150" i="9" s="1"/>
  <c r="L149" i="9"/>
  <c r="M149" i="9" s="1"/>
  <c r="L148" i="9"/>
  <c r="M148" i="9" s="1"/>
  <c r="L147" i="9"/>
  <c r="M147" i="9" s="1"/>
  <c r="L146" i="9"/>
  <c r="M146" i="9" s="1"/>
  <c r="L145" i="9"/>
  <c r="M145" i="9" s="1"/>
  <c r="L144" i="9"/>
  <c r="M144" i="9" s="1"/>
  <c r="L143" i="9"/>
  <c r="M143" i="9" s="1"/>
  <c r="L142" i="9"/>
  <c r="M142" i="9" s="1"/>
  <c r="L141" i="9"/>
  <c r="M141" i="9" s="1"/>
  <c r="L140" i="9"/>
  <c r="M140" i="9" s="1"/>
  <c r="L139" i="9"/>
  <c r="M139" i="9" s="1"/>
  <c r="L138" i="9"/>
  <c r="M138" i="9" s="1"/>
  <c r="L137" i="9"/>
  <c r="M137" i="9" s="1"/>
  <c r="L136" i="9"/>
  <c r="M136" i="9" s="1"/>
  <c r="L135" i="9"/>
  <c r="M135" i="9" s="1"/>
  <c r="L134" i="9"/>
  <c r="M134" i="9" s="1"/>
  <c r="L133" i="9"/>
  <c r="M133" i="9" s="1"/>
  <c r="L132" i="9"/>
  <c r="M132" i="9" s="1"/>
  <c r="L131" i="9"/>
  <c r="M131" i="9" s="1"/>
  <c r="L130" i="9"/>
  <c r="M130" i="9" s="1"/>
  <c r="L129" i="9"/>
  <c r="M129" i="9" s="1"/>
  <c r="L128" i="9"/>
  <c r="M128" i="9" s="1"/>
  <c r="L127" i="9"/>
  <c r="M127" i="9" s="1"/>
  <c r="L126" i="9"/>
  <c r="M126" i="9" s="1"/>
  <c r="L125" i="9"/>
  <c r="M125" i="9" s="1"/>
  <c r="L124" i="9"/>
  <c r="M124" i="9" s="1"/>
  <c r="L123" i="9"/>
  <c r="M123" i="9" s="1"/>
  <c r="L122" i="9"/>
  <c r="M122" i="9" s="1"/>
  <c r="L121" i="9"/>
  <c r="M121" i="9" s="1"/>
  <c r="L120" i="9"/>
  <c r="M120" i="9" s="1"/>
  <c r="L119" i="9"/>
  <c r="M119" i="9" s="1"/>
  <c r="L118" i="9"/>
  <c r="M118" i="9" s="1"/>
  <c r="L117" i="9"/>
  <c r="M117" i="9" s="1"/>
  <c r="L116" i="9"/>
  <c r="M116" i="9" s="1"/>
  <c r="L115" i="9"/>
  <c r="M115" i="9" s="1"/>
  <c r="L114" i="9"/>
  <c r="M114" i="9" s="1"/>
  <c r="L113" i="9"/>
  <c r="M113" i="9" s="1"/>
  <c r="L112" i="9"/>
  <c r="M112" i="9" s="1"/>
  <c r="L111" i="9"/>
  <c r="M111" i="9" s="1"/>
  <c r="L110" i="9"/>
  <c r="M110" i="9" s="1"/>
  <c r="L109" i="9"/>
  <c r="M109" i="9" s="1"/>
  <c r="L108" i="9"/>
  <c r="M108" i="9" s="1"/>
  <c r="L107" i="9"/>
  <c r="M107" i="9" s="1"/>
  <c r="L106" i="9"/>
  <c r="M106" i="9" s="1"/>
  <c r="L105" i="9"/>
  <c r="M105" i="9" s="1"/>
  <c r="L104" i="9"/>
  <c r="M104" i="9" s="1"/>
  <c r="L103" i="9"/>
  <c r="M103" i="9" s="1"/>
  <c r="L102" i="9"/>
  <c r="M102" i="9" s="1"/>
  <c r="L101" i="9"/>
  <c r="M101" i="9" s="1"/>
  <c r="L100" i="9"/>
  <c r="M100" i="9" s="1"/>
  <c r="L99" i="9"/>
  <c r="M99" i="9" s="1"/>
  <c r="L98" i="9"/>
  <c r="M98" i="9" s="1"/>
  <c r="L97" i="9"/>
  <c r="M97" i="9" s="1"/>
  <c r="L96" i="9"/>
  <c r="M96" i="9" s="1"/>
  <c r="L95" i="9"/>
  <c r="M95" i="9" s="1"/>
  <c r="L94" i="9"/>
  <c r="M94" i="9" s="1"/>
  <c r="L93" i="9"/>
  <c r="M93" i="9" s="1"/>
  <c r="L92" i="9"/>
  <c r="M92" i="9" s="1"/>
  <c r="L91" i="9"/>
  <c r="M91" i="9" s="1"/>
  <c r="L90" i="9"/>
  <c r="M90" i="9" s="1"/>
  <c r="L89" i="9"/>
  <c r="M89" i="9" s="1"/>
  <c r="L88" i="9"/>
  <c r="M88" i="9" s="1"/>
  <c r="L87" i="9"/>
  <c r="M87" i="9" s="1"/>
  <c r="L86" i="9"/>
  <c r="M86" i="9" s="1"/>
  <c r="L85" i="9"/>
  <c r="M85" i="9" s="1"/>
  <c r="L84" i="9"/>
  <c r="M84" i="9" s="1"/>
  <c r="L83" i="9"/>
  <c r="M83" i="9" s="1"/>
  <c r="L82" i="9"/>
  <c r="M82" i="9" s="1"/>
  <c r="L81" i="9"/>
  <c r="M81" i="9" s="1"/>
  <c r="L80" i="9"/>
  <c r="M80" i="9" s="1"/>
  <c r="L79" i="9"/>
  <c r="M79" i="9" s="1"/>
  <c r="L78" i="9"/>
  <c r="M78" i="9" s="1"/>
  <c r="L77" i="9"/>
  <c r="M77" i="9" s="1"/>
  <c r="L76" i="9"/>
  <c r="M76" i="9" s="1"/>
  <c r="L75" i="9"/>
  <c r="M75" i="9" s="1"/>
  <c r="L74" i="9"/>
  <c r="M74" i="9" s="1"/>
  <c r="L73" i="9"/>
  <c r="M73" i="9" s="1"/>
  <c r="L72" i="9"/>
  <c r="M72" i="9" s="1"/>
  <c r="L71" i="9"/>
  <c r="M71" i="9" s="1"/>
  <c r="L70" i="9"/>
  <c r="M70" i="9" s="1"/>
  <c r="L69" i="9"/>
  <c r="M69" i="9" s="1"/>
  <c r="L68" i="9"/>
  <c r="M68" i="9" s="1"/>
  <c r="L67" i="9"/>
  <c r="M67" i="9" s="1"/>
  <c r="L66" i="9"/>
  <c r="M66" i="9" s="1"/>
  <c r="L65" i="9"/>
  <c r="M65" i="9" s="1"/>
  <c r="L64" i="9"/>
  <c r="M64" i="9" s="1"/>
  <c r="L63" i="9"/>
  <c r="M63" i="9" s="1"/>
  <c r="L62" i="9"/>
  <c r="M62" i="9" s="1"/>
  <c r="L61" i="9"/>
  <c r="M61" i="9" s="1"/>
  <c r="L60" i="9"/>
  <c r="M60" i="9" s="1"/>
  <c r="L59" i="9"/>
  <c r="M59" i="9" s="1"/>
  <c r="L58" i="9"/>
  <c r="M58" i="9" s="1"/>
  <c r="L57" i="9"/>
  <c r="M57" i="9" s="1"/>
  <c r="L56" i="9"/>
  <c r="M56" i="9" s="1"/>
  <c r="L55" i="9"/>
  <c r="M55" i="9" s="1"/>
  <c r="L54" i="9"/>
  <c r="M54" i="9" s="1"/>
  <c r="L53" i="9"/>
  <c r="M53" i="9" s="1"/>
  <c r="L52" i="9"/>
  <c r="M52" i="9" s="1"/>
  <c r="L51" i="9"/>
  <c r="M51" i="9" s="1"/>
  <c r="L50" i="9"/>
  <c r="M50" i="9" s="1"/>
  <c r="L49" i="9"/>
  <c r="M49" i="9" s="1"/>
  <c r="L48" i="9"/>
  <c r="M48" i="9" s="1"/>
  <c r="L47" i="9"/>
  <c r="M47" i="9" s="1"/>
  <c r="L46" i="9"/>
  <c r="M46" i="9" s="1"/>
  <c r="L45" i="9"/>
  <c r="M45" i="9" s="1"/>
  <c r="L44" i="9"/>
  <c r="M44" i="9" s="1"/>
  <c r="L43" i="9"/>
  <c r="M43" i="9" s="1"/>
  <c r="L42" i="9"/>
  <c r="M42" i="9" s="1"/>
  <c r="L41" i="9"/>
  <c r="M41" i="9" s="1"/>
  <c r="L40" i="9"/>
  <c r="M40" i="9" s="1"/>
  <c r="L39" i="9"/>
  <c r="M39" i="9" s="1"/>
  <c r="L38" i="9"/>
  <c r="M38" i="9" s="1"/>
  <c r="L37" i="9"/>
  <c r="M37" i="9" s="1"/>
  <c r="L36" i="9"/>
  <c r="M36" i="9" s="1"/>
  <c r="L35" i="9"/>
  <c r="M35" i="9" s="1"/>
  <c r="L34" i="9"/>
  <c r="M34" i="9" s="1"/>
  <c r="L33" i="9"/>
  <c r="M33" i="9" s="1"/>
  <c r="L32" i="9"/>
  <c r="M32" i="9" s="1"/>
  <c r="L31" i="9"/>
  <c r="M31" i="9" s="1"/>
  <c r="L30" i="9"/>
  <c r="M30" i="9" s="1"/>
  <c r="L29" i="9"/>
  <c r="M29" i="9" s="1"/>
  <c r="L28" i="9"/>
  <c r="M28" i="9" s="1"/>
  <c r="L27" i="9"/>
  <c r="M27" i="9" s="1"/>
  <c r="L26" i="9"/>
  <c r="M26" i="9" s="1"/>
  <c r="L25" i="9"/>
  <c r="M25" i="9" s="1"/>
  <c r="L24" i="9"/>
  <c r="M24" i="9" s="1"/>
  <c r="L23" i="9"/>
  <c r="M23" i="9" s="1"/>
  <c r="L22" i="9"/>
  <c r="M22" i="9" s="1"/>
  <c r="L21" i="9"/>
  <c r="M21" i="9" s="1"/>
  <c r="L20" i="9"/>
  <c r="M20" i="9" s="1"/>
  <c r="L19" i="9"/>
  <c r="M19" i="9" s="1"/>
  <c r="L18" i="9"/>
  <c r="M18" i="9" s="1"/>
  <c r="L17" i="9"/>
  <c r="M17" i="9" s="1"/>
  <c r="L16" i="9"/>
  <c r="M16" i="9" s="1"/>
  <c r="L15" i="9"/>
  <c r="M15" i="9" s="1"/>
  <c r="L14" i="9"/>
  <c r="M14" i="9" s="1"/>
  <c r="L13" i="9"/>
  <c r="M13" i="9" s="1"/>
  <c r="L12" i="9"/>
  <c r="M12" i="9" s="1"/>
  <c r="L11" i="9"/>
  <c r="M11" i="9" s="1"/>
  <c r="L10" i="9"/>
  <c r="M10" i="9" s="1"/>
  <c r="L9" i="9"/>
  <c r="M9" i="9" s="1"/>
  <c r="L8" i="9"/>
  <c r="M8" i="9" s="1"/>
  <c r="L7" i="9"/>
  <c r="M7" i="9" s="1"/>
  <c r="L6" i="9"/>
  <c r="M6" i="9" s="1"/>
  <c r="L5" i="9"/>
  <c r="M5" i="9" s="1"/>
  <c r="L4" i="9"/>
  <c r="M4" i="9" s="1"/>
  <c r="L3" i="9"/>
  <c r="M3" i="9" s="1"/>
  <c r="L2" i="9"/>
  <c r="M2" i="9" s="1"/>
  <c r="R548" i="7"/>
  <c r="S548" i="7" s="1"/>
  <c r="R547" i="7"/>
  <c r="S547" i="7" s="1"/>
  <c r="R546" i="7"/>
  <c r="S546" i="7" s="1"/>
  <c r="R545" i="7"/>
  <c r="S545" i="7" s="1"/>
  <c r="R541" i="7"/>
  <c r="S541" i="7" s="1"/>
  <c r="S540" i="7"/>
  <c r="R540" i="7"/>
  <c r="R539" i="7"/>
  <c r="S539" i="7" s="1"/>
  <c r="R538" i="7"/>
  <c r="S538" i="7" s="1"/>
  <c r="R535" i="7"/>
  <c r="S535" i="7" s="1"/>
  <c r="R534" i="7"/>
  <c r="S534" i="7" s="1"/>
  <c r="R533" i="7"/>
  <c r="S533" i="7" s="1"/>
  <c r="S532" i="7"/>
  <c r="R532" i="7"/>
  <c r="R528" i="7"/>
  <c r="S528" i="7" s="1"/>
  <c r="R527" i="7"/>
  <c r="S527" i="7" s="1"/>
  <c r="S526" i="7"/>
  <c r="R526" i="7"/>
  <c r="R523" i="7"/>
  <c r="S523" i="7" s="1"/>
  <c r="R522" i="7"/>
  <c r="S522" i="7" s="1"/>
  <c r="S521" i="7"/>
  <c r="R521" i="7"/>
  <c r="R520" i="7"/>
  <c r="S520" i="7" s="1"/>
  <c r="R519" i="7"/>
  <c r="S519" i="7" s="1"/>
  <c r="R515" i="7"/>
  <c r="S515" i="7" s="1"/>
  <c r="S514" i="7"/>
  <c r="R514" i="7"/>
  <c r="R513" i="7"/>
  <c r="S513" i="7" s="1"/>
  <c r="R512" i="7"/>
  <c r="S512" i="7" s="1"/>
  <c r="R511" i="7"/>
  <c r="S511" i="7" s="1"/>
  <c r="R508" i="7"/>
  <c r="S508" i="7" s="1"/>
  <c r="R507" i="7"/>
  <c r="S507" i="7" s="1"/>
  <c r="R504" i="7"/>
  <c r="S504" i="7" s="1"/>
  <c r="R503" i="7"/>
  <c r="S503" i="7" s="1"/>
  <c r="R500" i="7"/>
  <c r="S500" i="7" s="1"/>
  <c r="R499" i="7"/>
  <c r="S499" i="7" s="1"/>
  <c r="R496" i="7"/>
  <c r="S496" i="7" s="1"/>
  <c r="R495" i="7"/>
  <c r="S495" i="7" s="1"/>
  <c r="R492" i="7"/>
  <c r="S492" i="7" s="1"/>
  <c r="R491" i="7"/>
  <c r="S491" i="7" s="1"/>
  <c r="R488" i="7"/>
  <c r="S488" i="7" s="1"/>
  <c r="R487" i="7"/>
  <c r="S487" i="7" s="1"/>
  <c r="R484" i="7"/>
  <c r="S484" i="7" s="1"/>
  <c r="R483" i="7"/>
  <c r="S483" i="7" s="1"/>
  <c r="R481" i="7"/>
  <c r="R509" i="7" s="1"/>
  <c r="S509" i="7" s="1"/>
  <c r="R480" i="7"/>
  <c r="S480" i="7" s="1"/>
  <c r="R461" i="7"/>
  <c r="S461" i="7" s="1"/>
  <c r="S460" i="7"/>
  <c r="R460" i="7"/>
  <c r="R459" i="7"/>
  <c r="S459" i="7" s="1"/>
  <c r="R458" i="7"/>
  <c r="S458" i="7" s="1"/>
  <c r="R457" i="7"/>
  <c r="S457" i="7" s="1"/>
  <c r="R454" i="7"/>
  <c r="S454" i="7" s="1"/>
  <c r="R453" i="7"/>
  <c r="S453" i="7" s="1"/>
  <c r="R450" i="7"/>
  <c r="S450" i="7" s="1"/>
  <c r="R449" i="7"/>
  <c r="S449" i="7" s="1"/>
  <c r="R446" i="7"/>
  <c r="S446" i="7" s="1"/>
  <c r="R445" i="7"/>
  <c r="S445" i="7" s="1"/>
  <c r="R442" i="7"/>
  <c r="S442" i="7" s="1"/>
  <c r="R441" i="7"/>
  <c r="S441" i="7" s="1"/>
  <c r="R438" i="7"/>
  <c r="S438" i="7" s="1"/>
  <c r="R437" i="7"/>
  <c r="S437" i="7" s="1"/>
  <c r="R434" i="7"/>
  <c r="S434" i="7" s="1"/>
  <c r="R433" i="7"/>
  <c r="S433" i="7" s="1"/>
  <c r="R430" i="7"/>
  <c r="S430" i="7" s="1"/>
  <c r="R429" i="7"/>
  <c r="S429" i="7" s="1"/>
  <c r="R427" i="7"/>
  <c r="R455" i="7" s="1"/>
  <c r="S455" i="7" s="1"/>
  <c r="R426" i="7"/>
  <c r="S426" i="7" s="1"/>
  <c r="R425" i="7"/>
  <c r="S425" i="7" s="1"/>
  <c r="R422" i="7"/>
  <c r="S422" i="7" s="1"/>
  <c r="R421" i="7"/>
  <c r="S421" i="7" s="1"/>
  <c r="R418" i="7"/>
  <c r="S418" i="7" s="1"/>
  <c r="R417" i="7"/>
  <c r="S417" i="7" s="1"/>
  <c r="R414" i="7"/>
  <c r="S414" i="7" s="1"/>
  <c r="R413" i="7"/>
  <c r="S413" i="7" s="1"/>
  <c r="R405" i="7"/>
  <c r="S405" i="7" s="1"/>
  <c r="R404" i="7"/>
  <c r="S404" i="7" s="1"/>
  <c r="R401" i="7"/>
  <c r="S401" i="7" s="1"/>
  <c r="R400" i="7"/>
  <c r="S400" i="7" s="1"/>
  <c r="S397" i="7"/>
  <c r="R397" i="7"/>
  <c r="R396" i="7"/>
  <c r="S396" i="7" s="1"/>
  <c r="R393" i="7"/>
  <c r="S393" i="7" s="1"/>
  <c r="R392" i="7"/>
  <c r="S392" i="7" s="1"/>
  <c r="S389" i="7"/>
  <c r="R389" i="7"/>
  <c r="R388" i="7"/>
  <c r="S388" i="7" s="1"/>
  <c r="S387" i="7"/>
  <c r="R387" i="7"/>
  <c r="R386" i="7"/>
  <c r="R423" i="7" s="1"/>
  <c r="S423" i="7" s="1"/>
  <c r="S385" i="7"/>
  <c r="R385" i="7"/>
  <c r="R384" i="7"/>
  <c r="S384" i="7" s="1"/>
  <c r="S358" i="7"/>
  <c r="R358" i="7"/>
  <c r="R357" i="7"/>
  <c r="S357" i="7" s="1"/>
  <c r="R356" i="7"/>
  <c r="S356" i="7" s="1"/>
  <c r="R355" i="7"/>
  <c r="S355" i="7" s="1"/>
  <c r="S354" i="7"/>
  <c r="R354" i="7"/>
  <c r="R353" i="7" s="1"/>
  <c r="S353" i="7" s="1"/>
  <c r="R352" i="7"/>
  <c r="S352" i="7" s="1"/>
  <c r="R351" i="7"/>
  <c r="S351" i="7" s="1"/>
  <c r="S348" i="7"/>
  <c r="R348" i="7"/>
  <c r="R347" i="7"/>
  <c r="S347" i="7" s="1"/>
  <c r="R344" i="7"/>
  <c r="S344" i="7" s="1"/>
  <c r="R343" i="7"/>
  <c r="S343" i="7" s="1"/>
  <c r="S340" i="7"/>
  <c r="R340" i="7"/>
  <c r="R339" i="7"/>
  <c r="S339" i="7" s="1"/>
  <c r="R331" i="7"/>
  <c r="S331" i="7" s="1"/>
  <c r="R330" i="7"/>
  <c r="S330" i="7" s="1"/>
  <c r="S327" i="7"/>
  <c r="R327" i="7"/>
  <c r="R326" i="7"/>
  <c r="S326" i="7" s="1"/>
  <c r="R323" i="7"/>
  <c r="S323" i="7" s="1"/>
  <c r="R322" i="7"/>
  <c r="S322" i="7" s="1"/>
  <c r="S319" i="7"/>
  <c r="R319" i="7"/>
  <c r="R318" i="7"/>
  <c r="S318" i="7" s="1"/>
  <c r="S317" i="7"/>
  <c r="R317" i="7"/>
  <c r="R316" i="7"/>
  <c r="R349" i="7" s="1"/>
  <c r="S349" i="7" s="1"/>
  <c r="R315" i="7"/>
  <c r="R314" i="7"/>
  <c r="S314" i="7" s="1"/>
  <c r="R306" i="7"/>
  <c r="S306" i="7" s="1"/>
  <c r="R298" i="7"/>
  <c r="S298" i="7" s="1"/>
  <c r="R295" i="7"/>
  <c r="S295" i="7" s="1"/>
  <c r="R290" i="7"/>
  <c r="S290" i="7" s="1"/>
  <c r="R287" i="7"/>
  <c r="S287" i="7" s="1"/>
  <c r="R283" i="7"/>
  <c r="R311" i="7" s="1"/>
  <c r="S311" i="7" s="1"/>
  <c r="R282" i="7"/>
  <c r="S282" i="7" s="1"/>
  <c r="S266" i="7"/>
  <c r="R266" i="7"/>
  <c r="Q266" i="7"/>
  <c r="Q265" i="7"/>
  <c r="Q264" i="7"/>
  <c r="Q263" i="7"/>
  <c r="Q262" i="7"/>
  <c r="Q261" i="7"/>
  <c r="Q260" i="7"/>
  <c r="Q259" i="7"/>
  <c r="Q258" i="7"/>
  <c r="Q257" i="7"/>
  <c r="Q251" i="7"/>
  <c r="Q250" i="7"/>
  <c r="Q249" i="7"/>
  <c r="Q248" i="7"/>
  <c r="Q247" i="7"/>
  <c r="Q246" i="7"/>
  <c r="Q245" i="7"/>
  <c r="Q244" i="7"/>
  <c r="Q243" i="7"/>
  <c r="Q242" i="7"/>
  <c r="Q241" i="7"/>
  <c r="Q240" i="7"/>
  <c r="Q239" i="7"/>
  <c r="Q238" i="7"/>
  <c r="Q237" i="7"/>
  <c r="Q236" i="7"/>
  <c r="Q235" i="7"/>
  <c r="Q234" i="7"/>
  <c r="Q233" i="7"/>
  <c r="Q232" i="7"/>
  <c r="Q231" i="7"/>
  <c r="Q230" i="7"/>
  <c r="Q229" i="7"/>
  <c r="Q228" i="7"/>
  <c r="Q227" i="7"/>
  <c r="Q226" i="7"/>
  <c r="Q225" i="7"/>
  <c r="Q224" i="7"/>
  <c r="Q223" i="7"/>
  <c r="Q222" i="7"/>
  <c r="Q221" i="7"/>
  <c r="Q220" i="7"/>
  <c r="Q219" i="7"/>
  <c r="Q218" i="7"/>
  <c r="Q217" i="7"/>
  <c r="Q216" i="7"/>
  <c r="Q215" i="7"/>
  <c r="Q214" i="7"/>
  <c r="Q213" i="7"/>
  <c r="Q212" i="7"/>
  <c r="Q211" i="7"/>
  <c r="Q210" i="7"/>
  <c r="Q209" i="7"/>
  <c r="Q208" i="7"/>
  <c r="Q207" i="7"/>
  <c r="Q206" i="7"/>
  <c r="Q205" i="7"/>
  <c r="Q204" i="7"/>
  <c r="Q203" i="7"/>
  <c r="Q202" i="7"/>
  <c r="Q201" i="7"/>
  <c r="Q200" i="7"/>
  <c r="Q199" i="7"/>
  <c r="Q198" i="7"/>
  <c r="Q197" i="7"/>
  <c r="Q196" i="7"/>
  <c r="Q195" i="7"/>
  <c r="Q194" i="7"/>
  <c r="Q193" i="7"/>
  <c r="R192" i="7"/>
  <c r="S192" i="7" s="1"/>
  <c r="Q192" i="7"/>
  <c r="Q191" i="7"/>
  <c r="Q190" i="7"/>
  <c r="Q189" i="7"/>
  <c r="Q188" i="7"/>
  <c r="Q187" i="7"/>
  <c r="Q186" i="7"/>
  <c r="Q185" i="7"/>
  <c r="Q184" i="7"/>
  <c r="Q183" i="7"/>
  <c r="Q182" i="7"/>
  <c r="Q181" i="7"/>
  <c r="Q180" i="7"/>
  <c r="Q179" i="7"/>
  <c r="Q178" i="7"/>
  <c r="Q177" i="7"/>
  <c r="Q176" i="7"/>
  <c r="Q175" i="7"/>
  <c r="Q174" i="7"/>
  <c r="Q173" i="7"/>
  <c r="Q172" i="7"/>
  <c r="Q171" i="7"/>
  <c r="Q170" i="7"/>
  <c r="Q169" i="7"/>
  <c r="Q168" i="7"/>
  <c r="Q167" i="7"/>
  <c r="Q166" i="7"/>
  <c r="Q165" i="7"/>
  <c r="Q164" i="7"/>
  <c r="Q163" i="7"/>
  <c r="Q162" i="7"/>
  <c r="Q161" i="7"/>
  <c r="Q160" i="7"/>
  <c r="Q159" i="7"/>
  <c r="S158" i="7"/>
  <c r="Q158" i="7"/>
  <c r="R158" i="7" s="1"/>
  <c r="Q157" i="7"/>
  <c r="Q156" i="7"/>
  <c r="Q155" i="7"/>
  <c r="Q154" i="7"/>
  <c r="Q153" i="7"/>
  <c r="Q152" i="7"/>
  <c r="Q151" i="7"/>
  <c r="Q150" i="7"/>
  <c r="Q149" i="7"/>
  <c r="Q148" i="7"/>
  <c r="Q147" i="7"/>
  <c r="Q146" i="7"/>
  <c r="R139" i="7"/>
  <c r="S139" i="7" s="1"/>
  <c r="Q139" i="7"/>
  <c r="S138" i="7"/>
  <c r="R138" i="7"/>
  <c r="Q138" i="7"/>
  <c r="Q137" i="7"/>
  <c r="S136" i="7"/>
  <c r="Q136" i="7"/>
  <c r="R136" i="7" s="1"/>
  <c r="R134" i="7" s="1"/>
  <c r="Q135" i="7"/>
  <c r="Q134" i="7"/>
  <c r="Q133" i="7"/>
  <c r="Q132" i="7"/>
  <c r="Q131" i="7"/>
  <c r="Q130" i="7"/>
  <c r="Q129" i="7"/>
  <c r="Q128" i="7"/>
  <c r="Q127" i="7"/>
  <c r="Q126" i="7"/>
  <c r="Q125" i="7"/>
  <c r="Q124" i="7"/>
  <c r="Q123" i="7"/>
  <c r="Q122" i="7"/>
  <c r="Q121" i="7"/>
  <c r="Q120" i="7"/>
  <c r="Q119" i="7"/>
  <c r="Q118" i="7"/>
  <c r="Q117" i="7"/>
  <c r="Q116" i="7"/>
  <c r="Q115" i="7"/>
  <c r="Q114" i="7"/>
  <c r="Q113" i="7"/>
  <c r="Q112" i="7"/>
  <c r="Q111" i="7"/>
  <c r="Q110" i="7"/>
  <c r="Q109" i="7"/>
  <c r="Q108" i="7"/>
  <c r="Q102" i="7"/>
  <c r="Q101" i="7"/>
  <c r="Q100" i="7"/>
  <c r="Q99" i="7"/>
  <c r="Q98" i="7"/>
  <c r="Q97" i="7"/>
  <c r="Q96" i="7"/>
  <c r="R96" i="7" s="1"/>
  <c r="Q95" i="7"/>
  <c r="Q94" i="7"/>
  <c r="Q93" i="7"/>
  <c r="Q92" i="7"/>
  <c r="Q91" i="7"/>
  <c r="Q90" i="7"/>
  <c r="Q89" i="7"/>
  <c r="Q88" i="7"/>
  <c r="Q87" i="7"/>
  <c r="Q86" i="7"/>
  <c r="Q85" i="7"/>
  <c r="Q84" i="7"/>
  <c r="Q83" i="7"/>
  <c r="Q82" i="7"/>
  <c r="Q81" i="7"/>
  <c r="Q80" i="7"/>
  <c r="Q79" i="7"/>
  <c r="Q78" i="7"/>
  <c r="Q77" i="7"/>
  <c r="Q76" i="7"/>
  <c r="Q75" i="7"/>
  <c r="Q74" i="7"/>
  <c r="Q73" i="7"/>
  <c r="Q72" i="7"/>
  <c r="Q71" i="7"/>
  <c r="Q70" i="7"/>
  <c r="Q69" i="7"/>
  <c r="Q68" i="7"/>
  <c r="Q67" i="7"/>
  <c r="Q66" i="7"/>
  <c r="Q65" i="7"/>
  <c r="Q64" i="7"/>
  <c r="Q63" i="7"/>
  <c r="Q62" i="7"/>
  <c r="Q61" i="7"/>
  <c r="Q60" i="7"/>
  <c r="R59" i="7"/>
  <c r="Q59" i="7"/>
  <c r="S59" i="7" s="1"/>
  <c r="R58" i="7"/>
  <c r="R54" i="7" s="1"/>
  <c r="Q58" i="7"/>
  <c r="Q57" i="7"/>
  <c r="Q56" i="7"/>
  <c r="Q55" i="7"/>
  <c r="Q54" i="7"/>
  <c r="Q53" i="7"/>
  <c r="Q52" i="7"/>
  <c r="Q51" i="7"/>
  <c r="Q50" i="7"/>
  <c r="Q44" i="7"/>
  <c r="Q43" i="7"/>
  <c r="Q42" i="7"/>
  <c r="Q41" i="7"/>
  <c r="Q40" i="7"/>
  <c r="Q39" i="7"/>
  <c r="Q38" i="7"/>
  <c r="Q37" i="7"/>
  <c r="Q36" i="7"/>
  <c r="Q35" i="7"/>
  <c r="Q34" i="7"/>
  <c r="Q33" i="7"/>
  <c r="Q32" i="7"/>
  <c r="Q31" i="7"/>
  <c r="Q30" i="7"/>
  <c r="Q29" i="7"/>
  <c r="Q28" i="7"/>
  <c r="Q27" i="7"/>
  <c r="Q26" i="7"/>
  <c r="Q25" i="7"/>
  <c r="Q24" i="7"/>
  <c r="Q23" i="7"/>
  <c r="Q22" i="7"/>
  <c r="Q21" i="7"/>
  <c r="Q20" i="7"/>
  <c r="Q19" i="7"/>
  <c r="R19" i="7" s="1"/>
  <c r="S18" i="7"/>
  <c r="R18" i="7"/>
  <c r="Q18" i="7"/>
  <c r="Q17" i="7"/>
  <c r="Q53" i="5"/>
  <c r="Q52" i="5"/>
  <c r="Q51" i="5"/>
  <c r="Q50" i="5"/>
  <c r="Q49" i="5"/>
  <c r="Q48" i="5"/>
  <c r="Q47" i="5"/>
  <c r="Q46" i="5"/>
  <c r="Q45" i="5"/>
  <c r="Q44" i="5"/>
  <c r="Q43" i="5"/>
  <c r="Q42" i="5"/>
  <c r="Q41" i="5"/>
  <c r="Q40" i="5"/>
  <c r="Q39" i="5"/>
  <c r="Q38" i="5"/>
  <c r="Q37" i="5"/>
  <c r="Q36" i="5"/>
  <c r="Q35" i="5"/>
  <c r="Q34" i="5"/>
  <c r="Q33" i="5"/>
  <c r="Q32" i="5"/>
  <c r="Q31" i="5"/>
  <c r="Q30" i="5"/>
  <c r="Q29" i="5"/>
  <c r="Q28" i="5"/>
  <c r="Q27" i="5"/>
  <c r="Q26" i="5"/>
  <c r="Q25" i="5"/>
  <c r="Q24" i="5"/>
  <c r="Q23" i="5"/>
  <c r="Q22" i="5"/>
  <c r="Q21" i="5"/>
  <c r="Q20" i="5"/>
  <c r="Q19" i="5"/>
  <c r="Q18" i="5"/>
  <c r="Q17" i="5"/>
  <c r="Q16" i="5"/>
  <c r="Q15" i="5"/>
  <c r="Q14" i="5"/>
  <c r="Q13" i="5"/>
  <c r="Q12" i="5"/>
  <c r="Q11" i="5"/>
  <c r="Q10" i="5"/>
  <c r="Q9" i="5"/>
  <c r="Q8" i="5"/>
  <c r="Q7" i="5"/>
  <c r="Q6" i="5"/>
  <c r="Q5" i="5"/>
  <c r="Q4" i="5"/>
  <c r="Q3" i="5"/>
  <c r="Q2" i="5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89" i="4"/>
  <c r="L88" i="4"/>
  <c r="L87" i="4"/>
  <c r="L86" i="4"/>
  <c r="L85" i="4"/>
  <c r="L84" i="4"/>
  <c r="L83" i="4"/>
  <c r="L82" i="4"/>
  <c r="L81" i="4"/>
  <c r="L80" i="4"/>
  <c r="L78" i="4"/>
  <c r="L77" i="4"/>
  <c r="L76" i="4"/>
  <c r="L75" i="4"/>
  <c r="L74" i="4"/>
  <c r="L73" i="4"/>
  <c r="L72" i="4"/>
  <c r="L71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1" i="4"/>
  <c r="L30" i="4"/>
  <c r="L29" i="4"/>
  <c r="L28" i="4"/>
  <c r="L27" i="4"/>
  <c r="L26" i="4"/>
  <c r="L25" i="4"/>
  <c r="L24" i="4"/>
  <c r="L23" i="4"/>
  <c r="L22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M18" i="3"/>
  <c r="M17" i="3"/>
  <c r="M7" i="3"/>
  <c r="M5" i="3"/>
  <c r="M4" i="3"/>
  <c r="M3" i="3"/>
  <c r="M2" i="3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S2" i="1" s="1"/>
  <c r="S77" i="7" l="1"/>
  <c r="S114" i="7"/>
  <c r="S130" i="7"/>
  <c r="R30" i="7"/>
  <c r="R51" i="7"/>
  <c r="R38" i="7"/>
  <c r="S38" i="7" s="1"/>
  <c r="S19" i="7"/>
  <c r="R21" i="7"/>
  <c r="S21" i="7" s="1"/>
  <c r="R50" i="7"/>
  <c r="S50" i="7" s="1"/>
  <c r="R37" i="7"/>
  <c r="S37" i="7" s="1"/>
  <c r="R29" i="7"/>
  <c r="S29" i="7" s="1"/>
  <c r="R22" i="7"/>
  <c r="S70" i="7"/>
  <c r="S78" i="7"/>
  <c r="S102" i="7"/>
  <c r="S20" i="7"/>
  <c r="S57" i="7"/>
  <c r="R123" i="7"/>
  <c r="S123" i="7" s="1"/>
  <c r="R97" i="7"/>
  <c r="S97" i="7" s="1"/>
  <c r="R73" i="7"/>
  <c r="R83" i="7"/>
  <c r="R129" i="7"/>
  <c r="R126" i="7"/>
  <c r="S126" i="7" s="1"/>
  <c r="R113" i="7"/>
  <c r="R94" i="7"/>
  <c r="S94" i="7" s="1"/>
  <c r="R86" i="7"/>
  <c r="S86" i="7" s="1"/>
  <c r="R78" i="7"/>
  <c r="R70" i="7"/>
  <c r="R62" i="7"/>
  <c r="S62" i="7" s="1"/>
  <c r="R75" i="7"/>
  <c r="R119" i="7"/>
  <c r="S119" i="7" s="1"/>
  <c r="R110" i="7"/>
  <c r="R102" i="7"/>
  <c r="R99" i="7"/>
  <c r="S96" i="7"/>
  <c r="R91" i="7"/>
  <c r="R67" i="7"/>
  <c r="R125" i="7"/>
  <c r="R122" i="7"/>
  <c r="S122" i="7" s="1"/>
  <c r="R88" i="7"/>
  <c r="S88" i="7" s="1"/>
  <c r="R80" i="7"/>
  <c r="S80" i="7" s="1"/>
  <c r="R72" i="7"/>
  <c r="S72" i="7" s="1"/>
  <c r="R64" i="7"/>
  <c r="S64" i="7" s="1"/>
  <c r="R131" i="7"/>
  <c r="S131" i="7" s="1"/>
  <c r="R115" i="7"/>
  <c r="S115" i="7" s="1"/>
  <c r="R112" i="7"/>
  <c r="R93" i="7"/>
  <c r="S93" i="7" s="1"/>
  <c r="R85" i="7"/>
  <c r="S85" i="7" s="1"/>
  <c r="R77" i="7"/>
  <c r="R69" i="7"/>
  <c r="S69" i="7" s="1"/>
  <c r="R61" i="7"/>
  <c r="S61" i="7" s="1"/>
  <c r="R121" i="7"/>
  <c r="R118" i="7"/>
  <c r="S118" i="7" s="1"/>
  <c r="R109" i="7"/>
  <c r="S109" i="7" s="1"/>
  <c r="R101" i="7"/>
  <c r="S101" i="7" s="1"/>
  <c r="R98" i="7"/>
  <c r="S98" i="7" s="1"/>
  <c r="R90" i="7"/>
  <c r="S90" i="7" s="1"/>
  <c r="R82" i="7"/>
  <c r="S82" i="7" s="1"/>
  <c r="R74" i="7"/>
  <c r="S74" i="7" s="1"/>
  <c r="R66" i="7"/>
  <c r="S66" i="7" s="1"/>
  <c r="R95" i="7"/>
  <c r="S95" i="7" s="1"/>
  <c r="R87" i="7"/>
  <c r="S87" i="7" s="1"/>
  <c r="R79" i="7"/>
  <c r="S79" i="7" s="1"/>
  <c r="R71" i="7"/>
  <c r="S71" i="7" s="1"/>
  <c r="R63" i="7"/>
  <c r="S63" i="7" s="1"/>
  <c r="R81" i="7"/>
  <c r="S81" i="7" s="1"/>
  <c r="R92" i="7"/>
  <c r="S92" i="7" s="1"/>
  <c r="R84" i="7"/>
  <c r="S84" i="7" s="1"/>
  <c r="R76" i="7"/>
  <c r="R68" i="7"/>
  <c r="R60" i="7"/>
  <c r="S60" i="7" s="1"/>
  <c r="R89" i="7"/>
  <c r="R65" i="7"/>
  <c r="S22" i="7"/>
  <c r="S30" i="7"/>
  <c r="S51" i="7"/>
  <c r="S65" i="7"/>
  <c r="S73" i="7"/>
  <c r="S89" i="7"/>
  <c r="S110" i="7"/>
  <c r="S67" i="7"/>
  <c r="S75" i="7"/>
  <c r="S83" i="7"/>
  <c r="S91" i="7"/>
  <c r="S99" i="7"/>
  <c r="S112" i="7"/>
  <c r="S54" i="7"/>
  <c r="S68" i="7"/>
  <c r="S76" i="7"/>
  <c r="R28" i="7"/>
  <c r="S28" i="7" s="1"/>
  <c r="R57" i="7"/>
  <c r="R23" i="7"/>
  <c r="S23" i="7" s="1"/>
  <c r="R31" i="7"/>
  <c r="S31" i="7" s="1"/>
  <c r="R39" i="7"/>
  <c r="S39" i="7" s="1"/>
  <c r="R52" i="7"/>
  <c r="S52" i="7" s="1"/>
  <c r="R100" i="7"/>
  <c r="S100" i="7" s="1"/>
  <c r="R111" i="7"/>
  <c r="S111" i="7" s="1"/>
  <c r="R114" i="7"/>
  <c r="R117" i="7"/>
  <c r="R130" i="7"/>
  <c r="S134" i="7"/>
  <c r="R20" i="7"/>
  <c r="R36" i="7"/>
  <c r="S36" i="7" s="1"/>
  <c r="R44" i="7"/>
  <c r="S44" i="7" s="1"/>
  <c r="S3" i="1"/>
  <c r="R26" i="7"/>
  <c r="S26" i="7" s="1"/>
  <c r="R34" i="7"/>
  <c r="S34" i="7" s="1"/>
  <c r="R42" i="7"/>
  <c r="S42" i="7" s="1"/>
  <c r="R55" i="7"/>
  <c r="S55" i="7" s="1"/>
  <c r="S121" i="7"/>
  <c r="R127" i="7"/>
  <c r="S127" i="7" s="1"/>
  <c r="R24" i="7"/>
  <c r="S24" i="7" s="1"/>
  <c r="R32" i="7"/>
  <c r="S32" i="7" s="1"/>
  <c r="R40" i="7"/>
  <c r="S40" i="7" s="1"/>
  <c r="R53" i="7"/>
  <c r="S53" i="7" s="1"/>
  <c r="S58" i="7"/>
  <c r="S125" i="7"/>
  <c r="R159" i="7"/>
  <c r="S159" i="7"/>
  <c r="R191" i="7"/>
  <c r="S191" i="7"/>
  <c r="S227" i="7"/>
  <c r="R291" i="7"/>
  <c r="S291" i="7" s="1"/>
  <c r="R299" i="7"/>
  <c r="S299" i="7" s="1"/>
  <c r="R307" i="7"/>
  <c r="S307" i="7" s="1"/>
  <c r="R312" i="7"/>
  <c r="S312" i="7" s="1"/>
  <c r="R308" i="7"/>
  <c r="S308" i="7" s="1"/>
  <c r="R304" i="7"/>
  <c r="S304" i="7" s="1"/>
  <c r="R300" i="7"/>
  <c r="S300" i="7" s="1"/>
  <c r="R296" i="7"/>
  <c r="S296" i="7" s="1"/>
  <c r="R292" i="7"/>
  <c r="S292" i="7" s="1"/>
  <c r="R288" i="7"/>
  <c r="S288" i="7" s="1"/>
  <c r="R284" i="7"/>
  <c r="S284" i="7" s="1"/>
  <c r="R313" i="7"/>
  <c r="S313" i="7" s="1"/>
  <c r="R309" i="7"/>
  <c r="S309" i="7" s="1"/>
  <c r="R305" i="7"/>
  <c r="S305" i="7" s="1"/>
  <c r="R301" i="7"/>
  <c r="S301" i="7" s="1"/>
  <c r="R297" i="7"/>
  <c r="S297" i="7" s="1"/>
  <c r="R293" i="7"/>
  <c r="S293" i="7" s="1"/>
  <c r="R289" i="7"/>
  <c r="S289" i="7" s="1"/>
  <c r="R285" i="7"/>
  <c r="S285" i="7" s="1"/>
  <c r="R27" i="7"/>
  <c r="S27" i="7" s="1"/>
  <c r="R35" i="7"/>
  <c r="S35" i="7" s="1"/>
  <c r="R43" i="7"/>
  <c r="S43" i="7" s="1"/>
  <c r="R56" i="7"/>
  <c r="S56" i="7" s="1"/>
  <c r="R128" i="7"/>
  <c r="S128" i="7" s="1"/>
  <c r="R120" i="7"/>
  <c r="S120" i="7" s="1"/>
  <c r="R135" i="7"/>
  <c r="S135" i="7" s="1"/>
  <c r="R132" i="7"/>
  <c r="S132" i="7" s="1"/>
  <c r="R124" i="7"/>
  <c r="S124" i="7" s="1"/>
  <c r="R116" i="7"/>
  <c r="S116" i="7" s="1"/>
  <c r="R108" i="7"/>
  <c r="S108" i="7" s="1"/>
  <c r="R227" i="7"/>
  <c r="R264" i="7"/>
  <c r="S283" i="7"/>
  <c r="S315" i="7"/>
  <c r="S113" i="7"/>
  <c r="S129" i="7"/>
  <c r="S265" i="7"/>
  <c r="R17" i="7"/>
  <c r="S17" i="7" s="1"/>
  <c r="R25" i="7"/>
  <c r="S25" i="7" s="1"/>
  <c r="R33" i="7"/>
  <c r="S33" i="7" s="1"/>
  <c r="R41" i="7"/>
  <c r="S41" i="7" s="1"/>
  <c r="R137" i="7"/>
  <c r="S137" i="7"/>
  <c r="R228" i="7"/>
  <c r="S228" i="7" s="1"/>
  <c r="R265" i="7"/>
  <c r="R286" i="7"/>
  <c r="S286" i="7" s="1"/>
  <c r="R294" i="7"/>
  <c r="S294" i="7" s="1"/>
  <c r="R302" i="7"/>
  <c r="S302" i="7" s="1"/>
  <c r="R310" i="7"/>
  <c r="S310" i="7" s="1"/>
  <c r="S117" i="7"/>
  <c r="R133" i="7"/>
  <c r="S133" i="7" s="1"/>
  <c r="R303" i="7"/>
  <c r="S303" i="7" s="1"/>
  <c r="S316" i="7"/>
  <c r="S386" i="7"/>
  <c r="S427" i="7"/>
  <c r="S481" i="7"/>
  <c r="R530" i="7"/>
  <c r="S530" i="7" s="1"/>
  <c r="R543" i="7"/>
  <c r="S543" i="7" s="1"/>
  <c r="R321" i="7"/>
  <c r="S321" i="7" s="1"/>
  <c r="R325" i="7"/>
  <c r="S325" i="7" s="1"/>
  <c r="R329" i="7"/>
  <c r="S329" i="7" s="1"/>
  <c r="R338" i="7"/>
  <c r="S338" i="7" s="1"/>
  <c r="R342" i="7"/>
  <c r="S342" i="7" s="1"/>
  <c r="R346" i="7"/>
  <c r="S346" i="7" s="1"/>
  <c r="R350" i="7"/>
  <c r="S350" i="7" s="1"/>
  <c r="R391" i="7"/>
  <c r="S391" i="7" s="1"/>
  <c r="R395" i="7"/>
  <c r="S395" i="7" s="1"/>
  <c r="R399" i="7"/>
  <c r="S399" i="7" s="1"/>
  <c r="R403" i="7"/>
  <c r="S403" i="7" s="1"/>
  <c r="R407" i="7"/>
  <c r="S407" i="7" s="1"/>
  <c r="R416" i="7"/>
  <c r="S416" i="7" s="1"/>
  <c r="R420" i="7"/>
  <c r="S420" i="7" s="1"/>
  <c r="R424" i="7"/>
  <c r="S424" i="7" s="1"/>
  <c r="R428" i="7"/>
  <c r="S428" i="7" s="1"/>
  <c r="R432" i="7"/>
  <c r="S432" i="7" s="1"/>
  <c r="R436" i="7"/>
  <c r="S436" i="7" s="1"/>
  <c r="R440" i="7"/>
  <c r="S440" i="7" s="1"/>
  <c r="R444" i="7"/>
  <c r="S444" i="7" s="1"/>
  <c r="R448" i="7"/>
  <c r="S448" i="7" s="1"/>
  <c r="R452" i="7"/>
  <c r="S452" i="7" s="1"/>
  <c r="R456" i="7"/>
  <c r="S456" i="7" s="1"/>
  <c r="R482" i="7"/>
  <c r="S482" i="7" s="1"/>
  <c r="R486" i="7"/>
  <c r="S486" i="7" s="1"/>
  <c r="R490" i="7"/>
  <c r="S490" i="7" s="1"/>
  <c r="R494" i="7"/>
  <c r="S494" i="7" s="1"/>
  <c r="R498" i="7"/>
  <c r="S498" i="7" s="1"/>
  <c r="R502" i="7"/>
  <c r="S502" i="7" s="1"/>
  <c r="R506" i="7"/>
  <c r="S506" i="7" s="1"/>
  <c r="R510" i="7"/>
  <c r="S510" i="7" s="1"/>
  <c r="R525" i="7"/>
  <c r="S525" i="7" s="1"/>
  <c r="R531" i="7"/>
  <c r="S531" i="7" s="1"/>
  <c r="R537" i="7"/>
  <c r="S537" i="7" s="1"/>
  <c r="R544" i="7"/>
  <c r="S544" i="7" s="1"/>
  <c r="R320" i="7"/>
  <c r="S320" i="7" s="1"/>
  <c r="R324" i="7"/>
  <c r="S324" i="7" s="1"/>
  <c r="R328" i="7"/>
  <c r="S328" i="7" s="1"/>
  <c r="R337" i="7"/>
  <c r="S337" i="7" s="1"/>
  <c r="R341" i="7"/>
  <c r="S341" i="7" s="1"/>
  <c r="R345" i="7"/>
  <c r="S345" i="7" s="1"/>
  <c r="R390" i="7"/>
  <c r="S390" i="7" s="1"/>
  <c r="R394" i="7"/>
  <c r="S394" i="7" s="1"/>
  <c r="R398" i="7"/>
  <c r="S398" i="7" s="1"/>
  <c r="R402" i="7"/>
  <c r="S402" i="7" s="1"/>
  <c r="R406" i="7"/>
  <c r="S406" i="7" s="1"/>
  <c r="R415" i="7"/>
  <c r="S415" i="7" s="1"/>
  <c r="R419" i="7"/>
  <c r="S419" i="7" s="1"/>
  <c r="R431" i="7"/>
  <c r="S431" i="7" s="1"/>
  <c r="R435" i="7"/>
  <c r="S435" i="7" s="1"/>
  <c r="R439" i="7"/>
  <c r="S439" i="7" s="1"/>
  <c r="R443" i="7"/>
  <c r="S443" i="7" s="1"/>
  <c r="R447" i="7"/>
  <c r="S447" i="7" s="1"/>
  <c r="R451" i="7"/>
  <c r="S451" i="7" s="1"/>
  <c r="R485" i="7"/>
  <c r="S485" i="7" s="1"/>
  <c r="R489" i="7"/>
  <c r="S489" i="7" s="1"/>
  <c r="R493" i="7"/>
  <c r="S493" i="7" s="1"/>
  <c r="R497" i="7"/>
  <c r="S497" i="7" s="1"/>
  <c r="R501" i="7"/>
  <c r="S501" i="7" s="1"/>
  <c r="R505" i="7"/>
  <c r="S505" i="7" s="1"/>
  <c r="R524" i="7"/>
  <c r="S524" i="7" s="1"/>
  <c r="R529" i="7"/>
  <c r="S529" i="7" s="1"/>
  <c r="R536" i="7"/>
  <c r="S536" i="7" s="1"/>
  <c r="R542" i="7"/>
  <c r="S542" i="7" s="1"/>
  <c r="R260" i="7" l="1"/>
  <c r="S260" i="7" s="1"/>
  <c r="R247" i="7"/>
  <c r="S247" i="7" s="1"/>
  <c r="R239" i="7"/>
  <c r="S239" i="7" s="1"/>
  <c r="R231" i="7"/>
  <c r="S231" i="7" s="1"/>
  <c r="R259" i="7"/>
  <c r="S259" i="7" s="1"/>
  <c r="R246" i="7"/>
  <c r="S246" i="7" s="1"/>
  <c r="R238" i="7"/>
  <c r="S238" i="7" s="1"/>
  <c r="R230" i="7"/>
  <c r="S230" i="7" s="1"/>
  <c r="R258" i="7"/>
  <c r="S258" i="7" s="1"/>
  <c r="R245" i="7"/>
  <c r="S245" i="7" s="1"/>
  <c r="R237" i="7"/>
  <c r="S237" i="7" s="1"/>
  <c r="R229" i="7"/>
  <c r="S229" i="7" s="1"/>
  <c r="R263" i="7"/>
  <c r="S263" i="7" s="1"/>
  <c r="R250" i="7"/>
  <c r="S250" i="7" s="1"/>
  <c r="R242" i="7"/>
  <c r="S242" i="7" s="1"/>
  <c r="R234" i="7"/>
  <c r="S234" i="7" s="1"/>
  <c r="R257" i="7"/>
  <c r="S257" i="7" s="1"/>
  <c r="R244" i="7"/>
  <c r="S244" i="7" s="1"/>
  <c r="R236" i="7"/>
  <c r="S236" i="7" s="1"/>
  <c r="R261" i="7"/>
  <c r="S261" i="7" s="1"/>
  <c r="R248" i="7"/>
  <c r="S248" i="7" s="1"/>
  <c r="R240" i="7"/>
  <c r="S240" i="7" s="1"/>
  <c r="R232" i="7"/>
  <c r="S232" i="7" s="1"/>
  <c r="R251" i="7"/>
  <c r="S251" i="7" s="1"/>
  <c r="R243" i="7"/>
  <c r="S243" i="7" s="1"/>
  <c r="R235" i="7"/>
  <c r="S235" i="7" s="1"/>
  <c r="R262" i="7"/>
  <c r="S262" i="7" s="1"/>
  <c r="R249" i="7"/>
  <c r="S249" i="7" s="1"/>
  <c r="R241" i="7"/>
  <c r="S241" i="7" s="1"/>
  <c r="R233" i="7"/>
  <c r="S233" i="7" s="1"/>
  <c r="S264" i="7"/>
  <c r="R223" i="7"/>
  <c r="S223" i="7" s="1"/>
  <c r="R215" i="7"/>
  <c r="S215" i="7" s="1"/>
  <c r="R207" i="7"/>
  <c r="S207" i="7" s="1"/>
  <c r="R199" i="7"/>
  <c r="S199" i="7" s="1"/>
  <c r="R222" i="7"/>
  <c r="S222" i="7" s="1"/>
  <c r="R214" i="7"/>
  <c r="S214" i="7" s="1"/>
  <c r="R206" i="7"/>
  <c r="S206" i="7" s="1"/>
  <c r="R198" i="7"/>
  <c r="S198" i="7" s="1"/>
  <c r="R221" i="7"/>
  <c r="S221" i="7" s="1"/>
  <c r="R213" i="7"/>
  <c r="S213" i="7" s="1"/>
  <c r="R205" i="7"/>
  <c r="S205" i="7" s="1"/>
  <c r="R197" i="7"/>
  <c r="S197" i="7" s="1"/>
  <c r="R226" i="7"/>
  <c r="S226" i="7" s="1"/>
  <c r="R218" i="7"/>
  <c r="S218" i="7" s="1"/>
  <c r="R210" i="7"/>
  <c r="S210" i="7" s="1"/>
  <c r="R202" i="7"/>
  <c r="S202" i="7" s="1"/>
  <c r="R194" i="7"/>
  <c r="S194" i="7" s="1"/>
  <c r="R220" i="7"/>
  <c r="S220" i="7" s="1"/>
  <c r="R212" i="7"/>
  <c r="S212" i="7" s="1"/>
  <c r="R204" i="7"/>
  <c r="S204" i="7" s="1"/>
  <c r="R196" i="7"/>
  <c r="S196" i="7" s="1"/>
  <c r="R224" i="7"/>
  <c r="S224" i="7" s="1"/>
  <c r="R216" i="7"/>
  <c r="S216" i="7" s="1"/>
  <c r="R208" i="7"/>
  <c r="S208" i="7" s="1"/>
  <c r="R200" i="7"/>
  <c r="S200" i="7" s="1"/>
  <c r="R219" i="7"/>
  <c r="S219" i="7" s="1"/>
  <c r="R211" i="7"/>
  <c r="S211" i="7" s="1"/>
  <c r="R203" i="7"/>
  <c r="S203" i="7" s="1"/>
  <c r="R195" i="7"/>
  <c r="S195" i="7" s="1"/>
  <c r="R225" i="7"/>
  <c r="S225" i="7" s="1"/>
  <c r="R217" i="7"/>
  <c r="S217" i="7" s="1"/>
  <c r="R209" i="7"/>
  <c r="S209" i="7" s="1"/>
  <c r="R201" i="7"/>
  <c r="S201" i="7" s="1"/>
  <c r="R193" i="7"/>
  <c r="S193" i="7" s="1"/>
  <c r="R183" i="7"/>
  <c r="S183" i="7" s="1"/>
  <c r="R175" i="7"/>
  <c r="S175" i="7" s="1"/>
  <c r="R167" i="7"/>
  <c r="S167" i="7" s="1"/>
  <c r="R190" i="7"/>
  <c r="S190" i="7" s="1"/>
  <c r="R182" i="7"/>
  <c r="S182" i="7" s="1"/>
  <c r="R174" i="7"/>
  <c r="S174" i="7" s="1"/>
  <c r="R166" i="7"/>
  <c r="S166" i="7" s="1"/>
  <c r="R189" i="7"/>
  <c r="S189" i="7" s="1"/>
  <c r="R181" i="7"/>
  <c r="S181" i="7" s="1"/>
  <c r="R173" i="7"/>
  <c r="S173" i="7" s="1"/>
  <c r="R165" i="7"/>
  <c r="S165" i="7" s="1"/>
  <c r="R186" i="7"/>
  <c r="S186" i="7" s="1"/>
  <c r="R178" i="7"/>
  <c r="S178" i="7" s="1"/>
  <c r="R170" i="7"/>
  <c r="S170" i="7" s="1"/>
  <c r="R162" i="7"/>
  <c r="S162" i="7" s="1"/>
  <c r="R188" i="7"/>
  <c r="S188" i="7" s="1"/>
  <c r="R180" i="7"/>
  <c r="S180" i="7" s="1"/>
  <c r="R172" i="7"/>
  <c r="S172" i="7" s="1"/>
  <c r="R164" i="7"/>
  <c r="S164" i="7" s="1"/>
  <c r="R184" i="7"/>
  <c r="S184" i="7" s="1"/>
  <c r="R176" i="7"/>
  <c r="S176" i="7" s="1"/>
  <c r="R168" i="7"/>
  <c r="S168" i="7" s="1"/>
  <c r="R160" i="7"/>
  <c r="S160" i="7" s="1"/>
  <c r="R187" i="7"/>
  <c r="S187" i="7" s="1"/>
  <c r="R179" i="7"/>
  <c r="S179" i="7" s="1"/>
  <c r="R171" i="7"/>
  <c r="S171" i="7" s="1"/>
  <c r="R163" i="7"/>
  <c r="S163" i="7" s="1"/>
  <c r="R185" i="7"/>
  <c r="S185" i="7" s="1"/>
  <c r="R177" i="7"/>
  <c r="S177" i="7" s="1"/>
  <c r="R169" i="7"/>
  <c r="S169" i="7" s="1"/>
  <c r="R161" i="7"/>
  <c r="S161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3" authorId="0" shapeId="0" xr:uid="{00000000-0006-0000-0000-000001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16" authorId="0" shapeId="0" xr:uid="{00000000-0006-0000-0000-000002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17" authorId="0" shapeId="0" xr:uid="{00000000-0006-0000-0000-000003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18" authorId="0" shapeId="0" xr:uid="{00000000-0006-0000-0000-000004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19" authorId="0" shapeId="0" xr:uid="{00000000-0006-0000-0000-000005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20" authorId="0" shapeId="0" xr:uid="{00000000-0006-0000-0000-000006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21" authorId="0" shapeId="0" xr:uid="{00000000-0006-0000-0000-000007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22" authorId="0" shapeId="0" xr:uid="{00000000-0006-0000-0000-000008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23" authorId="0" shapeId="0" xr:uid="{00000000-0006-0000-0000-000009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24" authorId="0" shapeId="0" xr:uid="{00000000-0006-0000-0000-00000A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25" authorId="0" shapeId="0" xr:uid="{00000000-0006-0000-0000-00000B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26" authorId="0" shapeId="0" xr:uid="{00000000-0006-0000-0000-00000C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27" authorId="0" shapeId="0" xr:uid="{00000000-0006-0000-0000-00000D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28" authorId="0" shapeId="0" xr:uid="{00000000-0006-0000-0000-00000E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29" authorId="0" shapeId="0" xr:uid="{00000000-0006-0000-0000-00000F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30" authorId="0" shapeId="0" xr:uid="{00000000-0006-0000-0000-000010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31" authorId="0" shapeId="0" xr:uid="{00000000-0006-0000-0000-000011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32" authorId="0" shapeId="0" xr:uid="{00000000-0006-0000-0000-000012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33" authorId="0" shapeId="0" xr:uid="{00000000-0006-0000-0000-000013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34" authorId="0" shapeId="0" xr:uid="{00000000-0006-0000-0000-000014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35" authorId="0" shapeId="0" xr:uid="{00000000-0006-0000-0000-000015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36" authorId="0" shapeId="0" xr:uid="{00000000-0006-0000-0000-000016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37" authorId="0" shapeId="0" xr:uid="{00000000-0006-0000-0000-000017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38" authorId="0" shapeId="0" xr:uid="{00000000-0006-0000-0000-000018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39" authorId="0" shapeId="0" xr:uid="{00000000-0006-0000-0000-000019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40" authorId="0" shapeId="0" xr:uid="{00000000-0006-0000-0000-00001A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41" authorId="0" shapeId="0" xr:uid="{00000000-0006-0000-0000-00001B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42" authorId="0" shapeId="0" xr:uid="{00000000-0006-0000-0000-00001C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43" authorId="0" shapeId="0" xr:uid="{00000000-0006-0000-0000-00001D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44" authorId="0" shapeId="0" xr:uid="{00000000-0006-0000-0000-00001E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45" authorId="0" shapeId="0" xr:uid="{00000000-0006-0000-0000-00001F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46" authorId="0" shapeId="0" xr:uid="{00000000-0006-0000-0000-000020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47" authorId="0" shapeId="0" xr:uid="{00000000-0006-0000-0000-000021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48" authorId="0" shapeId="0" xr:uid="{00000000-0006-0000-0000-000022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49" authorId="0" shapeId="0" xr:uid="{00000000-0006-0000-0000-000023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50" authorId="0" shapeId="0" xr:uid="{00000000-0006-0000-0000-000024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51" authorId="0" shapeId="0" xr:uid="{00000000-0006-0000-0000-000025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52" authorId="0" shapeId="0" xr:uid="{00000000-0006-0000-0000-000026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53" authorId="0" shapeId="0" xr:uid="{00000000-0006-0000-0000-000027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54" authorId="0" shapeId="0" xr:uid="{00000000-0006-0000-0000-000028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55" authorId="0" shapeId="0" xr:uid="{00000000-0006-0000-0000-000029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56" authorId="0" shapeId="0" xr:uid="{00000000-0006-0000-0000-00002A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57" authorId="0" shapeId="0" xr:uid="{00000000-0006-0000-0000-00002B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58" authorId="0" shapeId="0" xr:uid="{00000000-0006-0000-0000-00002C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</commentList>
</comments>
</file>

<file path=xl/sharedStrings.xml><?xml version="1.0" encoding="utf-8"?>
<sst xmlns="http://schemas.openxmlformats.org/spreadsheetml/2006/main" count="7560" uniqueCount="958">
  <si>
    <t>Sample ID</t>
  </si>
  <si>
    <t>Cellulose weight (g)</t>
  </si>
  <si>
    <t>Date  collected</t>
  </si>
  <si>
    <t>Time collected</t>
  </si>
  <si>
    <t>Date analyzed</t>
  </si>
  <si>
    <t>Oven time</t>
  </si>
  <si>
    <t>RTU initial weight (mg)</t>
  </si>
  <si>
    <t>Volume sample (L)</t>
  </si>
  <si>
    <t>Filter weight 1 (mg)</t>
  </si>
  <si>
    <t>Filter weight 2 (mg)</t>
  </si>
  <si>
    <t>Filter weight 3 (mg)</t>
  </si>
  <si>
    <t>Filter ID</t>
  </si>
  <si>
    <t>Analyst</t>
  </si>
  <si>
    <t>Result (mg/L)</t>
  </si>
  <si>
    <t>QA Flag</t>
  </si>
  <si>
    <t>Note</t>
  </si>
  <si>
    <t>Blank</t>
  </si>
  <si>
    <t>N/A</t>
  </si>
  <si>
    <t>NA</t>
  </si>
  <si>
    <t>H0015183</t>
  </si>
  <si>
    <t>MR</t>
  </si>
  <si>
    <t>A</t>
  </si>
  <si>
    <t>OK</t>
  </si>
  <si>
    <t xml:space="preserve">Cellulose </t>
  </si>
  <si>
    <t>F0021098</t>
  </si>
  <si>
    <t>MR/JC</t>
  </si>
  <si>
    <t>filter attached to the Al plate when drying</t>
  </si>
  <si>
    <t>TSS_30</t>
  </si>
  <si>
    <t>F0021104</t>
  </si>
  <si>
    <t>TSS_41</t>
  </si>
  <si>
    <t>F0021105</t>
  </si>
  <si>
    <t>TSS_74</t>
  </si>
  <si>
    <t>F0021106</t>
  </si>
  <si>
    <t>TSS_63</t>
  </si>
  <si>
    <t>F0021233</t>
  </si>
  <si>
    <t>TSS_19</t>
  </si>
  <si>
    <t>F0021234</t>
  </si>
  <si>
    <t>TSS_8</t>
  </si>
  <si>
    <t>F0021229</t>
  </si>
  <si>
    <t>TSS_52</t>
  </si>
  <si>
    <t>F0021230</t>
  </si>
  <si>
    <t>TSS_151</t>
  </si>
  <si>
    <t>F0021225</t>
  </si>
  <si>
    <t>TSS_96</t>
  </si>
  <si>
    <t>F0021220</t>
  </si>
  <si>
    <t>TSS_85</t>
  </si>
  <si>
    <t>F0021239</t>
  </si>
  <si>
    <t>F0021237</t>
  </si>
  <si>
    <t>F0021235</t>
  </si>
  <si>
    <t>TSS_125</t>
  </si>
  <si>
    <t>F0021236</t>
  </si>
  <si>
    <t>TSS_333</t>
  </si>
  <si>
    <t>F0021223</t>
  </si>
  <si>
    <t>TSS_242</t>
  </si>
  <si>
    <t>F0021143</t>
  </si>
  <si>
    <t>TSS_138</t>
  </si>
  <si>
    <t>F0021139</t>
  </si>
  <si>
    <t>TSS_216</t>
  </si>
  <si>
    <t>F0021134</t>
  </si>
  <si>
    <t>TSS_190</t>
  </si>
  <si>
    <t>F0021135</t>
  </si>
  <si>
    <t>TSS_255</t>
  </si>
  <si>
    <t>F0021140</t>
  </si>
  <si>
    <t>TSS_203</t>
  </si>
  <si>
    <t>F0021144</t>
  </si>
  <si>
    <t>TSS_281</t>
  </si>
  <si>
    <t>F0021224</t>
  </si>
  <si>
    <t>TSS_268</t>
  </si>
  <si>
    <t>F0021228</t>
  </si>
  <si>
    <t>F0021227</t>
  </si>
  <si>
    <t>MR/CL</t>
  </si>
  <si>
    <t>F0021479</t>
  </si>
  <si>
    <t>TSS_294</t>
  </si>
  <si>
    <t>F0021142</t>
  </si>
  <si>
    <t>TSS_320</t>
  </si>
  <si>
    <t>F0021138</t>
  </si>
  <si>
    <t>TSS_307</t>
  </si>
  <si>
    <t>F0021133</t>
  </si>
  <si>
    <t>Recorded as -0.10 in notebook</t>
  </si>
  <si>
    <t>TSS_229</t>
  </si>
  <si>
    <t>F0021232</t>
  </si>
  <si>
    <t>TSS_359</t>
  </si>
  <si>
    <t>F0021060</t>
  </si>
  <si>
    <t>TSS_164</t>
  </si>
  <si>
    <t>F0021061</t>
  </si>
  <si>
    <t>TSS_385</t>
  </si>
  <si>
    <t>F0021056</t>
  </si>
  <si>
    <t>TSS_398</t>
  </si>
  <si>
    <t>F0021055</t>
  </si>
  <si>
    <t>TSS_424</t>
  </si>
  <si>
    <t>F0021054</t>
  </si>
  <si>
    <t>TSS_372</t>
  </si>
  <si>
    <t>F0021052</t>
  </si>
  <si>
    <t>F0021222</t>
  </si>
  <si>
    <t>TSS_346</t>
  </si>
  <si>
    <t>F0021046</t>
  </si>
  <si>
    <t>TSS_489</t>
  </si>
  <si>
    <t>F0021048</t>
  </si>
  <si>
    <t>TSS_437</t>
  </si>
  <si>
    <t>F0021047</t>
  </si>
  <si>
    <t>TSS_177</t>
  </si>
  <si>
    <t>F0021241</t>
  </si>
  <si>
    <t>TSS_515</t>
  </si>
  <si>
    <t>F0021049</t>
  </si>
  <si>
    <t>TSS_502</t>
  </si>
  <si>
    <t>F0021050</t>
  </si>
  <si>
    <t>TSS_450</t>
  </si>
  <si>
    <t>F0021051</t>
  </si>
  <si>
    <t>TSS_476</t>
  </si>
  <si>
    <t>H0015171</t>
  </si>
  <si>
    <t>JC</t>
  </si>
  <si>
    <t>TSS_554</t>
  </si>
  <si>
    <t>H0015176</t>
  </si>
  <si>
    <t>TSS_411</t>
  </si>
  <si>
    <t>H0015178</t>
  </si>
  <si>
    <t>H0015168</t>
  </si>
  <si>
    <t>F0021096</t>
  </si>
  <si>
    <t>TSS_528</t>
  </si>
  <si>
    <t>H0015177</t>
  </si>
  <si>
    <t>TSS_567</t>
  </si>
  <si>
    <t>F0021101</t>
  </si>
  <si>
    <t>MR/CH</t>
  </si>
  <si>
    <t>TSS_580</t>
  </si>
  <si>
    <t>F0021102</t>
  </si>
  <si>
    <t>TSS_632</t>
  </si>
  <si>
    <t>H0015170</t>
  </si>
  <si>
    <t>TSS_593</t>
  </si>
  <si>
    <t>H0015185</t>
  </si>
  <si>
    <t>TSS_619</t>
  </si>
  <si>
    <t>F0021146</t>
  </si>
  <si>
    <t>TSS_541</t>
  </si>
  <si>
    <t>F0021267</t>
  </si>
  <si>
    <t>Date collected</t>
  </si>
  <si>
    <t>Date analysis</t>
  </si>
  <si>
    <t>Start time</t>
  </si>
  <si>
    <t>End time</t>
  </si>
  <si>
    <t>Results ml/L</t>
  </si>
  <si>
    <t>SS_29</t>
  </si>
  <si>
    <t>&lt; 0.1</t>
  </si>
  <si>
    <t>SS_40</t>
  </si>
  <si>
    <t>SS_73</t>
  </si>
  <si>
    <t>SS_62</t>
  </si>
  <si>
    <t>SS_18</t>
  </si>
  <si>
    <t>SS_7</t>
  </si>
  <si>
    <t>SS_51</t>
  </si>
  <si>
    <t>SS_150</t>
  </si>
  <si>
    <t>SS_95</t>
  </si>
  <si>
    <t>SS_84</t>
  </si>
  <si>
    <t>SS_124</t>
  </si>
  <si>
    <t>SS_332</t>
  </si>
  <si>
    <t>SS_241</t>
  </si>
  <si>
    <t>SS_137</t>
  </si>
  <si>
    <t>SS_215</t>
  </si>
  <si>
    <t>SS_189</t>
  </si>
  <si>
    <t>SS_254</t>
  </si>
  <si>
    <t>SS_202</t>
  </si>
  <si>
    <t>SS_280</t>
  </si>
  <si>
    <t>SS_267</t>
  </si>
  <si>
    <t>SS_293</t>
  </si>
  <si>
    <t>SS_319</t>
  </si>
  <si>
    <t>SS_306</t>
  </si>
  <si>
    <t>SS_228</t>
  </si>
  <si>
    <t>SS_358</t>
  </si>
  <si>
    <t>SS_163</t>
  </si>
  <si>
    <t>SS_384</t>
  </si>
  <si>
    <t>Not in Lab Notebook</t>
  </si>
  <si>
    <t>SS_397</t>
  </si>
  <si>
    <t>SS_423</t>
  </si>
  <si>
    <t>SS_371</t>
  </si>
  <si>
    <t>SS_345</t>
  </si>
  <si>
    <t>SS_488</t>
  </si>
  <si>
    <t>SS_436</t>
  </si>
  <si>
    <t>SS_176</t>
  </si>
  <si>
    <t>SS_514</t>
  </si>
  <si>
    <t>VR</t>
  </si>
  <si>
    <t>SS_501</t>
  </si>
  <si>
    <t>SS_449</t>
  </si>
  <si>
    <t>SS_475</t>
  </si>
  <si>
    <t>SS_553</t>
  </si>
  <si>
    <t>SS_410</t>
  </si>
  <si>
    <t>SS_527</t>
  </si>
  <si>
    <t>SS_566</t>
  </si>
  <si>
    <t>JC/MR</t>
  </si>
  <si>
    <t>SS_579</t>
  </si>
  <si>
    <t>SS_631</t>
  </si>
  <si>
    <t>SS_592</t>
  </si>
  <si>
    <t>SS_618</t>
  </si>
  <si>
    <t>SS_540</t>
  </si>
  <si>
    <t>Date Start</t>
  </si>
  <si>
    <t>Time start</t>
  </si>
  <si>
    <t>Temp.start (°C)</t>
  </si>
  <si>
    <t>Date End</t>
  </si>
  <si>
    <t>Time End</t>
  </si>
  <si>
    <t>Temp. end °C</t>
  </si>
  <si>
    <t>Large Positive Wells</t>
  </si>
  <si>
    <t>Small Positive Wells</t>
  </si>
  <si>
    <t>MPN</t>
  </si>
  <si>
    <t>MPN by 10 (Dilution factor)</t>
  </si>
  <si>
    <t>Notes</t>
  </si>
  <si>
    <t>Serratia marcenses</t>
  </si>
  <si>
    <t>&lt; 1</t>
  </si>
  <si>
    <t>Lot Verified</t>
  </si>
  <si>
    <t>Aerococcus viridans</t>
  </si>
  <si>
    <t>Enterococcus faecium</t>
  </si>
  <si>
    <t>&gt; 2419.6</t>
  </si>
  <si>
    <t>Ent_11</t>
  </si>
  <si>
    <t>&lt;10</t>
  </si>
  <si>
    <t>Ent_33</t>
  </si>
  <si>
    <t>Ent_44</t>
  </si>
  <si>
    <t>Ent_55</t>
  </si>
  <si>
    <t>Ent_66</t>
  </si>
  <si>
    <t>Ent_77</t>
  </si>
  <si>
    <t>Ent_88</t>
  </si>
  <si>
    <t>Ent_167</t>
  </si>
  <si>
    <t>Ent_180</t>
  </si>
  <si>
    <t>Ent_193</t>
  </si>
  <si>
    <t>Ent_206</t>
  </si>
  <si>
    <t>Ent_3880</t>
  </si>
  <si>
    <t>Ent_3750</t>
  </si>
  <si>
    <t>Ent_3620</t>
  </si>
  <si>
    <t>Ent_219</t>
  </si>
  <si>
    <t>Ent_232</t>
  </si>
  <si>
    <t>Ent_245</t>
  </si>
  <si>
    <t>Ent_258</t>
  </si>
  <si>
    <t>Ent_271</t>
  </si>
  <si>
    <t>Ent_284</t>
  </si>
  <si>
    <t>Ent_297</t>
  </si>
  <si>
    <t>Ent_310</t>
  </si>
  <si>
    <t>Ent_323</t>
  </si>
  <si>
    <t>Ent_336</t>
  </si>
  <si>
    <t>Ent_349</t>
  </si>
  <si>
    <t>Ent_3621</t>
  </si>
  <si>
    <t>Ent_3751</t>
  </si>
  <si>
    <t>MR/JCM</t>
  </si>
  <si>
    <t>Ent_3881</t>
  </si>
  <si>
    <t>Ent_401</t>
  </si>
  <si>
    <t>Ent_414</t>
  </si>
  <si>
    <t>Ent_427</t>
  </si>
  <si>
    <t>&lt;1</t>
  </si>
  <si>
    <t>Ent_440</t>
  </si>
  <si>
    <t>Ent_453</t>
  </si>
  <si>
    <t>Ent_466</t>
  </si>
  <si>
    <t>Ent_609</t>
  </si>
  <si>
    <t>samples proccesed but were not added. Today were added in the notebook and in the dirve 4/8/24 MR</t>
  </si>
  <si>
    <t>Ent_479</t>
  </si>
  <si>
    <t>Ent_492</t>
  </si>
  <si>
    <t>Ent_544</t>
  </si>
  <si>
    <t>Ent_518</t>
  </si>
  <si>
    <t>Ent_505</t>
  </si>
  <si>
    <t>Ent_531</t>
  </si>
  <si>
    <t>Ent_596</t>
  </si>
  <si>
    <t>Ent_583</t>
  </si>
  <si>
    <t>Ent_570</t>
  </si>
  <si>
    <t>Ent_557</t>
  </si>
  <si>
    <t>Ent_622</t>
  </si>
  <si>
    <t>Ent_648</t>
  </si>
  <si>
    <t>Date/Initial DO</t>
  </si>
  <si>
    <t>Time Initial DO measure</t>
  </si>
  <si>
    <t>Initial DO  mg/L</t>
  </si>
  <si>
    <t>Initial Temperature</t>
  </si>
  <si>
    <t>Time Final DO</t>
  </si>
  <si>
    <t>Final DOr mg/L</t>
  </si>
  <si>
    <t>Final Temperature</t>
  </si>
  <si>
    <t>BOD in mg/L</t>
  </si>
  <si>
    <t>CALIBRATION</t>
  </si>
  <si>
    <t>BOD_25+GGAn_surface</t>
  </si>
  <si>
    <t>BOD_25n_surface</t>
  </si>
  <si>
    <t>BOD_25_surface</t>
  </si>
  <si>
    <t>BOD_26_ bottom</t>
  </si>
  <si>
    <t>BOD_36_Surface</t>
  </si>
  <si>
    <t>BOD_37_bottom</t>
  </si>
  <si>
    <t>BOD_69_surface</t>
  </si>
  <si>
    <t>BOD_70_bottom</t>
  </si>
  <si>
    <t>BOD_58_surface</t>
  </si>
  <si>
    <t>BOD_59_bottom</t>
  </si>
  <si>
    <t>BOD_14_surface</t>
  </si>
  <si>
    <t>BOD_15_bottom</t>
  </si>
  <si>
    <t>BOD_3+GGAn_surface</t>
  </si>
  <si>
    <t>BOD_3n_surface</t>
  </si>
  <si>
    <t>BOD_3_ surface</t>
  </si>
  <si>
    <t>BOD_4_ bottom</t>
  </si>
  <si>
    <t>BOD_47_ surface</t>
  </si>
  <si>
    <t>BOD_48_ bottom</t>
  </si>
  <si>
    <t>BOD_146_ surface</t>
  </si>
  <si>
    <t>BOD_147_ bottom</t>
  </si>
  <si>
    <t>BOD_91_surface</t>
  </si>
  <si>
    <t>BOD_92_bottom</t>
  </si>
  <si>
    <t>BOD_80_surface</t>
  </si>
  <si>
    <t>BOD_81_bottom</t>
  </si>
  <si>
    <t>BOD_81+GGAn_bottom</t>
  </si>
  <si>
    <t>BOD_81n_bottom</t>
  </si>
  <si>
    <t>BOD_120_surface</t>
  </si>
  <si>
    <t>BOD_121_bottom</t>
  </si>
  <si>
    <t>BOD_328_surface</t>
  </si>
  <si>
    <t>BOD_329_bottom</t>
  </si>
  <si>
    <t>BOD_237_surface</t>
  </si>
  <si>
    <t>BOD_238_bottom</t>
  </si>
  <si>
    <t>BOD_133_surface</t>
  </si>
  <si>
    <t>BOD_134_bottom</t>
  </si>
  <si>
    <t>BOD_211_surface</t>
  </si>
  <si>
    <t>BOD_212_bottom</t>
  </si>
  <si>
    <t>BOD_185+GGAn_surface</t>
  </si>
  <si>
    <t>BOD_185n_surface</t>
  </si>
  <si>
    <t>BOD_185_surface</t>
  </si>
  <si>
    <t>BOD_186_bottom</t>
  </si>
  <si>
    <t>BOD_250_surface</t>
  </si>
  <si>
    <t>BOD_251_bottom</t>
  </si>
  <si>
    <t>BOD_198_surface</t>
  </si>
  <si>
    <t>BOD_199_bottom</t>
  </si>
  <si>
    <t>BOD_276_surface</t>
  </si>
  <si>
    <t>BOD_277_bottom</t>
  </si>
  <si>
    <t>BOD_263_surface</t>
  </si>
  <si>
    <t>BOD_264_bottom</t>
  </si>
  <si>
    <t>BOD_289_surface</t>
  </si>
  <si>
    <t>BOD_290+GGAn_bottom</t>
  </si>
  <si>
    <t>BOD_290n_bottom</t>
  </si>
  <si>
    <t>BOD_290_bottom</t>
  </si>
  <si>
    <t>BOD_315_surface</t>
  </si>
  <si>
    <t>BOD_316_bottom</t>
  </si>
  <si>
    <t>BOD_302_surface</t>
  </si>
  <si>
    <t>BOD_303_bottom</t>
  </si>
  <si>
    <t>BOD_224_surface</t>
  </si>
  <si>
    <t>BOD_225_bottom</t>
  </si>
  <si>
    <t>BOD_354_surface</t>
  </si>
  <si>
    <t>BOD_355_bottom</t>
  </si>
  <si>
    <t>BOD_159_GGAn_surface
BOD_159_bottom</t>
  </si>
  <si>
    <t>BOD_159n_surface</t>
  </si>
  <si>
    <t>BOD_159_surface</t>
  </si>
  <si>
    <t>BOD_160_bottom</t>
  </si>
  <si>
    <t>BOD_380_surface</t>
  </si>
  <si>
    <t>BOD_381_bottom</t>
  </si>
  <si>
    <t>BOD_393_surface</t>
  </si>
  <si>
    <t>BOD_394_bottom</t>
  </si>
  <si>
    <t>BOD_419_surface</t>
  </si>
  <si>
    <t>BOD_420_bottom</t>
  </si>
  <si>
    <t>BOD_367_surface</t>
  </si>
  <si>
    <t>BOD_368_bottom</t>
  </si>
  <si>
    <t>BOD_341_GGAn_surface</t>
  </si>
  <si>
    <t>BOD_341_n_surface</t>
  </si>
  <si>
    <t>BOD_341_surface</t>
  </si>
  <si>
    <t>BOD_342_bottom</t>
  </si>
  <si>
    <t>BOD_ 484_surface</t>
  </si>
  <si>
    <t>BOD_485 _bottom</t>
  </si>
  <si>
    <t>BOD_ 432_surface</t>
  </si>
  <si>
    <t>BOD_433 _bottom</t>
  </si>
  <si>
    <t>BOD_ 172_surface</t>
  </si>
  <si>
    <t>BOD_ 173_bottom</t>
  </si>
  <si>
    <t>BOD_510 _surface</t>
  </si>
  <si>
    <t>BOD_511_bottom</t>
  </si>
  <si>
    <t>BOD_497_GGAn_surface</t>
  </si>
  <si>
    <t>BOD_497_n _surface</t>
  </si>
  <si>
    <t>BOD_497 _surface</t>
  </si>
  <si>
    <t>BOD_498 _bottom</t>
  </si>
  <si>
    <t>BOD_445 _surface</t>
  </si>
  <si>
    <t>BOD_446 _bottom</t>
  </si>
  <si>
    <t>BOD_ 471_surface</t>
  </si>
  <si>
    <t>BOD_472 _bottom</t>
  </si>
  <si>
    <t>BOD_549 _surface</t>
  </si>
  <si>
    <t>BOD_550 _bottom</t>
  </si>
  <si>
    <t>BOD_406 _surface</t>
  </si>
  <si>
    <t>BOD_ 407_bottom</t>
  </si>
  <si>
    <t>BOD_ 523_GGAn_surface</t>
  </si>
  <si>
    <t>BOD_ 523_n_surface</t>
  </si>
  <si>
    <t>BOD_523 _surface</t>
  </si>
  <si>
    <t>BOD_524 _bottom</t>
  </si>
  <si>
    <t>BOD_562_surface</t>
  </si>
  <si>
    <t>BOD_563_bottom</t>
  </si>
  <si>
    <t>BOD_575_surface</t>
  </si>
  <si>
    <t>BOD_576_bottom</t>
  </si>
  <si>
    <t>BOD_627_surface</t>
  </si>
  <si>
    <t>BOD_628_bottom</t>
  </si>
  <si>
    <t>BOD_588_surface</t>
  </si>
  <si>
    <t>BOD_589_bottom</t>
  </si>
  <si>
    <t>BOD_614_GGAn_surface</t>
  </si>
  <si>
    <t>BOD_614n _surface</t>
  </si>
  <si>
    <t>BOD_614_surface</t>
  </si>
  <si>
    <t>BOD_615_bottom</t>
  </si>
  <si>
    <t>3.24 pm</t>
  </si>
  <si>
    <t>BOD_536_surface</t>
  </si>
  <si>
    <t>BOD_537_bottom</t>
  </si>
  <si>
    <t>Date Collected</t>
  </si>
  <si>
    <t>Time Collected</t>
  </si>
  <si>
    <t>Date Filtered</t>
  </si>
  <si>
    <t>Time Filtered</t>
  </si>
  <si>
    <t>Volume Filtered (mL)</t>
  </si>
  <si>
    <t>Date Extract</t>
  </si>
  <si>
    <t>Time Extract</t>
  </si>
  <si>
    <t>Volume Extract (mL)</t>
  </si>
  <si>
    <t>Cuvette Width (cm)</t>
  </si>
  <si>
    <t>664nm_b</t>
  </si>
  <si>
    <t>665nm_b</t>
  </si>
  <si>
    <t>750nm_b</t>
  </si>
  <si>
    <t>664nm_a</t>
  </si>
  <si>
    <t>665nm_a</t>
  </si>
  <si>
    <t>750nm_a</t>
  </si>
  <si>
    <t>Chl-a (µg/L)</t>
  </si>
  <si>
    <t>Chl_standard (29.8ug/L)</t>
  </si>
  <si>
    <t>Chl_a_27</t>
  </si>
  <si>
    <t>Chl_a_38</t>
  </si>
  <si>
    <t>Chl_a_71</t>
  </si>
  <si>
    <t>Chl_a_60</t>
  </si>
  <si>
    <t>Chl_a_16</t>
  </si>
  <si>
    <t>Chl_a_5</t>
  </si>
  <si>
    <t>Chl_a_49</t>
  </si>
  <si>
    <t>Chl_a_148</t>
  </si>
  <si>
    <t>Chl_a_93</t>
  </si>
  <si>
    <t>Chl_a_82</t>
  </si>
  <si>
    <t>Chl_a_122</t>
  </si>
  <si>
    <t>Chl_a_330</t>
  </si>
  <si>
    <t>Chl_a_239</t>
  </si>
  <si>
    <t>Chl_a_135</t>
  </si>
  <si>
    <t>Chl_a_213</t>
  </si>
  <si>
    <t>Chl_a_187</t>
  </si>
  <si>
    <t>Chl_a_252</t>
  </si>
  <si>
    <t>Chl_a_200</t>
  </si>
  <si>
    <t>Chl_a_278</t>
  </si>
  <si>
    <t>Chl_a_265</t>
  </si>
  <si>
    <t>Chl_a_291</t>
  </si>
  <si>
    <t>Chl_a_317</t>
  </si>
  <si>
    <t>Chl_a_304</t>
  </si>
  <si>
    <t>Chl_a_226</t>
  </si>
  <si>
    <t>Chl_a_356</t>
  </si>
  <si>
    <t>Chl_a_161</t>
  </si>
  <si>
    <t>Chl_a_382</t>
  </si>
  <si>
    <t>Chl_a_395</t>
  </si>
  <si>
    <t>Chl_a_421</t>
  </si>
  <si>
    <t>Chl_a_369</t>
  </si>
  <si>
    <t>Chl_a_343</t>
  </si>
  <si>
    <t>Chl_a_486</t>
  </si>
  <si>
    <t>Chl_a_434</t>
  </si>
  <si>
    <t>Chl_a_174</t>
  </si>
  <si>
    <t>Chl_a_512</t>
  </si>
  <si>
    <t>Chl_a_499</t>
  </si>
  <si>
    <t>Chl_a_447</t>
  </si>
  <si>
    <t>Chl_a_473</t>
  </si>
  <si>
    <t>Chl_a_551</t>
  </si>
  <si>
    <t>Chl_a_408</t>
  </si>
  <si>
    <t>Chl_a_525</t>
  </si>
  <si>
    <t>Chl_a_564</t>
  </si>
  <si>
    <t>Chl_a_577</t>
  </si>
  <si>
    <t>Chl_a_629</t>
  </si>
  <si>
    <t>Chl_a_590</t>
  </si>
  <si>
    <t>Chl_a_616</t>
  </si>
  <si>
    <t>Chl_a_538</t>
  </si>
  <si>
    <t>Chl Standard (217.0 ug/L)</t>
  </si>
  <si>
    <t xml:space="preserve">Date Collected </t>
  </si>
  <si>
    <t xml:space="preserve">Time Collected </t>
  </si>
  <si>
    <t>Date Analyzed</t>
  </si>
  <si>
    <t>Time Analyzed</t>
  </si>
  <si>
    <t>NTU</t>
  </si>
  <si>
    <t>Turb_28</t>
  </si>
  <si>
    <t>Turb_39</t>
  </si>
  <si>
    <t>Turb_72</t>
  </si>
  <si>
    <t>Turb_61</t>
  </si>
  <si>
    <t>Turb_17</t>
  </si>
  <si>
    <t>Turb_06</t>
  </si>
  <si>
    <t>Turb_50</t>
  </si>
  <si>
    <t>Turb_149</t>
  </si>
  <si>
    <t>Turb_94</t>
  </si>
  <si>
    <t>Turb_83</t>
  </si>
  <si>
    <t>Turb_123</t>
  </si>
  <si>
    <t>Turb_331</t>
  </si>
  <si>
    <t>Turb_240</t>
  </si>
  <si>
    <t>Turb_136</t>
  </si>
  <si>
    <t>Turb_214</t>
  </si>
  <si>
    <t>Turb_188</t>
  </si>
  <si>
    <t>Turb_253</t>
  </si>
  <si>
    <t>Turb_201</t>
  </si>
  <si>
    <t>Turb_279</t>
  </si>
  <si>
    <t>Turb_266</t>
  </si>
  <si>
    <t>Turb_292</t>
  </si>
  <si>
    <t>Turb_318</t>
  </si>
  <si>
    <t>Turb_305</t>
  </si>
  <si>
    <t>Turb_227</t>
  </si>
  <si>
    <t>Turb_357</t>
  </si>
  <si>
    <t>Turb_162</t>
  </si>
  <si>
    <t>Turb_383</t>
  </si>
  <si>
    <t>Turb_396</t>
  </si>
  <si>
    <t>Turb_422</t>
  </si>
  <si>
    <t>Turb_370</t>
  </si>
  <si>
    <t>Turb_344</t>
  </si>
  <si>
    <t>Turb_487</t>
  </si>
  <si>
    <t>Turb_435</t>
  </si>
  <si>
    <t>Turb_175</t>
  </si>
  <si>
    <t>Turb_513</t>
  </si>
  <si>
    <t>Turb_500</t>
  </si>
  <si>
    <t>Turb_448</t>
  </si>
  <si>
    <t>Turb_474</t>
  </si>
  <si>
    <t>Turb_552</t>
  </si>
  <si>
    <t>Turb_409</t>
  </si>
  <si>
    <t>Turb_526</t>
  </si>
  <si>
    <t>Turb_565</t>
  </si>
  <si>
    <t>Turb_578</t>
  </si>
  <si>
    <t>Turb_630</t>
  </si>
  <si>
    <t>Turb_591</t>
  </si>
  <si>
    <t>Turb_617</t>
  </si>
  <si>
    <t>Turb_539</t>
  </si>
  <si>
    <t>Sample # In Batch</t>
  </si>
  <si>
    <t>Sample Name</t>
  </si>
  <si>
    <t>Port</t>
  </si>
  <si>
    <t>Volume (ml)</t>
  </si>
  <si>
    <t>Start Time</t>
  </si>
  <si>
    <t>Attempt #</t>
  </si>
  <si>
    <t>Cell Temp (C)</t>
  </si>
  <si>
    <t>H2O (‰)</t>
  </si>
  <si>
    <t>Initial Baseline (ppm)</t>
  </si>
  <si>
    <t>Final Baseline (ppm)</t>
  </si>
  <si>
    <t>Peak (ppm)</t>
  </si>
  <si>
    <t>Integration Time (sec)</t>
  </si>
  <si>
    <t>Area (net)</t>
  </si>
  <si>
    <t>Area (net avg)</t>
  </si>
  <si>
    <t>DIC (uM)</t>
  </si>
  <si>
    <t>DIC_corr_uM</t>
  </si>
  <si>
    <t>DIC_corr_uM_drift</t>
  </si>
  <si>
    <t>DIC_final_uM</t>
  </si>
  <si>
    <t>Status</t>
  </si>
  <si>
    <t>Wait Btwn Repeat (s)</t>
  </si>
  <si>
    <t>Wait Btwn Sample (s)</t>
  </si>
  <si>
    <t>Flush Volume (ml)</t>
  </si>
  <si>
    <t>Pre-Acid Volume (ml)</t>
  </si>
  <si>
    <t>Acid Volume (ml)</t>
  </si>
  <si>
    <t>Injection Speed (sps)</t>
  </si>
  <si>
    <t>End Analysis - Criteria</t>
  </si>
  <si>
    <t>End Analysis - Value</t>
  </si>
  <si>
    <t>Precision</t>
  </si>
  <si>
    <t>Standard Curve</t>
  </si>
  <si>
    <t>Gas Flowrate</t>
  </si>
  <si>
    <t>DIC corrections</t>
  </si>
  <si>
    <t>0001S-1-1</t>
  </si>
  <si>
    <t>Single</t>
  </si>
  <si>
    <t>NaHCO3</t>
  </si>
  <si>
    <t>C (STD)</t>
  </si>
  <si>
    <t>Valid</t>
  </si>
  <si>
    <t>BL Diff</t>
  </si>
  <si>
    <t>0.00100+0.00000</t>
  </si>
  <si>
    <t>Broken Line</t>
  </si>
  <si>
    <t>0002S-1-1</t>
  </si>
  <si>
    <t>0003S-1-1</t>
  </si>
  <si>
    <t>0004S-1-1</t>
  </si>
  <si>
    <t>0005A-1-1</t>
  </si>
  <si>
    <t>1A</t>
  </si>
  <si>
    <t>CRM_206_0548</t>
  </si>
  <si>
    <t>Excluded</t>
  </si>
  <si>
    <t>0005A-1-2</t>
  </si>
  <si>
    <t>0005A-1-3</t>
  </si>
  <si>
    <t>0005A-1-4</t>
  </si>
  <si>
    <t>0005B-1-1</t>
  </si>
  <si>
    <t>1B</t>
  </si>
  <si>
    <t>0005B-1-2</t>
  </si>
  <si>
    <t>0005B-1-3</t>
  </si>
  <si>
    <t>0005B-1-4</t>
  </si>
  <si>
    <t>0005C-1-1</t>
  </si>
  <si>
    <t>1C</t>
  </si>
  <si>
    <t>0005C-1-2</t>
  </si>
  <si>
    <t>0005C-1-3</t>
  </si>
  <si>
    <t>0006S-1-1</t>
  </si>
  <si>
    <t>CRM was entered as umol/kg, added conversion factor to correct value of 2067 uM</t>
  </si>
  <si>
    <t>0006S-1-2</t>
  </si>
  <si>
    <t>0006S-1-3</t>
  </si>
  <si>
    <t>0006S-1-4</t>
  </si>
  <si>
    <t>0007S-1-1</t>
  </si>
  <si>
    <t>D</t>
  </si>
  <si>
    <t>0007S-1-2</t>
  </si>
  <si>
    <t>0007S-1-3</t>
  </si>
  <si>
    <t>0008S-1-1</t>
  </si>
  <si>
    <t>E</t>
  </si>
  <si>
    <t>0008S-1-2</t>
  </si>
  <si>
    <t>0008S-1-3</t>
  </si>
  <si>
    <t>0009S-1-1</t>
  </si>
  <si>
    <t>F</t>
  </si>
  <si>
    <t>0009S-1-2</t>
  </si>
  <si>
    <t>0009S-1-3</t>
  </si>
  <si>
    <t>0009S-1-4</t>
  </si>
  <si>
    <t>0009S-1-5</t>
  </si>
  <si>
    <t>0010S-1-1</t>
  </si>
  <si>
    <t>G</t>
  </si>
  <si>
    <t>0010S-1-2</t>
  </si>
  <si>
    <t>0010S-1-3</t>
  </si>
  <si>
    <t>0011S-1-1</t>
  </si>
  <si>
    <t>H</t>
  </si>
  <si>
    <t>0011S-1-2</t>
  </si>
  <si>
    <t>0011S-1-3</t>
  </si>
  <si>
    <t>0011S-1-4</t>
  </si>
  <si>
    <t>0011S-1-5</t>
  </si>
  <si>
    <t>0012S-1-1</t>
  </si>
  <si>
    <t>I</t>
  </si>
  <si>
    <t>0012S-1-2</t>
  </si>
  <si>
    <t>0012S-1-3</t>
  </si>
  <si>
    <t>0012S-1-4</t>
  </si>
  <si>
    <t>0012S-1-5</t>
  </si>
  <si>
    <t>0013S-1-1</t>
  </si>
  <si>
    <t>J</t>
  </si>
  <si>
    <t>Failed</t>
  </si>
  <si>
    <t>0013S-1-2</t>
  </si>
  <si>
    <t>0013S-1-3</t>
  </si>
  <si>
    <t>0013S-1-4</t>
  </si>
  <si>
    <t>0013S-1-5</t>
  </si>
  <si>
    <t>0013S-2-1</t>
  </si>
  <si>
    <t>0013S-2-2</t>
  </si>
  <si>
    <t>0013S-2-3</t>
  </si>
  <si>
    <t>0014S-1-1</t>
  </si>
  <si>
    <t>K</t>
  </si>
  <si>
    <t>0014S-1-2</t>
  </si>
  <si>
    <t>0014S-1-3</t>
  </si>
  <si>
    <t>0014S-1-4</t>
  </si>
  <si>
    <t>0015S-1-1</t>
  </si>
  <si>
    <t>0015S-1-2</t>
  </si>
  <si>
    <t>0015S-1-3</t>
  </si>
  <si>
    <t>0015S-1-4</t>
  </si>
  <si>
    <t>0016S-1-1</t>
  </si>
  <si>
    <t>0016S-1-2</t>
  </si>
  <si>
    <t>0016S-1-3</t>
  </si>
  <si>
    <t>0016S-1-4</t>
  </si>
  <si>
    <t>0017S-1-1</t>
  </si>
  <si>
    <t>0017S-1-2</t>
  </si>
  <si>
    <t>0017S-1-3</t>
  </si>
  <si>
    <t>0017S-1-4</t>
  </si>
  <si>
    <t>0017S-1-5</t>
  </si>
  <si>
    <t>0018S-1-1</t>
  </si>
  <si>
    <t>0018S-1-2</t>
  </si>
  <si>
    <t>0018S-1-3</t>
  </si>
  <si>
    <t>0019S-1-1</t>
  </si>
  <si>
    <t>0019S-1-2</t>
  </si>
  <si>
    <t>0019S-1-3</t>
  </si>
  <si>
    <t>0019S-1-4</t>
  </si>
  <si>
    <t>0020S-1-1</t>
  </si>
  <si>
    <t>0020S-1-2</t>
  </si>
  <si>
    <t>0020S-1-3</t>
  </si>
  <si>
    <t>0020S-1-4</t>
  </si>
  <si>
    <t>0021S-1-1</t>
  </si>
  <si>
    <t>0021S-1-2</t>
  </si>
  <si>
    <t>0021S-1-3</t>
  </si>
  <si>
    <t>0021S-1-4</t>
  </si>
  <si>
    <t>0022S-1-1</t>
  </si>
  <si>
    <t>0022S-1-2</t>
  </si>
  <si>
    <t>0022S-1-3</t>
  </si>
  <si>
    <t>0022S-1-4</t>
  </si>
  <si>
    <t>0022S-1-5</t>
  </si>
  <si>
    <t>0023S-1-1</t>
  </si>
  <si>
    <t>0023S-1-2</t>
  </si>
  <si>
    <t>0023S-1-3</t>
  </si>
  <si>
    <t>0023S-1-4</t>
  </si>
  <si>
    <t>0023S-1-5</t>
  </si>
  <si>
    <t>0024S-1-1</t>
  </si>
  <si>
    <t>0024S-1-2</t>
  </si>
  <si>
    <t>0024S-1-3</t>
  </si>
  <si>
    <t>0025S-1-1</t>
  </si>
  <si>
    <t>0025S-1-2</t>
  </si>
  <si>
    <t>0025S-1-3</t>
  </si>
  <si>
    <t>0025S-1-4</t>
  </si>
  <si>
    <t>0025S-1-5</t>
  </si>
  <si>
    <t>0026S-1-1</t>
  </si>
  <si>
    <t>0026S-1-2</t>
  </si>
  <si>
    <t>0026S-1-3</t>
  </si>
  <si>
    <t>0026S-1-4</t>
  </si>
  <si>
    <t>0026S-1-5</t>
  </si>
  <si>
    <t>0026S-2-1</t>
  </si>
  <si>
    <t>0026S-2-2</t>
  </si>
  <si>
    <t>0026S-2-3</t>
  </si>
  <si>
    <t>0026S-2-4</t>
  </si>
  <si>
    <t>0027S-1-1</t>
  </si>
  <si>
    <t>0027S-1-2</t>
  </si>
  <si>
    <t>0027S-1-3</t>
  </si>
  <si>
    <t>0028S-1-1</t>
  </si>
  <si>
    <t>0028S-1-2</t>
  </si>
  <si>
    <t>0028S-1-3</t>
  </si>
  <si>
    <t>0029S-1-1</t>
  </si>
  <si>
    <t>0029S-1-2</t>
  </si>
  <si>
    <t>0029S-1-3</t>
  </si>
  <si>
    <t>0029S-1-4</t>
  </si>
  <si>
    <t>0029S-1-5</t>
  </si>
  <si>
    <t>0030S-1-1</t>
  </si>
  <si>
    <t>0030S-1-2</t>
  </si>
  <si>
    <t>0030S-1-3</t>
  </si>
  <si>
    <t>0030S-1-4</t>
  </si>
  <si>
    <t>0030S-1-5</t>
  </si>
  <si>
    <t>0031S-1-1</t>
  </si>
  <si>
    <t>0031S-1-2</t>
  </si>
  <si>
    <t>0031S-1-3</t>
  </si>
  <si>
    <t>0031S-1-4</t>
  </si>
  <si>
    <t>0032S-1-1</t>
  </si>
  <si>
    <t>0032S-1-2</t>
  </si>
  <si>
    <t>0032S-1-3</t>
  </si>
  <si>
    <t>0033S-1-1</t>
  </si>
  <si>
    <t>0033S-1-2</t>
  </si>
  <si>
    <t>0033S-1-3</t>
  </si>
  <si>
    <t>0033S-1-4</t>
  </si>
  <si>
    <t>0033S-1-5</t>
  </si>
  <si>
    <t>0005S-1-1</t>
  </si>
  <si>
    <t>CRM_206_0011</t>
  </si>
  <si>
    <t>0007A-1-1</t>
  </si>
  <si>
    <t>CRM was entered as 2076 uM instead of 2067, added conversion factor to correct value</t>
  </si>
  <si>
    <t>0007A-1-2</t>
  </si>
  <si>
    <t>0007A-1-3</t>
  </si>
  <si>
    <t>0007A-1-4</t>
  </si>
  <si>
    <t>0007B-1-1</t>
  </si>
  <si>
    <t>0007B-1-2</t>
  </si>
  <si>
    <t>0007B-1-3</t>
  </si>
  <si>
    <t>0007B-1-4</t>
  </si>
  <si>
    <t>0007B-1-5</t>
  </si>
  <si>
    <t>0007C-1-1</t>
  </si>
  <si>
    <t>0007C-1-2</t>
  </si>
  <si>
    <t>0007C-1-3</t>
  </si>
  <si>
    <t>0010S-1-4</t>
  </si>
  <si>
    <t>0016S-1-5</t>
  </si>
  <si>
    <t>0018S-1-4</t>
  </si>
  <si>
    <t>0018S-1-5</t>
  </si>
  <si>
    <t>0019S-1-5</t>
  </si>
  <si>
    <t>0024S-1-4</t>
  </si>
  <si>
    <t>0024S-1-5</t>
  </si>
  <si>
    <t>0031S-1-5</t>
  </si>
  <si>
    <t>0032S-1-4</t>
  </si>
  <si>
    <t>0033S-2-1</t>
  </si>
  <si>
    <t>0033S-2-2</t>
  </si>
  <si>
    <t>0033S-2-3</t>
  </si>
  <si>
    <t>0034S-1-1</t>
  </si>
  <si>
    <t>0034S-1-2</t>
  </si>
  <si>
    <t>0034S-1-3</t>
  </si>
  <si>
    <t>0035S-1-1</t>
  </si>
  <si>
    <t>0035S-1-2</t>
  </si>
  <si>
    <t>0035S-1-3</t>
  </si>
  <si>
    <t>0035S-1-4</t>
  </si>
  <si>
    <t>CRM_206_0001</t>
  </si>
  <si>
    <t>0005C-1-4</t>
  </si>
  <si>
    <t>0008S-1-4</t>
  </si>
  <si>
    <t>0020S-1-5</t>
  </si>
  <si>
    <t>0020S-2-1</t>
  </si>
  <si>
    <t>0020S-2-2</t>
  </si>
  <si>
    <t>0020S-2-3</t>
  </si>
  <si>
    <t>0020S-2-4</t>
  </si>
  <si>
    <t>CRM_206_0557</t>
  </si>
  <si>
    <t>0014A-1-1</t>
  </si>
  <si>
    <t>RCM_206_0830</t>
  </si>
  <si>
    <t>0014A-1-2</t>
  </si>
  <si>
    <t>0014A-1-3</t>
  </si>
  <si>
    <t>0014A-1-4</t>
  </si>
  <si>
    <t>0014A-1-5</t>
  </si>
  <si>
    <t>0014B-1-1</t>
  </si>
  <si>
    <t>0014B-1-2</t>
  </si>
  <si>
    <t>0014B-1-3</t>
  </si>
  <si>
    <t>0014C-1-1</t>
  </si>
  <si>
    <t>0014C-1-2</t>
  </si>
  <si>
    <t>0014C-1-3</t>
  </si>
  <si>
    <t>0014C-1-4</t>
  </si>
  <si>
    <t>0021S-1-5</t>
  </si>
  <si>
    <t>0021S-2-1</t>
  </si>
  <si>
    <t>0021S-2-2</t>
  </si>
  <si>
    <t>0021S-2-3</t>
  </si>
  <si>
    <t>0021S-2-4</t>
  </si>
  <si>
    <t>0027S-1-4</t>
  </si>
  <si>
    <t>CRM_206_0830</t>
  </si>
  <si>
    <t>CRM_206_0866</t>
  </si>
  <si>
    <t>0007A-1-5</t>
  </si>
  <si>
    <t>0007C-1-4</t>
  </si>
  <si>
    <t>No acepted, sample should be repeated</t>
  </si>
  <si>
    <t>CRM_213_0036</t>
  </si>
  <si>
    <t>Date</t>
  </si>
  <si>
    <t>Sample</t>
  </si>
  <si>
    <t>Temperature (C)</t>
  </si>
  <si>
    <t>CRM</t>
  </si>
  <si>
    <t>Time</t>
  </si>
  <si>
    <t>Sample Volume (ml)</t>
  </si>
  <si>
    <t>HCl Concentration (M)</t>
  </si>
  <si>
    <t>Salinity</t>
  </si>
  <si>
    <t>Slope</t>
  </si>
  <si>
    <t>R^2</t>
  </si>
  <si>
    <t>End Volume (ml)</t>
  </si>
  <si>
    <t>Total Alkalinity (uM)</t>
  </si>
  <si>
    <t>Density_kgL</t>
  </si>
  <si>
    <t>TA_umolkg</t>
  </si>
  <si>
    <t>Standard Deviation</t>
  </si>
  <si>
    <t>User</t>
  </si>
  <si>
    <t>0001S-1</t>
  </si>
  <si>
    <t>Na2CO3</t>
  </si>
  <si>
    <t>&gt;30</t>
  </si>
  <si>
    <t>R</t>
  </si>
  <si>
    <t>0001S-2</t>
  </si>
  <si>
    <t>0001S-3</t>
  </si>
  <si>
    <t>0002S-1</t>
  </si>
  <si>
    <t>The last time used in DIC was 2242uM</t>
  </si>
  <si>
    <t>0003S-1</t>
  </si>
  <si>
    <t>0004S-1</t>
  </si>
  <si>
    <t>0005S-1</t>
  </si>
  <si>
    <t>0006S-1</t>
  </si>
  <si>
    <t>0007S-1</t>
  </si>
  <si>
    <t>0008S-1</t>
  </si>
  <si>
    <t>0009S-1</t>
  </si>
  <si>
    <t>0010S-1</t>
  </si>
  <si>
    <t>0011S-1</t>
  </si>
  <si>
    <t>0012S-1</t>
  </si>
  <si>
    <t>0013S-1</t>
  </si>
  <si>
    <t>0014S-1</t>
  </si>
  <si>
    <t>0015S-1</t>
  </si>
  <si>
    <t>0016S-1</t>
  </si>
  <si>
    <t>0017S-1</t>
  </si>
  <si>
    <t>0018S-1</t>
  </si>
  <si>
    <t>0019S-1</t>
  </si>
  <si>
    <t>0020S-1</t>
  </si>
  <si>
    <t>0021S-1</t>
  </si>
  <si>
    <t>0022S-1</t>
  </si>
  <si>
    <t>0023S-1</t>
  </si>
  <si>
    <t>0024S-1</t>
  </si>
  <si>
    <t>bottle finish</t>
  </si>
  <si>
    <t>0025S-1</t>
  </si>
  <si>
    <t>0026S-1</t>
  </si>
  <si>
    <t>0027S-1</t>
  </si>
  <si>
    <t>0028S-1</t>
  </si>
  <si>
    <t>0029S-1</t>
  </si>
  <si>
    <t>0030S-1</t>
  </si>
  <si>
    <t>0031S-1</t>
  </si>
  <si>
    <t>0032S-1</t>
  </si>
  <si>
    <t>0033S-1</t>
  </si>
  <si>
    <t>0034S-1</t>
  </si>
  <si>
    <t>0035S-1</t>
  </si>
  <si>
    <t>CRM_204_0529</t>
  </si>
  <si>
    <t>0036S-1</t>
  </si>
  <si>
    <t>CRM_206_0288</t>
  </si>
  <si>
    <t>0037S-1</t>
  </si>
  <si>
    <t>2242 was the uM last time used this bottle</t>
  </si>
  <si>
    <t>CRM_206_001</t>
  </si>
  <si>
    <t>0002S-2</t>
  </si>
  <si>
    <t>0002S-3</t>
  </si>
  <si>
    <t>CRM_206_0282</t>
  </si>
  <si>
    <t>0003S-2</t>
  </si>
  <si>
    <t>0003S-3</t>
  </si>
  <si>
    <t>0003S-4</t>
  </si>
  <si>
    <t>CRM_206_0682</t>
  </si>
  <si>
    <t>Canceled</t>
  </si>
  <si>
    <t>0017S-2</t>
  </si>
  <si>
    <t>CPHR</t>
  </si>
  <si>
    <t>CRM-206-0001</t>
  </si>
  <si>
    <t>C-9</t>
  </si>
  <si>
    <t>Red labels: Samples from Catherine</t>
  </si>
  <si>
    <t>C-2</t>
  </si>
  <si>
    <t>C-4</t>
  </si>
  <si>
    <t>C-25</t>
  </si>
  <si>
    <t>C-23</t>
  </si>
  <si>
    <t>C-1</t>
  </si>
  <si>
    <t>C-18</t>
  </si>
  <si>
    <t>C-12</t>
  </si>
  <si>
    <t>C-20</t>
  </si>
  <si>
    <t>C-31</t>
  </si>
  <si>
    <t>C-26</t>
  </si>
  <si>
    <t>C-7</t>
  </si>
  <si>
    <t>C-22</t>
  </si>
  <si>
    <t>C-24</t>
  </si>
  <si>
    <t>C-3</t>
  </si>
  <si>
    <t>C-34</t>
  </si>
  <si>
    <t>C-16</t>
  </si>
  <si>
    <t>C-36</t>
  </si>
  <si>
    <t>C-PINK</t>
  </si>
  <si>
    <t>C-21</t>
  </si>
  <si>
    <t>C-8</t>
  </si>
  <si>
    <t>0038S-1</t>
  </si>
  <si>
    <t>0039S-1</t>
  </si>
  <si>
    <t>0040S-1</t>
  </si>
  <si>
    <t>0041S-1</t>
  </si>
  <si>
    <t>0042S-1</t>
  </si>
  <si>
    <t>0001S-4</t>
  </si>
  <si>
    <t>0001S-5</t>
  </si>
  <si>
    <t>0004C-1</t>
  </si>
  <si>
    <t>RCM_206_0557</t>
  </si>
  <si>
    <t>HCl Calibration, more than 1%</t>
  </si>
  <si>
    <t>0004C-2</t>
  </si>
  <si>
    <t>0004C-3</t>
  </si>
  <si>
    <t>0004C-4</t>
  </si>
  <si>
    <t>0005C-1</t>
  </si>
  <si>
    <t>CRM_2060282</t>
  </si>
  <si>
    <t>HCl Calibration</t>
  </si>
  <si>
    <t>0005C-2</t>
  </si>
  <si>
    <t>HCl Calibration, good</t>
  </si>
  <si>
    <t>0005C-3</t>
  </si>
  <si>
    <t>0017S-3</t>
  </si>
  <si>
    <t>0017S-4</t>
  </si>
  <si>
    <t>0005S-2</t>
  </si>
  <si>
    <t>0013S-2</t>
  </si>
  <si>
    <t>0001S-6</t>
  </si>
  <si>
    <t>0001S-7</t>
  </si>
  <si>
    <t>New bottle of Na2CO3</t>
  </si>
  <si>
    <t>0002S-4</t>
  </si>
  <si>
    <t>0016C-1</t>
  </si>
  <si>
    <t>0016C-2</t>
  </si>
  <si>
    <t>0016C-3</t>
  </si>
  <si>
    <t>0016C-4</t>
  </si>
  <si>
    <t>Not good precition, little volume of CRM</t>
  </si>
  <si>
    <t>0020S-2</t>
  </si>
  <si>
    <t>Not good precition, bottle almost empty</t>
  </si>
  <si>
    <t>I did not acept this, because it shoud be 2642</t>
  </si>
  <si>
    <t>0023S-2</t>
  </si>
  <si>
    <t>0023S-3</t>
  </si>
  <si>
    <t>CRM_213_0098</t>
  </si>
  <si>
    <t>0003C-1</t>
  </si>
  <si>
    <t>0003C-2</t>
  </si>
  <si>
    <t>0003C-3</t>
  </si>
  <si>
    <t>0003C-4</t>
  </si>
  <si>
    <t>After calibration the value decrease 3uM</t>
  </si>
  <si>
    <t>0015S-2</t>
  </si>
  <si>
    <t>No se aceptó</t>
  </si>
  <si>
    <t>0027S-2</t>
  </si>
  <si>
    <t>CRM_213_0160</t>
  </si>
  <si>
    <t>No se aceptó, abrí botella nueva : 213_CRM_0160 y equilibré HCl</t>
  </si>
  <si>
    <t>0030C-1</t>
  </si>
  <si>
    <t>0030C-2</t>
  </si>
  <si>
    <t>0030C-3</t>
  </si>
  <si>
    <t>0030C-4</t>
  </si>
  <si>
    <t>0043S-1</t>
  </si>
  <si>
    <t>0044S-1</t>
  </si>
  <si>
    <t>CRM_273_0160</t>
  </si>
  <si>
    <t>0007S-2</t>
  </si>
  <si>
    <t>CRM_213_0221</t>
  </si>
  <si>
    <t>Peak Number</t>
  </si>
  <si>
    <t>Cup Number</t>
  </si>
  <si>
    <t>Cup Type</t>
  </si>
  <si>
    <t>Cup Group</t>
  </si>
  <si>
    <t>Date Time Stamp</t>
  </si>
  <si>
    <t>NOx_mg/L</t>
  </si>
  <si>
    <t>PO4_mg/L</t>
  </si>
  <si>
    <t>Results 2</t>
  </si>
  <si>
    <t>NOx_LOD</t>
  </si>
  <si>
    <t>PO4_LOD</t>
  </si>
  <si>
    <t>Primer</t>
  </si>
  <si>
    <t>PRIM</t>
  </si>
  <si>
    <t>Drift</t>
  </si>
  <si>
    <t>DRIF</t>
  </si>
  <si>
    <t>CALB</t>
  </si>
  <si>
    <t>Cal. (3)</t>
  </si>
  <si>
    <t>&lt;0.006</t>
  </si>
  <si>
    <t>&lt;0.003</t>
  </si>
  <si>
    <t>Baseline</t>
  </si>
  <si>
    <t>BASL</t>
  </si>
  <si>
    <t>High</t>
  </si>
  <si>
    <t>HIGH</t>
  </si>
  <si>
    <t>Low</t>
  </si>
  <si>
    <t>LOW</t>
  </si>
  <si>
    <t>SAMP</t>
  </si>
  <si>
    <t>Blank spiked</t>
  </si>
  <si>
    <t>SPIK</t>
  </si>
  <si>
    <t>CRM NO3</t>
  </si>
  <si>
    <t>QUAL</t>
  </si>
  <si>
    <t>CRM PO4</t>
  </si>
  <si>
    <t>97 spiked</t>
  </si>
  <si>
    <t>269 spiked</t>
  </si>
  <si>
    <t>347 spiked</t>
  </si>
  <si>
    <t>568 spiked</t>
  </si>
  <si>
    <t>86 spiked</t>
  </si>
  <si>
    <t>End</t>
  </si>
  <si>
    <t>END</t>
  </si>
  <si>
    <t>TKN_mg/L</t>
  </si>
  <si>
    <t>Results LOD</t>
  </si>
  <si>
    <t>&lt;0.09</t>
  </si>
  <si>
    <t>Blank spiked (No Acid Stock B)</t>
  </si>
  <si>
    <t>Blank spiked (Acid Stock B)</t>
  </si>
  <si>
    <t>CRM [1.5 mg/L]</t>
  </si>
  <si>
    <t>322 spiked</t>
  </si>
  <si>
    <t>283 spiked</t>
  </si>
  <si>
    <t>98 spiked</t>
  </si>
  <si>
    <t>556 spiked</t>
  </si>
  <si>
    <t>543 spiked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</si>
</sst>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m&quot;/&quot;d&quot;/&quot;yy"/>
    <numFmt numFmtId="165" formatCode="0.0000"/>
    <numFmt numFmtId="166" formatCode="00000"/>
    <numFmt numFmtId="167" formatCode="#,##0.0000"/>
    <numFmt numFmtId="168" formatCode="m/d/yy"/>
    <numFmt numFmtId="169" formatCode="h&quot;:&quot;mm&quot; &quot;AM/PM"/>
    <numFmt numFmtId="170" formatCode="#,##0.0"/>
    <numFmt numFmtId="171" formatCode="0.000"/>
    <numFmt numFmtId="172" formatCode="m/d/yyyy\ h:mm"/>
    <numFmt numFmtId="173" formatCode="0.0"/>
    <numFmt numFmtId="174" formatCode="m/d/yyyy\ h:mm:ss"/>
    <numFmt numFmtId="175" formatCode="m/d/yy\ h:mm"/>
    <numFmt numFmtId="176" formatCode="0.000000"/>
    <numFmt numFmtId="177" formatCode="m/d/yyyy\ h:mm:ss\ AM/PM"/>
  </numFmts>
  <fonts count="34">
    <font>
      <sz val="12"/>
      <color theme="1"/>
      <name val="Calibri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9"/>
      <color rgb="FF4285F4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3"/>
      <color theme="1"/>
      <name val="Calibri"/>
      <family val="2"/>
    </font>
    <font>
      <sz val="13"/>
      <color rgb="FF000000"/>
      <name val="Calibri"/>
      <family val="2"/>
    </font>
    <font>
      <sz val="9"/>
      <color rgb="FF000000"/>
      <name val="Times New Roman"/>
      <family val="1"/>
    </font>
    <font>
      <sz val="9"/>
      <color theme="1"/>
      <name val="Calibri"/>
      <family val="2"/>
    </font>
    <font>
      <i/>
      <sz val="12"/>
      <color theme="1"/>
      <name val="Calibri"/>
      <family val="2"/>
    </font>
    <font>
      <sz val="12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color rgb="FF1F1F1F"/>
      <name val="Calibri"/>
      <family val="2"/>
    </font>
    <font>
      <sz val="9"/>
      <color rgb="FFF7981D"/>
      <name val="Calibri"/>
      <family val="2"/>
    </font>
    <font>
      <sz val="10"/>
      <color rgb="FFFF0000"/>
      <name val="Calibri"/>
      <family val="2"/>
    </font>
    <font>
      <b/>
      <sz val="12"/>
      <color rgb="FF000000"/>
      <name val="Calibri"/>
      <family val="2"/>
    </font>
    <font>
      <sz val="9"/>
      <color rgb="FF1F1F1F"/>
      <name val="Arial"/>
      <family val="2"/>
    </font>
    <font>
      <sz val="12"/>
      <color rgb="FF000000"/>
      <name val="Times New Roman"/>
      <family val="1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000000"/>
      <name val="Arial"/>
      <family val="2"/>
    </font>
    <font>
      <sz val="11"/>
      <color rgb="FF000000"/>
      <name val="&quot;Aptos Narrow&quot;"/>
    </font>
    <font>
      <sz val="11"/>
      <color rgb="FF9C5700"/>
      <name val="&quot;Aptos Narrow&quot;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0000FF"/>
        <bgColor rgb="FF0000FF"/>
      </patternFill>
    </fill>
    <fill>
      <patternFill patternType="solid">
        <fgColor rgb="FFFF9900"/>
        <bgColor rgb="FFFF9900"/>
      </patternFill>
    </fill>
    <fill>
      <patternFill patternType="solid">
        <fgColor rgb="FFB7B7B7"/>
        <bgColor rgb="FFB7B7B7"/>
      </patternFill>
    </fill>
    <fill>
      <patternFill patternType="solid">
        <fgColor rgb="FFFFEB9C"/>
        <bgColor rgb="FFFFEB9C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8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9" fontId="1" fillId="0" borderId="2" xfId="0" applyNumberFormat="1" applyFont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/>
    </xf>
    <xf numFmtId="166" fontId="1" fillId="0" borderId="2" xfId="0" applyNumberFormat="1" applyFont="1" applyBorder="1" applyAlignment="1">
      <alignment horizontal="center" vertical="center" wrapText="1"/>
    </xf>
    <xf numFmtId="167" fontId="1" fillId="0" borderId="2" xfId="0" applyNumberFormat="1" applyFont="1" applyBorder="1" applyAlignment="1">
      <alignment horizontal="center" vertical="center" wrapText="1"/>
    </xf>
    <xf numFmtId="167" fontId="1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3" borderId="3" xfId="0" applyFont="1" applyFill="1" applyBorder="1" applyAlignment="1">
      <alignment horizontal="center" wrapText="1"/>
    </xf>
    <xf numFmtId="4" fontId="2" fillId="0" borderId="3" xfId="0" applyNumberFormat="1" applyFont="1" applyBorder="1" applyAlignment="1">
      <alignment horizontal="center" vertical="center" wrapText="1"/>
    </xf>
    <xf numFmtId="19" fontId="2" fillId="0" borderId="3" xfId="0" applyNumberFormat="1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165" fontId="2" fillId="0" borderId="3" xfId="0" applyNumberFormat="1" applyFont="1" applyBorder="1" applyAlignment="1">
      <alignment horizontal="center" vertical="center" wrapText="1"/>
    </xf>
    <xf numFmtId="166" fontId="2" fillId="0" borderId="3" xfId="0" applyNumberFormat="1" applyFont="1" applyBorder="1" applyAlignment="1">
      <alignment horizontal="center" vertical="center" wrapText="1"/>
    </xf>
    <xf numFmtId="167" fontId="2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/>
    <xf numFmtId="4" fontId="2" fillId="0" borderId="0" xfId="0" applyNumberFormat="1" applyFont="1" applyAlignment="1">
      <alignment wrapText="1"/>
    </xf>
    <xf numFmtId="4" fontId="2" fillId="0" borderId="0" xfId="0" applyNumberFormat="1" applyFont="1"/>
    <xf numFmtId="0" fontId="2" fillId="0" borderId="0" xfId="0" applyFont="1"/>
    <xf numFmtId="0" fontId="2" fillId="2" borderId="3" xfId="0" applyFont="1" applyFill="1" applyBorder="1" applyAlignment="1">
      <alignment horizontal="center" vertical="center" wrapText="1"/>
    </xf>
    <xf numFmtId="166" fontId="2" fillId="0" borderId="3" xfId="0" applyNumberFormat="1" applyFont="1" applyBorder="1" applyAlignment="1">
      <alignment wrapText="1"/>
    </xf>
    <xf numFmtId="0" fontId="3" fillId="0" borderId="0" xfId="0" applyFont="1"/>
    <xf numFmtId="166" fontId="2" fillId="0" borderId="0" xfId="0" applyNumberFormat="1" applyFont="1" applyAlignment="1">
      <alignment wrapText="1"/>
    </xf>
    <xf numFmtId="19" fontId="4" fillId="0" borderId="0" xfId="0" applyNumberFormat="1" applyFont="1"/>
    <xf numFmtId="0" fontId="4" fillId="0" borderId="3" xfId="0" applyFont="1" applyBorder="1"/>
    <xf numFmtId="4" fontId="2" fillId="4" borderId="3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9" fontId="4" fillId="0" borderId="3" xfId="0" applyNumberFormat="1" applyFont="1" applyBorder="1"/>
    <xf numFmtId="4" fontId="2" fillId="3" borderId="3" xfId="0" applyNumberFormat="1" applyFont="1" applyFill="1" applyBorder="1" applyAlignment="1">
      <alignment horizontal="center" wrapText="1"/>
    </xf>
    <xf numFmtId="0" fontId="2" fillId="3" borderId="3" xfId="0" applyFont="1" applyFill="1" applyBorder="1"/>
    <xf numFmtId="0" fontId="2" fillId="3" borderId="0" xfId="0" applyFont="1" applyFill="1"/>
    <xf numFmtId="4" fontId="2" fillId="3" borderId="3" xfId="0" applyNumberFormat="1" applyFont="1" applyFill="1" applyBorder="1" applyAlignment="1">
      <alignment horizontal="center" vertical="center" wrapText="1"/>
    </xf>
    <xf numFmtId="168" fontId="2" fillId="0" borderId="3" xfId="0" applyNumberFormat="1" applyFont="1" applyBorder="1" applyAlignment="1">
      <alignment horizontal="center" vertical="center" wrapText="1"/>
    </xf>
    <xf numFmtId="19" fontId="5" fillId="0" borderId="0" xfId="0" applyNumberFormat="1" applyFont="1"/>
    <xf numFmtId="0" fontId="5" fillId="0" borderId="0" xfId="0" applyFont="1" applyAlignment="1">
      <alignment horizontal="center"/>
    </xf>
    <xf numFmtId="4" fontId="5" fillId="0" borderId="0" xfId="0" applyNumberFormat="1" applyFont="1" applyAlignment="1">
      <alignment horizontal="center"/>
    </xf>
    <xf numFmtId="0" fontId="6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4" fontId="4" fillId="0" borderId="3" xfId="0" applyNumberFormat="1" applyFont="1" applyBorder="1" applyAlignment="1">
      <alignment horizontal="center"/>
    </xf>
    <xf numFmtId="0" fontId="2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6" fillId="5" borderId="3" xfId="0" applyFont="1" applyFill="1" applyBorder="1" applyAlignment="1">
      <alignment horizontal="center"/>
    </xf>
    <xf numFmtId="4" fontId="2" fillId="5" borderId="3" xfId="0" applyNumberFormat="1" applyFont="1" applyFill="1" applyBorder="1" applyAlignment="1">
      <alignment horizontal="center" vertical="center" wrapText="1"/>
    </xf>
    <xf numFmtId="168" fontId="2" fillId="5" borderId="3" xfId="0" applyNumberFormat="1" applyFont="1" applyFill="1" applyBorder="1" applyAlignment="1">
      <alignment horizontal="center" vertical="center" wrapText="1"/>
    </xf>
    <xf numFmtId="19" fontId="4" fillId="5" borderId="3" xfId="0" applyNumberFormat="1" applyFont="1" applyFill="1" applyBorder="1"/>
    <xf numFmtId="164" fontId="2" fillId="5" borderId="3" xfId="0" applyNumberFormat="1" applyFont="1" applyFill="1" applyBorder="1" applyAlignment="1">
      <alignment horizontal="center" vertical="center" wrapText="1"/>
    </xf>
    <xf numFmtId="19" fontId="2" fillId="5" borderId="3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/>
    </xf>
    <xf numFmtId="165" fontId="2" fillId="5" borderId="3" xfId="0" applyNumberFormat="1" applyFont="1" applyFill="1" applyBorder="1" applyAlignment="1">
      <alignment horizontal="center" vertical="center" wrapText="1"/>
    </xf>
    <xf numFmtId="4" fontId="4" fillId="5" borderId="3" xfId="0" applyNumberFormat="1" applyFont="1" applyFill="1" applyBorder="1" applyAlignment="1">
      <alignment horizontal="center"/>
    </xf>
    <xf numFmtId="166" fontId="2" fillId="5" borderId="3" xfId="0" applyNumberFormat="1" applyFont="1" applyFill="1" applyBorder="1" applyAlignment="1">
      <alignment horizontal="center" vertical="center" wrapText="1"/>
    </xf>
    <xf numFmtId="167" fontId="2" fillId="5" borderId="3" xfId="0" applyNumberFormat="1" applyFont="1" applyFill="1" applyBorder="1" applyAlignment="1">
      <alignment horizontal="center" vertical="center" wrapText="1"/>
    </xf>
    <xf numFmtId="0" fontId="2" fillId="5" borderId="3" xfId="0" applyFont="1" applyFill="1" applyBorder="1"/>
    <xf numFmtId="4" fontId="2" fillId="5" borderId="0" xfId="0" applyNumberFormat="1" applyFont="1" applyFill="1" applyAlignment="1">
      <alignment wrapText="1"/>
    </xf>
    <xf numFmtId="0" fontId="2" fillId="5" borderId="0" xfId="0" applyFont="1" applyFill="1"/>
    <xf numFmtId="0" fontId="6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 vertical="center" wrapText="1"/>
    </xf>
    <xf numFmtId="4" fontId="6" fillId="0" borderId="3" xfId="0" applyNumberFormat="1" applyFont="1" applyBorder="1" applyAlignment="1">
      <alignment horizontal="center" vertical="center" wrapText="1"/>
    </xf>
    <xf numFmtId="19" fontId="6" fillId="0" borderId="3" xfId="0" applyNumberFormat="1" applyFont="1" applyBorder="1" applyAlignment="1">
      <alignment horizontal="center" vertical="center" wrapText="1"/>
    </xf>
    <xf numFmtId="164" fontId="6" fillId="0" borderId="3" xfId="0" applyNumberFormat="1" applyFont="1" applyBorder="1" applyAlignment="1">
      <alignment horizontal="center" vertical="center" wrapText="1"/>
    </xf>
    <xf numFmtId="165" fontId="6" fillId="0" borderId="3" xfId="0" applyNumberFormat="1" applyFont="1" applyBorder="1" applyAlignment="1">
      <alignment horizontal="center" vertical="center" wrapText="1"/>
    </xf>
    <xf numFmtId="166" fontId="6" fillId="0" borderId="3" xfId="0" applyNumberFormat="1" applyFont="1" applyBorder="1" applyAlignment="1">
      <alignment horizontal="center" vertical="center" wrapText="1"/>
    </xf>
    <xf numFmtId="167" fontId="6" fillId="0" borderId="3" xfId="0" applyNumberFormat="1" applyFont="1" applyBorder="1" applyAlignment="1">
      <alignment horizontal="center" vertical="center" wrapText="1"/>
    </xf>
    <xf numFmtId="19" fontId="6" fillId="3" borderId="3" xfId="0" applyNumberFormat="1" applyFont="1" applyFill="1" applyBorder="1" applyAlignment="1">
      <alignment horizontal="center" vertical="center" wrapText="1"/>
    </xf>
    <xf numFmtId="4" fontId="6" fillId="3" borderId="3" xfId="0" applyNumberFormat="1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19" fontId="2" fillId="3" borderId="3" xfId="0" applyNumberFormat="1" applyFont="1" applyFill="1" applyBorder="1" applyAlignment="1">
      <alignment horizontal="center" vertical="center" wrapText="1"/>
    </xf>
    <xf numFmtId="165" fontId="2" fillId="3" borderId="3" xfId="0" applyNumberFormat="1" applyFont="1" applyFill="1" applyBorder="1" applyAlignment="1">
      <alignment horizontal="center" wrapText="1"/>
    </xf>
    <xf numFmtId="165" fontId="6" fillId="2" borderId="0" xfId="0" applyNumberFormat="1" applyFont="1" applyFill="1" applyAlignment="1">
      <alignment horizontal="center"/>
    </xf>
    <xf numFmtId="166" fontId="6" fillId="2" borderId="0" xfId="0" applyNumberFormat="1" applyFont="1" applyFill="1" applyAlignment="1">
      <alignment horizontal="center"/>
    </xf>
    <xf numFmtId="19" fontId="7" fillId="0" borderId="3" xfId="0" applyNumberFormat="1" applyFont="1" applyBorder="1" applyAlignment="1">
      <alignment horizontal="center" vertical="center" wrapText="1"/>
    </xf>
    <xf numFmtId="166" fontId="6" fillId="2" borderId="3" xfId="0" applyNumberFormat="1" applyFont="1" applyFill="1" applyBorder="1" applyAlignment="1">
      <alignment horizontal="center"/>
    </xf>
    <xf numFmtId="19" fontId="8" fillId="0" borderId="3" xfId="0" applyNumberFormat="1" applyFont="1" applyBorder="1" applyAlignment="1">
      <alignment horizontal="center" vertical="center"/>
    </xf>
    <xf numFmtId="19" fontId="7" fillId="2" borderId="3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/>
    <xf numFmtId="19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166" fontId="2" fillId="0" borderId="0" xfId="0" applyNumberFormat="1" applyFont="1" applyAlignment="1">
      <alignment horizontal="center" vertical="center" wrapText="1"/>
    </xf>
    <xf numFmtId="167" fontId="2" fillId="0" borderId="0" xfId="0" applyNumberFormat="1" applyFont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14" fontId="9" fillId="0" borderId="0" xfId="0" applyNumberFormat="1" applyFont="1" applyAlignment="1">
      <alignment horizontal="center"/>
    </xf>
    <xf numFmtId="164" fontId="10" fillId="2" borderId="4" xfId="0" applyNumberFormat="1" applyFont="1" applyFill="1" applyBorder="1" applyAlignment="1">
      <alignment horizontal="center" vertical="center" wrapText="1"/>
    </xf>
    <xf numFmtId="164" fontId="9" fillId="2" borderId="4" xfId="0" applyNumberFormat="1" applyFont="1" applyFill="1" applyBorder="1" applyAlignment="1">
      <alignment horizontal="center"/>
    </xf>
    <xf numFmtId="164" fontId="9" fillId="0" borderId="0" xfId="0" applyNumberFormat="1" applyFont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 wrapText="1"/>
    </xf>
    <xf numFmtId="169" fontId="1" fillId="0" borderId="3" xfId="0" applyNumberFormat="1" applyFont="1" applyBorder="1" applyAlignment="1">
      <alignment horizontal="center" vertical="center" wrapText="1"/>
    </xf>
    <xf numFmtId="166" fontId="1" fillId="0" borderId="3" xfId="0" applyNumberFormat="1" applyFont="1" applyBorder="1" applyAlignment="1">
      <alignment horizontal="center" vertical="center" wrapText="1"/>
    </xf>
    <xf numFmtId="18" fontId="2" fillId="0" borderId="3" xfId="0" applyNumberFormat="1" applyFont="1" applyBorder="1" applyAlignment="1">
      <alignment horizontal="center" vertical="center" wrapText="1"/>
    </xf>
    <xf numFmtId="166" fontId="2" fillId="0" borderId="3" xfId="0" applyNumberFormat="1" applyFont="1" applyBorder="1" applyAlignment="1">
      <alignment vertical="center" wrapText="1"/>
    </xf>
    <xf numFmtId="0" fontId="2" fillId="0" borderId="3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169" fontId="2" fillId="0" borderId="3" xfId="0" applyNumberFormat="1" applyFont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168" fontId="2" fillId="6" borderId="3" xfId="0" applyNumberFormat="1" applyFont="1" applyFill="1" applyBorder="1" applyAlignment="1">
      <alignment horizontal="center" vertical="center" wrapText="1"/>
    </xf>
    <xf numFmtId="19" fontId="4" fillId="6" borderId="3" xfId="0" applyNumberFormat="1" applyFont="1" applyFill="1" applyBorder="1"/>
    <xf numFmtId="169" fontId="6" fillId="6" borderId="3" xfId="0" applyNumberFormat="1" applyFont="1" applyFill="1" applyBorder="1" applyAlignment="1">
      <alignment horizontal="center" vertical="center" wrapText="1"/>
    </xf>
    <xf numFmtId="166" fontId="6" fillId="6" borderId="3" xfId="0" applyNumberFormat="1" applyFont="1" applyFill="1" applyBorder="1" applyAlignment="1">
      <alignment horizontal="center"/>
    </xf>
    <xf numFmtId="166" fontId="2" fillId="6" borderId="3" xfId="0" applyNumberFormat="1" applyFont="1" applyFill="1" applyBorder="1" applyAlignment="1">
      <alignment horizontal="center" vertical="center" wrapText="1"/>
    </xf>
    <xf numFmtId="166" fontId="2" fillId="6" borderId="3" xfId="0" applyNumberFormat="1" applyFont="1" applyFill="1" applyBorder="1" applyAlignment="1">
      <alignment vertical="center" wrapText="1"/>
    </xf>
    <xf numFmtId="0" fontId="4" fillId="6" borderId="0" xfId="0" applyFont="1" applyFill="1"/>
    <xf numFmtId="0" fontId="6" fillId="7" borderId="3" xfId="0" applyFont="1" applyFill="1" applyBorder="1" applyAlignment="1">
      <alignment horizontal="center" vertical="center" wrapText="1"/>
    </xf>
    <xf numFmtId="168" fontId="2" fillId="7" borderId="3" xfId="0" applyNumberFormat="1" applyFont="1" applyFill="1" applyBorder="1" applyAlignment="1">
      <alignment horizontal="center" vertical="center" wrapText="1"/>
    </xf>
    <xf numFmtId="19" fontId="4" fillId="7" borderId="3" xfId="0" applyNumberFormat="1" applyFont="1" applyFill="1" applyBorder="1"/>
    <xf numFmtId="169" fontId="6" fillId="7" borderId="3" xfId="0" applyNumberFormat="1" applyFont="1" applyFill="1" applyBorder="1" applyAlignment="1">
      <alignment horizontal="center" vertical="center" wrapText="1"/>
    </xf>
    <xf numFmtId="166" fontId="6" fillId="7" borderId="3" xfId="0" applyNumberFormat="1" applyFont="1" applyFill="1" applyBorder="1" applyAlignment="1">
      <alignment horizontal="center"/>
    </xf>
    <xf numFmtId="166" fontId="2" fillId="7" borderId="3" xfId="0" applyNumberFormat="1" applyFont="1" applyFill="1" applyBorder="1" applyAlignment="1">
      <alignment horizontal="center" vertical="center" wrapText="1"/>
    </xf>
    <xf numFmtId="166" fontId="2" fillId="7" borderId="3" xfId="0" applyNumberFormat="1" applyFont="1" applyFill="1" applyBorder="1" applyAlignment="1">
      <alignment vertical="center" wrapText="1"/>
    </xf>
    <xf numFmtId="0" fontId="4" fillId="7" borderId="0" xfId="0" applyFont="1" applyFill="1"/>
    <xf numFmtId="0" fontId="2" fillId="7" borderId="3" xfId="0" applyFont="1" applyFill="1" applyBorder="1" applyAlignment="1">
      <alignment horizontal="center" vertical="center" wrapText="1"/>
    </xf>
    <xf numFmtId="169" fontId="6" fillId="7" borderId="3" xfId="0" applyNumberFormat="1" applyFont="1" applyFill="1" applyBorder="1" applyAlignment="1">
      <alignment horizontal="center" wrapText="1"/>
    </xf>
    <xf numFmtId="169" fontId="2" fillId="0" borderId="3" xfId="0" applyNumberFormat="1" applyFont="1" applyBorder="1" applyAlignment="1">
      <alignment horizontal="center" wrapText="1"/>
    </xf>
    <xf numFmtId="164" fontId="2" fillId="0" borderId="3" xfId="0" applyNumberFormat="1" applyFont="1" applyBorder="1" applyAlignment="1">
      <alignment horizontal="center" wrapText="1"/>
    </xf>
    <xf numFmtId="18" fontId="2" fillId="0" borderId="3" xfId="0" applyNumberFormat="1" applyFont="1" applyBorder="1" applyAlignment="1">
      <alignment horizontal="center" wrapText="1"/>
    </xf>
    <xf numFmtId="18" fontId="2" fillId="0" borderId="3" xfId="0" applyNumberFormat="1" applyFont="1" applyBorder="1" applyAlignment="1">
      <alignment horizontal="center" vertical="center"/>
    </xf>
    <xf numFmtId="164" fontId="7" fillId="0" borderId="3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wrapText="1"/>
    </xf>
    <xf numFmtId="169" fontId="2" fillId="0" borderId="0" xfId="0" applyNumberFormat="1" applyFont="1" applyAlignment="1">
      <alignment wrapText="1"/>
    </xf>
    <xf numFmtId="164" fontId="2" fillId="0" borderId="0" xfId="0" applyNumberFormat="1" applyFont="1" applyAlignment="1">
      <alignment horizontal="center" wrapText="1"/>
    </xf>
    <xf numFmtId="169" fontId="2" fillId="0" borderId="0" xfId="0" applyNumberFormat="1" applyFont="1" applyAlignment="1">
      <alignment horizontal="center" wrapText="1"/>
    </xf>
    <xf numFmtId="166" fontId="2" fillId="0" borderId="0" xfId="0" applyNumberFormat="1" applyFont="1" applyAlignment="1">
      <alignment horizontal="center" wrapText="1"/>
    </xf>
    <xf numFmtId="166" fontId="2" fillId="0" borderId="0" xfId="0" applyNumberFormat="1" applyFont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0" fontId="11" fillId="8" borderId="3" xfId="0" applyFont="1" applyFill="1" applyBorder="1" applyAlignment="1">
      <alignment horizontal="center" vertical="center" wrapText="1"/>
    </xf>
    <xf numFmtId="164" fontId="2" fillId="8" borderId="3" xfId="0" applyNumberFormat="1" applyFont="1" applyFill="1" applyBorder="1" applyAlignment="1">
      <alignment horizontal="center" vertical="center" wrapText="1"/>
    </xf>
    <xf numFmtId="19" fontId="2" fillId="8" borderId="3" xfId="0" applyNumberFormat="1" applyFont="1" applyFill="1" applyBorder="1" applyAlignment="1">
      <alignment horizontal="center" vertical="center" wrapText="1"/>
    </xf>
    <xf numFmtId="4" fontId="2" fillId="8" borderId="3" xfId="0" applyNumberFormat="1" applyFont="1" applyFill="1" applyBorder="1" applyAlignment="1">
      <alignment horizontal="center" vertical="center" wrapText="1"/>
    </xf>
    <xf numFmtId="170" fontId="2" fillId="8" borderId="3" xfId="0" applyNumberFormat="1" applyFont="1" applyFill="1" applyBorder="1" applyAlignment="1">
      <alignment horizontal="center" vertical="center" wrapText="1"/>
    </xf>
    <xf numFmtId="3" fontId="2" fillId="8" borderId="3" xfId="0" applyNumberFormat="1" applyFont="1" applyFill="1" applyBorder="1" applyAlignment="1">
      <alignment horizontal="center" vertical="center" wrapText="1"/>
    </xf>
    <xf numFmtId="1" fontId="2" fillId="8" borderId="3" xfId="0" applyNumberFormat="1" applyFont="1" applyFill="1" applyBorder="1" applyAlignment="1">
      <alignment horizontal="center" vertical="center" wrapText="1"/>
    </xf>
    <xf numFmtId="166" fontId="2" fillId="8" borderId="3" xfId="0" applyNumberFormat="1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19" fontId="2" fillId="2" borderId="3" xfId="0" applyNumberFormat="1" applyFont="1" applyFill="1" applyBorder="1" applyAlignment="1">
      <alignment horizontal="center" vertical="center" wrapText="1"/>
    </xf>
    <xf numFmtId="170" fontId="2" fillId="0" borderId="3" xfId="0" applyNumberFormat="1" applyFont="1" applyBorder="1" applyAlignment="1">
      <alignment horizontal="center" vertical="center" wrapText="1"/>
    </xf>
    <xf numFmtId="3" fontId="2" fillId="0" borderId="3" xfId="0" applyNumberFormat="1" applyFont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 wrapText="1"/>
    </xf>
    <xf numFmtId="19" fontId="2" fillId="0" borderId="0" xfId="0" applyNumberFormat="1" applyFont="1" applyAlignment="1">
      <alignment horizontal="center"/>
    </xf>
    <xf numFmtId="166" fontId="6" fillId="2" borderId="3" xfId="0" applyNumberFormat="1" applyFont="1" applyFill="1" applyBorder="1" applyAlignment="1">
      <alignment horizontal="center" wrapText="1"/>
    </xf>
    <xf numFmtId="14" fontId="2" fillId="0" borderId="3" xfId="0" applyNumberFormat="1" applyFont="1" applyBorder="1" applyAlignment="1">
      <alignment horizontal="center" vertical="center" wrapText="1"/>
    </xf>
    <xf numFmtId="14" fontId="2" fillId="5" borderId="3" xfId="0" applyNumberFormat="1" applyFont="1" applyFill="1" applyBorder="1" applyAlignment="1">
      <alignment horizontal="center" vertical="center" wrapText="1"/>
    </xf>
    <xf numFmtId="170" fontId="2" fillId="5" borderId="3" xfId="0" applyNumberFormat="1" applyFont="1" applyFill="1" applyBorder="1" applyAlignment="1">
      <alignment horizontal="center" vertical="center" wrapText="1"/>
    </xf>
    <xf numFmtId="3" fontId="2" fillId="5" borderId="3" xfId="0" applyNumberFormat="1" applyFont="1" applyFill="1" applyBorder="1" applyAlignment="1">
      <alignment horizontal="center" vertical="center" wrapText="1"/>
    </xf>
    <xf numFmtId="1" fontId="2" fillId="5" borderId="3" xfId="0" applyNumberFormat="1" applyFont="1" applyFill="1" applyBorder="1" applyAlignment="1">
      <alignment horizontal="center" vertical="center" wrapText="1"/>
    </xf>
    <xf numFmtId="166" fontId="6" fillId="5" borderId="3" xfId="0" applyNumberFormat="1" applyFont="1" applyFill="1" applyBorder="1" applyAlignment="1">
      <alignment horizontal="center" wrapText="1"/>
    </xf>
    <xf numFmtId="0" fontId="4" fillId="5" borderId="0" xfId="0" applyFont="1" applyFill="1"/>
    <xf numFmtId="166" fontId="2" fillId="5" borderId="2" xfId="0" applyNumberFormat="1" applyFont="1" applyFill="1" applyBorder="1" applyAlignment="1">
      <alignment horizontal="center" vertical="center" wrapText="1"/>
    </xf>
    <xf numFmtId="166" fontId="2" fillId="5" borderId="7" xfId="0" applyNumberFormat="1" applyFont="1" applyFill="1" applyBorder="1" applyAlignment="1">
      <alignment horizontal="center" vertical="center" wrapText="1"/>
    </xf>
    <xf numFmtId="166" fontId="2" fillId="0" borderId="7" xfId="0" applyNumberFormat="1" applyFont="1" applyBorder="1" applyAlignment="1">
      <alignment horizontal="center" vertical="center" wrapText="1"/>
    </xf>
    <xf numFmtId="19" fontId="2" fillId="0" borderId="3" xfId="0" applyNumberFormat="1" applyFont="1" applyBorder="1" applyAlignment="1">
      <alignment horizontal="center"/>
    </xf>
    <xf numFmtId="19" fontId="2" fillId="0" borderId="8" xfId="0" applyNumberFormat="1" applyFont="1" applyBorder="1" applyAlignment="1">
      <alignment horizontal="center" wrapText="1"/>
    </xf>
    <xf numFmtId="19" fontId="2" fillId="0" borderId="9" xfId="0" applyNumberFormat="1" applyFont="1" applyBorder="1" applyAlignment="1">
      <alignment horizontal="center" wrapText="1"/>
    </xf>
    <xf numFmtId="4" fontId="2" fillId="0" borderId="9" xfId="0" applyNumberFormat="1" applyFont="1" applyBorder="1" applyAlignment="1">
      <alignment horizontal="center" wrapText="1"/>
    </xf>
    <xf numFmtId="166" fontId="2" fillId="0" borderId="6" xfId="0" applyNumberFormat="1" applyFont="1" applyBorder="1" applyAlignment="1">
      <alignment horizontal="center" vertical="center" wrapText="1"/>
    </xf>
    <xf numFmtId="19" fontId="2" fillId="5" borderId="9" xfId="0" applyNumberFormat="1" applyFont="1" applyFill="1" applyBorder="1" applyAlignment="1">
      <alignment horizontal="center" wrapText="1"/>
    </xf>
    <xf numFmtId="4" fontId="2" fillId="5" borderId="9" xfId="0" applyNumberFormat="1" applyFont="1" applyFill="1" applyBorder="1" applyAlignment="1">
      <alignment horizontal="center" wrapText="1"/>
    </xf>
    <xf numFmtId="19" fontId="2" fillId="5" borderId="3" xfId="0" applyNumberFormat="1" applyFont="1" applyFill="1" applyBorder="1" applyAlignment="1">
      <alignment horizontal="center" wrapText="1"/>
    </xf>
    <xf numFmtId="19" fontId="2" fillId="5" borderId="3" xfId="0" applyNumberFormat="1" applyFont="1" applyFill="1" applyBorder="1" applyAlignment="1">
      <alignment horizontal="center"/>
    </xf>
    <xf numFmtId="166" fontId="6" fillId="5" borderId="3" xfId="0" applyNumberFormat="1" applyFont="1" applyFill="1" applyBorder="1" applyAlignment="1">
      <alignment horizontal="center"/>
    </xf>
    <xf numFmtId="19" fontId="2" fillId="0" borderId="3" xfId="0" applyNumberFormat="1" applyFont="1" applyBorder="1" applyAlignment="1">
      <alignment horizontal="center" wrapText="1"/>
    </xf>
    <xf numFmtId="0" fontId="6" fillId="9" borderId="3" xfId="0" applyFont="1" applyFill="1" applyBorder="1" applyAlignment="1">
      <alignment horizontal="center"/>
    </xf>
    <xf numFmtId="164" fontId="6" fillId="9" borderId="3" xfId="0" applyNumberFormat="1" applyFont="1" applyFill="1" applyBorder="1" applyAlignment="1">
      <alignment horizontal="center"/>
    </xf>
    <xf numFmtId="19" fontId="2" fillId="9" borderId="3" xfId="0" applyNumberFormat="1" applyFont="1" applyFill="1" applyBorder="1" applyAlignment="1">
      <alignment horizontal="center" wrapText="1"/>
    </xf>
    <xf numFmtId="19" fontId="2" fillId="9" borderId="3" xfId="0" applyNumberFormat="1" applyFont="1" applyFill="1" applyBorder="1" applyAlignment="1">
      <alignment horizontal="center" vertical="center" wrapText="1"/>
    </xf>
    <xf numFmtId="4" fontId="2" fillId="9" borderId="3" xfId="0" applyNumberFormat="1" applyFont="1" applyFill="1" applyBorder="1" applyAlignment="1">
      <alignment horizontal="center" vertical="center" wrapText="1"/>
    </xf>
    <xf numFmtId="170" fontId="2" fillId="9" borderId="3" xfId="0" applyNumberFormat="1" applyFont="1" applyFill="1" applyBorder="1" applyAlignment="1">
      <alignment horizontal="center" vertical="center" wrapText="1"/>
    </xf>
    <xf numFmtId="3" fontId="2" fillId="9" borderId="3" xfId="0" applyNumberFormat="1" applyFont="1" applyFill="1" applyBorder="1" applyAlignment="1">
      <alignment horizontal="center" vertical="center" wrapText="1"/>
    </xf>
    <xf numFmtId="1" fontId="2" fillId="9" borderId="3" xfId="0" applyNumberFormat="1" applyFont="1" applyFill="1" applyBorder="1" applyAlignment="1">
      <alignment horizontal="center" vertical="center" wrapText="1"/>
    </xf>
    <xf numFmtId="166" fontId="2" fillId="9" borderId="3" xfId="0" applyNumberFormat="1" applyFont="1" applyFill="1" applyBorder="1" applyAlignment="1">
      <alignment horizontal="center" vertical="center" wrapText="1"/>
    </xf>
    <xf numFmtId="166" fontId="6" fillId="9" borderId="3" xfId="0" applyNumberFormat="1" applyFont="1" applyFill="1" applyBorder="1" applyAlignment="1">
      <alignment horizontal="center"/>
    </xf>
    <xf numFmtId="166" fontId="2" fillId="0" borderId="0" xfId="0" applyNumberFormat="1" applyFont="1" applyAlignment="1">
      <alignment horizontal="left" vertical="center" wrapText="1"/>
    </xf>
    <xf numFmtId="164" fontId="6" fillId="2" borderId="3" xfId="0" applyNumberFormat="1" applyFont="1" applyFill="1" applyBorder="1" applyAlignment="1">
      <alignment horizontal="center"/>
    </xf>
    <xf numFmtId="19" fontId="6" fillId="2" borderId="3" xfId="0" applyNumberFormat="1" applyFont="1" applyFill="1" applyBorder="1" applyAlignment="1">
      <alignment horizontal="center"/>
    </xf>
    <xf numFmtId="166" fontId="2" fillId="0" borderId="7" xfId="0" applyNumberFormat="1" applyFont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/>
    </xf>
    <xf numFmtId="166" fontId="2" fillId="0" borderId="6" xfId="0" applyNumberFormat="1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 wrapText="1"/>
    </xf>
    <xf numFmtId="166" fontId="8" fillId="2" borderId="3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164" fontId="13" fillId="0" borderId="3" xfId="0" applyNumberFormat="1" applyFont="1" applyBorder="1" applyAlignment="1">
      <alignment horizontal="center" vertical="center" wrapText="1"/>
    </xf>
    <xf numFmtId="19" fontId="13" fillId="0" borderId="3" xfId="0" applyNumberFormat="1" applyFont="1" applyBorder="1" applyAlignment="1">
      <alignment horizontal="center" vertical="center" wrapText="1"/>
    </xf>
    <xf numFmtId="169" fontId="13" fillId="0" borderId="3" xfId="0" applyNumberFormat="1" applyFont="1" applyBorder="1" applyAlignment="1">
      <alignment horizontal="center" vertical="center" wrapText="1"/>
    </xf>
    <xf numFmtId="4" fontId="13" fillId="0" borderId="3" xfId="0" applyNumberFormat="1" applyFont="1" applyBorder="1" applyAlignment="1">
      <alignment horizontal="center" vertical="center" wrapText="1"/>
    </xf>
    <xf numFmtId="4" fontId="13" fillId="0" borderId="13" xfId="0" applyNumberFormat="1" applyFont="1" applyBorder="1" applyAlignment="1">
      <alignment horizontal="center" vertical="center" wrapText="1"/>
    </xf>
    <xf numFmtId="4" fontId="14" fillId="0" borderId="0" xfId="0" applyNumberFormat="1" applyFont="1" applyAlignment="1">
      <alignment horizontal="center" vertical="center" wrapText="1"/>
    </xf>
    <xf numFmtId="4" fontId="14" fillId="0" borderId="8" xfId="0" applyNumberFormat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166" fontId="15" fillId="0" borderId="0" xfId="0" applyNumberFormat="1" applyFont="1" applyAlignment="1">
      <alignment vertical="center" wrapText="1"/>
    </xf>
    <xf numFmtId="0" fontId="15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 wrapText="1"/>
    </xf>
    <xf numFmtId="19" fontId="15" fillId="0" borderId="3" xfId="0" applyNumberFormat="1" applyFont="1" applyBorder="1" applyAlignment="1">
      <alignment horizontal="center" vertical="center" wrapText="1"/>
    </xf>
    <xf numFmtId="164" fontId="15" fillId="0" borderId="3" xfId="0" applyNumberFormat="1" applyFont="1" applyBorder="1" applyAlignment="1">
      <alignment horizontal="center" vertical="center" wrapText="1"/>
    </xf>
    <xf numFmtId="18" fontId="15" fillId="0" borderId="3" xfId="0" applyNumberFormat="1" applyFont="1" applyBorder="1" applyAlignment="1">
      <alignment horizontal="center" vertical="center" wrapText="1"/>
    </xf>
    <xf numFmtId="4" fontId="15" fillId="0" borderId="3" xfId="0" applyNumberFormat="1" applyFont="1" applyBorder="1" applyAlignment="1">
      <alignment horizontal="center" vertical="center" wrapText="1"/>
    </xf>
    <xf numFmtId="168" fontId="15" fillId="0" borderId="3" xfId="0" applyNumberFormat="1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19" fontId="16" fillId="0" borderId="8" xfId="0" applyNumberFormat="1" applyFont="1" applyBorder="1" applyAlignment="1">
      <alignment horizontal="center" vertical="center" wrapText="1"/>
    </xf>
    <xf numFmtId="166" fontId="15" fillId="0" borderId="3" xfId="0" applyNumberFormat="1" applyFont="1" applyBorder="1" applyAlignment="1">
      <alignment horizontal="center" vertical="center" wrapText="1"/>
    </xf>
    <xf numFmtId="166" fontId="15" fillId="0" borderId="0" xfId="0" applyNumberFormat="1" applyFont="1" applyAlignment="1">
      <alignment horizontal="center" vertical="center" wrapText="1"/>
    </xf>
    <xf numFmtId="4" fontId="16" fillId="0" borderId="3" xfId="0" applyNumberFormat="1" applyFont="1" applyBorder="1" applyAlignment="1">
      <alignment horizontal="center" vertical="center"/>
    </xf>
    <xf numFmtId="4" fontId="16" fillId="0" borderId="8" xfId="0" applyNumberFormat="1" applyFont="1" applyBorder="1" applyAlignment="1">
      <alignment horizontal="center" vertical="center"/>
    </xf>
    <xf numFmtId="4" fontId="15" fillId="0" borderId="13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19" fontId="15" fillId="0" borderId="3" xfId="0" applyNumberFormat="1" applyFont="1" applyBorder="1" applyAlignment="1">
      <alignment horizontal="center" vertical="center"/>
    </xf>
    <xf numFmtId="0" fontId="5" fillId="2" borderId="0" xfId="0" applyFont="1" applyFill="1"/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169" fontId="15" fillId="0" borderId="3" xfId="0" applyNumberFormat="1" applyFont="1" applyBorder="1" applyAlignment="1">
      <alignment horizontal="center" vertical="center" wrapText="1"/>
    </xf>
    <xf numFmtId="0" fontId="18" fillId="0" borderId="0" xfId="0" applyFont="1"/>
    <xf numFmtId="4" fontId="16" fillId="0" borderId="3" xfId="0" applyNumberFormat="1" applyFont="1" applyBorder="1" applyAlignment="1">
      <alignment horizontal="center" vertical="center" wrapText="1"/>
    </xf>
    <xf numFmtId="166" fontId="15" fillId="0" borderId="13" xfId="0" applyNumberFormat="1" applyFont="1" applyBorder="1" applyAlignment="1">
      <alignment horizontal="center" vertical="center" wrapText="1"/>
    </xf>
    <xf numFmtId="4" fontId="15" fillId="0" borderId="8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5" fillId="5" borderId="3" xfId="0" applyFont="1" applyFill="1" applyBorder="1" applyAlignment="1">
      <alignment horizontal="center" vertical="center"/>
    </xf>
    <xf numFmtId="164" fontId="15" fillId="5" borderId="3" xfId="0" applyNumberFormat="1" applyFont="1" applyFill="1" applyBorder="1" applyAlignment="1">
      <alignment horizontal="center" vertical="center" wrapText="1"/>
    </xf>
    <xf numFmtId="19" fontId="15" fillId="5" borderId="3" xfId="0" applyNumberFormat="1" applyFont="1" applyFill="1" applyBorder="1" applyAlignment="1">
      <alignment horizontal="center" vertical="center"/>
    </xf>
    <xf numFmtId="169" fontId="15" fillId="5" borderId="3" xfId="0" applyNumberFormat="1" applyFont="1" applyFill="1" applyBorder="1" applyAlignment="1">
      <alignment horizontal="center" vertical="center" wrapText="1"/>
    </xf>
    <xf numFmtId="4" fontId="15" fillId="5" borderId="3" xfId="0" applyNumberFormat="1" applyFont="1" applyFill="1" applyBorder="1" applyAlignment="1">
      <alignment horizontal="center" vertical="center" wrapText="1"/>
    </xf>
    <xf numFmtId="168" fontId="15" fillId="5" borderId="3" xfId="0" applyNumberFormat="1" applyFont="1" applyFill="1" applyBorder="1" applyAlignment="1">
      <alignment horizontal="center" vertical="center" wrapText="1"/>
    </xf>
    <xf numFmtId="19" fontId="15" fillId="5" borderId="3" xfId="0" applyNumberFormat="1" applyFont="1" applyFill="1" applyBorder="1" applyAlignment="1">
      <alignment horizontal="center" vertical="center" wrapText="1"/>
    </xf>
    <xf numFmtId="4" fontId="15" fillId="5" borderId="13" xfId="0" applyNumberFormat="1" applyFont="1" applyFill="1" applyBorder="1" applyAlignment="1">
      <alignment horizontal="center" vertical="center" wrapText="1"/>
    </xf>
    <xf numFmtId="4" fontId="16" fillId="5" borderId="3" xfId="0" applyNumberFormat="1" applyFont="1" applyFill="1" applyBorder="1" applyAlignment="1">
      <alignment horizontal="center" vertical="center" wrapText="1"/>
    </xf>
    <xf numFmtId="4" fontId="16" fillId="5" borderId="8" xfId="0" applyNumberFormat="1" applyFont="1" applyFill="1" applyBorder="1" applyAlignment="1">
      <alignment horizontal="center" vertical="center"/>
    </xf>
    <xf numFmtId="166" fontId="15" fillId="5" borderId="3" xfId="0" applyNumberFormat="1" applyFont="1" applyFill="1" applyBorder="1" applyAlignment="1">
      <alignment horizontal="center" vertical="center" wrapText="1"/>
    </xf>
    <xf numFmtId="166" fontId="15" fillId="5" borderId="13" xfId="0" applyNumberFormat="1" applyFont="1" applyFill="1" applyBorder="1" applyAlignment="1">
      <alignment horizontal="center" vertical="center" wrapText="1"/>
    </xf>
    <xf numFmtId="169" fontId="16" fillId="0" borderId="3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18" fontId="16" fillId="0" borderId="3" xfId="0" applyNumberFormat="1" applyFont="1" applyBorder="1" applyAlignment="1">
      <alignment horizontal="center" vertical="center" wrapText="1"/>
    </xf>
    <xf numFmtId="0" fontId="17" fillId="2" borderId="0" xfId="0" applyFont="1" applyFill="1" applyAlignment="1">
      <alignment vertical="center"/>
    </xf>
    <xf numFmtId="0" fontId="15" fillId="2" borderId="0" xfId="0" applyFont="1" applyFill="1" applyAlignment="1">
      <alignment vertical="center"/>
    </xf>
    <xf numFmtId="0" fontId="4" fillId="2" borderId="0" xfId="0" applyFont="1" applyFill="1"/>
    <xf numFmtId="18" fontId="15" fillId="0" borderId="3" xfId="0" applyNumberFormat="1" applyFont="1" applyBorder="1" applyAlignment="1">
      <alignment horizontal="center" vertical="center"/>
    </xf>
    <xf numFmtId="169" fontId="15" fillId="0" borderId="9" xfId="0" applyNumberFormat="1" applyFont="1" applyBorder="1" applyAlignment="1">
      <alignment horizontal="center"/>
    </xf>
    <xf numFmtId="4" fontId="15" fillId="0" borderId="9" xfId="0" applyNumberFormat="1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19" fontId="15" fillId="0" borderId="8" xfId="0" applyNumberFormat="1" applyFont="1" applyBorder="1" applyAlignment="1">
      <alignment horizontal="center"/>
    </xf>
    <xf numFmtId="18" fontId="15" fillId="0" borderId="8" xfId="0" applyNumberFormat="1" applyFont="1" applyBorder="1" applyAlignment="1">
      <alignment horizontal="center"/>
    </xf>
    <xf numFmtId="4" fontId="15" fillId="0" borderId="8" xfId="0" applyNumberFormat="1" applyFont="1" applyBorder="1" applyAlignment="1">
      <alignment horizontal="center"/>
    </xf>
    <xf numFmtId="166" fontId="15" fillId="0" borderId="8" xfId="0" applyNumberFormat="1" applyFont="1" applyBorder="1" applyAlignment="1">
      <alignment horizontal="center"/>
    </xf>
    <xf numFmtId="166" fontId="2" fillId="0" borderId="14" xfId="0" applyNumberFormat="1" applyFont="1" applyBorder="1"/>
    <xf numFmtId="0" fontId="15" fillId="0" borderId="6" xfId="0" applyFont="1" applyBorder="1" applyAlignment="1">
      <alignment horizontal="center"/>
    </xf>
    <xf numFmtId="19" fontId="15" fillId="0" borderId="9" xfId="0" applyNumberFormat="1" applyFont="1" applyBorder="1" applyAlignment="1">
      <alignment horizontal="center"/>
    </xf>
    <xf numFmtId="18" fontId="15" fillId="0" borderId="9" xfId="0" applyNumberFormat="1" applyFont="1" applyBorder="1" applyAlignment="1">
      <alignment horizontal="center"/>
    </xf>
    <xf numFmtId="166" fontId="15" fillId="0" borderId="9" xfId="0" applyNumberFormat="1" applyFont="1" applyBorder="1" applyAlignment="1">
      <alignment horizontal="center"/>
    </xf>
    <xf numFmtId="166" fontId="2" fillId="0" borderId="15" xfId="0" applyNumberFormat="1" applyFont="1" applyBorder="1"/>
    <xf numFmtId="166" fontId="2" fillId="0" borderId="0" xfId="0" applyNumberFormat="1" applyFont="1"/>
    <xf numFmtId="169" fontId="15" fillId="0" borderId="3" xfId="0" applyNumberFormat="1" applyFont="1" applyBorder="1" applyAlignment="1">
      <alignment horizontal="center"/>
    </xf>
    <xf numFmtId="4" fontId="15" fillId="0" borderId="3" xfId="0" applyNumberFormat="1" applyFont="1" applyBorder="1" applyAlignment="1">
      <alignment horizontal="center"/>
    </xf>
    <xf numFmtId="164" fontId="15" fillId="0" borderId="3" xfId="0" applyNumberFormat="1" applyFont="1" applyBorder="1" applyAlignment="1">
      <alignment horizontal="center"/>
    </xf>
    <xf numFmtId="164" fontId="15" fillId="0" borderId="9" xfId="0" applyNumberFormat="1" applyFont="1" applyBorder="1" applyAlignment="1">
      <alignment horizontal="center"/>
    </xf>
    <xf numFmtId="18" fontId="15" fillId="0" borderId="3" xfId="0" applyNumberFormat="1" applyFont="1" applyBorder="1" applyAlignment="1">
      <alignment horizontal="center"/>
    </xf>
    <xf numFmtId="0" fontId="2" fillId="2" borderId="0" xfId="0" applyFont="1" applyFill="1"/>
    <xf numFmtId="168" fontId="15" fillId="0" borderId="9" xfId="0" applyNumberFormat="1" applyFont="1" applyBorder="1" applyAlignment="1">
      <alignment horizontal="center"/>
    </xf>
    <xf numFmtId="14" fontId="16" fillId="0" borderId="0" xfId="0" applyNumberFormat="1" applyFont="1" applyAlignment="1">
      <alignment horizontal="center" vertical="center"/>
    </xf>
    <xf numFmtId="19" fontId="15" fillId="2" borderId="0" xfId="0" applyNumberFormat="1" applyFont="1" applyFill="1" applyAlignment="1">
      <alignment horizontal="center" vertical="center" wrapText="1"/>
    </xf>
    <xf numFmtId="169" fontId="15" fillId="2" borderId="0" xfId="0" applyNumberFormat="1" applyFont="1" applyFill="1" applyAlignment="1">
      <alignment horizontal="center" vertical="center" wrapText="1"/>
    </xf>
    <xf numFmtId="4" fontId="15" fillId="2" borderId="0" xfId="0" applyNumberFormat="1" applyFont="1" applyFill="1" applyAlignment="1">
      <alignment horizontal="center" vertical="center" wrapText="1"/>
    </xf>
    <xf numFmtId="164" fontId="15" fillId="2" borderId="0" xfId="0" applyNumberFormat="1" applyFont="1" applyFill="1" applyAlignment="1">
      <alignment horizontal="center" vertical="center" wrapText="1"/>
    </xf>
    <xf numFmtId="4" fontId="15" fillId="0" borderId="0" xfId="0" applyNumberFormat="1" applyFont="1" applyAlignment="1">
      <alignment horizontal="center" vertical="center" wrapText="1"/>
    </xf>
    <xf numFmtId="4" fontId="16" fillId="0" borderId="0" xfId="0" applyNumberFormat="1" applyFont="1" applyAlignment="1">
      <alignment horizontal="center" vertical="center" wrapText="1"/>
    </xf>
    <xf numFmtId="19" fontId="16" fillId="2" borderId="0" xfId="0" applyNumberFormat="1" applyFont="1" applyFill="1" applyAlignment="1">
      <alignment horizontal="center" vertical="center"/>
    </xf>
    <xf numFmtId="18" fontId="16" fillId="2" borderId="0" xfId="0" applyNumberFormat="1" applyFont="1" applyFill="1" applyAlignment="1">
      <alignment horizontal="center" vertical="center"/>
    </xf>
    <xf numFmtId="4" fontId="16" fillId="2" borderId="0" xfId="0" applyNumberFormat="1" applyFont="1" applyFill="1" applyAlignment="1">
      <alignment horizontal="center" vertical="center"/>
    </xf>
    <xf numFmtId="18" fontId="15" fillId="0" borderId="0" xfId="0" applyNumberFormat="1" applyFont="1" applyAlignment="1">
      <alignment horizontal="center" vertical="center"/>
    </xf>
    <xf numFmtId="19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 vertical="center"/>
    </xf>
    <xf numFmtId="169" fontId="16" fillId="0" borderId="0" xfId="0" applyNumberFormat="1" applyFont="1" applyAlignment="1">
      <alignment horizontal="center" vertical="center"/>
    </xf>
    <xf numFmtId="4" fontId="16" fillId="0" borderId="0" xfId="0" applyNumberFormat="1" applyFont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0" fontId="17" fillId="2" borderId="0" xfId="0" applyFont="1" applyFill="1" applyAlignment="1">
      <alignment horizontal="center" vertical="center" wrapText="1"/>
    </xf>
    <xf numFmtId="164" fontId="15" fillId="0" borderId="0" xfId="0" applyNumberFormat="1" applyFont="1" applyAlignment="1">
      <alignment horizontal="center" vertical="center" wrapText="1"/>
    </xf>
    <xf numFmtId="19" fontId="15" fillId="2" borderId="5" xfId="0" applyNumberFormat="1" applyFont="1" applyFill="1" applyBorder="1" applyAlignment="1">
      <alignment horizontal="center" vertical="center" wrapText="1"/>
    </xf>
    <xf numFmtId="164" fontId="15" fillId="2" borderId="5" xfId="0" applyNumberFormat="1" applyFont="1" applyFill="1" applyBorder="1" applyAlignment="1">
      <alignment horizontal="center" vertical="center" wrapText="1"/>
    </xf>
    <xf numFmtId="169" fontId="15" fillId="2" borderId="5" xfId="0" applyNumberFormat="1" applyFont="1" applyFill="1" applyBorder="1" applyAlignment="1">
      <alignment horizontal="center" vertical="center" wrapText="1"/>
    </xf>
    <xf numFmtId="4" fontId="15" fillId="2" borderId="5" xfId="0" applyNumberFormat="1" applyFont="1" applyFill="1" applyBorder="1" applyAlignment="1">
      <alignment horizontal="center" vertical="center" wrapText="1"/>
    </xf>
    <xf numFmtId="19" fontId="15" fillId="2" borderId="4" xfId="0" applyNumberFormat="1" applyFont="1" applyFill="1" applyBorder="1" applyAlignment="1">
      <alignment horizontal="center" vertical="center" wrapText="1"/>
    </xf>
    <xf numFmtId="164" fontId="15" fillId="2" borderId="4" xfId="0" applyNumberFormat="1" applyFont="1" applyFill="1" applyBorder="1" applyAlignment="1">
      <alignment horizontal="center" vertical="center" wrapText="1"/>
    </xf>
    <xf numFmtId="169" fontId="15" fillId="2" borderId="4" xfId="0" applyNumberFormat="1" applyFont="1" applyFill="1" applyBorder="1" applyAlignment="1">
      <alignment horizontal="center" vertical="center" wrapText="1"/>
    </xf>
    <xf numFmtId="4" fontId="15" fillId="2" borderId="4" xfId="0" applyNumberFormat="1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164" fontId="20" fillId="0" borderId="3" xfId="0" applyNumberFormat="1" applyFont="1" applyBorder="1" applyAlignment="1">
      <alignment horizontal="center" vertical="center" wrapText="1"/>
    </xf>
    <xf numFmtId="19" fontId="20" fillId="0" borderId="3" xfId="0" applyNumberFormat="1" applyFont="1" applyBorder="1" applyAlignment="1">
      <alignment horizontal="center" vertical="center" wrapText="1"/>
    </xf>
    <xf numFmtId="4" fontId="20" fillId="0" borderId="3" xfId="0" applyNumberFormat="1" applyFont="1" applyBorder="1" applyAlignment="1">
      <alignment horizontal="center" vertical="center" wrapText="1"/>
    </xf>
    <xf numFmtId="171" fontId="20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4" fontId="2" fillId="0" borderId="8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71" fontId="6" fillId="0" borderId="3" xfId="0" applyNumberFormat="1" applyFont="1" applyBorder="1" applyAlignment="1">
      <alignment horizontal="center"/>
    </xf>
    <xf numFmtId="4" fontId="2" fillId="0" borderId="8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wrapText="1"/>
    </xf>
    <xf numFmtId="0" fontId="2" fillId="0" borderId="14" xfId="0" applyFont="1" applyBorder="1" applyAlignment="1">
      <alignment vertical="center"/>
    </xf>
    <xf numFmtId="0" fontId="2" fillId="0" borderId="0" xfId="0" applyFont="1" applyAlignment="1">
      <alignment vertical="center"/>
    </xf>
    <xf numFmtId="18" fontId="6" fillId="0" borderId="3" xfId="0" applyNumberFormat="1" applyFont="1" applyBorder="1" applyAlignment="1">
      <alignment horizontal="center" vertical="center"/>
    </xf>
    <xf numFmtId="4" fontId="6" fillId="0" borderId="3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/>
    </xf>
    <xf numFmtId="171" fontId="6" fillId="0" borderId="3" xfId="0" applyNumberFormat="1" applyFont="1" applyBorder="1" applyAlignment="1">
      <alignment horizontal="center" vertical="center"/>
    </xf>
    <xf numFmtId="171" fontId="6" fillId="0" borderId="8" xfId="0" applyNumberFormat="1" applyFont="1" applyBorder="1" applyAlignment="1">
      <alignment horizontal="center"/>
    </xf>
    <xf numFmtId="4" fontId="6" fillId="0" borderId="8" xfId="0" applyNumberFormat="1" applyFont="1" applyBorder="1" applyAlignment="1">
      <alignment horizontal="center"/>
    </xf>
    <xf numFmtId="0" fontId="6" fillId="0" borderId="3" xfId="0" applyFont="1" applyBorder="1" applyAlignment="1">
      <alignment horizontal="left" vertical="center" wrapText="1"/>
    </xf>
    <xf numFmtId="18" fontId="6" fillId="0" borderId="3" xfId="0" applyNumberFormat="1" applyFont="1" applyBorder="1" applyAlignment="1">
      <alignment horizontal="center"/>
    </xf>
    <xf numFmtId="4" fontId="6" fillId="0" borderId="3" xfId="0" applyNumberFormat="1" applyFont="1" applyBorder="1" applyAlignment="1">
      <alignment horizontal="center"/>
    </xf>
    <xf numFmtId="0" fontId="6" fillId="0" borderId="3" xfId="0" applyFont="1" applyBorder="1" applyAlignment="1">
      <alignment horizontal="left" wrapText="1"/>
    </xf>
    <xf numFmtId="171" fontId="4" fillId="0" borderId="0" xfId="0" applyNumberFormat="1" applyFont="1" applyAlignment="1">
      <alignment horizontal="center"/>
    </xf>
    <xf numFmtId="0" fontId="6" fillId="2" borderId="4" xfId="0" applyFont="1" applyFill="1" applyBorder="1" applyAlignment="1">
      <alignment horizontal="left" vertical="center" wrapText="1"/>
    </xf>
    <xf numFmtId="0" fontId="21" fillId="2" borderId="4" xfId="0" applyFont="1" applyFill="1" applyBorder="1"/>
    <xf numFmtId="0" fontId="6" fillId="2" borderId="3" xfId="0" applyFont="1" applyFill="1" applyBorder="1" applyAlignment="1">
      <alignment horizontal="left" vertical="center" wrapText="1"/>
    </xf>
    <xf numFmtId="166" fontId="2" fillId="0" borderId="2" xfId="0" applyNumberFormat="1" applyFont="1" applyBorder="1" applyAlignment="1">
      <alignment vertical="center" wrapText="1"/>
    </xf>
    <xf numFmtId="4" fontId="2" fillId="0" borderId="3" xfId="0" applyNumberFormat="1" applyFont="1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 vertical="center"/>
    </xf>
    <xf numFmtId="18" fontId="2" fillId="0" borderId="8" xfId="0" applyNumberFormat="1" applyFont="1" applyBorder="1" applyAlignment="1">
      <alignment horizontal="center" vertical="center"/>
    </xf>
    <xf numFmtId="171" fontId="2" fillId="0" borderId="3" xfId="0" applyNumberFormat="1" applyFont="1" applyBorder="1" applyAlignment="1">
      <alignment horizontal="center" vertical="center"/>
    </xf>
    <xf numFmtId="166" fontId="2" fillId="0" borderId="6" xfId="0" applyNumberFormat="1" applyFont="1" applyBorder="1" applyAlignment="1">
      <alignment vertical="center" wrapText="1"/>
    </xf>
    <xf numFmtId="171" fontId="8" fillId="0" borderId="3" xfId="0" applyNumberFormat="1" applyFont="1" applyBorder="1" applyAlignment="1">
      <alignment horizontal="center" vertical="center"/>
    </xf>
    <xf numFmtId="164" fontId="7" fillId="0" borderId="3" xfId="0" applyNumberFormat="1" applyFont="1" applyBorder="1" applyAlignment="1">
      <alignment horizontal="center" vertical="center"/>
    </xf>
    <xf numFmtId="18" fontId="7" fillId="0" borderId="3" xfId="0" applyNumberFormat="1" applyFont="1" applyBorder="1" applyAlignment="1">
      <alignment horizontal="center" vertical="center"/>
    </xf>
    <xf numFmtId="4" fontId="7" fillId="0" borderId="3" xfId="0" applyNumberFormat="1" applyFont="1" applyBorder="1" applyAlignment="1">
      <alignment horizontal="center" vertical="center"/>
    </xf>
    <xf numFmtId="171" fontId="8" fillId="0" borderId="3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19" fontId="2" fillId="0" borderId="3" xfId="0" applyNumberFormat="1" applyFont="1" applyBorder="1" applyAlignment="1">
      <alignment horizontal="center" vertical="center"/>
    </xf>
    <xf numFmtId="171" fontId="7" fillId="0" borderId="3" xfId="0" applyNumberFormat="1" applyFont="1" applyBorder="1" applyAlignment="1">
      <alignment horizontal="center" vertical="center"/>
    </xf>
    <xf numFmtId="18" fontId="2" fillId="2" borderId="3" xfId="0" applyNumberFormat="1" applyFont="1" applyFill="1" applyBorder="1" applyAlignment="1">
      <alignment horizontal="center" vertical="center"/>
    </xf>
    <xf numFmtId="18" fontId="7" fillId="2" borderId="3" xfId="0" applyNumberFormat="1" applyFont="1" applyFill="1" applyBorder="1" applyAlignment="1">
      <alignment horizontal="center" vertical="center"/>
    </xf>
    <xf numFmtId="4" fontId="7" fillId="2" borderId="3" xfId="0" applyNumberFormat="1" applyFont="1" applyFill="1" applyBorder="1" applyAlignment="1">
      <alignment horizontal="center" vertical="center"/>
    </xf>
    <xf numFmtId="171" fontId="8" fillId="2" borderId="3" xfId="0" applyNumberFormat="1" applyFont="1" applyFill="1" applyBorder="1" applyAlignment="1">
      <alignment horizontal="center"/>
    </xf>
    <xf numFmtId="171" fontId="7" fillId="2" borderId="3" xfId="0" applyNumberFormat="1" applyFont="1" applyFill="1" applyBorder="1" applyAlignment="1">
      <alignment horizontal="center" vertical="center"/>
    </xf>
    <xf numFmtId="4" fontId="2" fillId="2" borderId="3" xfId="0" applyNumberFormat="1" applyFont="1" applyFill="1" applyBorder="1" applyAlignment="1">
      <alignment horizontal="center" vertical="center"/>
    </xf>
    <xf numFmtId="18" fontId="5" fillId="0" borderId="0" xfId="0" applyNumberFormat="1" applyFont="1"/>
    <xf numFmtId="0" fontId="8" fillId="2" borderId="3" xfId="0" applyFont="1" applyFill="1" applyBorder="1" applyAlignment="1">
      <alignment horizontal="center"/>
    </xf>
    <xf numFmtId="4" fontId="8" fillId="0" borderId="3" xfId="0" applyNumberFormat="1" applyFont="1" applyBorder="1" applyAlignment="1">
      <alignment horizontal="center" vertical="center"/>
    </xf>
    <xf numFmtId="171" fontId="8" fillId="0" borderId="8" xfId="0" applyNumberFormat="1" applyFont="1" applyBorder="1" applyAlignment="1">
      <alignment horizontal="center" wrapText="1"/>
    </xf>
    <xf numFmtId="4" fontId="6" fillId="0" borderId="8" xfId="0" applyNumberFormat="1" applyFont="1" applyBorder="1" applyAlignment="1">
      <alignment horizontal="center" wrapText="1"/>
    </xf>
    <xf numFmtId="0" fontId="6" fillId="0" borderId="3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4" fontId="6" fillId="2" borderId="3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/>
    </xf>
    <xf numFmtId="164" fontId="22" fillId="2" borderId="3" xfId="0" applyNumberFormat="1" applyFont="1" applyFill="1" applyBorder="1" applyAlignment="1">
      <alignment horizontal="center"/>
    </xf>
    <xf numFmtId="19" fontId="2" fillId="2" borderId="3" xfId="0" applyNumberFormat="1" applyFont="1" applyFill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71" fontId="2" fillId="2" borderId="3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/>
    </xf>
    <xf numFmtId="19" fontId="2" fillId="2" borderId="4" xfId="0" applyNumberFormat="1" applyFont="1" applyFill="1" applyBorder="1" applyAlignment="1">
      <alignment horizontal="center" vertical="center"/>
    </xf>
    <xf numFmtId="4" fontId="2" fillId="2" borderId="4" xfId="0" applyNumberFormat="1" applyFont="1" applyFill="1" applyBorder="1" applyAlignment="1">
      <alignment horizontal="center" vertical="center"/>
    </xf>
    <xf numFmtId="171" fontId="2" fillId="2" borderId="4" xfId="0" applyNumberFormat="1" applyFont="1" applyFill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9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17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4" fontId="1" fillId="0" borderId="3" xfId="0" applyNumberFormat="1" applyFont="1" applyBorder="1" applyAlignment="1">
      <alignment horizontal="center" vertical="center"/>
    </xf>
    <xf numFmtId="0" fontId="20" fillId="0" borderId="3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169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15" fillId="0" borderId="3" xfId="0" applyFont="1" applyBorder="1" applyAlignment="1">
      <alignment horizontal="left" vertical="center" wrapText="1"/>
    </xf>
    <xf numFmtId="4" fontId="2" fillId="2" borderId="3" xfId="0" applyNumberFormat="1" applyFont="1" applyFill="1" applyBorder="1" applyAlignment="1">
      <alignment horizontal="center"/>
    </xf>
    <xf numFmtId="18" fontId="2" fillId="0" borderId="3" xfId="0" applyNumberFormat="1" applyFont="1" applyBorder="1" applyAlignment="1">
      <alignment horizontal="center"/>
    </xf>
    <xf numFmtId="4" fontId="2" fillId="0" borderId="3" xfId="0" applyNumberFormat="1" applyFont="1" applyBorder="1" applyAlignment="1">
      <alignment horizontal="center"/>
    </xf>
    <xf numFmtId="18" fontId="2" fillId="2" borderId="3" xfId="0" applyNumberFormat="1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 vertical="center"/>
    </xf>
    <xf numFmtId="164" fontId="6" fillId="2" borderId="3" xfId="0" applyNumberFormat="1" applyFont="1" applyFill="1" applyBorder="1" applyAlignment="1">
      <alignment horizontal="center" vertical="center" wrapText="1"/>
    </xf>
    <xf numFmtId="18" fontId="6" fillId="2" borderId="3" xfId="0" applyNumberFormat="1" applyFont="1" applyFill="1" applyBorder="1" applyAlignment="1">
      <alignment horizontal="center" vertical="center" wrapText="1"/>
    </xf>
    <xf numFmtId="18" fontId="6" fillId="2" borderId="3" xfId="0" applyNumberFormat="1" applyFont="1" applyFill="1" applyBorder="1" applyAlignment="1">
      <alignment horizontal="center"/>
    </xf>
    <xf numFmtId="0" fontId="16" fillId="0" borderId="3" xfId="0" applyFont="1" applyBorder="1" applyAlignment="1">
      <alignment horizontal="left" vertical="center" wrapText="1"/>
    </xf>
    <xf numFmtId="0" fontId="23" fillId="0" borderId="0" xfId="0" applyFont="1"/>
    <xf numFmtId="164" fontId="2" fillId="2" borderId="3" xfId="0" applyNumberFormat="1" applyFont="1" applyFill="1" applyBorder="1" applyAlignment="1">
      <alignment horizontal="center" vertical="center" wrapText="1"/>
    </xf>
    <xf numFmtId="169" fontId="2" fillId="2" borderId="3" xfId="0" applyNumberFormat="1" applyFont="1" applyFill="1" applyBorder="1" applyAlignment="1">
      <alignment horizontal="center" vertical="center" wrapText="1"/>
    </xf>
    <xf numFmtId="0" fontId="24" fillId="0" borderId="3" xfId="0" applyFont="1" applyBorder="1"/>
    <xf numFmtId="14" fontId="6" fillId="2" borderId="3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5" fillId="0" borderId="0" xfId="0" applyFont="1"/>
    <xf numFmtId="0" fontId="14" fillId="0" borderId="8" xfId="0" applyFont="1" applyBorder="1" applyAlignment="1">
      <alignment horizontal="center" vertical="center" wrapText="1"/>
    </xf>
    <xf numFmtId="1" fontId="14" fillId="0" borderId="8" xfId="0" applyNumberFormat="1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16" fillId="0" borderId="6" xfId="0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172" fontId="16" fillId="0" borderId="9" xfId="0" applyNumberFormat="1" applyFont="1" applyBorder="1" applyAlignment="1">
      <alignment horizontal="center"/>
    </xf>
    <xf numFmtId="1" fontId="16" fillId="0" borderId="9" xfId="0" applyNumberFormat="1" applyFont="1" applyBorder="1" applyAlignment="1">
      <alignment horizontal="center"/>
    </xf>
    <xf numFmtId="0" fontId="27" fillId="0" borderId="9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173" fontId="16" fillId="0" borderId="9" xfId="0" applyNumberFormat="1" applyFont="1" applyBorder="1" applyAlignment="1">
      <alignment horizontal="center"/>
    </xf>
    <xf numFmtId="0" fontId="28" fillId="10" borderId="0" xfId="0" applyFont="1" applyFill="1" applyAlignment="1">
      <alignment horizontal="center" vertical="center"/>
    </xf>
    <xf numFmtId="0" fontId="16" fillId="7" borderId="6" xfId="0" applyFont="1" applyFill="1" applyBorder="1" applyAlignment="1">
      <alignment horizontal="center"/>
    </xf>
    <xf numFmtId="0" fontId="16" fillId="7" borderId="9" xfId="0" applyFont="1" applyFill="1" applyBorder="1" applyAlignment="1">
      <alignment horizontal="center"/>
    </xf>
    <xf numFmtId="172" fontId="16" fillId="7" borderId="9" xfId="0" applyNumberFormat="1" applyFont="1" applyFill="1" applyBorder="1" applyAlignment="1">
      <alignment horizontal="center"/>
    </xf>
    <xf numFmtId="1" fontId="16" fillId="7" borderId="9" xfId="0" applyNumberFormat="1" applyFont="1" applyFill="1" applyBorder="1" applyAlignment="1">
      <alignment horizontal="center"/>
    </xf>
    <xf numFmtId="173" fontId="16" fillId="7" borderId="9" xfId="0" applyNumberFormat="1" applyFont="1" applyFill="1" applyBorder="1" applyAlignment="1">
      <alignment horizontal="center"/>
    </xf>
    <xf numFmtId="0" fontId="27" fillId="7" borderId="9" xfId="0" applyFont="1" applyFill="1" applyBorder="1" applyAlignment="1">
      <alignment horizontal="center"/>
    </xf>
    <xf numFmtId="0" fontId="28" fillId="7" borderId="0" xfId="0" applyFont="1" applyFill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174" fontId="16" fillId="0" borderId="3" xfId="0" applyNumberFormat="1" applyFont="1" applyBorder="1" applyAlignment="1">
      <alignment horizontal="center" vertical="center"/>
    </xf>
    <xf numFmtId="1" fontId="16" fillId="0" borderId="3" xfId="0" applyNumberFormat="1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172" fontId="16" fillId="0" borderId="3" xfId="0" applyNumberFormat="1" applyFont="1" applyBorder="1" applyAlignment="1">
      <alignment horizontal="center" vertical="center"/>
    </xf>
    <xf numFmtId="172" fontId="16" fillId="0" borderId="3" xfId="0" applyNumberFormat="1" applyFont="1" applyBorder="1" applyAlignment="1">
      <alignment horizontal="center" vertical="center" wrapText="1"/>
    </xf>
    <xf numFmtId="1" fontId="16" fillId="0" borderId="3" xfId="0" applyNumberFormat="1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7" borderId="0" xfId="0" applyFont="1" applyFill="1" applyAlignment="1">
      <alignment vertical="center"/>
    </xf>
    <xf numFmtId="0" fontId="16" fillId="0" borderId="6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172" fontId="16" fillId="0" borderId="9" xfId="0" applyNumberFormat="1" applyFont="1" applyBorder="1" applyAlignment="1">
      <alignment horizontal="center" vertical="center" wrapText="1"/>
    </xf>
    <xf numFmtId="1" fontId="16" fillId="0" borderId="9" xfId="0" applyNumberFormat="1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7" borderId="0" xfId="0" applyFont="1" applyFill="1" applyAlignment="1">
      <alignment vertical="center" wrapText="1"/>
    </xf>
    <xf numFmtId="0" fontId="16" fillId="6" borderId="9" xfId="0" applyFont="1" applyFill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168" fontId="4" fillId="0" borderId="0" xfId="0" applyNumberFormat="1" applyFont="1" applyAlignment="1">
      <alignment horizontal="center"/>
    </xf>
    <xf numFmtId="168" fontId="4" fillId="11" borderId="0" xfId="0" applyNumberFormat="1" applyFont="1" applyFill="1" applyAlignment="1">
      <alignment horizontal="center"/>
    </xf>
    <xf numFmtId="0" fontId="4" fillId="11" borderId="0" xfId="0" applyFont="1" applyFill="1" applyAlignment="1">
      <alignment horizontal="center"/>
    </xf>
    <xf numFmtId="0" fontId="26" fillId="0" borderId="3" xfId="0" applyFont="1" applyBorder="1" applyAlignment="1">
      <alignment horizontal="center" vertical="center" wrapText="1"/>
    </xf>
    <xf numFmtId="1" fontId="26" fillId="0" borderId="3" xfId="0" applyNumberFormat="1" applyFont="1" applyBorder="1" applyAlignment="1">
      <alignment horizontal="center" vertical="center" wrapText="1"/>
    </xf>
    <xf numFmtId="0" fontId="28" fillId="0" borderId="0" xfId="0" applyFont="1"/>
    <xf numFmtId="0" fontId="28" fillId="0" borderId="0" xfId="0" applyFont="1" applyAlignment="1">
      <alignment wrapText="1"/>
    </xf>
    <xf numFmtId="0" fontId="28" fillId="2" borderId="0" xfId="0" applyFont="1" applyFill="1" applyAlignment="1">
      <alignment wrapText="1"/>
    </xf>
    <xf numFmtId="0" fontId="29" fillId="2" borderId="0" xfId="0" applyFont="1" applyFill="1" applyAlignment="1">
      <alignment wrapText="1"/>
    </xf>
    <xf numFmtId="0" fontId="5" fillId="2" borderId="0" xfId="0" applyFont="1" applyFill="1" applyAlignment="1">
      <alignment wrapText="1"/>
    </xf>
    <xf numFmtId="0" fontId="28" fillId="0" borderId="3" xfId="0" applyFont="1" applyBorder="1" applyAlignment="1">
      <alignment horizontal="center" vertical="center"/>
    </xf>
    <xf numFmtId="172" fontId="28" fillId="9" borderId="3" xfId="0" applyNumberFormat="1" applyFont="1" applyFill="1" applyBorder="1" applyAlignment="1">
      <alignment horizontal="center" vertical="center"/>
    </xf>
    <xf numFmtId="1" fontId="28" fillId="0" borderId="3" xfId="0" applyNumberFormat="1" applyFont="1" applyBorder="1" applyAlignment="1">
      <alignment horizontal="center" vertical="center"/>
    </xf>
    <xf numFmtId="0" fontId="28" fillId="2" borderId="0" xfId="0" applyFont="1" applyFill="1"/>
    <xf numFmtId="0" fontId="29" fillId="2" borderId="0" xfId="0" applyFont="1" applyFill="1"/>
    <xf numFmtId="174" fontId="28" fillId="9" borderId="3" xfId="0" applyNumberFormat="1" applyFont="1" applyFill="1" applyBorder="1" applyAlignment="1">
      <alignment horizontal="center" vertical="center"/>
    </xf>
    <xf numFmtId="172" fontId="28" fillId="12" borderId="3" xfId="0" applyNumberFormat="1" applyFont="1" applyFill="1" applyBorder="1" applyAlignment="1">
      <alignment horizontal="center" vertical="center"/>
    </xf>
    <xf numFmtId="0" fontId="29" fillId="0" borderId="0" xfId="0" applyFont="1"/>
    <xf numFmtId="0" fontId="30" fillId="0" borderId="3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/>
    </xf>
    <xf numFmtId="172" fontId="28" fillId="0" borderId="3" xfId="0" applyNumberFormat="1" applyFont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9" fillId="0" borderId="0" xfId="0" applyFont="1" applyAlignment="1">
      <alignment horizontal="left"/>
    </xf>
    <xf numFmtId="172" fontId="28" fillId="13" borderId="3" xfId="0" applyNumberFormat="1" applyFont="1" applyFill="1" applyBorder="1" applyAlignment="1">
      <alignment horizontal="center"/>
    </xf>
    <xf numFmtId="0" fontId="29" fillId="0" borderId="3" xfId="0" applyFont="1" applyBorder="1"/>
    <xf numFmtId="10" fontId="28" fillId="0" borderId="3" xfId="0" applyNumberFormat="1" applyFont="1" applyBorder="1" applyAlignment="1">
      <alignment horizontal="center"/>
    </xf>
    <xf numFmtId="172" fontId="28" fillId="14" borderId="3" xfId="0" applyNumberFormat="1" applyFont="1" applyFill="1" applyBorder="1" applyAlignment="1">
      <alignment horizontal="center"/>
    </xf>
    <xf numFmtId="172" fontId="28" fillId="15" borderId="3" xfId="0" applyNumberFormat="1" applyFont="1" applyFill="1" applyBorder="1" applyAlignment="1">
      <alignment horizontal="center"/>
    </xf>
    <xf numFmtId="0" fontId="28" fillId="5" borderId="3" xfId="0" applyFont="1" applyFill="1" applyBorder="1" applyAlignment="1">
      <alignment horizontal="center"/>
    </xf>
    <xf numFmtId="175" fontId="28" fillId="0" borderId="3" xfId="0" applyNumberFormat="1" applyFont="1" applyBorder="1" applyAlignment="1">
      <alignment horizontal="center"/>
    </xf>
    <xf numFmtId="0" fontId="28" fillId="0" borderId="3" xfId="0" applyFont="1" applyBorder="1"/>
    <xf numFmtId="0" fontId="28" fillId="0" borderId="6" xfId="0" applyFont="1" applyBorder="1" applyAlignment="1">
      <alignment horizontal="center"/>
    </xf>
    <xf numFmtId="172" fontId="28" fillId="0" borderId="9" xfId="0" applyNumberFormat="1" applyFont="1" applyBorder="1" applyAlignment="1">
      <alignment horizontal="center"/>
    </xf>
    <xf numFmtId="0" fontId="28" fillId="0" borderId="9" xfId="0" applyFont="1" applyBorder="1" applyAlignment="1">
      <alignment horizontal="center"/>
    </xf>
    <xf numFmtId="176" fontId="28" fillId="0" borderId="9" xfId="0" applyNumberFormat="1" applyFont="1" applyBorder="1" applyAlignment="1">
      <alignment horizontal="center"/>
    </xf>
    <xf numFmtId="0" fontId="29" fillId="0" borderId="3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1" fontId="29" fillId="0" borderId="0" xfId="0" applyNumberFormat="1" applyFont="1" applyAlignment="1">
      <alignment horizontal="center" vertical="center" wrapText="1"/>
    </xf>
    <xf numFmtId="0" fontId="31" fillId="0" borderId="0" xfId="0" applyFont="1"/>
    <xf numFmtId="0" fontId="32" fillId="0" borderId="0" xfId="0" applyFont="1" applyAlignment="1">
      <alignment horizontal="right"/>
    </xf>
    <xf numFmtId="0" fontId="32" fillId="0" borderId="0" xfId="0" applyFont="1"/>
    <xf numFmtId="0" fontId="31" fillId="0" borderId="0" xfId="0" applyFont="1" applyAlignment="1">
      <alignment horizontal="right"/>
    </xf>
    <xf numFmtId="177" fontId="32" fillId="0" borderId="0" xfId="0" applyNumberFormat="1" applyFont="1" applyAlignment="1">
      <alignment horizontal="right"/>
    </xf>
    <xf numFmtId="0" fontId="33" fillId="16" borderId="0" xfId="0" applyFont="1" applyFill="1" applyAlignment="1">
      <alignment horizontal="right"/>
    </xf>
    <xf numFmtId="166" fontId="2" fillId="0" borderId="2" xfId="0" applyNumberFormat="1" applyFont="1" applyBorder="1" applyAlignment="1">
      <alignment horizontal="left" vertical="center" wrapText="1"/>
    </xf>
    <xf numFmtId="0" fontId="12" fillId="0" borderId="7" xfId="0" applyFont="1" applyBorder="1"/>
    <xf numFmtId="0" fontId="12" fillId="0" borderId="6" xfId="0" applyFont="1" applyBorder="1"/>
    <xf numFmtId="166" fontId="2" fillId="8" borderId="2" xfId="0" applyNumberFormat="1" applyFont="1" applyFill="1" applyBorder="1" applyAlignment="1">
      <alignment horizontal="center" vertical="center" wrapText="1"/>
    </xf>
    <xf numFmtId="166" fontId="6" fillId="2" borderId="2" xfId="0" applyNumberFormat="1" applyFont="1" applyFill="1" applyBorder="1" applyAlignment="1">
      <alignment horizontal="center" vertical="center" wrapText="1"/>
    </xf>
    <xf numFmtId="166" fontId="6" fillId="2" borderId="2" xfId="0" applyNumberFormat="1" applyFont="1" applyFill="1" applyBorder="1" applyAlignment="1">
      <alignment horizontal="center" vertical="center"/>
    </xf>
    <xf numFmtId="166" fontId="6" fillId="2" borderId="10" xfId="0" applyNumberFormat="1" applyFont="1" applyFill="1" applyBorder="1" applyAlignment="1">
      <alignment horizontal="center" vertical="center" wrapText="1"/>
    </xf>
    <xf numFmtId="0" fontId="12" fillId="0" borderId="11" xfId="0" applyFont="1" applyBorder="1"/>
    <xf numFmtId="0" fontId="12" fillId="0" borderId="12" xfId="0" applyFont="1" applyBorder="1"/>
    <xf numFmtId="0" fontId="6" fillId="0" borderId="2" xfId="0" applyFont="1" applyBorder="1" applyAlignment="1">
      <alignment horizontal="left" vertical="center" wrapText="1"/>
    </xf>
    <xf numFmtId="166" fontId="2" fillId="0" borderId="2" xfId="0" applyNumberFormat="1" applyFont="1" applyBorder="1" applyAlignment="1">
      <alignment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8" fillId="0" borderId="13" xfId="0" applyFont="1" applyBorder="1" applyAlignment="1">
      <alignment horizontal="left"/>
    </xf>
    <xf numFmtId="0" fontId="12" fillId="0" borderId="8" xfId="0" applyFont="1" applyBorder="1"/>
    <xf numFmtId="0" fontId="28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81"/>
  <sheetViews>
    <sheetView workbookViewId="0">
      <selection activeCell="I5" sqref="I5"/>
    </sheetView>
  </sheetViews>
  <sheetFormatPr defaultColWidth="11.25" defaultRowHeight="15" customHeight="1"/>
  <cols>
    <col min="1" max="1" width="9.375" customWidth="1"/>
    <col min="2" max="3" width="8.5" customWidth="1"/>
    <col min="4" max="4" width="10.125" customWidth="1"/>
    <col min="5" max="5" width="9.375" customWidth="1"/>
    <col min="6" max="6" width="10" customWidth="1"/>
    <col min="7" max="8" width="8.75" customWidth="1"/>
    <col min="9" max="9" width="9" customWidth="1"/>
    <col min="10" max="11" width="8.75" customWidth="1"/>
    <col min="12" max="12" width="9.5" customWidth="1"/>
    <col min="14" max="14" width="7.75" customWidth="1"/>
    <col min="15" max="16" width="7.5" customWidth="1"/>
    <col min="17" max="17" width="34.125" customWidth="1"/>
    <col min="18" max="28" width="10.5" customWidth="1"/>
  </cols>
  <sheetData>
    <row r="1" spans="1:28" ht="63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4" t="s">
        <v>5</v>
      </c>
      <c r="G1" s="2" t="s">
        <v>6</v>
      </c>
      <c r="H1" s="5" t="s">
        <v>7</v>
      </c>
      <c r="I1" s="2" t="s">
        <v>8</v>
      </c>
      <c r="J1" s="2" t="s">
        <v>9</v>
      </c>
      <c r="K1" s="2" t="s">
        <v>10</v>
      </c>
      <c r="L1" s="6" t="s">
        <v>11</v>
      </c>
      <c r="M1" s="6" t="s">
        <v>12</v>
      </c>
      <c r="N1" s="2" t="s">
        <v>13</v>
      </c>
      <c r="O1" s="7" t="s">
        <v>14</v>
      </c>
      <c r="P1" s="8" t="s">
        <v>15</v>
      </c>
      <c r="Q1" s="9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spans="1:28" ht="15.75" customHeight="1">
      <c r="A2" s="11" t="s">
        <v>16</v>
      </c>
      <c r="B2" s="12" t="s">
        <v>17</v>
      </c>
      <c r="C2" s="12" t="s">
        <v>17</v>
      </c>
      <c r="D2" s="13" t="s">
        <v>17</v>
      </c>
      <c r="E2" s="14">
        <v>45313</v>
      </c>
      <c r="F2" s="13">
        <v>0.41666666666666669</v>
      </c>
      <c r="G2" s="12">
        <v>104.7</v>
      </c>
      <c r="H2" s="15">
        <v>1</v>
      </c>
      <c r="I2" s="12">
        <v>104.7</v>
      </c>
      <c r="J2" s="12">
        <v>104.7</v>
      </c>
      <c r="K2" s="12" t="s">
        <v>18</v>
      </c>
      <c r="L2" s="16" t="s">
        <v>19</v>
      </c>
      <c r="M2" s="16" t="s">
        <v>20</v>
      </c>
      <c r="N2" s="12">
        <f t="shared" ref="N2:N29" si="0">(J2-G2)/H2</f>
        <v>0</v>
      </c>
      <c r="O2" s="17" t="s">
        <v>21</v>
      </c>
      <c r="P2" s="17" t="s">
        <v>22</v>
      </c>
      <c r="Q2" s="18"/>
      <c r="R2" s="19"/>
      <c r="S2" s="20">
        <f>AVERAGE(N2,N14,N26,N38,N50)</f>
        <v>5.9999999999999429E-2</v>
      </c>
      <c r="T2" s="21"/>
      <c r="U2" s="21"/>
      <c r="V2" s="21"/>
      <c r="W2" s="21"/>
      <c r="X2" s="21"/>
      <c r="Y2" s="21"/>
      <c r="Z2" s="21"/>
      <c r="AA2" s="21"/>
      <c r="AB2" s="21"/>
    </row>
    <row r="3" spans="1:28" ht="15.75" customHeight="1">
      <c r="A3" s="22" t="s">
        <v>23</v>
      </c>
      <c r="B3" s="12">
        <v>100</v>
      </c>
      <c r="C3" s="14" t="s">
        <v>17</v>
      </c>
      <c r="D3" s="13" t="s">
        <v>17</v>
      </c>
      <c r="E3" s="14">
        <v>45313</v>
      </c>
      <c r="F3" s="13">
        <v>0.41736111111111113</v>
      </c>
      <c r="G3" s="12">
        <v>104.2</v>
      </c>
      <c r="H3" s="15">
        <v>1</v>
      </c>
      <c r="I3" s="12">
        <v>200</v>
      </c>
      <c r="J3" s="12">
        <v>199.9</v>
      </c>
      <c r="K3" s="12" t="s">
        <v>18</v>
      </c>
      <c r="L3" s="15" t="s">
        <v>24</v>
      </c>
      <c r="M3" s="16" t="s">
        <v>25</v>
      </c>
      <c r="N3" s="12">
        <f t="shared" si="0"/>
        <v>95.7</v>
      </c>
      <c r="O3" s="17" t="s">
        <v>21</v>
      </c>
      <c r="P3" s="17" t="s">
        <v>22</v>
      </c>
      <c r="Q3" s="23" t="s">
        <v>26</v>
      </c>
      <c r="R3" s="19"/>
      <c r="S3" s="24">
        <f>STDEV(N2,N14,N26,N38,N50)</f>
        <v>0.13416407864998611</v>
      </c>
      <c r="T3" s="25"/>
      <c r="U3" s="25"/>
      <c r="V3" s="25"/>
      <c r="W3" s="25"/>
      <c r="X3" s="25"/>
      <c r="Y3" s="25"/>
      <c r="Z3" s="25"/>
      <c r="AA3" s="25"/>
      <c r="AB3" s="25"/>
    </row>
    <row r="4" spans="1:28" ht="15.75">
      <c r="A4" s="22" t="s">
        <v>27</v>
      </c>
      <c r="B4" s="12" t="s">
        <v>17</v>
      </c>
      <c r="C4" s="14">
        <v>45313</v>
      </c>
      <c r="D4" s="13">
        <v>0.40625</v>
      </c>
      <c r="E4" s="14">
        <v>45313</v>
      </c>
      <c r="F4" s="13">
        <v>0.5541666666666667</v>
      </c>
      <c r="G4" s="12">
        <v>104.2</v>
      </c>
      <c r="H4" s="15">
        <v>1</v>
      </c>
      <c r="I4" s="12">
        <v>107.6</v>
      </c>
      <c r="J4" s="12">
        <v>107.9</v>
      </c>
      <c r="K4" s="12" t="s">
        <v>18</v>
      </c>
      <c r="L4" s="15" t="s">
        <v>28</v>
      </c>
      <c r="M4" s="16" t="s">
        <v>20</v>
      </c>
      <c r="N4" s="12">
        <f t="shared" si="0"/>
        <v>3.7000000000000028</v>
      </c>
      <c r="O4" s="17" t="s">
        <v>21</v>
      </c>
      <c r="P4" s="17" t="s">
        <v>22</v>
      </c>
      <c r="Q4" s="18"/>
      <c r="R4" s="19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ht="15.75">
      <c r="A5" s="22" t="s">
        <v>29</v>
      </c>
      <c r="B5" s="12" t="s">
        <v>17</v>
      </c>
      <c r="C5" s="14">
        <v>45313</v>
      </c>
      <c r="D5" s="13">
        <v>0.4513888888888889</v>
      </c>
      <c r="E5" s="14">
        <v>45313</v>
      </c>
      <c r="F5" s="13">
        <v>0.55486111111111114</v>
      </c>
      <c r="G5" s="12">
        <v>104.2</v>
      </c>
      <c r="H5" s="15">
        <v>1</v>
      </c>
      <c r="I5" s="12">
        <v>106.3</v>
      </c>
      <c r="J5" s="12">
        <v>106.2</v>
      </c>
      <c r="K5" s="12" t="s">
        <v>18</v>
      </c>
      <c r="L5" s="15" t="s">
        <v>30</v>
      </c>
      <c r="M5" s="16" t="s">
        <v>20</v>
      </c>
      <c r="N5" s="12">
        <f t="shared" si="0"/>
        <v>2</v>
      </c>
      <c r="O5" s="17" t="s">
        <v>21</v>
      </c>
      <c r="P5" s="17" t="s">
        <v>22</v>
      </c>
      <c r="Q5" s="18"/>
      <c r="R5" s="19"/>
      <c r="S5" s="21"/>
      <c r="T5" s="21"/>
      <c r="U5" s="21"/>
      <c r="V5" s="21"/>
      <c r="W5" s="21"/>
      <c r="X5" s="21"/>
      <c r="Y5" s="21"/>
      <c r="Z5" s="21"/>
      <c r="AA5" s="21"/>
      <c r="AB5" s="21"/>
    </row>
    <row r="6" spans="1:28" ht="15.75" customHeight="1">
      <c r="A6" s="22" t="s">
        <v>31</v>
      </c>
      <c r="B6" s="12" t="s">
        <v>17</v>
      </c>
      <c r="C6" s="14">
        <v>45314</v>
      </c>
      <c r="D6" s="13">
        <v>0.3347222222222222</v>
      </c>
      <c r="E6" s="14">
        <v>45314</v>
      </c>
      <c r="F6" s="13">
        <v>0.55625000000000002</v>
      </c>
      <c r="G6" s="12">
        <v>110.1</v>
      </c>
      <c r="H6" s="15">
        <v>1</v>
      </c>
      <c r="I6" s="12">
        <v>117.4</v>
      </c>
      <c r="J6" s="12">
        <v>117.3</v>
      </c>
      <c r="K6" s="12" t="s">
        <v>18</v>
      </c>
      <c r="L6" s="15" t="s">
        <v>32</v>
      </c>
      <c r="M6" s="16" t="s">
        <v>20</v>
      </c>
      <c r="N6" s="12">
        <f t="shared" si="0"/>
        <v>7.2000000000000028</v>
      </c>
      <c r="O6" s="17" t="s">
        <v>21</v>
      </c>
      <c r="P6" s="17" t="s">
        <v>22</v>
      </c>
      <c r="Q6" s="18"/>
      <c r="R6" s="19"/>
      <c r="S6" s="21"/>
      <c r="T6" s="21"/>
      <c r="U6" s="21"/>
      <c r="V6" s="21"/>
      <c r="W6" s="21"/>
      <c r="X6" s="21"/>
      <c r="Y6" s="21"/>
      <c r="Z6" s="21"/>
      <c r="AA6" s="21"/>
      <c r="AB6" s="21"/>
    </row>
    <row r="7" spans="1:28" ht="15.75" customHeight="1">
      <c r="A7" s="22" t="s">
        <v>33</v>
      </c>
      <c r="B7" s="12" t="s">
        <v>17</v>
      </c>
      <c r="C7" s="14">
        <v>45314</v>
      </c>
      <c r="D7" s="13">
        <v>0.37777777777777777</v>
      </c>
      <c r="E7" s="14">
        <v>45314</v>
      </c>
      <c r="F7" s="13">
        <v>0.55763888888888891</v>
      </c>
      <c r="G7" s="12">
        <v>103.7</v>
      </c>
      <c r="H7" s="15">
        <v>1</v>
      </c>
      <c r="I7" s="12">
        <v>108</v>
      </c>
      <c r="J7" s="12">
        <v>108</v>
      </c>
      <c r="K7" s="12" t="s">
        <v>18</v>
      </c>
      <c r="L7" s="15" t="s">
        <v>34</v>
      </c>
      <c r="M7" s="16" t="s">
        <v>20</v>
      </c>
      <c r="N7" s="12">
        <f t="shared" si="0"/>
        <v>4.2999999999999972</v>
      </c>
      <c r="O7" s="17" t="s">
        <v>21</v>
      </c>
      <c r="P7" s="17" t="s">
        <v>22</v>
      </c>
      <c r="Q7" s="18"/>
      <c r="R7" s="19"/>
      <c r="S7" s="21"/>
      <c r="T7" s="21"/>
      <c r="U7" s="21"/>
      <c r="V7" s="21"/>
      <c r="W7" s="21"/>
      <c r="X7" s="21"/>
      <c r="Y7" s="21"/>
      <c r="Z7" s="21"/>
      <c r="AA7" s="21"/>
      <c r="AB7" s="21"/>
    </row>
    <row r="8" spans="1:28" ht="15.75" customHeight="1">
      <c r="A8" s="22" t="s">
        <v>35</v>
      </c>
      <c r="B8" s="12" t="s">
        <v>17</v>
      </c>
      <c r="C8" s="14">
        <v>45314</v>
      </c>
      <c r="D8" s="13">
        <v>0.40902777777777777</v>
      </c>
      <c r="E8" s="14">
        <v>45314</v>
      </c>
      <c r="F8" s="13">
        <v>0.55972222222222223</v>
      </c>
      <c r="G8" s="12">
        <v>104.6</v>
      </c>
      <c r="H8" s="15">
        <v>1</v>
      </c>
      <c r="I8" s="12">
        <v>109</v>
      </c>
      <c r="J8" s="12">
        <v>108.9</v>
      </c>
      <c r="K8" s="12" t="s">
        <v>18</v>
      </c>
      <c r="L8" s="15" t="s">
        <v>36</v>
      </c>
      <c r="M8" s="16" t="s">
        <v>20</v>
      </c>
      <c r="N8" s="12">
        <f t="shared" si="0"/>
        <v>4.3000000000000114</v>
      </c>
      <c r="O8" s="17" t="s">
        <v>21</v>
      </c>
      <c r="P8" s="17" t="s">
        <v>22</v>
      </c>
      <c r="Q8" s="18"/>
      <c r="R8" s="19"/>
      <c r="S8" s="21"/>
      <c r="T8" s="21"/>
      <c r="U8" s="21"/>
      <c r="V8" s="21"/>
      <c r="W8" s="21"/>
      <c r="X8" s="21"/>
      <c r="Y8" s="21"/>
      <c r="Z8" s="21"/>
      <c r="AA8" s="21"/>
      <c r="AB8" s="21"/>
    </row>
    <row r="9" spans="1:28" ht="15.75" customHeight="1">
      <c r="A9" s="22" t="s">
        <v>37</v>
      </c>
      <c r="B9" s="12" t="s">
        <v>17</v>
      </c>
      <c r="C9" s="14">
        <v>45314</v>
      </c>
      <c r="D9" s="13">
        <v>0.44722222222222224</v>
      </c>
      <c r="E9" s="14">
        <v>45314</v>
      </c>
      <c r="F9" s="13">
        <v>0.56180555555555556</v>
      </c>
      <c r="G9" s="12">
        <v>105.2</v>
      </c>
      <c r="H9" s="15">
        <v>1</v>
      </c>
      <c r="I9" s="12">
        <v>110.1</v>
      </c>
      <c r="J9" s="12">
        <v>110</v>
      </c>
      <c r="K9" s="12" t="s">
        <v>18</v>
      </c>
      <c r="L9" s="15" t="s">
        <v>38</v>
      </c>
      <c r="M9" s="16" t="s">
        <v>20</v>
      </c>
      <c r="N9" s="12">
        <f t="shared" si="0"/>
        <v>4.7999999999999972</v>
      </c>
      <c r="O9" s="17" t="s">
        <v>21</v>
      </c>
      <c r="P9" s="17" t="s">
        <v>22</v>
      </c>
      <c r="Q9" s="18"/>
      <c r="R9" s="19"/>
      <c r="S9" s="21"/>
      <c r="T9" s="21"/>
      <c r="U9" s="21"/>
      <c r="V9" s="21"/>
      <c r="W9" s="21"/>
      <c r="X9" s="21"/>
      <c r="Y9" s="21"/>
      <c r="Z9" s="21"/>
      <c r="AA9" s="21"/>
      <c r="AB9" s="21"/>
    </row>
    <row r="10" spans="1:28" ht="15.75" customHeight="1">
      <c r="A10" s="22" t="s">
        <v>39</v>
      </c>
      <c r="B10" s="12" t="s">
        <v>17</v>
      </c>
      <c r="C10" s="14">
        <v>45314</v>
      </c>
      <c r="D10" s="13">
        <v>0.47291666666666665</v>
      </c>
      <c r="E10" s="14">
        <v>45314</v>
      </c>
      <c r="F10" s="13">
        <v>0.56388888888888888</v>
      </c>
      <c r="G10" s="12">
        <v>105.7</v>
      </c>
      <c r="H10" s="15">
        <v>1</v>
      </c>
      <c r="I10" s="12">
        <v>110.1</v>
      </c>
      <c r="J10" s="12">
        <v>110.3</v>
      </c>
      <c r="K10" s="12" t="s">
        <v>18</v>
      </c>
      <c r="L10" s="15" t="s">
        <v>40</v>
      </c>
      <c r="M10" s="16" t="s">
        <v>20</v>
      </c>
      <c r="N10" s="12">
        <f t="shared" si="0"/>
        <v>4.5999999999999943</v>
      </c>
      <c r="O10" s="17" t="s">
        <v>21</v>
      </c>
      <c r="P10" s="17" t="s">
        <v>22</v>
      </c>
      <c r="Q10" s="18"/>
      <c r="R10" s="19"/>
      <c r="S10" s="21"/>
      <c r="T10" s="21"/>
      <c r="U10" s="21"/>
      <c r="V10" s="21"/>
      <c r="W10" s="21"/>
      <c r="X10" s="21"/>
      <c r="Y10" s="21"/>
      <c r="Z10" s="21"/>
      <c r="AA10" s="21"/>
      <c r="AB10" s="21"/>
    </row>
    <row r="11" spans="1:28" ht="15.75" customHeight="1">
      <c r="A11" s="22" t="s">
        <v>41</v>
      </c>
      <c r="B11" s="12" t="s">
        <v>17</v>
      </c>
      <c r="C11" s="14">
        <v>45316</v>
      </c>
      <c r="D11" s="13">
        <v>0.33333333333333331</v>
      </c>
      <c r="E11" s="14">
        <v>45316</v>
      </c>
      <c r="F11" s="13">
        <v>0.5229166666666667</v>
      </c>
      <c r="G11" s="12">
        <v>104.3</v>
      </c>
      <c r="H11" s="15">
        <v>1</v>
      </c>
      <c r="I11" s="12">
        <v>105.9</v>
      </c>
      <c r="J11" s="12">
        <v>104.3</v>
      </c>
      <c r="K11" s="12">
        <v>104.4</v>
      </c>
      <c r="L11" s="15" t="s">
        <v>42</v>
      </c>
      <c r="M11" s="16" t="s">
        <v>20</v>
      </c>
      <c r="N11" s="12">
        <f t="shared" si="0"/>
        <v>0</v>
      </c>
      <c r="O11" s="17" t="s">
        <v>21</v>
      </c>
      <c r="P11" s="17" t="s">
        <v>22</v>
      </c>
      <c r="Q11" s="18"/>
      <c r="R11" s="19"/>
      <c r="S11" s="21"/>
      <c r="T11" s="21"/>
      <c r="U11" s="21"/>
      <c r="V11" s="21"/>
      <c r="W11" s="21"/>
      <c r="X11" s="21"/>
      <c r="Y11" s="21"/>
      <c r="Z11" s="21"/>
      <c r="AA11" s="21"/>
      <c r="AB11" s="21"/>
    </row>
    <row r="12" spans="1:28" ht="15.75" customHeight="1">
      <c r="A12" s="22" t="s">
        <v>43</v>
      </c>
      <c r="B12" s="12" t="s">
        <v>17</v>
      </c>
      <c r="C12" s="14">
        <v>45316</v>
      </c>
      <c r="D12" s="13">
        <v>0.35833333333333334</v>
      </c>
      <c r="E12" s="14">
        <v>45316</v>
      </c>
      <c r="F12" s="13">
        <v>0.52500000000000002</v>
      </c>
      <c r="G12" s="12">
        <v>104.9</v>
      </c>
      <c r="H12" s="15">
        <v>1</v>
      </c>
      <c r="I12" s="12">
        <v>111.9</v>
      </c>
      <c r="J12" s="12">
        <v>111.9</v>
      </c>
      <c r="K12" s="12" t="s">
        <v>18</v>
      </c>
      <c r="L12" s="15" t="s">
        <v>44</v>
      </c>
      <c r="M12" s="16" t="s">
        <v>20</v>
      </c>
      <c r="N12" s="12">
        <f t="shared" si="0"/>
        <v>7</v>
      </c>
      <c r="O12" s="17" t="s">
        <v>21</v>
      </c>
      <c r="P12" s="17" t="s">
        <v>22</v>
      </c>
      <c r="Q12" s="18"/>
      <c r="R12" s="19"/>
      <c r="S12" s="21"/>
      <c r="T12" s="21"/>
      <c r="U12" s="21"/>
      <c r="V12" s="21"/>
      <c r="W12" s="21"/>
      <c r="X12" s="21"/>
      <c r="Y12" s="21"/>
      <c r="Z12" s="21"/>
      <c r="AA12" s="21"/>
      <c r="AB12" s="21"/>
    </row>
    <row r="13" spans="1:28" ht="15.75" customHeight="1">
      <c r="A13" s="22" t="s">
        <v>45</v>
      </c>
      <c r="B13" s="12" t="s">
        <v>17</v>
      </c>
      <c r="C13" s="14">
        <v>45316</v>
      </c>
      <c r="D13" s="13">
        <v>0.38194444444444442</v>
      </c>
      <c r="E13" s="14">
        <v>45316</v>
      </c>
      <c r="F13" s="13">
        <v>0.52708333333333335</v>
      </c>
      <c r="G13" s="12">
        <v>104.1</v>
      </c>
      <c r="H13" s="15">
        <v>1</v>
      </c>
      <c r="I13" s="12">
        <v>107.1</v>
      </c>
      <c r="J13" s="12">
        <v>107</v>
      </c>
      <c r="K13" s="12" t="s">
        <v>18</v>
      </c>
      <c r="L13" s="15" t="s">
        <v>46</v>
      </c>
      <c r="M13" s="16" t="s">
        <v>20</v>
      </c>
      <c r="N13" s="12">
        <f t="shared" si="0"/>
        <v>2.9000000000000057</v>
      </c>
      <c r="O13" s="17" t="s">
        <v>21</v>
      </c>
      <c r="P13" s="17" t="s">
        <v>22</v>
      </c>
      <c r="Q13" s="18"/>
      <c r="R13" s="19"/>
      <c r="S13" s="21"/>
      <c r="T13" s="21"/>
      <c r="U13" s="21"/>
      <c r="V13" s="21"/>
      <c r="W13" s="21"/>
      <c r="X13" s="21"/>
      <c r="Y13" s="21"/>
      <c r="Z13" s="21"/>
      <c r="AA13" s="21"/>
      <c r="AB13" s="21"/>
    </row>
    <row r="14" spans="1:28" ht="15.75" customHeight="1">
      <c r="A14" s="11" t="s">
        <v>16</v>
      </c>
      <c r="B14" s="12" t="s">
        <v>17</v>
      </c>
      <c r="C14" s="14">
        <v>45316</v>
      </c>
      <c r="D14" s="13" t="s">
        <v>17</v>
      </c>
      <c r="E14" s="14">
        <v>45316</v>
      </c>
      <c r="F14" s="26">
        <v>0.46666666666666667</v>
      </c>
      <c r="G14" s="12">
        <v>104.6</v>
      </c>
      <c r="H14" s="15">
        <v>1</v>
      </c>
      <c r="I14" s="12">
        <v>104.5</v>
      </c>
      <c r="J14" s="12">
        <v>104.6</v>
      </c>
      <c r="K14" s="12" t="s">
        <v>18</v>
      </c>
      <c r="L14" s="15" t="s">
        <v>47</v>
      </c>
      <c r="M14" s="16" t="s">
        <v>20</v>
      </c>
      <c r="N14" s="12">
        <f t="shared" si="0"/>
        <v>0</v>
      </c>
      <c r="O14" s="17" t="s">
        <v>21</v>
      </c>
      <c r="P14" s="17" t="s">
        <v>22</v>
      </c>
      <c r="Q14" s="18"/>
      <c r="R14" s="19"/>
      <c r="S14" s="21"/>
      <c r="T14" s="21"/>
      <c r="U14" s="21"/>
      <c r="V14" s="21"/>
      <c r="W14" s="21"/>
      <c r="X14" s="21"/>
      <c r="Y14" s="21"/>
      <c r="Z14" s="21"/>
      <c r="AA14" s="21"/>
      <c r="AB14" s="21"/>
    </row>
    <row r="15" spans="1:28" ht="15.75" customHeight="1">
      <c r="A15" s="22" t="s">
        <v>23</v>
      </c>
      <c r="B15" s="12">
        <v>100</v>
      </c>
      <c r="C15" s="12" t="s">
        <v>17</v>
      </c>
      <c r="D15" s="13" t="s">
        <v>17</v>
      </c>
      <c r="E15" s="14">
        <v>45316</v>
      </c>
      <c r="F15" s="13">
        <v>0.46875</v>
      </c>
      <c r="G15" s="12">
        <v>104.8</v>
      </c>
      <c r="H15" s="15">
        <v>1</v>
      </c>
      <c r="I15" s="12">
        <v>200.2</v>
      </c>
      <c r="J15" s="12">
        <v>201</v>
      </c>
      <c r="K15" s="12">
        <v>200.6</v>
      </c>
      <c r="L15" s="15" t="s">
        <v>48</v>
      </c>
      <c r="M15" s="16" t="s">
        <v>20</v>
      </c>
      <c r="N15" s="12">
        <f t="shared" si="0"/>
        <v>96.2</v>
      </c>
      <c r="O15" s="17" t="s">
        <v>21</v>
      </c>
      <c r="P15" s="17" t="s">
        <v>22</v>
      </c>
      <c r="Q15" s="23" t="s">
        <v>26</v>
      </c>
      <c r="R15" s="19"/>
      <c r="S15" s="21"/>
      <c r="T15" s="21"/>
      <c r="U15" s="21"/>
      <c r="V15" s="21"/>
      <c r="W15" s="21"/>
      <c r="X15" s="21"/>
      <c r="Y15" s="21"/>
      <c r="Z15" s="21"/>
      <c r="AA15" s="21"/>
      <c r="AB15" s="21"/>
    </row>
    <row r="16" spans="1:28" ht="15.75" customHeight="1">
      <c r="A16" s="22" t="s">
        <v>49</v>
      </c>
      <c r="B16" s="12" t="s">
        <v>17</v>
      </c>
      <c r="C16" s="14">
        <v>45316</v>
      </c>
      <c r="D16" s="13">
        <v>0.40625</v>
      </c>
      <c r="E16" s="14">
        <v>45316</v>
      </c>
      <c r="F16" s="13">
        <v>0.52916666666666667</v>
      </c>
      <c r="G16" s="12">
        <v>103.7</v>
      </c>
      <c r="H16" s="15">
        <v>1</v>
      </c>
      <c r="I16" s="12">
        <v>108</v>
      </c>
      <c r="J16" s="12">
        <v>107.8</v>
      </c>
      <c r="K16" s="12" t="s">
        <v>18</v>
      </c>
      <c r="L16" s="15" t="s">
        <v>50</v>
      </c>
      <c r="M16" s="16" t="s">
        <v>20</v>
      </c>
      <c r="N16" s="12">
        <f t="shared" si="0"/>
        <v>4.0999999999999943</v>
      </c>
      <c r="O16" s="17" t="s">
        <v>21</v>
      </c>
      <c r="P16" s="17" t="s">
        <v>22</v>
      </c>
      <c r="Q16" s="27"/>
      <c r="R16" s="19"/>
      <c r="S16" s="10"/>
      <c r="T16" s="25"/>
      <c r="U16" s="25"/>
      <c r="V16" s="25"/>
      <c r="W16" s="25"/>
      <c r="X16" s="25"/>
      <c r="Y16" s="25"/>
      <c r="Z16" s="25"/>
      <c r="AA16" s="25"/>
      <c r="AB16" s="25"/>
    </row>
    <row r="17" spans="1:28" ht="15.75" customHeight="1">
      <c r="A17" s="22" t="s">
        <v>51</v>
      </c>
      <c r="B17" s="12" t="s">
        <v>17</v>
      </c>
      <c r="C17" s="14">
        <v>45320</v>
      </c>
      <c r="D17" s="26">
        <v>0.31597222222222221</v>
      </c>
      <c r="E17" s="14">
        <v>45320</v>
      </c>
      <c r="F17" s="13">
        <v>0.49583333333333335</v>
      </c>
      <c r="G17" s="12">
        <v>105.9</v>
      </c>
      <c r="H17" s="15">
        <v>0.96</v>
      </c>
      <c r="I17" s="12">
        <v>110.4</v>
      </c>
      <c r="J17" s="12">
        <v>110.3</v>
      </c>
      <c r="K17" s="12" t="s">
        <v>18</v>
      </c>
      <c r="L17" s="15" t="s">
        <v>52</v>
      </c>
      <c r="M17" s="16" t="s">
        <v>20</v>
      </c>
      <c r="N17" s="12">
        <f t="shared" si="0"/>
        <v>4.583333333333325</v>
      </c>
      <c r="O17" s="17" t="s">
        <v>21</v>
      </c>
      <c r="P17" s="17" t="s">
        <v>22</v>
      </c>
      <c r="Q17" s="27"/>
      <c r="R17" s="19"/>
      <c r="S17" s="10"/>
      <c r="T17" s="25"/>
      <c r="U17" s="25"/>
      <c r="V17" s="25"/>
      <c r="W17" s="25"/>
      <c r="X17" s="25"/>
      <c r="Y17" s="25"/>
      <c r="Z17" s="25"/>
      <c r="AA17" s="25"/>
      <c r="AB17" s="25"/>
    </row>
    <row r="18" spans="1:28" ht="15.75" customHeight="1">
      <c r="A18" s="22" t="s">
        <v>53</v>
      </c>
      <c r="B18" s="12" t="s">
        <v>17</v>
      </c>
      <c r="C18" s="14">
        <v>45320</v>
      </c>
      <c r="D18" s="13">
        <v>0.36180555555555555</v>
      </c>
      <c r="E18" s="14">
        <v>45320</v>
      </c>
      <c r="F18" s="13">
        <v>0.49930555555555556</v>
      </c>
      <c r="G18" s="12">
        <v>107.9</v>
      </c>
      <c r="H18" s="15">
        <v>1</v>
      </c>
      <c r="I18" s="12">
        <v>108.9</v>
      </c>
      <c r="J18" s="12">
        <v>108.9</v>
      </c>
      <c r="K18" s="12" t="s">
        <v>18</v>
      </c>
      <c r="L18" s="15" t="s">
        <v>54</v>
      </c>
      <c r="M18" s="16" t="s">
        <v>20</v>
      </c>
      <c r="N18" s="12">
        <f t="shared" si="0"/>
        <v>1</v>
      </c>
      <c r="O18" s="17" t="s">
        <v>21</v>
      </c>
      <c r="P18" s="17" t="s">
        <v>22</v>
      </c>
      <c r="Q18" s="27"/>
      <c r="R18" s="19"/>
      <c r="S18" s="10"/>
      <c r="T18" s="25"/>
      <c r="U18" s="25"/>
      <c r="V18" s="25"/>
      <c r="W18" s="25"/>
      <c r="X18" s="25"/>
      <c r="Y18" s="25"/>
      <c r="Z18" s="25"/>
      <c r="AA18" s="25"/>
      <c r="AB18" s="25"/>
    </row>
    <row r="19" spans="1:28" ht="15.75" customHeight="1">
      <c r="A19" s="22" t="s">
        <v>55</v>
      </c>
      <c r="B19" s="12" t="s">
        <v>17</v>
      </c>
      <c r="C19" s="14">
        <v>45320</v>
      </c>
      <c r="D19" s="13">
        <v>0.39374999999999999</v>
      </c>
      <c r="E19" s="14">
        <v>45320</v>
      </c>
      <c r="F19" s="13">
        <v>1.3888888888888889E-3</v>
      </c>
      <c r="G19" s="12">
        <v>105.3</v>
      </c>
      <c r="H19" s="15">
        <v>1</v>
      </c>
      <c r="I19" s="12">
        <v>111</v>
      </c>
      <c r="J19" s="12">
        <v>110.8</v>
      </c>
      <c r="K19" s="12" t="s">
        <v>18</v>
      </c>
      <c r="L19" s="15" t="s">
        <v>56</v>
      </c>
      <c r="M19" s="16" t="s">
        <v>20</v>
      </c>
      <c r="N19" s="12">
        <f t="shared" si="0"/>
        <v>5.5</v>
      </c>
      <c r="O19" s="17" t="s">
        <v>21</v>
      </c>
      <c r="P19" s="17" t="s">
        <v>22</v>
      </c>
      <c r="Q19" s="27"/>
      <c r="R19" s="19"/>
      <c r="S19" s="10"/>
      <c r="T19" s="25"/>
      <c r="U19" s="25"/>
      <c r="V19" s="25"/>
      <c r="W19" s="25"/>
      <c r="X19" s="25"/>
      <c r="Y19" s="25"/>
      <c r="Z19" s="25"/>
      <c r="AA19" s="25"/>
      <c r="AB19" s="25"/>
    </row>
    <row r="20" spans="1:28" ht="15.75" customHeight="1">
      <c r="A20" s="22" t="s">
        <v>57</v>
      </c>
      <c r="B20" s="28" t="s">
        <v>17</v>
      </c>
      <c r="C20" s="14">
        <v>45320</v>
      </c>
      <c r="D20" s="13">
        <v>0.4201388888888889</v>
      </c>
      <c r="E20" s="14">
        <v>45320</v>
      </c>
      <c r="F20" s="13">
        <v>0.50555555555555554</v>
      </c>
      <c r="G20" s="12">
        <v>105.6</v>
      </c>
      <c r="H20" s="15">
        <v>1.054</v>
      </c>
      <c r="I20" s="12">
        <v>110.8</v>
      </c>
      <c r="J20" s="12">
        <v>110.4</v>
      </c>
      <c r="K20" s="12" t="s">
        <v>18</v>
      </c>
      <c r="L20" s="15" t="s">
        <v>58</v>
      </c>
      <c r="M20" s="16" t="s">
        <v>20</v>
      </c>
      <c r="N20" s="12">
        <f t="shared" si="0"/>
        <v>4.5540796963946972</v>
      </c>
      <c r="O20" s="17" t="s">
        <v>21</v>
      </c>
      <c r="P20" s="17" t="s">
        <v>22</v>
      </c>
      <c r="Q20" s="27"/>
      <c r="R20" s="19"/>
      <c r="S20" s="10"/>
      <c r="T20" s="25"/>
      <c r="U20" s="25"/>
      <c r="V20" s="25"/>
      <c r="W20" s="25"/>
      <c r="X20" s="25"/>
      <c r="Y20" s="25"/>
      <c r="Z20" s="25"/>
      <c r="AA20" s="25"/>
      <c r="AB20" s="25"/>
    </row>
    <row r="21" spans="1:28" ht="15.75" customHeight="1">
      <c r="A21" s="29" t="s">
        <v>59</v>
      </c>
      <c r="B21" s="12" t="s">
        <v>17</v>
      </c>
      <c r="C21" s="14">
        <v>45321</v>
      </c>
      <c r="D21" s="30">
        <v>0.3215277777777778</v>
      </c>
      <c r="E21" s="14">
        <v>45321</v>
      </c>
      <c r="F21" s="13">
        <v>0.68263888888888891</v>
      </c>
      <c r="G21" s="31">
        <v>105.9</v>
      </c>
      <c r="H21" s="15">
        <v>1</v>
      </c>
      <c r="I21" s="31">
        <v>112</v>
      </c>
      <c r="J21" s="31">
        <v>111.8</v>
      </c>
      <c r="K21" s="12" t="s">
        <v>18</v>
      </c>
      <c r="L21" s="15" t="s">
        <v>60</v>
      </c>
      <c r="M21" s="16" t="s">
        <v>20</v>
      </c>
      <c r="N21" s="12">
        <f t="shared" si="0"/>
        <v>5.8999999999999915</v>
      </c>
      <c r="O21" s="17" t="s">
        <v>21</v>
      </c>
      <c r="P21" s="17" t="s">
        <v>22</v>
      </c>
      <c r="Q21" s="32"/>
      <c r="R21" s="19"/>
      <c r="S21" s="33"/>
      <c r="T21" s="33"/>
      <c r="U21" s="33"/>
      <c r="V21" s="33"/>
      <c r="W21" s="33"/>
      <c r="X21" s="33"/>
      <c r="Y21" s="33"/>
      <c r="Z21" s="33"/>
      <c r="AA21" s="33"/>
      <c r="AB21" s="33"/>
    </row>
    <row r="22" spans="1:28" ht="15.75" customHeight="1">
      <c r="A22" s="29" t="s">
        <v>61</v>
      </c>
      <c r="B22" s="12" t="s">
        <v>17</v>
      </c>
      <c r="C22" s="14">
        <v>45321</v>
      </c>
      <c r="D22" s="30">
        <v>0.39444444444444443</v>
      </c>
      <c r="E22" s="14">
        <v>45321</v>
      </c>
      <c r="F22" s="13">
        <v>0.68541666666666667</v>
      </c>
      <c r="G22" s="31">
        <v>105</v>
      </c>
      <c r="H22" s="15">
        <v>1</v>
      </c>
      <c r="I22" s="31">
        <v>105.5</v>
      </c>
      <c r="J22" s="31">
        <v>105.4</v>
      </c>
      <c r="K22" s="12" t="s">
        <v>18</v>
      </c>
      <c r="L22" s="15" t="s">
        <v>62</v>
      </c>
      <c r="M22" s="16" t="s">
        <v>20</v>
      </c>
      <c r="N22" s="12">
        <f t="shared" si="0"/>
        <v>0.40000000000000568</v>
      </c>
      <c r="O22" s="17" t="s">
        <v>21</v>
      </c>
      <c r="P22" s="17" t="s">
        <v>22</v>
      </c>
      <c r="Q22" s="32"/>
      <c r="R22" s="19"/>
      <c r="S22" s="33"/>
      <c r="T22" s="33"/>
      <c r="U22" s="33"/>
      <c r="V22" s="33"/>
      <c r="W22" s="33"/>
      <c r="X22" s="33"/>
      <c r="Y22" s="33"/>
      <c r="Z22" s="33"/>
      <c r="AA22" s="33"/>
      <c r="AB22" s="33"/>
    </row>
    <row r="23" spans="1:28" ht="15.75" customHeight="1">
      <c r="A23" s="29" t="s">
        <v>63</v>
      </c>
      <c r="B23" s="12" t="s">
        <v>17</v>
      </c>
      <c r="C23" s="14">
        <v>45321</v>
      </c>
      <c r="D23" s="30">
        <v>0.41388888888888886</v>
      </c>
      <c r="E23" s="14">
        <v>45321</v>
      </c>
      <c r="F23" s="13">
        <v>0.68819444444444444</v>
      </c>
      <c r="G23" s="34">
        <v>105.4</v>
      </c>
      <c r="H23" s="15">
        <v>1</v>
      </c>
      <c r="I23" s="34">
        <v>110.4</v>
      </c>
      <c r="J23" s="34">
        <v>110.1</v>
      </c>
      <c r="K23" s="12" t="s">
        <v>18</v>
      </c>
      <c r="L23" s="15" t="s">
        <v>64</v>
      </c>
      <c r="M23" s="16" t="s">
        <v>20</v>
      </c>
      <c r="N23" s="12">
        <f t="shared" si="0"/>
        <v>4.6999999999999886</v>
      </c>
      <c r="O23" s="17" t="s">
        <v>21</v>
      </c>
      <c r="P23" s="17" t="s">
        <v>22</v>
      </c>
      <c r="Q23" s="32"/>
      <c r="R23" s="19"/>
      <c r="S23" s="33"/>
      <c r="T23" s="33"/>
      <c r="U23" s="33"/>
      <c r="V23" s="33"/>
      <c r="W23" s="33"/>
      <c r="X23" s="33"/>
      <c r="Y23" s="33"/>
      <c r="Z23" s="33"/>
      <c r="AA23" s="33"/>
      <c r="AB23" s="33"/>
    </row>
    <row r="24" spans="1:28" ht="15.75" customHeight="1">
      <c r="A24" s="29" t="s">
        <v>65</v>
      </c>
      <c r="B24" s="12" t="s">
        <v>17</v>
      </c>
      <c r="C24" s="14">
        <v>45321</v>
      </c>
      <c r="D24" s="30">
        <v>0.45208333333333334</v>
      </c>
      <c r="E24" s="14">
        <v>45321</v>
      </c>
      <c r="F24" s="13">
        <v>0.69097222222222221</v>
      </c>
      <c r="G24" s="31">
        <v>106.2</v>
      </c>
      <c r="H24" s="15">
        <v>1</v>
      </c>
      <c r="I24" s="31">
        <v>111.2</v>
      </c>
      <c r="J24" s="31">
        <v>111</v>
      </c>
      <c r="K24" s="12" t="s">
        <v>18</v>
      </c>
      <c r="L24" s="15" t="s">
        <v>66</v>
      </c>
      <c r="M24" s="16" t="s">
        <v>20</v>
      </c>
      <c r="N24" s="12">
        <f t="shared" si="0"/>
        <v>4.7999999999999972</v>
      </c>
      <c r="O24" s="17" t="s">
        <v>21</v>
      </c>
      <c r="P24" s="17" t="s">
        <v>22</v>
      </c>
      <c r="Q24" s="32"/>
      <c r="R24" s="19"/>
      <c r="S24" s="33"/>
      <c r="T24" s="33"/>
      <c r="U24" s="33"/>
      <c r="V24" s="33"/>
      <c r="W24" s="33"/>
      <c r="X24" s="33"/>
      <c r="Y24" s="33"/>
      <c r="Z24" s="33"/>
      <c r="AA24" s="33"/>
      <c r="AB24" s="33"/>
    </row>
    <row r="25" spans="1:28" ht="15.75">
      <c r="A25" s="22" t="s">
        <v>67</v>
      </c>
      <c r="B25" s="12" t="s">
        <v>17</v>
      </c>
      <c r="C25" s="35">
        <v>45322</v>
      </c>
      <c r="D25" s="36">
        <v>0.2951388888888889</v>
      </c>
      <c r="E25" s="14">
        <v>45323</v>
      </c>
      <c r="F25" s="13">
        <v>0.59097222222222223</v>
      </c>
      <c r="G25" s="37">
        <v>104.4</v>
      </c>
      <c r="H25" s="15">
        <v>1</v>
      </c>
      <c r="I25" s="38">
        <v>105.9</v>
      </c>
      <c r="J25" s="38">
        <v>105.7</v>
      </c>
      <c r="K25" s="12" t="s">
        <v>18</v>
      </c>
      <c r="L25" s="15" t="s">
        <v>68</v>
      </c>
      <c r="M25" s="16" t="s">
        <v>20</v>
      </c>
      <c r="N25" s="12">
        <f t="shared" si="0"/>
        <v>1.2999999999999972</v>
      </c>
      <c r="O25" s="17" t="s">
        <v>21</v>
      </c>
      <c r="P25" s="17" t="s">
        <v>22</v>
      </c>
      <c r="Q25" s="27"/>
      <c r="R25" s="19"/>
    </row>
    <row r="26" spans="1:28" ht="15.75" customHeight="1">
      <c r="A26" s="11" t="s">
        <v>16</v>
      </c>
      <c r="B26" s="12" t="s">
        <v>17</v>
      </c>
      <c r="C26" s="12" t="s">
        <v>17</v>
      </c>
      <c r="D26" s="13" t="s">
        <v>17</v>
      </c>
      <c r="E26" s="14">
        <v>45323</v>
      </c>
      <c r="F26" s="13">
        <v>0.58333333333333337</v>
      </c>
      <c r="G26" s="12">
        <v>105.4</v>
      </c>
      <c r="H26" s="15">
        <v>1</v>
      </c>
      <c r="I26" s="12">
        <v>105.5</v>
      </c>
      <c r="J26" s="12">
        <v>105.4</v>
      </c>
      <c r="K26" s="12" t="s">
        <v>18</v>
      </c>
      <c r="L26" s="15" t="s">
        <v>69</v>
      </c>
      <c r="M26" s="16" t="s">
        <v>70</v>
      </c>
      <c r="N26" s="12">
        <f t="shared" si="0"/>
        <v>0</v>
      </c>
      <c r="O26" s="17" t="s">
        <v>21</v>
      </c>
      <c r="P26" s="17" t="s">
        <v>22</v>
      </c>
      <c r="Q26" s="18"/>
      <c r="R26" s="19"/>
      <c r="S26" s="21"/>
      <c r="T26" s="21"/>
      <c r="U26" s="21"/>
      <c r="V26" s="21"/>
      <c r="W26" s="21"/>
      <c r="X26" s="21"/>
      <c r="Y26" s="21"/>
      <c r="Z26" s="21"/>
      <c r="AA26" s="21"/>
      <c r="AB26" s="21"/>
    </row>
    <row r="27" spans="1:28" ht="15.75" customHeight="1">
      <c r="A27" s="22" t="s">
        <v>23</v>
      </c>
      <c r="B27" s="12">
        <v>100.1</v>
      </c>
      <c r="C27" s="12" t="s">
        <v>17</v>
      </c>
      <c r="D27" s="13" t="s">
        <v>17</v>
      </c>
      <c r="E27" s="14">
        <v>45323</v>
      </c>
      <c r="F27" s="13">
        <v>0.59722222222222221</v>
      </c>
      <c r="G27" s="12">
        <v>105.7</v>
      </c>
      <c r="H27" s="15">
        <v>1</v>
      </c>
      <c r="I27" s="12">
        <v>202.9</v>
      </c>
      <c r="J27" s="12">
        <v>202.9</v>
      </c>
      <c r="K27" s="12" t="s">
        <v>18</v>
      </c>
      <c r="L27" s="15" t="s">
        <v>71</v>
      </c>
      <c r="M27" s="16" t="s">
        <v>70</v>
      </c>
      <c r="N27" s="12">
        <f t="shared" si="0"/>
        <v>97.2</v>
      </c>
      <c r="O27" s="17" t="s">
        <v>21</v>
      </c>
      <c r="P27" s="17" t="s">
        <v>22</v>
      </c>
      <c r="Q27" s="23"/>
      <c r="R27" s="19"/>
      <c r="S27" s="21"/>
      <c r="T27" s="21"/>
      <c r="U27" s="21"/>
      <c r="V27" s="21"/>
      <c r="W27" s="21"/>
      <c r="X27" s="21"/>
      <c r="Y27" s="21"/>
      <c r="Z27" s="21"/>
      <c r="AA27" s="21"/>
      <c r="AB27" s="21"/>
    </row>
    <row r="28" spans="1:28" ht="15.75" customHeight="1">
      <c r="A28" s="39" t="s">
        <v>72</v>
      </c>
      <c r="B28" s="12" t="s">
        <v>17</v>
      </c>
      <c r="C28" s="35">
        <v>45322</v>
      </c>
      <c r="D28" s="13">
        <v>0.34305555555555556</v>
      </c>
      <c r="E28" s="14">
        <v>45323</v>
      </c>
      <c r="F28" s="13">
        <v>0.60347222222222219</v>
      </c>
      <c r="G28" s="31">
        <v>103.7</v>
      </c>
      <c r="H28" s="15">
        <v>1</v>
      </c>
      <c r="I28" s="31">
        <v>106.7</v>
      </c>
      <c r="J28" s="31">
        <v>106.2</v>
      </c>
      <c r="K28" s="12" t="s">
        <v>18</v>
      </c>
      <c r="L28" s="15" t="s">
        <v>73</v>
      </c>
      <c r="M28" s="16" t="s">
        <v>70</v>
      </c>
      <c r="N28" s="12">
        <f t="shared" si="0"/>
        <v>2.5</v>
      </c>
      <c r="O28" s="17" t="s">
        <v>21</v>
      </c>
      <c r="P28" s="17" t="s">
        <v>22</v>
      </c>
      <c r="Q28" s="32"/>
      <c r="R28" s="19"/>
      <c r="S28" s="33"/>
      <c r="T28" s="33"/>
      <c r="U28" s="33"/>
      <c r="V28" s="33"/>
      <c r="W28" s="33"/>
      <c r="X28" s="33"/>
      <c r="Y28" s="33"/>
      <c r="Z28" s="33"/>
      <c r="AA28" s="33"/>
      <c r="AB28" s="33"/>
    </row>
    <row r="29" spans="1:28" ht="15.75" customHeight="1">
      <c r="A29" s="39" t="s">
        <v>74</v>
      </c>
      <c r="B29" s="12" t="s">
        <v>17</v>
      </c>
      <c r="C29" s="35">
        <v>45322</v>
      </c>
      <c r="D29" s="26">
        <v>0.38611111111111113</v>
      </c>
      <c r="E29" s="14">
        <v>45323</v>
      </c>
      <c r="F29" s="13">
        <v>0.6118055555555556</v>
      </c>
      <c r="G29" s="40">
        <v>106.3</v>
      </c>
      <c r="H29" s="15">
        <v>1</v>
      </c>
      <c r="I29" s="41">
        <v>109.4</v>
      </c>
      <c r="J29" s="42">
        <v>109.3</v>
      </c>
      <c r="K29" s="12" t="s">
        <v>18</v>
      </c>
      <c r="L29" s="15" t="s">
        <v>75</v>
      </c>
      <c r="M29" s="16" t="s">
        <v>70</v>
      </c>
      <c r="N29" s="12">
        <f t="shared" si="0"/>
        <v>3</v>
      </c>
      <c r="O29" s="17" t="s">
        <v>21</v>
      </c>
      <c r="P29" s="17" t="s">
        <v>22</v>
      </c>
      <c r="Q29" s="43"/>
      <c r="R29" s="19"/>
      <c r="S29" s="44"/>
      <c r="T29" s="44"/>
      <c r="U29" s="44"/>
      <c r="V29" s="44"/>
      <c r="W29" s="44"/>
      <c r="X29" s="44"/>
      <c r="Y29" s="44"/>
      <c r="Z29" s="44"/>
      <c r="AA29" s="44"/>
      <c r="AB29" s="44"/>
    </row>
    <row r="30" spans="1:28" ht="15.75" customHeight="1">
      <c r="A30" s="45" t="s">
        <v>76</v>
      </c>
      <c r="B30" s="46" t="s">
        <v>17</v>
      </c>
      <c r="C30" s="47">
        <v>45322</v>
      </c>
      <c r="D30" s="48">
        <v>0.42499999999999999</v>
      </c>
      <c r="E30" s="49">
        <v>45323</v>
      </c>
      <c r="F30" s="50">
        <v>0.61805555555555558</v>
      </c>
      <c r="G30" s="51">
        <v>107.5</v>
      </c>
      <c r="H30" s="52">
        <v>1</v>
      </c>
      <c r="I30" s="51">
        <v>107.5</v>
      </c>
      <c r="J30" s="53">
        <v>107.4</v>
      </c>
      <c r="K30" s="46" t="s">
        <v>18</v>
      </c>
      <c r="L30" s="52" t="s">
        <v>77</v>
      </c>
      <c r="M30" s="54" t="s">
        <v>70</v>
      </c>
      <c r="N30" s="46">
        <v>0</v>
      </c>
      <c r="O30" s="55" t="s">
        <v>21</v>
      </c>
      <c r="P30" s="55" t="s">
        <v>22</v>
      </c>
      <c r="Q30" s="56" t="s">
        <v>78</v>
      </c>
      <c r="R30" s="57"/>
      <c r="S30" s="58"/>
      <c r="T30" s="58"/>
      <c r="U30" s="58"/>
      <c r="V30" s="58"/>
      <c r="W30" s="58"/>
      <c r="X30" s="58"/>
      <c r="Y30" s="58"/>
      <c r="Z30" s="58"/>
      <c r="AA30" s="58"/>
      <c r="AB30" s="58"/>
    </row>
    <row r="31" spans="1:28" ht="15.75" customHeight="1">
      <c r="A31" s="59" t="s">
        <v>79</v>
      </c>
      <c r="B31" s="12" t="s">
        <v>17</v>
      </c>
      <c r="C31" s="35">
        <v>45323</v>
      </c>
      <c r="D31" s="13">
        <v>0.30763888888888891</v>
      </c>
      <c r="E31" s="14">
        <v>45324</v>
      </c>
      <c r="F31" s="13">
        <v>0.41249999999999998</v>
      </c>
      <c r="G31" s="41">
        <v>105.2</v>
      </c>
      <c r="H31" s="15">
        <v>1</v>
      </c>
      <c r="I31" s="41">
        <v>111.5</v>
      </c>
      <c r="J31" s="42">
        <v>111.4</v>
      </c>
      <c r="K31" s="12" t="s">
        <v>18</v>
      </c>
      <c r="L31" s="15" t="s">
        <v>80</v>
      </c>
      <c r="M31" s="16" t="s">
        <v>20</v>
      </c>
      <c r="N31" s="12">
        <f t="shared" ref="N31:N58" si="1">(J31-G31)/H31</f>
        <v>6.2000000000000028</v>
      </c>
      <c r="O31" s="17" t="s">
        <v>21</v>
      </c>
      <c r="P31" s="17" t="s">
        <v>22</v>
      </c>
      <c r="Q31" s="18"/>
      <c r="R31" s="19"/>
      <c r="S31" s="21"/>
      <c r="T31" s="21"/>
      <c r="U31" s="21"/>
      <c r="V31" s="21"/>
      <c r="W31" s="21"/>
      <c r="X31" s="21"/>
      <c r="Y31" s="21"/>
      <c r="Z31" s="21"/>
      <c r="AA31" s="21"/>
      <c r="AB31" s="21"/>
    </row>
    <row r="32" spans="1:28" ht="15.75" customHeight="1">
      <c r="A32" s="59" t="s">
        <v>81</v>
      </c>
      <c r="B32" s="12" t="s">
        <v>17</v>
      </c>
      <c r="C32" s="35">
        <v>45323</v>
      </c>
      <c r="D32" s="30">
        <v>0.35347222222222224</v>
      </c>
      <c r="E32" s="14">
        <v>45324</v>
      </c>
      <c r="F32" s="13">
        <v>0.45277777777777778</v>
      </c>
      <c r="G32" s="41">
        <v>109.4</v>
      </c>
      <c r="H32" s="15">
        <v>1</v>
      </c>
      <c r="I32" s="41">
        <v>115.6</v>
      </c>
      <c r="J32" s="42">
        <v>115.6</v>
      </c>
      <c r="K32" s="12" t="s">
        <v>18</v>
      </c>
      <c r="L32" s="15" t="s">
        <v>82</v>
      </c>
      <c r="M32" s="16" t="s">
        <v>20</v>
      </c>
      <c r="N32" s="12">
        <f t="shared" si="1"/>
        <v>6.1999999999999886</v>
      </c>
      <c r="O32" s="17" t="s">
        <v>21</v>
      </c>
      <c r="P32" s="17" t="s">
        <v>22</v>
      </c>
      <c r="Q32" s="43"/>
      <c r="R32" s="19"/>
      <c r="S32" s="44"/>
      <c r="T32" s="44"/>
      <c r="U32" s="44"/>
      <c r="V32" s="44"/>
      <c r="W32" s="44"/>
      <c r="X32" s="44"/>
      <c r="Y32" s="44"/>
      <c r="Z32" s="44"/>
      <c r="AA32" s="44"/>
      <c r="AB32" s="44"/>
    </row>
    <row r="33" spans="1:28" ht="15.75" customHeight="1">
      <c r="A33" s="59" t="s">
        <v>83</v>
      </c>
      <c r="B33" s="12" t="s">
        <v>17</v>
      </c>
      <c r="C33" s="35">
        <v>45323</v>
      </c>
      <c r="D33" s="30">
        <v>0.3840277777777778</v>
      </c>
      <c r="E33" s="14">
        <v>45324</v>
      </c>
      <c r="F33" s="13">
        <v>0.45694444444444443</v>
      </c>
      <c r="G33" s="41">
        <v>109.3</v>
      </c>
      <c r="H33" s="15">
        <v>1</v>
      </c>
      <c r="I33" s="41">
        <v>133.19999999999999</v>
      </c>
      <c r="J33" s="42">
        <v>132.6</v>
      </c>
      <c r="K33" s="12">
        <v>132.6</v>
      </c>
      <c r="L33" s="15" t="s">
        <v>84</v>
      </c>
      <c r="M33" s="16" t="s">
        <v>20</v>
      </c>
      <c r="N33" s="12">
        <f t="shared" si="1"/>
        <v>23.299999999999997</v>
      </c>
      <c r="O33" s="17" t="s">
        <v>21</v>
      </c>
      <c r="P33" s="17" t="s">
        <v>22</v>
      </c>
      <c r="Q33" s="43"/>
      <c r="R33" s="19"/>
      <c r="S33" s="44"/>
      <c r="T33" s="44"/>
      <c r="U33" s="44"/>
      <c r="V33" s="44"/>
      <c r="W33" s="44"/>
      <c r="X33" s="44"/>
      <c r="Y33" s="44"/>
      <c r="Z33" s="44"/>
      <c r="AA33" s="44"/>
      <c r="AB33" s="44"/>
    </row>
    <row r="34" spans="1:28" ht="15.75" customHeight="1">
      <c r="A34" s="39" t="s">
        <v>85</v>
      </c>
      <c r="B34" s="12" t="s">
        <v>17</v>
      </c>
      <c r="C34" s="35">
        <v>45324</v>
      </c>
      <c r="D34" s="30">
        <v>0.37013888888888891</v>
      </c>
      <c r="E34" s="14">
        <v>45324</v>
      </c>
      <c r="F34" s="30">
        <v>0.60902777777777772</v>
      </c>
      <c r="G34" s="41">
        <v>109.5</v>
      </c>
      <c r="H34" s="15">
        <v>1</v>
      </c>
      <c r="I34" s="41">
        <v>115.7</v>
      </c>
      <c r="J34" s="42">
        <v>115.6</v>
      </c>
      <c r="K34" s="12" t="s">
        <v>18</v>
      </c>
      <c r="L34" s="39" t="s">
        <v>86</v>
      </c>
      <c r="M34" s="16" t="s">
        <v>20</v>
      </c>
      <c r="N34" s="12">
        <f t="shared" si="1"/>
        <v>6.0999999999999943</v>
      </c>
      <c r="O34" s="17" t="s">
        <v>21</v>
      </c>
      <c r="P34" s="17" t="s">
        <v>22</v>
      </c>
      <c r="Q34" s="43"/>
      <c r="R34" s="19"/>
      <c r="S34" s="44"/>
      <c r="T34" s="44"/>
      <c r="U34" s="44"/>
      <c r="V34" s="44"/>
      <c r="W34" s="44"/>
      <c r="X34" s="44"/>
      <c r="Y34" s="44"/>
      <c r="Z34" s="44"/>
      <c r="AA34" s="44"/>
      <c r="AB34" s="44"/>
    </row>
    <row r="35" spans="1:28" ht="15.75" customHeight="1">
      <c r="A35" s="39" t="s">
        <v>87</v>
      </c>
      <c r="B35" s="12" t="s">
        <v>17</v>
      </c>
      <c r="C35" s="35">
        <v>45324</v>
      </c>
      <c r="D35" s="30">
        <v>0.40208333333333335</v>
      </c>
      <c r="E35" s="14">
        <v>45324</v>
      </c>
      <c r="F35" s="30">
        <v>0.61041666666666672</v>
      </c>
      <c r="G35" s="41">
        <v>108.7</v>
      </c>
      <c r="H35" s="15">
        <v>1</v>
      </c>
      <c r="I35" s="41">
        <v>116.2</v>
      </c>
      <c r="J35" s="42">
        <v>116.4</v>
      </c>
      <c r="K35" s="12" t="s">
        <v>18</v>
      </c>
      <c r="L35" s="39" t="s">
        <v>88</v>
      </c>
      <c r="M35" s="16" t="s">
        <v>20</v>
      </c>
      <c r="N35" s="12">
        <f t="shared" si="1"/>
        <v>7.7000000000000028</v>
      </c>
      <c r="O35" s="17" t="s">
        <v>21</v>
      </c>
      <c r="P35" s="17" t="s">
        <v>22</v>
      </c>
      <c r="Q35" s="43"/>
      <c r="R35" s="19"/>
      <c r="S35" s="44"/>
      <c r="T35" s="44"/>
      <c r="U35" s="44"/>
      <c r="V35" s="44"/>
      <c r="W35" s="44"/>
      <c r="X35" s="44"/>
      <c r="Y35" s="44"/>
      <c r="Z35" s="44"/>
      <c r="AA35" s="44"/>
      <c r="AB35" s="44"/>
    </row>
    <row r="36" spans="1:28" ht="15.75" customHeight="1">
      <c r="A36" s="39" t="s">
        <v>89</v>
      </c>
      <c r="B36" s="12" t="s">
        <v>17</v>
      </c>
      <c r="C36" s="35">
        <v>45324</v>
      </c>
      <c r="D36" s="30">
        <v>0.43888888888888888</v>
      </c>
      <c r="E36" s="14">
        <v>45324</v>
      </c>
      <c r="F36" s="30">
        <v>0.61250000000000004</v>
      </c>
      <c r="G36" s="41">
        <v>107.8</v>
      </c>
      <c r="H36" s="15">
        <v>1</v>
      </c>
      <c r="I36" s="41">
        <v>114.2</v>
      </c>
      <c r="J36" s="42">
        <v>114.3</v>
      </c>
      <c r="K36" s="12" t="s">
        <v>18</v>
      </c>
      <c r="L36" s="39" t="s">
        <v>90</v>
      </c>
      <c r="M36" s="16" t="s">
        <v>20</v>
      </c>
      <c r="N36" s="12">
        <f t="shared" si="1"/>
        <v>6.5</v>
      </c>
      <c r="O36" s="17" t="s">
        <v>21</v>
      </c>
      <c r="P36" s="17" t="s">
        <v>22</v>
      </c>
      <c r="Q36" s="43"/>
      <c r="R36" s="19"/>
      <c r="S36" s="44"/>
      <c r="T36" s="44"/>
      <c r="U36" s="44"/>
      <c r="V36" s="44"/>
      <c r="W36" s="44"/>
      <c r="X36" s="44"/>
      <c r="Y36" s="44"/>
      <c r="Z36" s="44"/>
      <c r="AA36" s="44"/>
      <c r="AB36" s="44"/>
    </row>
    <row r="37" spans="1:28" ht="15.75" customHeight="1">
      <c r="A37" s="39" t="s">
        <v>91</v>
      </c>
      <c r="B37" s="12" t="s">
        <v>17</v>
      </c>
      <c r="C37" s="35">
        <v>45324</v>
      </c>
      <c r="D37" s="30">
        <v>0.46944444444444444</v>
      </c>
      <c r="E37" s="14">
        <v>45324</v>
      </c>
      <c r="F37" s="30">
        <v>0.61458333333333337</v>
      </c>
      <c r="G37" s="41">
        <v>109.5</v>
      </c>
      <c r="H37" s="15">
        <v>1</v>
      </c>
      <c r="I37" s="41">
        <v>114.3</v>
      </c>
      <c r="J37" s="42">
        <v>114.4</v>
      </c>
      <c r="K37" s="12" t="s">
        <v>18</v>
      </c>
      <c r="L37" s="39" t="s">
        <v>92</v>
      </c>
      <c r="M37" s="16" t="s">
        <v>20</v>
      </c>
      <c r="N37" s="12">
        <f t="shared" si="1"/>
        <v>4.9000000000000057</v>
      </c>
      <c r="O37" s="17" t="s">
        <v>21</v>
      </c>
      <c r="P37" s="17" t="s">
        <v>22</v>
      </c>
      <c r="Q37" s="43"/>
      <c r="R37" s="19"/>
      <c r="S37" s="44"/>
      <c r="T37" s="44"/>
      <c r="U37" s="44"/>
      <c r="V37" s="44"/>
      <c r="W37" s="44"/>
      <c r="X37" s="44"/>
      <c r="Y37" s="44"/>
      <c r="Z37" s="44"/>
      <c r="AA37" s="44"/>
      <c r="AB37" s="44"/>
    </row>
    <row r="38" spans="1:28" ht="15.75" customHeight="1">
      <c r="A38" s="11" t="s">
        <v>16</v>
      </c>
      <c r="B38" s="12" t="s">
        <v>17</v>
      </c>
      <c r="C38" s="12" t="s">
        <v>17</v>
      </c>
      <c r="D38" s="13" t="s">
        <v>17</v>
      </c>
      <c r="E38" s="14">
        <v>45336</v>
      </c>
      <c r="F38" s="13">
        <v>0.46805555555555556</v>
      </c>
      <c r="G38" s="12">
        <v>105</v>
      </c>
      <c r="H38" s="15">
        <v>1</v>
      </c>
      <c r="I38" s="12">
        <v>105.6</v>
      </c>
      <c r="J38" s="12">
        <v>105.3</v>
      </c>
      <c r="K38" s="12" t="s">
        <v>18</v>
      </c>
      <c r="L38" s="15" t="s">
        <v>69</v>
      </c>
      <c r="M38" s="16" t="s">
        <v>70</v>
      </c>
      <c r="N38" s="12">
        <f t="shared" si="1"/>
        <v>0.29999999999999716</v>
      </c>
      <c r="O38" s="17" t="s">
        <v>21</v>
      </c>
      <c r="P38" s="17" t="s">
        <v>22</v>
      </c>
      <c r="Q38" s="21"/>
      <c r="R38" s="19"/>
      <c r="S38" s="21"/>
      <c r="T38" s="21"/>
      <c r="U38" s="21"/>
      <c r="V38" s="21"/>
      <c r="W38" s="21"/>
      <c r="X38" s="21"/>
      <c r="Y38" s="21"/>
      <c r="Z38" s="21"/>
      <c r="AA38" s="21"/>
      <c r="AB38" s="21"/>
    </row>
    <row r="39" spans="1:28" ht="15.75" customHeight="1">
      <c r="A39" s="60" t="s">
        <v>23</v>
      </c>
      <c r="B39" s="61">
        <v>100.6</v>
      </c>
      <c r="C39" s="61" t="s">
        <v>17</v>
      </c>
      <c r="D39" s="62" t="s">
        <v>17</v>
      </c>
      <c r="E39" s="63">
        <v>45336</v>
      </c>
      <c r="F39" s="62">
        <v>0.48333333333333334</v>
      </c>
      <c r="G39" s="61">
        <v>105.1</v>
      </c>
      <c r="H39" s="64">
        <v>1</v>
      </c>
      <c r="I39" s="61">
        <v>206.5</v>
      </c>
      <c r="J39" s="61">
        <v>206.3</v>
      </c>
      <c r="K39" s="61" t="s">
        <v>18</v>
      </c>
      <c r="L39" s="64" t="s">
        <v>93</v>
      </c>
      <c r="M39" s="65" t="s">
        <v>70</v>
      </c>
      <c r="N39" s="61">
        <f t="shared" si="1"/>
        <v>101.20000000000002</v>
      </c>
      <c r="O39" s="66" t="s">
        <v>21</v>
      </c>
      <c r="P39" s="66" t="s">
        <v>22</v>
      </c>
      <c r="Q39" s="25"/>
      <c r="R39" s="19"/>
      <c r="S39" s="21"/>
      <c r="T39" s="21"/>
      <c r="U39" s="21"/>
      <c r="V39" s="21"/>
      <c r="W39" s="21"/>
      <c r="X39" s="21"/>
      <c r="Y39" s="21"/>
      <c r="Z39" s="21"/>
      <c r="AA39" s="21"/>
      <c r="AB39" s="21"/>
    </row>
    <row r="40" spans="1:28" ht="15.75" customHeight="1">
      <c r="A40" s="59" t="s">
        <v>94</v>
      </c>
      <c r="B40" s="12" t="s">
        <v>17</v>
      </c>
      <c r="C40" s="14">
        <v>45336</v>
      </c>
      <c r="D40" s="30">
        <v>0.3298611111111111</v>
      </c>
      <c r="E40" s="14">
        <v>45336</v>
      </c>
      <c r="F40" s="30">
        <v>0.49722222222222223</v>
      </c>
      <c r="G40" s="41">
        <v>108.6</v>
      </c>
      <c r="H40" s="15">
        <v>1</v>
      </c>
      <c r="I40" s="41">
        <v>116.3</v>
      </c>
      <c r="J40" s="42">
        <v>116</v>
      </c>
      <c r="K40" s="61">
        <v>116.3</v>
      </c>
      <c r="L40" s="39" t="s">
        <v>95</v>
      </c>
      <c r="M40" s="16" t="s">
        <v>20</v>
      </c>
      <c r="N40" s="12">
        <f t="shared" si="1"/>
        <v>7.4000000000000057</v>
      </c>
      <c r="O40" s="66" t="s">
        <v>21</v>
      </c>
      <c r="P40" s="66" t="s">
        <v>22</v>
      </c>
      <c r="Q40" s="43"/>
      <c r="R40" s="19"/>
      <c r="S40" s="44"/>
      <c r="T40" s="44"/>
      <c r="U40" s="44"/>
      <c r="V40" s="44"/>
      <c r="W40" s="44"/>
      <c r="X40" s="44"/>
      <c r="Y40" s="44"/>
      <c r="Z40" s="44"/>
      <c r="AA40" s="44"/>
      <c r="AB40" s="44"/>
    </row>
    <row r="41" spans="1:28" ht="15.75" customHeight="1">
      <c r="A41" s="59" t="s">
        <v>96</v>
      </c>
      <c r="B41" s="12" t="s">
        <v>17</v>
      </c>
      <c r="C41" s="14">
        <v>45336</v>
      </c>
      <c r="D41" s="62">
        <v>0.35138888888888886</v>
      </c>
      <c r="E41" s="14">
        <v>45336</v>
      </c>
      <c r="F41" s="67">
        <v>0.49930555555555556</v>
      </c>
      <c r="G41" s="68">
        <v>107.8</v>
      </c>
      <c r="H41" s="15">
        <v>1</v>
      </c>
      <c r="I41" s="34">
        <v>115.6</v>
      </c>
      <c r="J41" s="34">
        <v>115.3</v>
      </c>
      <c r="K41" s="61">
        <v>115.4</v>
      </c>
      <c r="L41" s="39" t="s">
        <v>97</v>
      </c>
      <c r="M41" s="16" t="s">
        <v>20</v>
      </c>
      <c r="N41" s="12">
        <f t="shared" si="1"/>
        <v>7.5</v>
      </c>
      <c r="O41" s="66" t="s">
        <v>21</v>
      </c>
      <c r="P41" s="66" t="s">
        <v>22</v>
      </c>
      <c r="Q41" s="69"/>
      <c r="R41" s="19"/>
      <c r="S41" s="44"/>
      <c r="T41" s="44"/>
      <c r="U41" s="44"/>
      <c r="V41" s="44"/>
      <c r="W41" s="44"/>
      <c r="X41" s="44"/>
      <c r="Y41" s="44"/>
      <c r="Z41" s="44"/>
      <c r="AA41" s="44"/>
      <c r="AB41" s="44"/>
    </row>
    <row r="42" spans="1:28" ht="15.75" customHeight="1">
      <c r="A42" s="59" t="s">
        <v>98</v>
      </c>
      <c r="B42" s="12" t="s">
        <v>17</v>
      </c>
      <c r="C42" s="14">
        <v>45336</v>
      </c>
      <c r="D42" s="13">
        <v>0.40625</v>
      </c>
      <c r="E42" s="14">
        <v>45336</v>
      </c>
      <c r="F42" s="70">
        <v>0.50208333333333333</v>
      </c>
      <c r="G42" s="34">
        <v>109.5</v>
      </c>
      <c r="H42" s="15">
        <v>1</v>
      </c>
      <c r="I42" s="34">
        <v>116.1</v>
      </c>
      <c r="J42" s="34">
        <v>116</v>
      </c>
      <c r="K42" s="61">
        <v>116.2</v>
      </c>
      <c r="L42" s="39" t="s">
        <v>99</v>
      </c>
      <c r="M42" s="16" t="s">
        <v>20</v>
      </c>
      <c r="N42" s="12">
        <f t="shared" si="1"/>
        <v>6.5</v>
      </c>
      <c r="O42" s="66" t="s">
        <v>21</v>
      </c>
      <c r="P42" s="66" t="s">
        <v>22</v>
      </c>
      <c r="Q42" s="69"/>
      <c r="R42" s="19"/>
      <c r="S42" s="44"/>
      <c r="T42" s="44"/>
      <c r="U42" s="44"/>
      <c r="V42" s="44"/>
      <c r="W42" s="44"/>
      <c r="X42" s="44"/>
      <c r="Y42" s="44"/>
      <c r="Z42" s="44"/>
      <c r="AA42" s="44"/>
      <c r="AB42" s="44"/>
    </row>
    <row r="43" spans="1:28" ht="15.75" customHeight="1">
      <c r="A43" s="59" t="s">
        <v>100</v>
      </c>
      <c r="B43" s="12" t="s">
        <v>17</v>
      </c>
      <c r="C43" s="14">
        <v>45336</v>
      </c>
      <c r="D43" s="13">
        <v>0.4548611111111111</v>
      </c>
      <c r="E43" s="14">
        <v>45336</v>
      </c>
      <c r="F43" s="13">
        <v>0.50416666666666665</v>
      </c>
      <c r="G43" s="34">
        <v>104.5</v>
      </c>
      <c r="H43" s="15">
        <v>1</v>
      </c>
      <c r="I43" s="34">
        <v>109.7</v>
      </c>
      <c r="J43" s="34">
        <v>109.3</v>
      </c>
      <c r="K43" s="61">
        <v>109.3</v>
      </c>
      <c r="L43" s="39" t="s">
        <v>101</v>
      </c>
      <c r="M43" s="16" t="s">
        <v>20</v>
      </c>
      <c r="N43" s="12">
        <f t="shared" si="1"/>
        <v>4.7999999999999972</v>
      </c>
      <c r="O43" s="66" t="s">
        <v>21</v>
      </c>
      <c r="P43" s="66" t="s">
        <v>22</v>
      </c>
      <c r="Q43" s="69"/>
      <c r="R43" s="19"/>
      <c r="S43" s="44"/>
      <c r="T43" s="44"/>
      <c r="U43" s="44"/>
      <c r="V43" s="44"/>
      <c r="W43" s="44"/>
      <c r="X43" s="44"/>
      <c r="Y43" s="44"/>
      <c r="Z43" s="44"/>
      <c r="AA43" s="44"/>
      <c r="AB43" s="44"/>
    </row>
    <row r="44" spans="1:28" ht="15.75" customHeight="1">
      <c r="A44" s="59" t="s">
        <v>102</v>
      </c>
      <c r="B44" s="12" t="s">
        <v>17</v>
      </c>
      <c r="C44" s="14">
        <v>45337</v>
      </c>
      <c r="D44" s="13">
        <v>0.29305555555555557</v>
      </c>
      <c r="E44" s="14">
        <v>45338</v>
      </c>
      <c r="F44" s="13">
        <v>0.45833333333333331</v>
      </c>
      <c r="G44" s="12">
        <v>108</v>
      </c>
      <c r="H44" s="15">
        <v>1</v>
      </c>
      <c r="I44" s="12">
        <v>113.1</v>
      </c>
      <c r="J44" s="12">
        <v>113</v>
      </c>
      <c r="K44" s="12" t="s">
        <v>18</v>
      </c>
      <c r="L44" s="39" t="s">
        <v>103</v>
      </c>
      <c r="M44" s="16" t="s">
        <v>20</v>
      </c>
      <c r="N44" s="12">
        <f t="shared" si="1"/>
        <v>5</v>
      </c>
      <c r="O44" s="66" t="s">
        <v>21</v>
      </c>
      <c r="P44" s="66" t="s">
        <v>22</v>
      </c>
      <c r="Q44" s="21"/>
      <c r="R44" s="19"/>
      <c r="S44" s="21"/>
      <c r="T44" s="21"/>
      <c r="U44" s="21"/>
      <c r="V44" s="21"/>
      <c r="W44" s="21"/>
      <c r="X44" s="21"/>
      <c r="Y44" s="21"/>
      <c r="Z44" s="21"/>
      <c r="AA44" s="21"/>
      <c r="AB44" s="21"/>
    </row>
    <row r="45" spans="1:28" ht="15.75" customHeight="1">
      <c r="A45" s="59" t="s">
        <v>104</v>
      </c>
      <c r="B45" s="12" t="s">
        <v>17</v>
      </c>
      <c r="C45" s="14">
        <v>45337</v>
      </c>
      <c r="D45" s="13">
        <v>0.3972222222222222</v>
      </c>
      <c r="E45" s="14">
        <v>45338</v>
      </c>
      <c r="F45" s="13">
        <v>0.46180555555555558</v>
      </c>
      <c r="G45" s="12">
        <v>108.8</v>
      </c>
      <c r="H45" s="15">
        <v>1</v>
      </c>
      <c r="I45" s="12">
        <v>116.6</v>
      </c>
      <c r="J45" s="12">
        <v>116.6</v>
      </c>
      <c r="K45" s="12" t="s">
        <v>18</v>
      </c>
      <c r="L45" s="39" t="s">
        <v>105</v>
      </c>
      <c r="M45" s="16" t="s">
        <v>20</v>
      </c>
      <c r="N45" s="12">
        <f t="shared" si="1"/>
        <v>7.7999999999999972</v>
      </c>
      <c r="O45" s="66" t="s">
        <v>21</v>
      </c>
      <c r="P45" s="66" t="s">
        <v>22</v>
      </c>
      <c r="Q45" s="21"/>
      <c r="R45" s="19"/>
      <c r="S45" s="21"/>
      <c r="T45" s="21"/>
      <c r="U45" s="21"/>
      <c r="V45" s="21"/>
      <c r="W45" s="21"/>
      <c r="X45" s="21"/>
      <c r="Y45" s="21"/>
      <c r="Z45" s="21"/>
      <c r="AA45" s="21"/>
      <c r="AB45" s="21"/>
    </row>
    <row r="46" spans="1:28" ht="15.75" customHeight="1">
      <c r="A46" s="59" t="s">
        <v>106</v>
      </c>
      <c r="B46" s="12" t="s">
        <v>17</v>
      </c>
      <c r="C46" s="14">
        <v>45337</v>
      </c>
      <c r="D46" s="13">
        <v>0.4152777777777778</v>
      </c>
      <c r="E46" s="14">
        <v>45338</v>
      </c>
      <c r="F46" s="13">
        <v>0.46527777777777779</v>
      </c>
      <c r="G46" s="12">
        <v>109</v>
      </c>
      <c r="H46" s="15">
        <v>1</v>
      </c>
      <c r="I46" s="12">
        <v>113.6</v>
      </c>
      <c r="J46" s="12">
        <v>113.5</v>
      </c>
      <c r="K46" s="12" t="s">
        <v>18</v>
      </c>
      <c r="L46" s="39" t="s">
        <v>107</v>
      </c>
      <c r="M46" s="16" t="s">
        <v>20</v>
      </c>
      <c r="N46" s="12">
        <f t="shared" si="1"/>
        <v>4.5</v>
      </c>
      <c r="O46" s="66" t="s">
        <v>21</v>
      </c>
      <c r="P46" s="66" t="s">
        <v>22</v>
      </c>
      <c r="Q46" s="21"/>
      <c r="R46" s="19"/>
      <c r="S46" s="21"/>
      <c r="T46" s="21"/>
      <c r="U46" s="21"/>
      <c r="V46" s="21"/>
      <c r="W46" s="21"/>
      <c r="X46" s="21"/>
      <c r="Y46" s="21"/>
      <c r="Z46" s="21"/>
      <c r="AA46" s="21"/>
      <c r="AB46" s="21"/>
    </row>
    <row r="47" spans="1:28" ht="15.75" customHeight="1">
      <c r="A47" s="59" t="s">
        <v>108</v>
      </c>
      <c r="B47" s="12" t="s">
        <v>17</v>
      </c>
      <c r="C47" s="14">
        <v>45338</v>
      </c>
      <c r="D47" s="13">
        <v>0.33055555555555555</v>
      </c>
      <c r="E47" s="14">
        <v>45338</v>
      </c>
      <c r="F47" s="13">
        <v>0.54166666666666663</v>
      </c>
      <c r="G47" s="12">
        <v>104.3</v>
      </c>
      <c r="H47" s="15">
        <v>1</v>
      </c>
      <c r="I47" s="12">
        <v>112.6</v>
      </c>
      <c r="J47" s="12">
        <v>112.4</v>
      </c>
      <c r="K47" s="12" t="s">
        <v>18</v>
      </c>
      <c r="L47" s="71" t="s">
        <v>109</v>
      </c>
      <c r="M47" s="16" t="s">
        <v>110</v>
      </c>
      <c r="N47" s="12">
        <f t="shared" si="1"/>
        <v>8.1000000000000085</v>
      </c>
      <c r="O47" s="66" t="s">
        <v>21</v>
      </c>
      <c r="P47" s="66" t="s">
        <v>22</v>
      </c>
      <c r="Q47" s="21"/>
      <c r="R47" s="19"/>
      <c r="S47" s="21"/>
      <c r="T47" s="21"/>
      <c r="U47" s="21"/>
      <c r="V47" s="21"/>
      <c r="W47" s="21"/>
      <c r="X47" s="21"/>
      <c r="Y47" s="21"/>
      <c r="Z47" s="21"/>
      <c r="AA47" s="21"/>
      <c r="AB47" s="21"/>
    </row>
    <row r="48" spans="1:28" ht="15.75" customHeight="1">
      <c r="A48" s="59" t="s">
        <v>111</v>
      </c>
      <c r="B48" s="12" t="s">
        <v>17</v>
      </c>
      <c r="C48" s="14">
        <v>45338</v>
      </c>
      <c r="D48" s="13">
        <v>0.36458333333333331</v>
      </c>
      <c r="E48" s="14">
        <v>45338</v>
      </c>
      <c r="F48" s="13">
        <v>0.54374999999999996</v>
      </c>
      <c r="G48" s="12">
        <v>104.2</v>
      </c>
      <c r="H48" s="15">
        <v>1</v>
      </c>
      <c r="I48" s="12">
        <v>109.9</v>
      </c>
      <c r="J48" s="12">
        <v>109.8</v>
      </c>
      <c r="K48" s="12" t="s">
        <v>18</v>
      </c>
      <c r="L48" s="72" t="s">
        <v>112</v>
      </c>
      <c r="M48" s="16" t="s">
        <v>110</v>
      </c>
      <c r="N48" s="12">
        <f t="shared" si="1"/>
        <v>5.5999999999999943</v>
      </c>
      <c r="O48" s="66" t="s">
        <v>21</v>
      </c>
      <c r="P48" s="66" t="s">
        <v>22</v>
      </c>
      <c r="Q48" s="21"/>
      <c r="R48" s="19"/>
      <c r="S48" s="21"/>
      <c r="T48" s="21"/>
      <c r="U48" s="21"/>
      <c r="V48" s="21"/>
      <c r="W48" s="21"/>
      <c r="X48" s="21"/>
      <c r="Y48" s="21"/>
      <c r="Z48" s="21"/>
      <c r="AA48" s="21"/>
      <c r="AB48" s="21"/>
    </row>
    <row r="49" spans="1:28" ht="15.75" customHeight="1">
      <c r="A49" s="59" t="s">
        <v>113</v>
      </c>
      <c r="B49" s="12" t="s">
        <v>17</v>
      </c>
      <c r="C49" s="14">
        <v>45338</v>
      </c>
      <c r="D49" s="13">
        <v>0.39583333333333331</v>
      </c>
      <c r="E49" s="14">
        <v>45338</v>
      </c>
      <c r="F49" s="13">
        <v>0.54583333333333328</v>
      </c>
      <c r="G49" s="12">
        <v>106.6</v>
      </c>
      <c r="H49" s="15">
        <v>1</v>
      </c>
      <c r="I49" s="12">
        <v>109.7</v>
      </c>
      <c r="J49" s="12">
        <v>109.7</v>
      </c>
      <c r="K49" s="12" t="s">
        <v>18</v>
      </c>
      <c r="L49" s="73" t="s">
        <v>114</v>
      </c>
      <c r="M49" s="16" t="s">
        <v>110</v>
      </c>
      <c r="N49" s="12">
        <f t="shared" si="1"/>
        <v>3.1000000000000085</v>
      </c>
      <c r="O49" s="66" t="s">
        <v>21</v>
      </c>
      <c r="P49" s="66" t="s">
        <v>22</v>
      </c>
      <c r="Q49" s="21"/>
      <c r="R49" s="19"/>
      <c r="S49" s="21"/>
      <c r="T49" s="21"/>
      <c r="U49" s="21"/>
      <c r="V49" s="21"/>
      <c r="W49" s="21"/>
      <c r="X49" s="21"/>
      <c r="Y49" s="21"/>
      <c r="Z49" s="21"/>
      <c r="AA49" s="21"/>
      <c r="AB49" s="21"/>
    </row>
    <row r="50" spans="1:28" ht="15.75" customHeight="1">
      <c r="A50" s="11" t="s">
        <v>16</v>
      </c>
      <c r="B50" s="12" t="s">
        <v>17</v>
      </c>
      <c r="C50" s="61" t="s">
        <v>17</v>
      </c>
      <c r="D50" s="62" t="s">
        <v>17</v>
      </c>
      <c r="E50" s="63">
        <v>45338</v>
      </c>
      <c r="F50" s="62">
        <v>0.53819444444444442</v>
      </c>
      <c r="G50" s="61">
        <v>106.2</v>
      </c>
      <c r="H50" s="64">
        <v>1</v>
      </c>
      <c r="I50" s="61">
        <v>106.1</v>
      </c>
      <c r="J50" s="61">
        <v>106.2</v>
      </c>
      <c r="K50" s="61" t="s">
        <v>18</v>
      </c>
      <c r="L50" s="64" t="s">
        <v>115</v>
      </c>
      <c r="M50" s="65" t="s">
        <v>70</v>
      </c>
      <c r="N50" s="61">
        <f t="shared" si="1"/>
        <v>0</v>
      </c>
      <c r="O50" s="66" t="s">
        <v>21</v>
      </c>
      <c r="P50" s="66" t="s">
        <v>22</v>
      </c>
      <c r="Q50" s="21"/>
      <c r="R50" s="19"/>
      <c r="S50" s="21"/>
      <c r="T50" s="21"/>
      <c r="U50" s="21"/>
      <c r="V50" s="21"/>
      <c r="W50" s="21"/>
      <c r="X50" s="21"/>
      <c r="Y50" s="21"/>
      <c r="Z50" s="21"/>
      <c r="AA50" s="21"/>
      <c r="AB50" s="21"/>
    </row>
    <row r="51" spans="1:28" ht="15.75" customHeight="1">
      <c r="A51" s="22" t="s">
        <v>23</v>
      </c>
      <c r="B51" s="12">
        <v>100.6</v>
      </c>
      <c r="C51" s="61" t="s">
        <v>17</v>
      </c>
      <c r="D51" s="62" t="s">
        <v>17</v>
      </c>
      <c r="E51" s="14">
        <v>45338</v>
      </c>
      <c r="F51" s="30">
        <v>0.54166666666666663</v>
      </c>
      <c r="G51" s="41">
        <v>108.6</v>
      </c>
      <c r="H51" s="15">
        <v>1</v>
      </c>
      <c r="I51" s="41">
        <v>206.9</v>
      </c>
      <c r="J51" s="42">
        <v>205.5</v>
      </c>
      <c r="K51" s="61">
        <v>205.5</v>
      </c>
      <c r="L51" s="39" t="s">
        <v>116</v>
      </c>
      <c r="M51" s="16" t="s">
        <v>20</v>
      </c>
      <c r="N51" s="12">
        <f t="shared" si="1"/>
        <v>96.9</v>
      </c>
      <c r="O51" s="66" t="s">
        <v>21</v>
      </c>
      <c r="P51" s="66" t="s">
        <v>22</v>
      </c>
      <c r="Q51" s="21"/>
      <c r="R51" s="19"/>
      <c r="S51" s="21"/>
      <c r="T51" s="21"/>
      <c r="U51" s="21"/>
      <c r="V51" s="21"/>
      <c r="W51" s="21"/>
      <c r="X51" s="21"/>
      <c r="Y51" s="21"/>
      <c r="Z51" s="21"/>
      <c r="AA51" s="21"/>
      <c r="AB51" s="21"/>
    </row>
    <row r="52" spans="1:28" ht="15.75" customHeight="1">
      <c r="A52" s="59" t="s">
        <v>117</v>
      </c>
      <c r="B52" s="61" t="s">
        <v>17</v>
      </c>
      <c r="C52" s="63">
        <v>45338</v>
      </c>
      <c r="D52" s="62">
        <v>0.41805555555555557</v>
      </c>
      <c r="E52" s="63">
        <v>45338</v>
      </c>
      <c r="F52" s="62">
        <v>0.54861111111111116</v>
      </c>
      <c r="G52" s="61">
        <v>103.7</v>
      </c>
      <c r="H52" s="64">
        <v>1</v>
      </c>
      <c r="I52" s="61">
        <v>107.8</v>
      </c>
      <c r="J52" s="61">
        <v>107.4</v>
      </c>
      <c r="K52" s="61" t="s">
        <v>18</v>
      </c>
      <c r="L52" s="73" t="s">
        <v>118</v>
      </c>
      <c r="M52" s="16" t="s">
        <v>110</v>
      </c>
      <c r="N52" s="12">
        <f t="shared" si="1"/>
        <v>3.7000000000000028</v>
      </c>
      <c r="O52" s="66" t="s">
        <v>21</v>
      </c>
      <c r="P52" s="66" t="s">
        <v>22</v>
      </c>
      <c r="Q52" s="21"/>
      <c r="R52" s="19"/>
      <c r="S52" s="21"/>
      <c r="T52" s="21"/>
      <c r="U52" s="21"/>
      <c r="V52" s="21"/>
      <c r="W52" s="21"/>
      <c r="X52" s="21"/>
      <c r="Y52" s="21"/>
      <c r="Z52" s="21"/>
      <c r="AA52" s="21"/>
      <c r="AB52" s="21"/>
    </row>
    <row r="53" spans="1:28" ht="15.75" customHeight="1">
      <c r="A53" s="59" t="s">
        <v>119</v>
      </c>
      <c r="B53" s="61" t="s">
        <v>17</v>
      </c>
      <c r="C53" s="14">
        <v>45343</v>
      </c>
      <c r="D53" s="74">
        <v>0.38055555555555554</v>
      </c>
      <c r="E53" s="14">
        <v>45343</v>
      </c>
      <c r="F53" s="13">
        <v>0.57847222222222228</v>
      </c>
      <c r="G53" s="12">
        <v>104.9</v>
      </c>
      <c r="H53" s="64">
        <v>1</v>
      </c>
      <c r="I53" s="12">
        <v>112.4</v>
      </c>
      <c r="J53" s="12">
        <v>112.3</v>
      </c>
      <c r="K53" s="61" t="s">
        <v>18</v>
      </c>
      <c r="L53" s="16" t="s">
        <v>120</v>
      </c>
      <c r="M53" s="16" t="s">
        <v>121</v>
      </c>
      <c r="N53" s="12">
        <f t="shared" si="1"/>
        <v>7.3999999999999915</v>
      </c>
      <c r="O53" s="66" t="s">
        <v>21</v>
      </c>
      <c r="P53" s="66" t="s">
        <v>22</v>
      </c>
      <c r="Q53" s="21"/>
      <c r="R53" s="19"/>
      <c r="S53" s="21"/>
      <c r="T53" s="21"/>
      <c r="U53" s="21"/>
      <c r="V53" s="21"/>
      <c r="W53" s="21"/>
      <c r="X53" s="21"/>
      <c r="Y53" s="21"/>
      <c r="Z53" s="21"/>
      <c r="AA53" s="21"/>
      <c r="AB53" s="21"/>
    </row>
    <row r="54" spans="1:28" ht="15.75" customHeight="1">
      <c r="A54" s="59" t="s">
        <v>122</v>
      </c>
      <c r="B54" s="61" t="s">
        <v>17</v>
      </c>
      <c r="C54" s="14">
        <v>45343</v>
      </c>
      <c r="D54" s="74">
        <v>0.40138888888888891</v>
      </c>
      <c r="E54" s="14">
        <v>45343</v>
      </c>
      <c r="F54" s="13">
        <v>0.57986111111111116</v>
      </c>
      <c r="G54" s="12">
        <v>104.5</v>
      </c>
      <c r="H54" s="64">
        <v>1</v>
      </c>
      <c r="I54" s="12">
        <v>110.1</v>
      </c>
      <c r="J54" s="12">
        <v>109.9</v>
      </c>
      <c r="K54" s="61" t="s">
        <v>18</v>
      </c>
      <c r="L54" s="75" t="s">
        <v>123</v>
      </c>
      <c r="M54" s="16" t="s">
        <v>121</v>
      </c>
      <c r="N54" s="12">
        <f t="shared" si="1"/>
        <v>5.4000000000000057</v>
      </c>
      <c r="O54" s="66" t="s">
        <v>21</v>
      </c>
      <c r="P54" s="66" t="s">
        <v>22</v>
      </c>
      <c r="Q54" s="21"/>
      <c r="R54" s="19"/>
      <c r="S54" s="21"/>
      <c r="T54" s="21"/>
      <c r="U54" s="21"/>
      <c r="V54" s="21"/>
      <c r="W54" s="21"/>
      <c r="X54" s="21"/>
      <c r="Y54" s="21"/>
      <c r="Z54" s="21"/>
      <c r="AA54" s="21"/>
      <c r="AB54" s="21"/>
    </row>
    <row r="55" spans="1:28" ht="15.75" customHeight="1">
      <c r="A55" s="59" t="s">
        <v>124</v>
      </c>
      <c r="B55" s="61" t="s">
        <v>17</v>
      </c>
      <c r="C55" s="14">
        <v>45343</v>
      </c>
      <c r="D55" s="74">
        <v>0.42708333333333331</v>
      </c>
      <c r="E55" s="14">
        <v>45343</v>
      </c>
      <c r="F55" s="13">
        <v>0.58263888888888893</v>
      </c>
      <c r="G55" s="12">
        <v>105.3</v>
      </c>
      <c r="H55" s="64">
        <v>1</v>
      </c>
      <c r="I55" s="12">
        <v>111.2</v>
      </c>
      <c r="J55" s="12">
        <v>111.1</v>
      </c>
      <c r="K55" s="61" t="s">
        <v>18</v>
      </c>
      <c r="L55" s="16" t="s">
        <v>125</v>
      </c>
      <c r="M55" s="16" t="s">
        <v>121</v>
      </c>
      <c r="N55" s="12">
        <f t="shared" si="1"/>
        <v>5.7999999999999972</v>
      </c>
      <c r="O55" s="66" t="s">
        <v>21</v>
      </c>
      <c r="P55" s="66" t="s">
        <v>22</v>
      </c>
      <c r="Q55" s="21"/>
      <c r="R55" s="19"/>
      <c r="S55" s="21"/>
      <c r="T55" s="21"/>
      <c r="U55" s="21"/>
      <c r="V55" s="21"/>
      <c r="W55" s="21"/>
      <c r="X55" s="21"/>
      <c r="Y55" s="21"/>
      <c r="Z55" s="21"/>
      <c r="AA55" s="21"/>
      <c r="AB55" s="21"/>
    </row>
    <row r="56" spans="1:28" ht="15.75" customHeight="1">
      <c r="A56" s="59" t="s">
        <v>126</v>
      </c>
      <c r="B56" s="61" t="s">
        <v>17</v>
      </c>
      <c r="C56" s="14">
        <v>45343</v>
      </c>
      <c r="D56" s="74">
        <v>0.4909722222222222</v>
      </c>
      <c r="E56" s="14">
        <v>45344</v>
      </c>
      <c r="F56" s="13">
        <v>0.41666666666666669</v>
      </c>
      <c r="G56" s="12">
        <v>104.8</v>
      </c>
      <c r="H56" s="64">
        <v>1</v>
      </c>
      <c r="I56" s="12">
        <v>109.7</v>
      </c>
      <c r="J56" s="12">
        <v>109.6</v>
      </c>
      <c r="K56" s="61" t="s">
        <v>18</v>
      </c>
      <c r="L56" s="16" t="s">
        <v>127</v>
      </c>
      <c r="M56" s="16" t="s">
        <v>121</v>
      </c>
      <c r="N56" s="12">
        <f t="shared" si="1"/>
        <v>4.7999999999999972</v>
      </c>
      <c r="O56" s="66" t="s">
        <v>21</v>
      </c>
      <c r="P56" s="66" t="s">
        <v>22</v>
      </c>
      <c r="Q56" s="21"/>
      <c r="R56" s="19"/>
      <c r="S56" s="21"/>
      <c r="T56" s="21"/>
      <c r="U56" s="21"/>
      <c r="V56" s="21"/>
      <c r="W56" s="21"/>
      <c r="X56" s="21"/>
      <c r="Y56" s="21"/>
      <c r="Z56" s="21"/>
      <c r="AA56" s="21"/>
      <c r="AB56" s="21"/>
    </row>
    <row r="57" spans="1:28" ht="15.75" customHeight="1">
      <c r="A57" s="59" t="s">
        <v>128</v>
      </c>
      <c r="B57" s="61" t="s">
        <v>17</v>
      </c>
      <c r="C57" s="14">
        <v>45343</v>
      </c>
      <c r="D57" s="76">
        <v>0.51180555555555551</v>
      </c>
      <c r="E57" s="14">
        <v>45344</v>
      </c>
      <c r="F57" s="13">
        <v>0.42222222222222222</v>
      </c>
      <c r="G57" s="12">
        <v>106.6</v>
      </c>
      <c r="H57" s="64">
        <v>1</v>
      </c>
      <c r="I57" s="12">
        <v>114.1</v>
      </c>
      <c r="J57" s="12">
        <v>113.9</v>
      </c>
      <c r="K57" s="12">
        <v>113.8</v>
      </c>
      <c r="L57" s="71" t="s">
        <v>129</v>
      </c>
      <c r="M57" s="16" t="s">
        <v>121</v>
      </c>
      <c r="N57" s="12">
        <f t="shared" si="1"/>
        <v>7.3000000000000114</v>
      </c>
      <c r="O57" s="66" t="s">
        <v>21</v>
      </c>
      <c r="P57" s="66" t="s">
        <v>22</v>
      </c>
      <c r="Q57" s="21"/>
      <c r="R57" s="19"/>
      <c r="S57" s="21"/>
      <c r="T57" s="21"/>
      <c r="U57" s="21"/>
      <c r="V57" s="21"/>
      <c r="W57" s="21"/>
      <c r="X57" s="21"/>
      <c r="Y57" s="21"/>
      <c r="Z57" s="21"/>
      <c r="AA57" s="21"/>
      <c r="AB57" s="21"/>
    </row>
    <row r="58" spans="1:28" ht="15.75" customHeight="1">
      <c r="A58" s="59" t="s">
        <v>130</v>
      </c>
      <c r="B58" s="61" t="s">
        <v>17</v>
      </c>
      <c r="C58" s="14">
        <v>45343</v>
      </c>
      <c r="D58" s="77">
        <v>0.53402777777777777</v>
      </c>
      <c r="E58" s="14">
        <v>45344</v>
      </c>
      <c r="F58" s="13">
        <v>0.42638888888888887</v>
      </c>
      <c r="G58" s="29">
        <v>104.3</v>
      </c>
      <c r="H58" s="64">
        <v>1</v>
      </c>
      <c r="I58" s="12">
        <v>109.2</v>
      </c>
      <c r="J58" s="31">
        <v>108.7</v>
      </c>
      <c r="K58" s="12">
        <v>108.7</v>
      </c>
      <c r="L58" s="71" t="s">
        <v>131</v>
      </c>
      <c r="M58" s="16" t="s">
        <v>121</v>
      </c>
      <c r="N58" s="12">
        <f t="shared" si="1"/>
        <v>4.4000000000000057</v>
      </c>
      <c r="O58" s="66" t="s">
        <v>21</v>
      </c>
      <c r="P58" s="66" t="s">
        <v>22</v>
      </c>
      <c r="Q58" s="21"/>
      <c r="R58" s="19"/>
      <c r="S58" s="21"/>
      <c r="T58" s="21"/>
      <c r="U58" s="21"/>
      <c r="V58" s="21"/>
      <c r="W58" s="21"/>
      <c r="X58" s="21"/>
      <c r="Y58" s="21"/>
      <c r="Z58" s="21"/>
      <c r="AA58" s="21"/>
      <c r="AB58" s="21"/>
    </row>
    <row r="59" spans="1:28" ht="15.75" customHeight="1">
      <c r="A59" s="78"/>
      <c r="B59" s="79"/>
      <c r="C59" s="80"/>
      <c r="D59" s="81"/>
      <c r="E59" s="82"/>
      <c r="F59" s="81"/>
      <c r="G59" s="79"/>
      <c r="H59" s="83"/>
      <c r="I59" s="79"/>
      <c r="J59" s="79"/>
      <c r="K59" s="79"/>
      <c r="L59" s="84"/>
      <c r="M59" s="84"/>
      <c r="N59" s="79"/>
      <c r="O59" s="85"/>
      <c r="P59" s="85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</row>
    <row r="60" spans="1:28" ht="15.75" customHeight="1">
      <c r="A60" s="86"/>
      <c r="B60" s="87"/>
      <c r="C60" s="88"/>
      <c r="D60" s="81"/>
      <c r="E60" s="82"/>
      <c r="F60" s="81"/>
      <c r="G60" s="79"/>
      <c r="H60" s="83"/>
      <c r="I60" s="79"/>
      <c r="J60" s="79"/>
      <c r="K60" s="79"/>
      <c r="L60" s="84"/>
      <c r="M60" s="84"/>
      <c r="N60" s="79"/>
      <c r="O60" s="85"/>
      <c r="P60" s="85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</row>
    <row r="61" spans="1:28" ht="15.75" customHeight="1">
      <c r="A61" s="86"/>
      <c r="B61" s="87"/>
      <c r="C61" s="88"/>
      <c r="D61" s="81"/>
      <c r="E61" s="82"/>
      <c r="F61" s="81"/>
      <c r="G61" s="79"/>
      <c r="H61" s="83"/>
      <c r="I61" s="79"/>
      <c r="J61" s="79"/>
      <c r="K61" s="79"/>
      <c r="L61" s="84"/>
      <c r="M61" s="84"/>
      <c r="N61" s="79"/>
      <c r="O61" s="85"/>
      <c r="P61" s="85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</row>
    <row r="62" spans="1:28" ht="15.75" customHeight="1">
      <c r="A62" s="86"/>
      <c r="B62" s="87"/>
      <c r="C62" s="88"/>
      <c r="D62" s="81"/>
      <c r="E62" s="82"/>
      <c r="F62" s="81"/>
      <c r="G62" s="79"/>
      <c r="H62" s="83"/>
      <c r="I62" s="79"/>
      <c r="J62" s="79"/>
      <c r="K62" s="79"/>
      <c r="L62" s="84"/>
      <c r="M62" s="84"/>
      <c r="N62" s="79"/>
      <c r="O62" s="85"/>
      <c r="P62" s="85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</row>
    <row r="63" spans="1:28" ht="15.75" customHeight="1">
      <c r="A63" s="86"/>
      <c r="B63" s="87"/>
      <c r="C63" s="88"/>
      <c r="D63" s="81"/>
      <c r="E63" s="82"/>
      <c r="F63" s="81"/>
      <c r="G63" s="79"/>
      <c r="H63" s="83"/>
      <c r="I63" s="79"/>
      <c r="J63" s="79"/>
      <c r="K63" s="79"/>
      <c r="L63" s="84"/>
      <c r="M63" s="84"/>
      <c r="N63" s="79"/>
      <c r="O63" s="85"/>
      <c r="P63" s="85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</row>
    <row r="64" spans="1:28" ht="15.75" customHeight="1">
      <c r="A64" s="86"/>
      <c r="B64" s="87"/>
      <c r="C64" s="89"/>
      <c r="D64" s="81"/>
      <c r="E64" s="82"/>
      <c r="F64" s="81"/>
      <c r="G64" s="79"/>
      <c r="H64" s="83"/>
      <c r="I64" s="79"/>
      <c r="J64" s="79"/>
      <c r="K64" s="79"/>
      <c r="L64" s="84"/>
      <c r="M64" s="84"/>
      <c r="N64" s="79"/>
      <c r="O64" s="85"/>
      <c r="P64" s="85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</row>
    <row r="65" spans="1:28" ht="15.75" customHeight="1">
      <c r="A65" s="86"/>
      <c r="B65" s="87"/>
      <c r="C65" s="89"/>
      <c r="D65" s="81"/>
      <c r="E65" s="82"/>
      <c r="F65" s="81"/>
      <c r="G65" s="79"/>
      <c r="H65" s="83"/>
      <c r="I65" s="79"/>
      <c r="J65" s="79"/>
      <c r="K65" s="79"/>
      <c r="L65" s="84"/>
      <c r="M65" s="84"/>
      <c r="N65" s="79"/>
      <c r="O65" s="85"/>
      <c r="P65" s="85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</row>
    <row r="66" spans="1:28" ht="15.75" customHeight="1">
      <c r="A66" s="86"/>
      <c r="B66" s="87"/>
      <c r="C66" s="89"/>
      <c r="D66" s="81"/>
      <c r="E66" s="82"/>
      <c r="F66" s="81"/>
      <c r="G66" s="79"/>
      <c r="H66" s="83"/>
      <c r="I66" s="79"/>
      <c r="J66" s="79"/>
      <c r="K66" s="79"/>
      <c r="L66" s="84"/>
      <c r="M66" s="84"/>
      <c r="N66" s="79"/>
      <c r="O66" s="85"/>
      <c r="P66" s="85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</row>
    <row r="67" spans="1:28" ht="15.75" customHeight="1">
      <c r="A67" s="86"/>
      <c r="B67" s="87"/>
      <c r="C67" s="89"/>
      <c r="D67" s="81"/>
      <c r="E67" s="82"/>
      <c r="F67" s="81"/>
      <c r="G67" s="79"/>
      <c r="H67" s="83"/>
      <c r="I67" s="79"/>
      <c r="J67" s="79"/>
      <c r="K67" s="79"/>
      <c r="L67" s="84"/>
      <c r="M67" s="84"/>
      <c r="N67" s="79"/>
      <c r="O67" s="85"/>
      <c r="P67" s="85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</row>
    <row r="68" spans="1:28" ht="15.75" customHeight="1">
      <c r="A68" s="86"/>
      <c r="B68" s="87"/>
      <c r="C68" s="89"/>
      <c r="D68" s="81"/>
      <c r="E68" s="82"/>
      <c r="F68" s="81"/>
      <c r="G68" s="79"/>
      <c r="H68" s="83"/>
      <c r="I68" s="79"/>
      <c r="J68" s="79"/>
      <c r="K68" s="79"/>
      <c r="L68" s="84"/>
      <c r="M68" s="84"/>
      <c r="N68" s="79"/>
      <c r="O68" s="85"/>
      <c r="P68" s="85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</row>
    <row r="69" spans="1:28" ht="15.75" customHeight="1">
      <c r="A69" s="86"/>
      <c r="B69" s="87"/>
      <c r="C69" s="89"/>
      <c r="D69" s="81"/>
      <c r="E69" s="82"/>
      <c r="F69" s="81"/>
      <c r="G69" s="79"/>
      <c r="H69" s="83"/>
      <c r="I69" s="79"/>
      <c r="J69" s="79"/>
      <c r="K69" s="79"/>
      <c r="L69" s="84"/>
      <c r="M69" s="84"/>
      <c r="N69" s="79"/>
      <c r="O69" s="85"/>
      <c r="P69" s="85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</row>
    <row r="70" spans="1:28" ht="15.75" customHeight="1">
      <c r="A70" s="86"/>
      <c r="B70" s="90"/>
      <c r="C70" s="89"/>
      <c r="D70" s="81"/>
      <c r="E70" s="82"/>
      <c r="F70" s="81"/>
      <c r="G70" s="79"/>
      <c r="H70" s="83"/>
      <c r="I70" s="79"/>
      <c r="J70" s="79"/>
      <c r="K70" s="79"/>
      <c r="L70" s="84"/>
      <c r="M70" s="84"/>
      <c r="N70" s="79"/>
      <c r="O70" s="85"/>
      <c r="P70" s="85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</row>
    <row r="71" spans="1:28" ht="15.75" customHeight="1">
      <c r="A71" s="86"/>
      <c r="B71" s="90"/>
      <c r="C71" s="89"/>
      <c r="D71" s="81"/>
      <c r="E71" s="82"/>
      <c r="F71" s="81"/>
      <c r="G71" s="79"/>
      <c r="H71" s="83"/>
      <c r="I71" s="79"/>
      <c r="J71" s="79"/>
      <c r="K71" s="79"/>
      <c r="L71" s="84"/>
      <c r="M71" s="84"/>
      <c r="N71" s="79"/>
      <c r="O71" s="85"/>
      <c r="P71" s="85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</row>
    <row r="72" spans="1:28" ht="15.75" customHeight="1">
      <c r="A72" s="86"/>
      <c r="B72" s="90"/>
      <c r="C72" s="89"/>
      <c r="D72" s="81"/>
      <c r="E72" s="82"/>
      <c r="F72" s="81"/>
      <c r="G72" s="79"/>
      <c r="H72" s="83"/>
      <c r="I72" s="79"/>
      <c r="J72" s="79"/>
      <c r="K72" s="79"/>
      <c r="L72" s="84"/>
      <c r="M72" s="84"/>
      <c r="N72" s="79"/>
      <c r="O72" s="85"/>
      <c r="P72" s="85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</row>
    <row r="73" spans="1:28" ht="15.75" customHeight="1">
      <c r="A73" s="86"/>
      <c r="B73" s="90"/>
      <c r="C73" s="89"/>
      <c r="D73" s="81"/>
      <c r="E73" s="82"/>
      <c r="F73" s="81"/>
      <c r="G73" s="79"/>
      <c r="H73" s="83"/>
      <c r="I73" s="79"/>
      <c r="J73" s="79"/>
      <c r="K73" s="79"/>
      <c r="L73" s="84"/>
      <c r="M73" s="84"/>
      <c r="N73" s="79"/>
      <c r="O73" s="85"/>
      <c r="P73" s="85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</row>
    <row r="74" spans="1:28" ht="15.75" customHeight="1">
      <c r="A74" s="86"/>
      <c r="B74" s="79"/>
      <c r="C74" s="82"/>
      <c r="D74" s="81"/>
      <c r="E74" s="82"/>
      <c r="F74" s="81"/>
      <c r="G74" s="79"/>
      <c r="H74" s="83"/>
      <c r="I74" s="79"/>
      <c r="J74" s="79"/>
      <c r="K74" s="79"/>
      <c r="L74" s="84"/>
      <c r="M74" s="84"/>
      <c r="N74" s="79"/>
      <c r="O74" s="85"/>
      <c r="P74" s="85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</row>
    <row r="75" spans="1:28" ht="15.75" customHeight="1">
      <c r="A75" s="86"/>
      <c r="B75" s="79"/>
      <c r="C75" s="82"/>
      <c r="D75" s="81"/>
      <c r="E75" s="82"/>
      <c r="F75" s="81"/>
      <c r="G75" s="79"/>
      <c r="H75" s="83"/>
      <c r="I75" s="79"/>
      <c r="J75" s="79"/>
      <c r="K75" s="79"/>
      <c r="L75" s="84"/>
      <c r="M75" s="84"/>
      <c r="N75" s="79"/>
      <c r="O75" s="85"/>
      <c r="P75" s="85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</row>
    <row r="76" spans="1:28" ht="15.75" customHeight="1">
      <c r="A76" s="86"/>
      <c r="B76" s="79"/>
      <c r="C76" s="82"/>
      <c r="D76" s="81"/>
      <c r="E76" s="82"/>
      <c r="F76" s="81"/>
      <c r="G76" s="79"/>
      <c r="H76" s="83"/>
      <c r="I76" s="79"/>
      <c r="J76" s="79"/>
      <c r="K76" s="79"/>
      <c r="L76" s="84"/>
      <c r="M76" s="84"/>
      <c r="N76" s="79"/>
      <c r="O76" s="85"/>
      <c r="P76" s="85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</row>
    <row r="77" spans="1:28" ht="15.75" customHeight="1">
      <c r="A77" s="86"/>
      <c r="B77" s="79"/>
      <c r="C77" s="82"/>
      <c r="D77" s="81"/>
      <c r="E77" s="82"/>
      <c r="F77" s="81"/>
      <c r="G77" s="79"/>
      <c r="H77" s="83"/>
      <c r="I77" s="79"/>
      <c r="J77" s="79"/>
      <c r="K77" s="79"/>
      <c r="L77" s="84"/>
      <c r="M77" s="84"/>
      <c r="N77" s="79"/>
      <c r="O77" s="85"/>
      <c r="P77" s="85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</row>
    <row r="78" spans="1:28" ht="15.75" customHeight="1">
      <c r="A78" s="86"/>
      <c r="B78" s="79"/>
      <c r="C78" s="82"/>
      <c r="D78" s="81"/>
      <c r="E78" s="82"/>
      <c r="F78" s="81"/>
      <c r="G78" s="79"/>
      <c r="H78" s="83"/>
      <c r="I78" s="79"/>
      <c r="J78" s="79"/>
      <c r="K78" s="79"/>
      <c r="L78" s="84"/>
      <c r="M78" s="84"/>
      <c r="N78" s="79"/>
      <c r="O78" s="85"/>
      <c r="P78" s="85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</row>
    <row r="79" spans="1:28" ht="15.75" customHeight="1">
      <c r="A79" s="86"/>
      <c r="B79" s="79"/>
      <c r="C79" s="82"/>
      <c r="D79" s="81"/>
      <c r="E79" s="82"/>
      <c r="F79" s="81"/>
      <c r="G79" s="79"/>
      <c r="H79" s="83"/>
      <c r="I79" s="79"/>
      <c r="J79" s="79"/>
      <c r="K79" s="79"/>
      <c r="L79" s="84"/>
      <c r="M79" s="84"/>
      <c r="N79" s="79"/>
      <c r="O79" s="85"/>
      <c r="P79" s="85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</row>
    <row r="80" spans="1:28" ht="15.75" customHeight="1">
      <c r="A80" s="86"/>
      <c r="B80" s="79"/>
      <c r="C80" s="82"/>
      <c r="D80" s="81"/>
      <c r="E80" s="82"/>
      <c r="F80" s="81"/>
      <c r="G80" s="79"/>
      <c r="H80" s="83"/>
      <c r="I80" s="79"/>
      <c r="J80" s="79"/>
      <c r="K80" s="79"/>
      <c r="L80" s="84"/>
      <c r="M80" s="84"/>
      <c r="N80" s="79"/>
      <c r="O80" s="85"/>
      <c r="P80" s="85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</row>
    <row r="81" spans="1:28" ht="15.75" customHeight="1">
      <c r="A81" s="86"/>
      <c r="B81" s="79"/>
      <c r="C81" s="82"/>
      <c r="D81" s="81"/>
      <c r="E81" s="82"/>
      <c r="F81" s="81"/>
      <c r="G81" s="79"/>
      <c r="H81" s="83"/>
      <c r="I81" s="79"/>
      <c r="J81" s="79"/>
      <c r="K81" s="79"/>
      <c r="L81" s="84"/>
      <c r="M81" s="84"/>
      <c r="N81" s="79"/>
      <c r="O81" s="85"/>
      <c r="P81" s="85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</row>
    <row r="82" spans="1:28" ht="15.75" customHeight="1">
      <c r="A82" s="86"/>
      <c r="B82" s="79"/>
      <c r="C82" s="82"/>
      <c r="D82" s="81"/>
      <c r="E82" s="82"/>
      <c r="F82" s="81"/>
      <c r="G82" s="79"/>
      <c r="H82" s="83"/>
      <c r="I82" s="79"/>
      <c r="J82" s="79"/>
      <c r="K82" s="79"/>
      <c r="L82" s="84"/>
      <c r="M82" s="84"/>
      <c r="N82" s="79"/>
      <c r="O82" s="85"/>
      <c r="P82" s="85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</row>
    <row r="83" spans="1:28" ht="15.75" customHeight="1">
      <c r="A83" s="86"/>
      <c r="B83" s="79"/>
      <c r="C83" s="82"/>
      <c r="D83" s="81"/>
      <c r="E83" s="82"/>
      <c r="F83" s="81"/>
      <c r="G83" s="79"/>
      <c r="H83" s="83"/>
      <c r="I83" s="79"/>
      <c r="J83" s="79"/>
      <c r="K83" s="79"/>
      <c r="L83" s="84"/>
      <c r="M83" s="84"/>
      <c r="N83" s="79"/>
      <c r="O83" s="85"/>
      <c r="P83" s="85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</row>
    <row r="84" spans="1:28" ht="15.75" customHeight="1">
      <c r="A84" s="86"/>
      <c r="B84" s="79"/>
      <c r="C84" s="82"/>
      <c r="D84" s="81"/>
      <c r="E84" s="82"/>
      <c r="F84" s="81"/>
      <c r="G84" s="79"/>
      <c r="H84" s="83"/>
      <c r="I84" s="79"/>
      <c r="J84" s="79"/>
      <c r="K84" s="79"/>
      <c r="L84" s="84"/>
      <c r="M84" s="84"/>
      <c r="N84" s="79"/>
      <c r="O84" s="85"/>
      <c r="P84" s="85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</row>
    <row r="85" spans="1:28" ht="15.75" customHeight="1">
      <c r="A85" s="86"/>
      <c r="B85" s="79"/>
      <c r="C85" s="82"/>
      <c r="D85" s="81"/>
      <c r="E85" s="82"/>
      <c r="F85" s="81"/>
      <c r="G85" s="79"/>
      <c r="H85" s="83"/>
      <c r="I85" s="79"/>
      <c r="J85" s="79"/>
      <c r="K85" s="79"/>
      <c r="L85" s="84"/>
      <c r="M85" s="84"/>
      <c r="N85" s="79"/>
      <c r="O85" s="85"/>
      <c r="P85" s="85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</row>
    <row r="86" spans="1:28" ht="15.75" customHeight="1">
      <c r="A86" s="86"/>
      <c r="B86" s="79"/>
      <c r="C86" s="82"/>
      <c r="D86" s="81"/>
      <c r="E86" s="82"/>
      <c r="F86" s="81"/>
      <c r="G86" s="79"/>
      <c r="H86" s="83"/>
      <c r="I86" s="79"/>
      <c r="J86" s="79"/>
      <c r="K86" s="79"/>
      <c r="L86" s="84"/>
      <c r="M86" s="84"/>
      <c r="N86" s="79"/>
      <c r="O86" s="85"/>
      <c r="P86" s="85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</row>
    <row r="87" spans="1:28" ht="15.75" customHeight="1">
      <c r="A87" s="86"/>
      <c r="B87" s="79"/>
      <c r="C87" s="82"/>
      <c r="D87" s="81"/>
      <c r="E87" s="82"/>
      <c r="F87" s="81"/>
      <c r="G87" s="79"/>
      <c r="H87" s="83"/>
      <c r="I87" s="79"/>
      <c r="J87" s="79"/>
      <c r="K87" s="79"/>
      <c r="L87" s="84"/>
      <c r="M87" s="84"/>
      <c r="N87" s="79"/>
      <c r="O87" s="85"/>
      <c r="P87" s="85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</row>
    <row r="88" spans="1:28" ht="15.75" customHeight="1">
      <c r="A88" s="86"/>
      <c r="B88" s="79"/>
      <c r="C88" s="82"/>
      <c r="D88" s="81"/>
      <c r="E88" s="82"/>
      <c r="F88" s="81"/>
      <c r="G88" s="79"/>
      <c r="H88" s="83"/>
      <c r="I88" s="79"/>
      <c r="J88" s="79"/>
      <c r="K88" s="79"/>
      <c r="L88" s="84"/>
      <c r="M88" s="84"/>
      <c r="N88" s="79"/>
      <c r="O88" s="85"/>
      <c r="P88" s="85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</row>
    <row r="89" spans="1:28" ht="15.75" customHeight="1">
      <c r="A89" s="86"/>
      <c r="B89" s="79"/>
      <c r="C89" s="82"/>
      <c r="D89" s="81"/>
      <c r="E89" s="82"/>
      <c r="F89" s="81"/>
      <c r="G89" s="79"/>
      <c r="H89" s="83"/>
      <c r="I89" s="79"/>
      <c r="J89" s="79"/>
      <c r="K89" s="79"/>
      <c r="L89" s="84"/>
      <c r="M89" s="84"/>
      <c r="N89" s="79"/>
      <c r="O89" s="85"/>
      <c r="P89" s="85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</row>
    <row r="90" spans="1:28" ht="15.75" customHeight="1">
      <c r="A90" s="86"/>
      <c r="B90" s="79"/>
      <c r="C90" s="82"/>
      <c r="D90" s="81"/>
      <c r="E90" s="82"/>
      <c r="F90" s="81"/>
      <c r="G90" s="79"/>
      <c r="H90" s="83"/>
      <c r="I90" s="79"/>
      <c r="J90" s="79"/>
      <c r="K90" s="79"/>
      <c r="L90" s="84"/>
      <c r="M90" s="84"/>
      <c r="N90" s="79"/>
      <c r="O90" s="85"/>
      <c r="P90" s="85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</row>
    <row r="91" spans="1:28" ht="15.75" customHeight="1">
      <c r="A91" s="86"/>
      <c r="B91" s="79"/>
      <c r="C91" s="82"/>
      <c r="D91" s="81"/>
      <c r="E91" s="82"/>
      <c r="F91" s="81"/>
      <c r="G91" s="79"/>
      <c r="H91" s="83"/>
      <c r="I91" s="79"/>
      <c r="J91" s="79"/>
      <c r="K91" s="79"/>
      <c r="L91" s="84"/>
      <c r="M91" s="84"/>
      <c r="N91" s="79"/>
      <c r="O91" s="85"/>
      <c r="P91" s="85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</row>
    <row r="92" spans="1:28" ht="15.75" customHeight="1">
      <c r="A92" s="86"/>
      <c r="B92" s="79"/>
      <c r="C92" s="82"/>
      <c r="D92" s="81"/>
      <c r="E92" s="82"/>
      <c r="F92" s="81"/>
      <c r="G92" s="79"/>
      <c r="H92" s="83"/>
      <c r="I92" s="79"/>
      <c r="J92" s="79"/>
      <c r="K92" s="79"/>
      <c r="L92" s="84"/>
      <c r="M92" s="84"/>
      <c r="N92" s="79"/>
      <c r="O92" s="85"/>
      <c r="P92" s="85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</row>
    <row r="93" spans="1:28" ht="15.75" customHeight="1">
      <c r="A93" s="86"/>
      <c r="B93" s="79"/>
      <c r="C93" s="82"/>
      <c r="D93" s="81"/>
      <c r="E93" s="82"/>
      <c r="F93" s="81"/>
      <c r="G93" s="79"/>
      <c r="H93" s="83"/>
      <c r="I93" s="79"/>
      <c r="J93" s="79"/>
      <c r="K93" s="79"/>
      <c r="L93" s="84"/>
      <c r="M93" s="84"/>
      <c r="N93" s="79"/>
      <c r="O93" s="85"/>
      <c r="P93" s="85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</row>
    <row r="94" spans="1:28" ht="15.75" customHeight="1">
      <c r="A94" s="86"/>
      <c r="B94" s="79"/>
      <c r="C94" s="82"/>
      <c r="D94" s="81"/>
      <c r="E94" s="82"/>
      <c r="F94" s="81"/>
      <c r="G94" s="79"/>
      <c r="H94" s="83"/>
      <c r="I94" s="79"/>
      <c r="J94" s="79"/>
      <c r="K94" s="79"/>
      <c r="L94" s="84"/>
      <c r="M94" s="84"/>
      <c r="N94" s="79"/>
      <c r="O94" s="85"/>
      <c r="P94" s="85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</row>
    <row r="95" spans="1:28" ht="15.75" customHeight="1">
      <c r="A95" s="86"/>
      <c r="B95" s="79"/>
      <c r="C95" s="82"/>
      <c r="D95" s="81"/>
      <c r="E95" s="82"/>
      <c r="F95" s="81"/>
      <c r="G95" s="79"/>
      <c r="H95" s="83"/>
      <c r="I95" s="79"/>
      <c r="J95" s="79"/>
      <c r="K95" s="79"/>
      <c r="L95" s="84"/>
      <c r="M95" s="84"/>
      <c r="N95" s="79"/>
      <c r="O95" s="85"/>
      <c r="P95" s="85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</row>
    <row r="96" spans="1:28" ht="15.75" customHeight="1">
      <c r="A96" s="86"/>
      <c r="B96" s="79"/>
      <c r="C96" s="82"/>
      <c r="D96" s="81"/>
      <c r="E96" s="82"/>
      <c r="F96" s="81"/>
      <c r="G96" s="79"/>
      <c r="H96" s="83"/>
      <c r="I96" s="79"/>
      <c r="J96" s="79"/>
      <c r="K96" s="79"/>
      <c r="L96" s="84"/>
      <c r="M96" s="84"/>
      <c r="N96" s="79"/>
      <c r="O96" s="85"/>
      <c r="P96" s="85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</row>
    <row r="97" spans="1:28" ht="15.75" customHeight="1">
      <c r="A97" s="86"/>
      <c r="B97" s="79"/>
      <c r="C97" s="82"/>
      <c r="D97" s="81"/>
      <c r="E97" s="82"/>
      <c r="F97" s="81"/>
      <c r="G97" s="79"/>
      <c r="H97" s="83"/>
      <c r="I97" s="79"/>
      <c r="J97" s="79"/>
      <c r="K97" s="79"/>
      <c r="L97" s="84"/>
      <c r="M97" s="84"/>
      <c r="N97" s="79"/>
      <c r="O97" s="85"/>
      <c r="P97" s="85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</row>
    <row r="98" spans="1:28" ht="15.75" customHeight="1">
      <c r="A98" s="86"/>
      <c r="B98" s="79"/>
      <c r="C98" s="82"/>
      <c r="D98" s="81"/>
      <c r="E98" s="82"/>
      <c r="F98" s="81"/>
      <c r="G98" s="79"/>
      <c r="H98" s="83"/>
      <c r="I98" s="79"/>
      <c r="J98" s="79"/>
      <c r="K98" s="79"/>
      <c r="L98" s="84"/>
      <c r="M98" s="84"/>
      <c r="N98" s="79"/>
      <c r="O98" s="85"/>
      <c r="P98" s="85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</row>
    <row r="99" spans="1:28" ht="15.75" customHeight="1">
      <c r="A99" s="86"/>
      <c r="B99" s="79"/>
      <c r="C99" s="82"/>
      <c r="D99" s="81"/>
      <c r="E99" s="82"/>
      <c r="F99" s="81"/>
      <c r="G99" s="79"/>
      <c r="H99" s="83"/>
      <c r="I99" s="79"/>
      <c r="J99" s="79"/>
      <c r="K99" s="79"/>
      <c r="L99" s="84"/>
      <c r="M99" s="84"/>
      <c r="N99" s="79"/>
      <c r="O99" s="85"/>
      <c r="P99" s="85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</row>
    <row r="100" spans="1:28" ht="15.75" customHeight="1">
      <c r="A100" s="86"/>
      <c r="B100" s="79"/>
      <c r="C100" s="82"/>
      <c r="D100" s="81"/>
      <c r="E100" s="82"/>
      <c r="F100" s="81"/>
      <c r="G100" s="79"/>
      <c r="H100" s="83"/>
      <c r="I100" s="79"/>
      <c r="J100" s="79"/>
      <c r="K100" s="79"/>
      <c r="L100" s="84"/>
      <c r="M100" s="84"/>
      <c r="N100" s="79"/>
      <c r="O100" s="85"/>
      <c r="P100" s="85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</row>
    <row r="101" spans="1:28" ht="15.75" customHeight="1">
      <c r="A101" s="86"/>
      <c r="B101" s="79"/>
      <c r="C101" s="82"/>
      <c r="D101" s="81"/>
      <c r="E101" s="82"/>
      <c r="F101" s="81"/>
      <c r="G101" s="79"/>
      <c r="H101" s="83"/>
      <c r="I101" s="79"/>
      <c r="J101" s="79"/>
      <c r="K101" s="79"/>
      <c r="L101" s="84"/>
      <c r="M101" s="84"/>
      <c r="N101" s="79"/>
      <c r="O101" s="85"/>
      <c r="P101" s="85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</row>
    <row r="102" spans="1:28" ht="15.75" customHeight="1">
      <c r="A102" s="86"/>
      <c r="B102" s="79"/>
      <c r="C102" s="82"/>
      <c r="D102" s="81"/>
      <c r="E102" s="82"/>
      <c r="F102" s="81"/>
      <c r="G102" s="79"/>
      <c r="H102" s="83"/>
      <c r="I102" s="79"/>
      <c r="J102" s="79"/>
      <c r="K102" s="79"/>
      <c r="L102" s="84"/>
      <c r="M102" s="84"/>
      <c r="N102" s="79"/>
      <c r="O102" s="85"/>
      <c r="P102" s="85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</row>
    <row r="103" spans="1:28" ht="15.75" customHeight="1">
      <c r="A103" s="86"/>
      <c r="B103" s="79"/>
      <c r="C103" s="82"/>
      <c r="D103" s="81"/>
      <c r="E103" s="82"/>
      <c r="F103" s="81"/>
      <c r="G103" s="79"/>
      <c r="H103" s="83"/>
      <c r="I103" s="79"/>
      <c r="J103" s="79"/>
      <c r="K103" s="79"/>
      <c r="L103" s="84"/>
      <c r="M103" s="84"/>
      <c r="N103" s="79"/>
      <c r="O103" s="85"/>
      <c r="P103" s="85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</row>
    <row r="104" spans="1:28" ht="15.75" customHeight="1">
      <c r="A104" s="86"/>
      <c r="B104" s="79"/>
      <c r="C104" s="82"/>
      <c r="D104" s="81"/>
      <c r="E104" s="82"/>
      <c r="F104" s="81"/>
      <c r="G104" s="79"/>
      <c r="H104" s="83"/>
      <c r="I104" s="79"/>
      <c r="J104" s="79"/>
      <c r="K104" s="79"/>
      <c r="L104" s="84"/>
      <c r="M104" s="84"/>
      <c r="N104" s="79"/>
      <c r="O104" s="85"/>
      <c r="P104" s="85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</row>
    <row r="105" spans="1:28" ht="15.75" customHeight="1">
      <c r="A105" s="86"/>
      <c r="B105" s="79"/>
      <c r="C105" s="82"/>
      <c r="D105" s="81"/>
      <c r="E105" s="82"/>
      <c r="F105" s="81"/>
      <c r="G105" s="79"/>
      <c r="H105" s="83"/>
      <c r="I105" s="79"/>
      <c r="J105" s="79"/>
      <c r="K105" s="79"/>
      <c r="L105" s="84"/>
      <c r="M105" s="84"/>
      <c r="N105" s="79"/>
      <c r="O105" s="85"/>
      <c r="P105" s="85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</row>
    <row r="106" spans="1:28" ht="15.75" customHeight="1">
      <c r="A106" s="86"/>
      <c r="B106" s="79"/>
      <c r="C106" s="82"/>
      <c r="D106" s="81"/>
      <c r="E106" s="82"/>
      <c r="F106" s="81"/>
      <c r="G106" s="79"/>
      <c r="H106" s="83"/>
      <c r="I106" s="79"/>
      <c r="J106" s="79"/>
      <c r="K106" s="79"/>
      <c r="L106" s="84"/>
      <c r="M106" s="84"/>
      <c r="N106" s="79"/>
      <c r="O106" s="85"/>
      <c r="P106" s="85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</row>
    <row r="107" spans="1:28" ht="15.75" customHeight="1">
      <c r="A107" s="86"/>
      <c r="B107" s="79"/>
      <c r="C107" s="82"/>
      <c r="D107" s="81"/>
      <c r="E107" s="82"/>
      <c r="F107" s="81"/>
      <c r="G107" s="79"/>
      <c r="H107" s="83"/>
      <c r="I107" s="79"/>
      <c r="J107" s="79"/>
      <c r="K107" s="79"/>
      <c r="L107" s="84"/>
      <c r="M107" s="84"/>
      <c r="N107" s="79"/>
      <c r="O107" s="85"/>
      <c r="P107" s="85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</row>
    <row r="108" spans="1:28" ht="15.75" customHeight="1">
      <c r="A108" s="86"/>
      <c r="B108" s="79"/>
      <c r="C108" s="82"/>
      <c r="D108" s="81"/>
      <c r="E108" s="82"/>
      <c r="F108" s="81"/>
      <c r="G108" s="79"/>
      <c r="H108" s="83"/>
      <c r="I108" s="79"/>
      <c r="J108" s="79"/>
      <c r="K108" s="79"/>
      <c r="L108" s="84"/>
      <c r="M108" s="84"/>
      <c r="N108" s="79"/>
      <c r="O108" s="85"/>
      <c r="P108" s="85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</row>
    <row r="109" spans="1:28" ht="15.75" customHeight="1">
      <c r="A109" s="86"/>
      <c r="B109" s="79"/>
      <c r="C109" s="82"/>
      <c r="D109" s="81"/>
      <c r="E109" s="82"/>
      <c r="F109" s="81"/>
      <c r="G109" s="79"/>
      <c r="H109" s="83"/>
      <c r="I109" s="79"/>
      <c r="J109" s="79"/>
      <c r="K109" s="79"/>
      <c r="L109" s="84"/>
      <c r="M109" s="84"/>
      <c r="N109" s="79"/>
      <c r="O109" s="85"/>
      <c r="P109" s="85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</row>
    <row r="110" spans="1:28" ht="15.75" customHeight="1">
      <c r="A110" s="86"/>
      <c r="B110" s="79"/>
      <c r="C110" s="82"/>
      <c r="D110" s="81"/>
      <c r="E110" s="82"/>
      <c r="F110" s="81"/>
      <c r="G110" s="79"/>
      <c r="H110" s="83"/>
      <c r="I110" s="79"/>
      <c r="J110" s="79"/>
      <c r="K110" s="79"/>
      <c r="L110" s="84"/>
      <c r="M110" s="84"/>
      <c r="N110" s="79"/>
      <c r="O110" s="85"/>
      <c r="P110" s="85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</row>
    <row r="111" spans="1:28" ht="15.75" customHeight="1">
      <c r="A111" s="86"/>
      <c r="B111" s="79"/>
      <c r="C111" s="82"/>
      <c r="D111" s="81"/>
      <c r="E111" s="82"/>
      <c r="F111" s="81"/>
      <c r="G111" s="79"/>
      <c r="H111" s="83"/>
      <c r="I111" s="79"/>
      <c r="J111" s="79"/>
      <c r="K111" s="79"/>
      <c r="L111" s="84"/>
      <c r="M111" s="84"/>
      <c r="N111" s="79"/>
      <c r="O111" s="85"/>
      <c r="P111" s="85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</row>
    <row r="112" spans="1:28" ht="15.75" customHeight="1">
      <c r="A112" s="86"/>
      <c r="B112" s="79"/>
      <c r="C112" s="82"/>
      <c r="D112" s="81"/>
      <c r="E112" s="82"/>
      <c r="F112" s="81"/>
      <c r="G112" s="79"/>
      <c r="H112" s="83"/>
      <c r="I112" s="79"/>
      <c r="J112" s="79"/>
      <c r="K112" s="79"/>
      <c r="L112" s="84"/>
      <c r="M112" s="84"/>
      <c r="N112" s="79"/>
      <c r="O112" s="85"/>
      <c r="P112" s="85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</row>
    <row r="113" spans="1:28" ht="15.75" customHeight="1">
      <c r="A113" s="86"/>
      <c r="B113" s="79"/>
      <c r="C113" s="82"/>
      <c r="D113" s="81"/>
      <c r="E113" s="82"/>
      <c r="F113" s="81"/>
      <c r="G113" s="79"/>
      <c r="H113" s="83"/>
      <c r="I113" s="79"/>
      <c r="J113" s="79"/>
      <c r="K113" s="79"/>
      <c r="L113" s="84"/>
      <c r="M113" s="84"/>
      <c r="N113" s="79"/>
      <c r="O113" s="85"/>
      <c r="P113" s="85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</row>
    <row r="114" spans="1:28" ht="15.75" customHeight="1">
      <c r="A114" s="86"/>
      <c r="B114" s="79"/>
      <c r="C114" s="82"/>
      <c r="D114" s="81"/>
      <c r="E114" s="82"/>
      <c r="F114" s="81"/>
      <c r="G114" s="79"/>
      <c r="H114" s="83"/>
      <c r="I114" s="79"/>
      <c r="J114" s="79"/>
      <c r="K114" s="79"/>
      <c r="L114" s="84"/>
      <c r="M114" s="84"/>
      <c r="N114" s="79"/>
      <c r="O114" s="85"/>
      <c r="P114" s="85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</row>
    <row r="115" spans="1:28" ht="15.75" customHeight="1">
      <c r="A115" s="86"/>
      <c r="B115" s="79"/>
      <c r="C115" s="82"/>
      <c r="D115" s="81"/>
      <c r="E115" s="82"/>
      <c r="F115" s="81"/>
      <c r="G115" s="79"/>
      <c r="H115" s="83"/>
      <c r="I115" s="79"/>
      <c r="J115" s="79"/>
      <c r="K115" s="79"/>
      <c r="L115" s="84"/>
      <c r="M115" s="84"/>
      <c r="N115" s="79"/>
      <c r="O115" s="85"/>
      <c r="P115" s="85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</row>
    <row r="116" spans="1:28" ht="15.75" customHeight="1">
      <c r="A116" s="86"/>
      <c r="B116" s="79"/>
      <c r="C116" s="82"/>
      <c r="D116" s="81"/>
      <c r="E116" s="82"/>
      <c r="F116" s="81"/>
      <c r="G116" s="79"/>
      <c r="H116" s="83"/>
      <c r="I116" s="79"/>
      <c r="J116" s="79"/>
      <c r="K116" s="79"/>
      <c r="L116" s="84"/>
      <c r="M116" s="84"/>
      <c r="N116" s="79"/>
      <c r="O116" s="85"/>
      <c r="P116" s="85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</row>
    <row r="117" spans="1:28" ht="15.75" customHeight="1">
      <c r="A117" s="86"/>
      <c r="B117" s="79"/>
      <c r="C117" s="82"/>
      <c r="D117" s="81"/>
      <c r="E117" s="82"/>
      <c r="F117" s="81"/>
      <c r="G117" s="79"/>
      <c r="H117" s="83"/>
      <c r="I117" s="79"/>
      <c r="J117" s="79"/>
      <c r="K117" s="79"/>
      <c r="L117" s="84"/>
      <c r="M117" s="84"/>
      <c r="N117" s="79"/>
      <c r="O117" s="85"/>
      <c r="P117" s="85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</row>
    <row r="118" spans="1:28" ht="15.75" customHeight="1">
      <c r="A118" s="86"/>
      <c r="B118" s="79"/>
      <c r="C118" s="82"/>
      <c r="D118" s="81"/>
      <c r="E118" s="82"/>
      <c r="F118" s="81"/>
      <c r="G118" s="79"/>
      <c r="H118" s="83"/>
      <c r="I118" s="79"/>
      <c r="J118" s="79"/>
      <c r="K118" s="79"/>
      <c r="L118" s="84"/>
      <c r="M118" s="84"/>
      <c r="N118" s="79"/>
      <c r="O118" s="85"/>
      <c r="P118" s="85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</row>
    <row r="119" spans="1:28" ht="15.75" customHeight="1">
      <c r="A119" s="86"/>
      <c r="B119" s="79"/>
      <c r="C119" s="82"/>
      <c r="D119" s="81"/>
      <c r="E119" s="82"/>
      <c r="F119" s="81"/>
      <c r="G119" s="79"/>
      <c r="H119" s="83"/>
      <c r="I119" s="79"/>
      <c r="J119" s="79"/>
      <c r="K119" s="79"/>
      <c r="L119" s="84"/>
      <c r="M119" s="84"/>
      <c r="N119" s="79"/>
      <c r="O119" s="85"/>
      <c r="P119" s="85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</row>
    <row r="120" spans="1:28" ht="15.75" customHeight="1">
      <c r="A120" s="86"/>
      <c r="B120" s="79"/>
      <c r="C120" s="82"/>
      <c r="D120" s="81"/>
      <c r="E120" s="82"/>
      <c r="F120" s="81"/>
      <c r="G120" s="79"/>
      <c r="H120" s="83"/>
      <c r="I120" s="79"/>
      <c r="J120" s="79"/>
      <c r="K120" s="79"/>
      <c r="L120" s="84"/>
      <c r="M120" s="84"/>
      <c r="N120" s="79"/>
      <c r="O120" s="85"/>
      <c r="P120" s="85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</row>
    <row r="121" spans="1:28" ht="15.75" customHeight="1">
      <c r="A121" s="86"/>
      <c r="B121" s="79"/>
      <c r="C121" s="82"/>
      <c r="D121" s="81"/>
      <c r="E121" s="82"/>
      <c r="F121" s="81"/>
      <c r="G121" s="79"/>
      <c r="H121" s="83"/>
      <c r="I121" s="79"/>
      <c r="J121" s="79"/>
      <c r="K121" s="79"/>
      <c r="L121" s="84"/>
      <c r="M121" s="84"/>
      <c r="N121" s="79"/>
      <c r="O121" s="85"/>
      <c r="P121" s="85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</row>
    <row r="122" spans="1:28" ht="15.75" customHeight="1">
      <c r="A122" s="86"/>
      <c r="B122" s="79"/>
      <c r="C122" s="82"/>
      <c r="D122" s="81"/>
      <c r="E122" s="82"/>
      <c r="F122" s="81"/>
      <c r="G122" s="79"/>
      <c r="H122" s="83"/>
      <c r="I122" s="79"/>
      <c r="J122" s="79"/>
      <c r="K122" s="79"/>
      <c r="L122" s="84"/>
      <c r="M122" s="84"/>
      <c r="N122" s="79"/>
      <c r="O122" s="85"/>
      <c r="P122" s="85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</row>
    <row r="123" spans="1:28" ht="15.75" customHeight="1">
      <c r="A123" s="86"/>
      <c r="B123" s="79"/>
      <c r="C123" s="82"/>
      <c r="D123" s="81"/>
      <c r="E123" s="82"/>
      <c r="F123" s="81"/>
      <c r="G123" s="79"/>
      <c r="H123" s="83"/>
      <c r="I123" s="79"/>
      <c r="J123" s="79"/>
      <c r="K123" s="79"/>
      <c r="L123" s="84"/>
      <c r="M123" s="84"/>
      <c r="N123" s="79"/>
      <c r="O123" s="85"/>
      <c r="P123" s="85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</row>
    <row r="124" spans="1:28" ht="15.75" customHeight="1">
      <c r="A124" s="86"/>
      <c r="B124" s="79"/>
      <c r="C124" s="82"/>
      <c r="D124" s="81"/>
      <c r="E124" s="82"/>
      <c r="F124" s="81"/>
      <c r="G124" s="79"/>
      <c r="H124" s="83"/>
      <c r="I124" s="79"/>
      <c r="J124" s="79"/>
      <c r="K124" s="79"/>
      <c r="L124" s="84"/>
      <c r="M124" s="84"/>
      <c r="N124" s="79"/>
      <c r="O124" s="85"/>
      <c r="P124" s="85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</row>
    <row r="125" spans="1:28" ht="15.75" customHeight="1">
      <c r="A125" s="86"/>
      <c r="B125" s="79"/>
      <c r="C125" s="82"/>
      <c r="D125" s="81"/>
      <c r="E125" s="82"/>
      <c r="F125" s="81"/>
      <c r="G125" s="79"/>
      <c r="H125" s="83"/>
      <c r="I125" s="79"/>
      <c r="J125" s="79"/>
      <c r="K125" s="79"/>
      <c r="L125" s="84"/>
      <c r="M125" s="84"/>
      <c r="N125" s="79"/>
      <c r="O125" s="85"/>
      <c r="P125" s="85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</row>
    <row r="126" spans="1:28" ht="15.75" customHeight="1">
      <c r="A126" s="86"/>
      <c r="B126" s="79"/>
      <c r="C126" s="82"/>
      <c r="D126" s="81"/>
      <c r="E126" s="82"/>
      <c r="F126" s="81"/>
      <c r="G126" s="79"/>
      <c r="H126" s="83"/>
      <c r="I126" s="79"/>
      <c r="J126" s="79"/>
      <c r="K126" s="79"/>
      <c r="L126" s="84"/>
      <c r="M126" s="84"/>
      <c r="N126" s="79"/>
      <c r="O126" s="85"/>
      <c r="P126" s="85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</row>
    <row r="127" spans="1:28" ht="15.75" customHeight="1">
      <c r="A127" s="86"/>
      <c r="B127" s="79"/>
      <c r="C127" s="82"/>
      <c r="D127" s="81"/>
      <c r="E127" s="82"/>
      <c r="F127" s="81"/>
      <c r="G127" s="79"/>
      <c r="H127" s="83"/>
      <c r="I127" s="79"/>
      <c r="J127" s="79"/>
      <c r="K127" s="79"/>
      <c r="L127" s="84"/>
      <c r="M127" s="84"/>
      <c r="N127" s="79"/>
      <c r="O127" s="85"/>
      <c r="P127" s="85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</row>
    <row r="128" spans="1:28" ht="15.75" customHeight="1">
      <c r="A128" s="86"/>
      <c r="B128" s="79"/>
      <c r="C128" s="82"/>
      <c r="D128" s="81"/>
      <c r="E128" s="82"/>
      <c r="F128" s="81"/>
      <c r="G128" s="79"/>
      <c r="H128" s="83"/>
      <c r="I128" s="79"/>
      <c r="J128" s="79"/>
      <c r="K128" s="79"/>
      <c r="L128" s="84"/>
      <c r="M128" s="84"/>
      <c r="N128" s="79"/>
      <c r="O128" s="85"/>
      <c r="P128" s="85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</row>
    <row r="129" spans="1:28" ht="15.75" customHeight="1">
      <c r="A129" s="86"/>
      <c r="B129" s="79"/>
      <c r="C129" s="82"/>
      <c r="D129" s="81"/>
      <c r="E129" s="82"/>
      <c r="F129" s="81"/>
      <c r="G129" s="79"/>
      <c r="H129" s="83"/>
      <c r="I129" s="79"/>
      <c r="J129" s="79"/>
      <c r="K129" s="79"/>
      <c r="L129" s="84"/>
      <c r="M129" s="84"/>
      <c r="N129" s="79"/>
      <c r="O129" s="85"/>
      <c r="P129" s="85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</row>
    <row r="130" spans="1:28" ht="15.75" customHeight="1">
      <c r="A130" s="86"/>
      <c r="B130" s="79"/>
      <c r="C130" s="82"/>
      <c r="D130" s="81"/>
      <c r="E130" s="82"/>
      <c r="F130" s="81"/>
      <c r="G130" s="79"/>
      <c r="H130" s="83"/>
      <c r="I130" s="79"/>
      <c r="J130" s="79"/>
      <c r="K130" s="79"/>
      <c r="L130" s="84"/>
      <c r="M130" s="84"/>
      <c r="N130" s="79"/>
      <c r="O130" s="85"/>
      <c r="P130" s="85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</row>
    <row r="131" spans="1:28" ht="15.75" customHeight="1">
      <c r="A131" s="86"/>
      <c r="B131" s="79"/>
      <c r="C131" s="82"/>
      <c r="D131" s="81"/>
      <c r="E131" s="82"/>
      <c r="F131" s="81"/>
      <c r="G131" s="79"/>
      <c r="H131" s="83"/>
      <c r="I131" s="79"/>
      <c r="J131" s="79"/>
      <c r="K131" s="79"/>
      <c r="L131" s="84"/>
      <c r="M131" s="84"/>
      <c r="N131" s="79"/>
      <c r="O131" s="85"/>
      <c r="P131" s="85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</row>
    <row r="132" spans="1:28" ht="15.75" customHeight="1">
      <c r="A132" s="86"/>
      <c r="B132" s="79"/>
      <c r="C132" s="82"/>
      <c r="D132" s="81"/>
      <c r="E132" s="82"/>
      <c r="F132" s="81"/>
      <c r="G132" s="79"/>
      <c r="H132" s="83"/>
      <c r="I132" s="79"/>
      <c r="J132" s="79"/>
      <c r="K132" s="79"/>
      <c r="L132" s="84"/>
      <c r="M132" s="84"/>
      <c r="N132" s="79"/>
      <c r="O132" s="85"/>
      <c r="P132" s="85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</row>
    <row r="133" spans="1:28" ht="15.75" customHeight="1">
      <c r="A133" s="86"/>
      <c r="B133" s="79"/>
      <c r="C133" s="82"/>
      <c r="D133" s="81"/>
      <c r="E133" s="82"/>
      <c r="F133" s="81"/>
      <c r="G133" s="79"/>
      <c r="H133" s="83"/>
      <c r="I133" s="79"/>
      <c r="J133" s="79"/>
      <c r="K133" s="79"/>
      <c r="L133" s="84"/>
      <c r="M133" s="84"/>
      <c r="N133" s="79"/>
      <c r="O133" s="85"/>
      <c r="P133" s="85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</row>
    <row r="134" spans="1:28" ht="15.75" customHeight="1">
      <c r="A134" s="86"/>
      <c r="B134" s="79"/>
      <c r="C134" s="82"/>
      <c r="D134" s="81"/>
      <c r="E134" s="82"/>
      <c r="F134" s="81"/>
      <c r="G134" s="79"/>
      <c r="H134" s="83"/>
      <c r="I134" s="79"/>
      <c r="J134" s="79"/>
      <c r="K134" s="79"/>
      <c r="L134" s="84"/>
      <c r="M134" s="84"/>
      <c r="N134" s="79"/>
      <c r="O134" s="85"/>
      <c r="P134" s="85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</row>
    <row r="135" spans="1:28" ht="15.75" customHeight="1">
      <c r="A135" s="86"/>
      <c r="B135" s="79"/>
      <c r="C135" s="82"/>
      <c r="D135" s="81"/>
      <c r="E135" s="82"/>
      <c r="F135" s="81"/>
      <c r="G135" s="79"/>
      <c r="H135" s="83"/>
      <c r="I135" s="79"/>
      <c r="J135" s="79"/>
      <c r="K135" s="79"/>
      <c r="L135" s="84"/>
      <c r="M135" s="84"/>
      <c r="N135" s="79"/>
      <c r="O135" s="85"/>
      <c r="P135" s="85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</row>
    <row r="136" spans="1:28" ht="15.75" customHeight="1">
      <c r="A136" s="86"/>
      <c r="B136" s="79"/>
      <c r="C136" s="82"/>
      <c r="D136" s="81"/>
      <c r="E136" s="82"/>
      <c r="F136" s="81"/>
      <c r="G136" s="79"/>
      <c r="H136" s="83"/>
      <c r="I136" s="79"/>
      <c r="J136" s="79"/>
      <c r="K136" s="79"/>
      <c r="L136" s="84"/>
      <c r="M136" s="84"/>
      <c r="N136" s="79"/>
      <c r="O136" s="85"/>
      <c r="P136" s="85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</row>
    <row r="137" spans="1:28" ht="15.75" customHeight="1">
      <c r="A137" s="86"/>
      <c r="B137" s="79"/>
      <c r="C137" s="82"/>
      <c r="D137" s="81"/>
      <c r="E137" s="82"/>
      <c r="F137" s="81"/>
      <c r="G137" s="79"/>
      <c r="H137" s="83"/>
      <c r="I137" s="79"/>
      <c r="J137" s="79"/>
      <c r="K137" s="79"/>
      <c r="L137" s="84"/>
      <c r="M137" s="84"/>
      <c r="N137" s="79"/>
      <c r="O137" s="85"/>
      <c r="P137" s="85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</row>
    <row r="138" spans="1:28" ht="15.75" customHeight="1">
      <c r="A138" s="86"/>
      <c r="B138" s="79"/>
      <c r="C138" s="82"/>
      <c r="D138" s="81"/>
      <c r="E138" s="82"/>
      <c r="F138" s="81"/>
      <c r="G138" s="79"/>
      <c r="H138" s="83"/>
      <c r="I138" s="79"/>
      <c r="J138" s="79"/>
      <c r="K138" s="79"/>
      <c r="L138" s="84"/>
      <c r="M138" s="84"/>
      <c r="N138" s="79"/>
      <c r="O138" s="85"/>
      <c r="P138" s="85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</row>
    <row r="139" spans="1:28" ht="15.75" customHeight="1">
      <c r="A139" s="86"/>
      <c r="B139" s="79"/>
      <c r="C139" s="82"/>
      <c r="D139" s="81"/>
      <c r="E139" s="82"/>
      <c r="F139" s="81"/>
      <c r="G139" s="79"/>
      <c r="H139" s="83"/>
      <c r="I139" s="79"/>
      <c r="J139" s="79"/>
      <c r="K139" s="79"/>
      <c r="L139" s="84"/>
      <c r="M139" s="84"/>
      <c r="N139" s="79"/>
      <c r="O139" s="85"/>
      <c r="P139" s="85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</row>
    <row r="140" spans="1:28" ht="15.75" customHeight="1">
      <c r="A140" s="86"/>
      <c r="B140" s="79"/>
      <c r="C140" s="82"/>
      <c r="D140" s="81"/>
      <c r="E140" s="82"/>
      <c r="F140" s="81"/>
      <c r="G140" s="79"/>
      <c r="H140" s="83"/>
      <c r="I140" s="79"/>
      <c r="J140" s="79"/>
      <c r="K140" s="79"/>
      <c r="L140" s="84"/>
      <c r="M140" s="84"/>
      <c r="N140" s="79"/>
      <c r="O140" s="85"/>
      <c r="P140" s="85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</row>
    <row r="141" spans="1:28" ht="15.75" customHeight="1">
      <c r="A141" s="86"/>
      <c r="B141" s="79"/>
      <c r="C141" s="82"/>
      <c r="D141" s="81"/>
      <c r="E141" s="82"/>
      <c r="F141" s="81"/>
      <c r="G141" s="79"/>
      <c r="H141" s="83"/>
      <c r="I141" s="79"/>
      <c r="J141" s="79"/>
      <c r="K141" s="79"/>
      <c r="L141" s="84"/>
      <c r="M141" s="84"/>
      <c r="N141" s="79"/>
      <c r="O141" s="85"/>
      <c r="P141" s="85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</row>
    <row r="142" spans="1:28" ht="15.75" customHeight="1">
      <c r="A142" s="86"/>
      <c r="B142" s="79"/>
      <c r="C142" s="82"/>
      <c r="D142" s="81"/>
      <c r="E142" s="82"/>
      <c r="F142" s="81"/>
      <c r="G142" s="79"/>
      <c r="H142" s="83"/>
      <c r="I142" s="79"/>
      <c r="J142" s="79"/>
      <c r="K142" s="79"/>
      <c r="L142" s="84"/>
      <c r="M142" s="84"/>
      <c r="N142" s="79"/>
      <c r="O142" s="85"/>
      <c r="P142" s="85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</row>
    <row r="143" spans="1:28" ht="15.75" customHeight="1">
      <c r="A143" s="86"/>
      <c r="B143" s="79"/>
      <c r="C143" s="82"/>
      <c r="D143" s="81"/>
      <c r="E143" s="82"/>
      <c r="F143" s="81"/>
      <c r="G143" s="79"/>
      <c r="H143" s="83"/>
      <c r="I143" s="79"/>
      <c r="J143" s="79"/>
      <c r="K143" s="79"/>
      <c r="L143" s="84"/>
      <c r="M143" s="84"/>
      <c r="N143" s="79"/>
      <c r="O143" s="85"/>
      <c r="P143" s="85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</row>
    <row r="144" spans="1:28" ht="15.75" customHeight="1">
      <c r="A144" s="86"/>
      <c r="B144" s="79"/>
      <c r="C144" s="82"/>
      <c r="D144" s="81"/>
      <c r="E144" s="82"/>
      <c r="F144" s="81"/>
      <c r="G144" s="79"/>
      <c r="H144" s="83"/>
      <c r="I144" s="79"/>
      <c r="J144" s="79"/>
      <c r="K144" s="79"/>
      <c r="L144" s="84"/>
      <c r="M144" s="84"/>
      <c r="N144" s="79"/>
      <c r="O144" s="85"/>
      <c r="P144" s="85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</row>
    <row r="145" spans="1:28" ht="15.75" customHeight="1">
      <c r="A145" s="86"/>
      <c r="B145" s="79"/>
      <c r="C145" s="82"/>
      <c r="D145" s="81"/>
      <c r="E145" s="82"/>
      <c r="F145" s="81"/>
      <c r="G145" s="79"/>
      <c r="H145" s="83"/>
      <c r="I145" s="79"/>
      <c r="J145" s="79"/>
      <c r="K145" s="79"/>
      <c r="L145" s="84"/>
      <c r="M145" s="84"/>
      <c r="N145" s="79"/>
      <c r="O145" s="85"/>
      <c r="P145" s="85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</row>
    <row r="146" spans="1:28" ht="15.75" customHeight="1">
      <c r="A146" s="86"/>
      <c r="B146" s="79"/>
      <c r="C146" s="82"/>
      <c r="D146" s="81"/>
      <c r="E146" s="82"/>
      <c r="F146" s="81"/>
      <c r="G146" s="79"/>
      <c r="H146" s="83"/>
      <c r="I146" s="79"/>
      <c r="J146" s="79"/>
      <c r="K146" s="79"/>
      <c r="L146" s="84"/>
      <c r="M146" s="84"/>
      <c r="N146" s="79"/>
      <c r="O146" s="85"/>
      <c r="P146" s="85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</row>
    <row r="147" spans="1:28" ht="15.75" customHeight="1">
      <c r="A147" s="86"/>
      <c r="B147" s="79"/>
      <c r="C147" s="82"/>
      <c r="D147" s="81"/>
      <c r="E147" s="82"/>
      <c r="F147" s="81"/>
      <c r="G147" s="79"/>
      <c r="H147" s="83"/>
      <c r="I147" s="79"/>
      <c r="J147" s="79"/>
      <c r="K147" s="79"/>
      <c r="L147" s="84"/>
      <c r="M147" s="84"/>
      <c r="N147" s="79"/>
      <c r="O147" s="85"/>
      <c r="P147" s="85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</row>
    <row r="148" spans="1:28" ht="15.75" customHeight="1">
      <c r="A148" s="86"/>
      <c r="B148" s="79"/>
      <c r="C148" s="82"/>
      <c r="D148" s="81"/>
      <c r="E148" s="82"/>
      <c r="F148" s="81"/>
      <c r="G148" s="79"/>
      <c r="H148" s="83"/>
      <c r="I148" s="79"/>
      <c r="J148" s="79"/>
      <c r="K148" s="79"/>
      <c r="L148" s="84"/>
      <c r="M148" s="84"/>
      <c r="N148" s="79"/>
      <c r="O148" s="85"/>
      <c r="P148" s="85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</row>
    <row r="149" spans="1:28" ht="15.75" customHeight="1">
      <c r="A149" s="86"/>
      <c r="B149" s="79"/>
      <c r="C149" s="82"/>
      <c r="D149" s="81"/>
      <c r="E149" s="82"/>
      <c r="F149" s="81"/>
      <c r="G149" s="79"/>
      <c r="H149" s="83"/>
      <c r="I149" s="79"/>
      <c r="J149" s="79"/>
      <c r="K149" s="79"/>
      <c r="L149" s="84"/>
      <c r="M149" s="84"/>
      <c r="N149" s="79"/>
      <c r="O149" s="85"/>
      <c r="P149" s="85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</row>
    <row r="150" spans="1:28" ht="15.75" customHeight="1">
      <c r="A150" s="86"/>
      <c r="B150" s="79"/>
      <c r="C150" s="82"/>
      <c r="D150" s="81"/>
      <c r="E150" s="82"/>
      <c r="F150" s="81"/>
      <c r="G150" s="79"/>
      <c r="H150" s="83"/>
      <c r="I150" s="79"/>
      <c r="J150" s="79"/>
      <c r="K150" s="79"/>
      <c r="L150" s="84"/>
      <c r="M150" s="84"/>
      <c r="N150" s="79"/>
      <c r="O150" s="85"/>
      <c r="P150" s="85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</row>
    <row r="151" spans="1:28" ht="15.75" customHeight="1">
      <c r="A151" s="86"/>
      <c r="B151" s="79"/>
      <c r="C151" s="82"/>
      <c r="D151" s="81"/>
      <c r="E151" s="82"/>
      <c r="F151" s="81"/>
      <c r="G151" s="79"/>
      <c r="H151" s="83"/>
      <c r="I151" s="79"/>
      <c r="J151" s="79"/>
      <c r="K151" s="79"/>
      <c r="L151" s="84"/>
      <c r="M151" s="84"/>
      <c r="N151" s="79"/>
      <c r="O151" s="85"/>
      <c r="P151" s="85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</row>
    <row r="152" spans="1:28" ht="15.75" customHeight="1">
      <c r="A152" s="86"/>
      <c r="B152" s="79"/>
      <c r="C152" s="82"/>
      <c r="D152" s="81"/>
      <c r="E152" s="82"/>
      <c r="F152" s="81"/>
      <c r="G152" s="79"/>
      <c r="H152" s="83"/>
      <c r="I152" s="79"/>
      <c r="J152" s="79"/>
      <c r="K152" s="79"/>
      <c r="L152" s="84"/>
      <c r="M152" s="84"/>
      <c r="N152" s="79"/>
      <c r="O152" s="85"/>
      <c r="P152" s="85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</row>
    <row r="153" spans="1:28" ht="15.75" customHeight="1">
      <c r="A153" s="86"/>
      <c r="B153" s="79"/>
      <c r="C153" s="82"/>
      <c r="D153" s="81"/>
      <c r="E153" s="82"/>
      <c r="F153" s="81"/>
      <c r="G153" s="79"/>
      <c r="H153" s="83"/>
      <c r="I153" s="79"/>
      <c r="J153" s="79"/>
      <c r="K153" s="79"/>
      <c r="L153" s="84"/>
      <c r="M153" s="84"/>
      <c r="N153" s="79"/>
      <c r="O153" s="85"/>
      <c r="P153" s="85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</row>
    <row r="154" spans="1:28" ht="15.75" customHeight="1">
      <c r="A154" s="86"/>
      <c r="B154" s="79"/>
      <c r="C154" s="82"/>
      <c r="D154" s="81"/>
      <c r="E154" s="82"/>
      <c r="F154" s="81"/>
      <c r="G154" s="79"/>
      <c r="H154" s="83"/>
      <c r="I154" s="79"/>
      <c r="J154" s="79"/>
      <c r="K154" s="79"/>
      <c r="L154" s="84"/>
      <c r="M154" s="84"/>
      <c r="N154" s="79"/>
      <c r="O154" s="85"/>
      <c r="P154" s="85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</row>
    <row r="155" spans="1:28" ht="15.75" customHeight="1">
      <c r="A155" s="86"/>
      <c r="B155" s="79"/>
      <c r="C155" s="82"/>
      <c r="D155" s="81"/>
      <c r="E155" s="82"/>
      <c r="F155" s="81"/>
      <c r="G155" s="79"/>
      <c r="H155" s="83"/>
      <c r="I155" s="79"/>
      <c r="J155" s="79"/>
      <c r="K155" s="79"/>
      <c r="L155" s="84"/>
      <c r="M155" s="84"/>
      <c r="N155" s="79"/>
      <c r="O155" s="85"/>
      <c r="P155" s="85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</row>
    <row r="156" spans="1:28" ht="15.75" customHeight="1">
      <c r="A156" s="86"/>
      <c r="B156" s="79"/>
      <c r="C156" s="82"/>
      <c r="D156" s="81"/>
      <c r="E156" s="82"/>
      <c r="F156" s="81"/>
      <c r="G156" s="79"/>
      <c r="H156" s="83"/>
      <c r="I156" s="79"/>
      <c r="J156" s="79"/>
      <c r="K156" s="79"/>
      <c r="L156" s="84"/>
      <c r="M156" s="84"/>
      <c r="N156" s="79"/>
      <c r="O156" s="85"/>
      <c r="P156" s="85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</row>
    <row r="157" spans="1:28" ht="15.75" customHeight="1">
      <c r="A157" s="86"/>
      <c r="B157" s="79"/>
      <c r="C157" s="82"/>
      <c r="D157" s="81"/>
      <c r="E157" s="82"/>
      <c r="F157" s="81"/>
      <c r="G157" s="79"/>
      <c r="H157" s="83"/>
      <c r="I157" s="79"/>
      <c r="J157" s="79"/>
      <c r="K157" s="79"/>
      <c r="L157" s="84"/>
      <c r="M157" s="84"/>
      <c r="N157" s="79"/>
      <c r="O157" s="85"/>
      <c r="P157" s="85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</row>
    <row r="158" spans="1:28" ht="15.75" customHeight="1">
      <c r="A158" s="86"/>
      <c r="B158" s="79"/>
      <c r="C158" s="82"/>
      <c r="D158" s="81"/>
      <c r="E158" s="82"/>
      <c r="F158" s="81"/>
      <c r="G158" s="79"/>
      <c r="H158" s="83"/>
      <c r="I158" s="79"/>
      <c r="J158" s="79"/>
      <c r="K158" s="79"/>
      <c r="L158" s="84"/>
      <c r="M158" s="84"/>
      <c r="N158" s="79"/>
      <c r="O158" s="85"/>
      <c r="P158" s="85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</row>
    <row r="159" spans="1:28" ht="15.75" customHeight="1">
      <c r="A159" s="86"/>
      <c r="B159" s="79"/>
      <c r="C159" s="82"/>
      <c r="D159" s="81"/>
      <c r="E159" s="82"/>
      <c r="F159" s="81"/>
      <c r="G159" s="79"/>
      <c r="H159" s="83"/>
      <c r="I159" s="79"/>
      <c r="J159" s="79"/>
      <c r="K159" s="79"/>
      <c r="L159" s="84"/>
      <c r="M159" s="84"/>
      <c r="N159" s="79"/>
      <c r="O159" s="85"/>
      <c r="P159" s="85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</row>
    <row r="160" spans="1:28" ht="15.75" customHeight="1">
      <c r="A160" s="86"/>
      <c r="B160" s="79"/>
      <c r="C160" s="82"/>
      <c r="D160" s="81"/>
      <c r="E160" s="82"/>
      <c r="F160" s="81"/>
      <c r="G160" s="79"/>
      <c r="H160" s="83"/>
      <c r="I160" s="79"/>
      <c r="J160" s="79"/>
      <c r="K160" s="79"/>
      <c r="L160" s="84"/>
      <c r="M160" s="84"/>
      <c r="N160" s="79"/>
      <c r="O160" s="85"/>
      <c r="P160" s="85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</row>
    <row r="161" spans="1:28" ht="15.75" customHeight="1">
      <c r="A161" s="86"/>
      <c r="B161" s="79"/>
      <c r="C161" s="82"/>
      <c r="D161" s="81"/>
      <c r="E161" s="82"/>
      <c r="F161" s="81"/>
      <c r="G161" s="79"/>
      <c r="H161" s="83"/>
      <c r="I161" s="79"/>
      <c r="J161" s="79"/>
      <c r="K161" s="79"/>
      <c r="L161" s="84"/>
      <c r="M161" s="84"/>
      <c r="N161" s="79"/>
      <c r="O161" s="85"/>
      <c r="P161" s="85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</row>
    <row r="162" spans="1:28" ht="15.75" customHeight="1">
      <c r="A162" s="86"/>
      <c r="B162" s="79"/>
      <c r="C162" s="82"/>
      <c r="D162" s="81"/>
      <c r="E162" s="82"/>
      <c r="F162" s="81"/>
      <c r="G162" s="79"/>
      <c r="H162" s="83"/>
      <c r="I162" s="79"/>
      <c r="J162" s="79"/>
      <c r="K162" s="79"/>
      <c r="L162" s="84"/>
      <c r="M162" s="84"/>
      <c r="N162" s="79"/>
      <c r="O162" s="85"/>
      <c r="P162" s="85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</row>
    <row r="163" spans="1:28" ht="15.75" customHeight="1">
      <c r="A163" s="86"/>
      <c r="B163" s="79"/>
      <c r="C163" s="82"/>
      <c r="D163" s="81"/>
      <c r="E163" s="82"/>
      <c r="F163" s="81"/>
      <c r="G163" s="79"/>
      <c r="H163" s="83"/>
      <c r="I163" s="79"/>
      <c r="J163" s="79"/>
      <c r="K163" s="79"/>
      <c r="L163" s="84"/>
      <c r="M163" s="84"/>
      <c r="N163" s="79"/>
      <c r="O163" s="85"/>
      <c r="P163" s="85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</row>
    <row r="164" spans="1:28" ht="15.75" customHeight="1">
      <c r="A164" s="86"/>
      <c r="B164" s="79"/>
      <c r="C164" s="82"/>
      <c r="D164" s="81"/>
      <c r="E164" s="82"/>
      <c r="F164" s="81"/>
      <c r="G164" s="79"/>
      <c r="H164" s="83"/>
      <c r="I164" s="79"/>
      <c r="J164" s="79"/>
      <c r="K164" s="79"/>
      <c r="L164" s="84"/>
      <c r="M164" s="84"/>
      <c r="N164" s="79"/>
      <c r="O164" s="85"/>
      <c r="P164" s="85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</row>
    <row r="165" spans="1:28" ht="15.75" customHeight="1">
      <c r="A165" s="86"/>
      <c r="B165" s="79"/>
      <c r="C165" s="82"/>
      <c r="D165" s="81"/>
      <c r="E165" s="82"/>
      <c r="F165" s="81"/>
      <c r="G165" s="79"/>
      <c r="H165" s="83"/>
      <c r="I165" s="79"/>
      <c r="J165" s="79"/>
      <c r="K165" s="79"/>
      <c r="L165" s="84"/>
      <c r="M165" s="84"/>
      <c r="N165" s="79"/>
      <c r="O165" s="85"/>
      <c r="P165" s="85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</row>
    <row r="166" spans="1:28" ht="15.75" customHeight="1">
      <c r="A166" s="86"/>
      <c r="B166" s="79"/>
      <c r="C166" s="82"/>
      <c r="D166" s="81"/>
      <c r="E166" s="82"/>
      <c r="F166" s="81"/>
      <c r="G166" s="79"/>
      <c r="H166" s="83"/>
      <c r="I166" s="79"/>
      <c r="J166" s="79"/>
      <c r="K166" s="79"/>
      <c r="L166" s="84"/>
      <c r="M166" s="84"/>
      <c r="N166" s="79"/>
      <c r="O166" s="85"/>
      <c r="P166" s="85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</row>
    <row r="167" spans="1:28" ht="15.75" customHeight="1">
      <c r="A167" s="86"/>
      <c r="B167" s="79"/>
      <c r="C167" s="82"/>
      <c r="D167" s="81"/>
      <c r="E167" s="82"/>
      <c r="F167" s="81"/>
      <c r="G167" s="79"/>
      <c r="H167" s="83"/>
      <c r="I167" s="79"/>
      <c r="J167" s="79"/>
      <c r="K167" s="79"/>
      <c r="L167" s="84"/>
      <c r="M167" s="84"/>
      <c r="N167" s="79"/>
      <c r="O167" s="85"/>
      <c r="P167" s="85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</row>
    <row r="168" spans="1:28" ht="15.75" customHeight="1">
      <c r="A168" s="86"/>
      <c r="B168" s="79"/>
      <c r="C168" s="82"/>
      <c r="D168" s="81"/>
      <c r="E168" s="82"/>
      <c r="F168" s="81"/>
      <c r="G168" s="79"/>
      <c r="H168" s="83"/>
      <c r="I168" s="79"/>
      <c r="J168" s="79"/>
      <c r="K168" s="79"/>
      <c r="L168" s="84"/>
      <c r="M168" s="84"/>
      <c r="N168" s="79"/>
      <c r="O168" s="85"/>
      <c r="P168" s="85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</row>
    <row r="169" spans="1:28" ht="15.75" customHeight="1">
      <c r="A169" s="86"/>
      <c r="B169" s="79"/>
      <c r="C169" s="82"/>
      <c r="D169" s="81"/>
      <c r="E169" s="82"/>
      <c r="F169" s="81"/>
      <c r="G169" s="79"/>
      <c r="H169" s="83"/>
      <c r="I169" s="79"/>
      <c r="J169" s="79"/>
      <c r="K169" s="79"/>
      <c r="L169" s="84"/>
      <c r="M169" s="84"/>
      <c r="N169" s="79"/>
      <c r="O169" s="85"/>
      <c r="P169" s="85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</row>
    <row r="170" spans="1:28" ht="15.75" customHeight="1">
      <c r="A170" s="86"/>
      <c r="B170" s="79"/>
      <c r="C170" s="82"/>
      <c r="D170" s="81"/>
      <c r="E170" s="82"/>
      <c r="F170" s="81"/>
      <c r="G170" s="79"/>
      <c r="H170" s="83"/>
      <c r="I170" s="79"/>
      <c r="J170" s="79"/>
      <c r="K170" s="79"/>
      <c r="L170" s="84"/>
      <c r="M170" s="84"/>
      <c r="N170" s="79"/>
      <c r="O170" s="85"/>
      <c r="P170" s="85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</row>
    <row r="171" spans="1:28" ht="15.75" customHeight="1">
      <c r="A171" s="86"/>
      <c r="B171" s="79"/>
      <c r="C171" s="82"/>
      <c r="D171" s="81"/>
      <c r="E171" s="82"/>
      <c r="F171" s="81"/>
      <c r="G171" s="79"/>
      <c r="H171" s="83"/>
      <c r="I171" s="79"/>
      <c r="J171" s="79"/>
      <c r="K171" s="79"/>
      <c r="L171" s="84"/>
      <c r="M171" s="84"/>
      <c r="N171" s="79"/>
      <c r="O171" s="85"/>
      <c r="P171" s="85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</row>
    <row r="172" spans="1:28" ht="15.75" customHeight="1">
      <c r="A172" s="86"/>
      <c r="B172" s="79"/>
      <c r="C172" s="82"/>
      <c r="D172" s="81"/>
      <c r="E172" s="82"/>
      <c r="F172" s="81"/>
      <c r="G172" s="79"/>
      <c r="H172" s="83"/>
      <c r="I172" s="79"/>
      <c r="J172" s="79"/>
      <c r="K172" s="79"/>
      <c r="L172" s="84"/>
      <c r="M172" s="84"/>
      <c r="N172" s="79"/>
      <c r="O172" s="85"/>
      <c r="P172" s="85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</row>
    <row r="173" spans="1:28" ht="15.75" customHeight="1">
      <c r="A173" s="86"/>
      <c r="B173" s="79"/>
      <c r="C173" s="82"/>
      <c r="D173" s="81"/>
      <c r="E173" s="82"/>
      <c r="F173" s="81"/>
      <c r="G173" s="79"/>
      <c r="H173" s="83"/>
      <c r="I173" s="79"/>
      <c r="J173" s="79"/>
      <c r="K173" s="79"/>
      <c r="L173" s="84"/>
      <c r="M173" s="84"/>
      <c r="N173" s="79"/>
      <c r="O173" s="85"/>
      <c r="P173" s="85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</row>
    <row r="174" spans="1:28" ht="15.75" customHeight="1">
      <c r="A174" s="86"/>
      <c r="B174" s="79"/>
      <c r="C174" s="82"/>
      <c r="D174" s="81"/>
      <c r="E174" s="82"/>
      <c r="F174" s="81"/>
      <c r="G174" s="79"/>
      <c r="H174" s="83"/>
      <c r="I174" s="79"/>
      <c r="J174" s="79"/>
      <c r="K174" s="79"/>
      <c r="L174" s="84"/>
      <c r="M174" s="84"/>
      <c r="N174" s="79"/>
      <c r="O174" s="85"/>
      <c r="P174" s="85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</row>
    <row r="175" spans="1:28" ht="15.75" customHeight="1">
      <c r="A175" s="86"/>
      <c r="B175" s="79"/>
      <c r="C175" s="82"/>
      <c r="D175" s="81"/>
      <c r="E175" s="82"/>
      <c r="F175" s="81"/>
      <c r="G175" s="79"/>
      <c r="H175" s="83"/>
      <c r="I175" s="79"/>
      <c r="J175" s="79"/>
      <c r="K175" s="79"/>
      <c r="L175" s="84"/>
      <c r="M175" s="84"/>
      <c r="N175" s="79"/>
      <c r="O175" s="85"/>
      <c r="P175" s="85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</row>
    <row r="176" spans="1:28" ht="15.75" customHeight="1">
      <c r="A176" s="86"/>
      <c r="B176" s="79"/>
      <c r="C176" s="82"/>
      <c r="D176" s="81"/>
      <c r="E176" s="82"/>
      <c r="F176" s="81"/>
      <c r="G176" s="79"/>
      <c r="H176" s="83"/>
      <c r="I176" s="79"/>
      <c r="J176" s="79"/>
      <c r="K176" s="79"/>
      <c r="L176" s="84"/>
      <c r="M176" s="84"/>
      <c r="N176" s="79"/>
      <c r="O176" s="85"/>
      <c r="P176" s="85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</row>
    <row r="177" spans="1:28" ht="15.75" customHeight="1">
      <c r="A177" s="86"/>
      <c r="B177" s="79"/>
      <c r="C177" s="82"/>
      <c r="D177" s="81"/>
      <c r="E177" s="82"/>
      <c r="F177" s="81"/>
      <c r="G177" s="79"/>
      <c r="H177" s="83"/>
      <c r="I177" s="79"/>
      <c r="J177" s="79"/>
      <c r="K177" s="79"/>
      <c r="L177" s="84"/>
      <c r="M177" s="84"/>
      <c r="N177" s="79"/>
      <c r="O177" s="85"/>
      <c r="P177" s="85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</row>
    <row r="178" spans="1:28" ht="15.75" customHeight="1">
      <c r="A178" s="86"/>
      <c r="B178" s="79"/>
      <c r="C178" s="82"/>
      <c r="D178" s="81"/>
      <c r="E178" s="82"/>
      <c r="F178" s="81"/>
      <c r="G178" s="79"/>
      <c r="H178" s="83"/>
      <c r="I178" s="79"/>
      <c r="J178" s="79"/>
      <c r="K178" s="79"/>
      <c r="L178" s="84"/>
      <c r="M178" s="84"/>
      <c r="N178" s="79"/>
      <c r="O178" s="85"/>
      <c r="P178" s="85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</row>
    <row r="179" spans="1:28" ht="15.75" customHeight="1">
      <c r="A179" s="86"/>
      <c r="B179" s="79"/>
      <c r="C179" s="82"/>
      <c r="D179" s="81"/>
      <c r="E179" s="82"/>
      <c r="F179" s="81"/>
      <c r="G179" s="79"/>
      <c r="H179" s="83"/>
      <c r="I179" s="79"/>
      <c r="J179" s="79"/>
      <c r="K179" s="79"/>
      <c r="L179" s="84"/>
      <c r="M179" s="84"/>
      <c r="N179" s="79"/>
      <c r="O179" s="85"/>
      <c r="P179" s="85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</row>
    <row r="180" spans="1:28" ht="15.75" customHeight="1">
      <c r="A180" s="86"/>
      <c r="B180" s="79"/>
      <c r="C180" s="82"/>
      <c r="D180" s="81"/>
      <c r="E180" s="82"/>
      <c r="F180" s="81"/>
      <c r="G180" s="79"/>
      <c r="H180" s="83"/>
      <c r="I180" s="79"/>
      <c r="J180" s="79"/>
      <c r="K180" s="79"/>
      <c r="L180" s="84"/>
      <c r="M180" s="84"/>
      <c r="N180" s="79"/>
      <c r="O180" s="85"/>
      <c r="P180" s="85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</row>
    <row r="181" spans="1:28" ht="15.75" customHeight="1">
      <c r="A181" s="86"/>
      <c r="B181" s="79"/>
      <c r="C181" s="82"/>
      <c r="D181" s="81"/>
      <c r="E181" s="82"/>
      <c r="F181" s="81"/>
      <c r="G181" s="79"/>
      <c r="H181" s="83"/>
      <c r="I181" s="79"/>
      <c r="J181" s="79"/>
      <c r="K181" s="79"/>
      <c r="L181" s="84"/>
      <c r="M181" s="84"/>
      <c r="N181" s="79"/>
      <c r="O181" s="85"/>
      <c r="P181" s="85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</row>
    <row r="182" spans="1:28" ht="15.75" customHeight="1">
      <c r="A182" s="86"/>
      <c r="B182" s="79"/>
      <c r="C182" s="82"/>
      <c r="D182" s="81"/>
      <c r="E182" s="82"/>
      <c r="F182" s="81"/>
      <c r="G182" s="79"/>
      <c r="H182" s="83"/>
      <c r="I182" s="79"/>
      <c r="J182" s="79"/>
      <c r="K182" s="79"/>
      <c r="L182" s="84"/>
      <c r="M182" s="84"/>
      <c r="N182" s="79"/>
      <c r="O182" s="85"/>
      <c r="P182" s="85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</row>
    <row r="183" spans="1:28" ht="15.75" customHeight="1">
      <c r="A183" s="86"/>
      <c r="B183" s="79"/>
      <c r="C183" s="82"/>
      <c r="D183" s="81"/>
      <c r="E183" s="82"/>
      <c r="F183" s="81"/>
      <c r="G183" s="79"/>
      <c r="H183" s="83"/>
      <c r="I183" s="79"/>
      <c r="J183" s="79"/>
      <c r="K183" s="79"/>
      <c r="L183" s="84"/>
      <c r="M183" s="84"/>
      <c r="N183" s="79"/>
      <c r="O183" s="85"/>
      <c r="P183" s="85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</row>
    <row r="184" spans="1:28" ht="15.75" customHeight="1">
      <c r="A184" s="86"/>
      <c r="B184" s="79"/>
      <c r="C184" s="82"/>
      <c r="D184" s="81"/>
      <c r="E184" s="82"/>
      <c r="F184" s="81"/>
      <c r="G184" s="79"/>
      <c r="H184" s="83"/>
      <c r="I184" s="79"/>
      <c r="J184" s="79"/>
      <c r="K184" s="79"/>
      <c r="L184" s="84"/>
      <c r="M184" s="84"/>
      <c r="N184" s="79"/>
      <c r="O184" s="85"/>
      <c r="P184" s="85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</row>
    <row r="185" spans="1:28" ht="15.75" customHeight="1">
      <c r="A185" s="86"/>
      <c r="B185" s="79"/>
      <c r="C185" s="82"/>
      <c r="D185" s="81"/>
      <c r="E185" s="82"/>
      <c r="F185" s="81"/>
      <c r="G185" s="79"/>
      <c r="H185" s="83"/>
      <c r="I185" s="79"/>
      <c r="J185" s="79"/>
      <c r="K185" s="79"/>
      <c r="L185" s="84"/>
      <c r="M185" s="84"/>
      <c r="N185" s="79"/>
      <c r="O185" s="85"/>
      <c r="P185" s="85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</row>
    <row r="186" spans="1:28" ht="15.75" customHeight="1">
      <c r="A186" s="86"/>
      <c r="B186" s="79"/>
      <c r="C186" s="82"/>
      <c r="D186" s="81"/>
      <c r="E186" s="82"/>
      <c r="F186" s="81"/>
      <c r="G186" s="79"/>
      <c r="H186" s="83"/>
      <c r="I186" s="79"/>
      <c r="J186" s="79"/>
      <c r="K186" s="79"/>
      <c r="L186" s="84"/>
      <c r="M186" s="84"/>
      <c r="N186" s="79"/>
      <c r="O186" s="85"/>
      <c r="P186" s="85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</row>
    <row r="187" spans="1:28" ht="15.75" customHeight="1">
      <c r="A187" s="86"/>
      <c r="B187" s="79"/>
      <c r="C187" s="82"/>
      <c r="D187" s="81"/>
      <c r="E187" s="82"/>
      <c r="F187" s="81"/>
      <c r="G187" s="79"/>
      <c r="H187" s="83"/>
      <c r="I187" s="79"/>
      <c r="J187" s="79"/>
      <c r="K187" s="79"/>
      <c r="L187" s="84"/>
      <c r="M187" s="84"/>
      <c r="N187" s="79"/>
      <c r="O187" s="85"/>
      <c r="P187" s="85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</row>
    <row r="188" spans="1:28" ht="15.75" customHeight="1">
      <c r="A188" s="86"/>
      <c r="B188" s="79"/>
      <c r="C188" s="82"/>
      <c r="D188" s="81"/>
      <c r="E188" s="82"/>
      <c r="F188" s="81"/>
      <c r="G188" s="79"/>
      <c r="H188" s="83"/>
      <c r="I188" s="79"/>
      <c r="J188" s="79"/>
      <c r="K188" s="79"/>
      <c r="L188" s="84"/>
      <c r="M188" s="84"/>
      <c r="N188" s="79"/>
      <c r="O188" s="85"/>
      <c r="P188" s="85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</row>
    <row r="189" spans="1:28" ht="15.75" customHeight="1">
      <c r="A189" s="86"/>
      <c r="B189" s="79"/>
      <c r="C189" s="82"/>
      <c r="D189" s="81"/>
      <c r="E189" s="82"/>
      <c r="F189" s="81"/>
      <c r="G189" s="79"/>
      <c r="H189" s="83"/>
      <c r="I189" s="79"/>
      <c r="J189" s="79"/>
      <c r="K189" s="79"/>
      <c r="L189" s="84"/>
      <c r="M189" s="84"/>
      <c r="N189" s="79"/>
      <c r="O189" s="85"/>
      <c r="P189" s="85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</row>
    <row r="190" spans="1:28" ht="15.75" customHeight="1">
      <c r="A190" s="86"/>
      <c r="B190" s="79"/>
      <c r="C190" s="82"/>
      <c r="D190" s="81"/>
      <c r="E190" s="82"/>
      <c r="F190" s="81"/>
      <c r="G190" s="79"/>
      <c r="H190" s="83"/>
      <c r="I190" s="79"/>
      <c r="J190" s="79"/>
      <c r="K190" s="79"/>
      <c r="L190" s="84"/>
      <c r="M190" s="84"/>
      <c r="N190" s="79"/>
      <c r="O190" s="85"/>
      <c r="P190" s="85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</row>
    <row r="191" spans="1:28" ht="15.75" customHeight="1">
      <c r="A191" s="86"/>
      <c r="B191" s="79"/>
      <c r="C191" s="82"/>
      <c r="D191" s="81"/>
      <c r="E191" s="82"/>
      <c r="F191" s="81"/>
      <c r="G191" s="79"/>
      <c r="H191" s="83"/>
      <c r="I191" s="79"/>
      <c r="J191" s="79"/>
      <c r="K191" s="79"/>
      <c r="L191" s="84"/>
      <c r="M191" s="84"/>
      <c r="N191" s="79"/>
      <c r="O191" s="85"/>
      <c r="P191" s="85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</row>
    <row r="192" spans="1:28" ht="15.75" customHeight="1">
      <c r="A192" s="86"/>
      <c r="B192" s="79"/>
      <c r="C192" s="82"/>
      <c r="D192" s="81"/>
      <c r="E192" s="82"/>
      <c r="F192" s="81"/>
      <c r="G192" s="79"/>
      <c r="H192" s="83"/>
      <c r="I192" s="79"/>
      <c r="J192" s="79"/>
      <c r="K192" s="79"/>
      <c r="L192" s="84"/>
      <c r="M192" s="84"/>
      <c r="N192" s="79"/>
      <c r="O192" s="85"/>
      <c r="P192" s="85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</row>
    <row r="193" spans="1:28" ht="15.75" customHeight="1">
      <c r="A193" s="86"/>
      <c r="B193" s="79"/>
      <c r="C193" s="82"/>
      <c r="D193" s="81"/>
      <c r="E193" s="82"/>
      <c r="F193" s="81"/>
      <c r="G193" s="79"/>
      <c r="H193" s="83"/>
      <c r="I193" s="79"/>
      <c r="J193" s="79"/>
      <c r="K193" s="79"/>
      <c r="L193" s="84"/>
      <c r="M193" s="84"/>
      <c r="N193" s="79"/>
      <c r="O193" s="85"/>
      <c r="P193" s="85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</row>
    <row r="194" spans="1:28" ht="15.75" customHeight="1">
      <c r="A194" s="86"/>
      <c r="B194" s="79"/>
      <c r="C194" s="82"/>
      <c r="D194" s="81"/>
      <c r="E194" s="82"/>
      <c r="F194" s="81"/>
      <c r="G194" s="79"/>
      <c r="H194" s="83"/>
      <c r="I194" s="79"/>
      <c r="J194" s="79"/>
      <c r="K194" s="79"/>
      <c r="L194" s="84"/>
      <c r="M194" s="84"/>
      <c r="N194" s="79"/>
      <c r="O194" s="85"/>
      <c r="P194" s="85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</row>
    <row r="195" spans="1:28" ht="15.75" customHeight="1">
      <c r="A195" s="86"/>
      <c r="B195" s="79"/>
      <c r="C195" s="82"/>
      <c r="D195" s="81"/>
      <c r="E195" s="82"/>
      <c r="F195" s="81"/>
      <c r="G195" s="79"/>
      <c r="H195" s="83"/>
      <c r="I195" s="79"/>
      <c r="J195" s="79"/>
      <c r="K195" s="79"/>
      <c r="L195" s="84"/>
      <c r="M195" s="84"/>
      <c r="N195" s="79"/>
      <c r="O195" s="85"/>
      <c r="P195" s="85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</row>
    <row r="196" spans="1:28" ht="15.75" customHeight="1">
      <c r="A196" s="86"/>
      <c r="B196" s="79"/>
      <c r="C196" s="82"/>
      <c r="D196" s="81"/>
      <c r="E196" s="82"/>
      <c r="F196" s="81"/>
      <c r="G196" s="79"/>
      <c r="H196" s="83"/>
      <c r="I196" s="79"/>
      <c r="J196" s="79"/>
      <c r="K196" s="79"/>
      <c r="L196" s="84"/>
      <c r="M196" s="84"/>
      <c r="N196" s="79"/>
      <c r="O196" s="85"/>
      <c r="P196" s="85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</row>
    <row r="197" spans="1:28" ht="15.75" customHeight="1">
      <c r="A197" s="86"/>
      <c r="B197" s="79"/>
      <c r="C197" s="82"/>
      <c r="D197" s="81"/>
      <c r="E197" s="82"/>
      <c r="F197" s="81"/>
      <c r="G197" s="79"/>
      <c r="H197" s="83"/>
      <c r="I197" s="79"/>
      <c r="J197" s="79"/>
      <c r="K197" s="79"/>
      <c r="L197" s="84"/>
      <c r="M197" s="84"/>
      <c r="N197" s="79"/>
      <c r="O197" s="85"/>
      <c r="P197" s="85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</row>
    <row r="198" spans="1:28" ht="15.75" customHeight="1">
      <c r="A198" s="86"/>
      <c r="B198" s="79"/>
      <c r="C198" s="82"/>
      <c r="D198" s="81"/>
      <c r="E198" s="82"/>
      <c r="F198" s="81"/>
      <c r="G198" s="79"/>
      <c r="H198" s="83"/>
      <c r="I198" s="79"/>
      <c r="J198" s="79"/>
      <c r="K198" s="79"/>
      <c r="L198" s="84"/>
      <c r="M198" s="84"/>
      <c r="N198" s="79"/>
      <c r="O198" s="85"/>
      <c r="P198" s="85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</row>
    <row r="199" spans="1:28" ht="15.75" customHeight="1">
      <c r="A199" s="86"/>
      <c r="B199" s="79"/>
      <c r="C199" s="82"/>
      <c r="D199" s="81"/>
      <c r="E199" s="82"/>
      <c r="F199" s="81"/>
      <c r="G199" s="79"/>
      <c r="H199" s="83"/>
      <c r="I199" s="79"/>
      <c r="J199" s="79"/>
      <c r="K199" s="79"/>
      <c r="L199" s="84"/>
      <c r="M199" s="84"/>
      <c r="N199" s="79"/>
      <c r="O199" s="85"/>
      <c r="P199" s="85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</row>
    <row r="200" spans="1:28" ht="15.75" customHeight="1">
      <c r="A200" s="86"/>
      <c r="B200" s="79"/>
      <c r="C200" s="82"/>
      <c r="D200" s="81"/>
      <c r="E200" s="82"/>
      <c r="F200" s="81"/>
      <c r="G200" s="79"/>
      <c r="H200" s="83"/>
      <c r="I200" s="79"/>
      <c r="J200" s="79"/>
      <c r="K200" s="79"/>
      <c r="L200" s="84"/>
      <c r="M200" s="84"/>
      <c r="N200" s="79"/>
      <c r="O200" s="85"/>
      <c r="P200" s="85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</row>
    <row r="201" spans="1:28" ht="15.75" customHeight="1">
      <c r="A201" s="86"/>
      <c r="B201" s="79"/>
      <c r="C201" s="82"/>
      <c r="D201" s="81"/>
      <c r="E201" s="82"/>
      <c r="F201" s="81"/>
      <c r="G201" s="79"/>
      <c r="H201" s="83"/>
      <c r="I201" s="79"/>
      <c r="J201" s="79"/>
      <c r="K201" s="79"/>
      <c r="L201" s="84"/>
      <c r="M201" s="84"/>
      <c r="N201" s="79"/>
      <c r="O201" s="85"/>
      <c r="P201" s="85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</row>
    <row r="202" spans="1:28" ht="15.75" customHeight="1">
      <c r="A202" s="86"/>
      <c r="B202" s="79"/>
      <c r="C202" s="82"/>
      <c r="D202" s="81"/>
      <c r="E202" s="82"/>
      <c r="F202" s="81"/>
      <c r="G202" s="79"/>
      <c r="H202" s="83"/>
      <c r="I202" s="79"/>
      <c r="J202" s="79"/>
      <c r="K202" s="79"/>
      <c r="L202" s="84"/>
      <c r="M202" s="84"/>
      <c r="N202" s="79"/>
      <c r="O202" s="85"/>
      <c r="P202" s="85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</row>
    <row r="203" spans="1:28" ht="15.75" customHeight="1">
      <c r="A203" s="86"/>
      <c r="B203" s="79"/>
      <c r="C203" s="82"/>
      <c r="D203" s="81"/>
      <c r="E203" s="82"/>
      <c r="F203" s="81"/>
      <c r="G203" s="79"/>
      <c r="H203" s="83"/>
      <c r="I203" s="79"/>
      <c r="J203" s="79"/>
      <c r="K203" s="79"/>
      <c r="L203" s="84"/>
      <c r="M203" s="84"/>
      <c r="N203" s="79"/>
      <c r="O203" s="85"/>
      <c r="P203" s="85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</row>
    <row r="204" spans="1:28" ht="15.75" customHeight="1">
      <c r="A204" s="86"/>
      <c r="B204" s="79"/>
      <c r="C204" s="82"/>
      <c r="D204" s="81"/>
      <c r="E204" s="82"/>
      <c r="F204" s="81"/>
      <c r="G204" s="79"/>
      <c r="H204" s="83"/>
      <c r="I204" s="79"/>
      <c r="J204" s="79"/>
      <c r="K204" s="79"/>
      <c r="L204" s="84"/>
      <c r="M204" s="84"/>
      <c r="N204" s="79"/>
      <c r="O204" s="85"/>
      <c r="P204" s="85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</row>
    <row r="205" spans="1:28" ht="15.75" customHeight="1">
      <c r="A205" s="86"/>
      <c r="B205" s="79"/>
      <c r="C205" s="82"/>
      <c r="D205" s="81"/>
      <c r="E205" s="82"/>
      <c r="F205" s="81"/>
      <c r="G205" s="79"/>
      <c r="H205" s="83"/>
      <c r="I205" s="79"/>
      <c r="J205" s="79"/>
      <c r="K205" s="79"/>
      <c r="L205" s="84"/>
      <c r="M205" s="84"/>
      <c r="N205" s="79"/>
      <c r="O205" s="85"/>
      <c r="P205" s="85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</row>
    <row r="206" spans="1:28" ht="15.75" customHeight="1">
      <c r="A206" s="86"/>
      <c r="B206" s="79"/>
      <c r="C206" s="82"/>
      <c r="D206" s="81"/>
      <c r="E206" s="82"/>
      <c r="F206" s="81"/>
      <c r="G206" s="79"/>
      <c r="H206" s="83"/>
      <c r="I206" s="79"/>
      <c r="J206" s="79"/>
      <c r="K206" s="79"/>
      <c r="L206" s="84"/>
      <c r="M206" s="84"/>
      <c r="N206" s="79"/>
      <c r="O206" s="85"/>
      <c r="P206" s="85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</row>
    <row r="207" spans="1:28" ht="15.75" customHeight="1">
      <c r="A207" s="86"/>
      <c r="B207" s="79"/>
      <c r="C207" s="82"/>
      <c r="D207" s="81"/>
      <c r="E207" s="82"/>
      <c r="F207" s="81"/>
      <c r="G207" s="79"/>
      <c r="H207" s="83"/>
      <c r="I207" s="79"/>
      <c r="J207" s="79"/>
      <c r="K207" s="79"/>
      <c r="L207" s="84"/>
      <c r="M207" s="84"/>
      <c r="N207" s="79"/>
      <c r="O207" s="85"/>
      <c r="P207" s="85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</row>
    <row r="208" spans="1:28" ht="15.75" customHeight="1">
      <c r="A208" s="86"/>
      <c r="B208" s="79"/>
      <c r="C208" s="82"/>
      <c r="D208" s="81"/>
      <c r="E208" s="82"/>
      <c r="F208" s="81"/>
      <c r="G208" s="79"/>
      <c r="H208" s="83"/>
      <c r="I208" s="79"/>
      <c r="J208" s="79"/>
      <c r="K208" s="79"/>
      <c r="L208" s="84"/>
      <c r="M208" s="84"/>
      <c r="N208" s="79"/>
      <c r="O208" s="85"/>
      <c r="P208" s="85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</row>
    <row r="209" spans="1:28" ht="15.75" customHeight="1">
      <c r="A209" s="86"/>
      <c r="B209" s="79"/>
      <c r="C209" s="82"/>
      <c r="D209" s="81"/>
      <c r="E209" s="82"/>
      <c r="F209" s="81"/>
      <c r="G209" s="79"/>
      <c r="H209" s="83"/>
      <c r="I209" s="79"/>
      <c r="J209" s="79"/>
      <c r="K209" s="79"/>
      <c r="L209" s="84"/>
      <c r="M209" s="84"/>
      <c r="N209" s="79"/>
      <c r="O209" s="85"/>
      <c r="P209" s="85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</row>
    <row r="210" spans="1:28" ht="15.75" customHeight="1">
      <c r="A210" s="86"/>
      <c r="B210" s="79"/>
      <c r="C210" s="82"/>
      <c r="D210" s="81"/>
      <c r="E210" s="82"/>
      <c r="F210" s="81"/>
      <c r="G210" s="79"/>
      <c r="H210" s="83"/>
      <c r="I210" s="79"/>
      <c r="J210" s="79"/>
      <c r="K210" s="79"/>
      <c r="L210" s="84"/>
      <c r="M210" s="84"/>
      <c r="N210" s="79"/>
      <c r="O210" s="85"/>
      <c r="P210" s="85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</row>
    <row r="211" spans="1:28" ht="15.75" customHeight="1">
      <c r="A211" s="86"/>
      <c r="B211" s="79"/>
      <c r="C211" s="82"/>
      <c r="D211" s="81"/>
      <c r="E211" s="82"/>
      <c r="F211" s="81"/>
      <c r="G211" s="79"/>
      <c r="H211" s="83"/>
      <c r="I211" s="79"/>
      <c r="J211" s="79"/>
      <c r="K211" s="79"/>
      <c r="L211" s="84"/>
      <c r="M211" s="84"/>
      <c r="N211" s="79"/>
      <c r="O211" s="85"/>
      <c r="P211" s="85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</row>
    <row r="212" spans="1:28" ht="15.75" customHeight="1">
      <c r="A212" s="86"/>
      <c r="B212" s="79"/>
      <c r="C212" s="82"/>
      <c r="D212" s="81"/>
      <c r="E212" s="82"/>
      <c r="F212" s="81"/>
      <c r="G212" s="79"/>
      <c r="H212" s="83"/>
      <c r="I212" s="79"/>
      <c r="J212" s="79"/>
      <c r="K212" s="79"/>
      <c r="L212" s="84"/>
      <c r="M212" s="84"/>
      <c r="N212" s="79"/>
      <c r="O212" s="85"/>
      <c r="P212" s="85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</row>
    <row r="213" spans="1:28" ht="15.75" customHeight="1">
      <c r="A213" s="86"/>
      <c r="B213" s="79"/>
      <c r="C213" s="82"/>
      <c r="D213" s="81"/>
      <c r="E213" s="82"/>
      <c r="F213" s="81"/>
      <c r="G213" s="79"/>
      <c r="H213" s="83"/>
      <c r="I213" s="79"/>
      <c r="J213" s="79"/>
      <c r="K213" s="79"/>
      <c r="L213" s="84"/>
      <c r="M213" s="84"/>
      <c r="N213" s="79"/>
      <c r="O213" s="85"/>
      <c r="P213" s="85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</row>
    <row r="214" spans="1:28" ht="15.75" customHeight="1">
      <c r="A214" s="86"/>
      <c r="B214" s="79"/>
      <c r="C214" s="82"/>
      <c r="D214" s="81"/>
      <c r="E214" s="82"/>
      <c r="F214" s="81"/>
      <c r="G214" s="79"/>
      <c r="H214" s="83"/>
      <c r="I214" s="79"/>
      <c r="J214" s="79"/>
      <c r="K214" s="79"/>
      <c r="L214" s="84"/>
      <c r="M214" s="84"/>
      <c r="N214" s="79"/>
      <c r="O214" s="85"/>
      <c r="P214" s="85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</row>
    <row r="215" spans="1:28" ht="15.75" customHeight="1">
      <c r="A215" s="86"/>
      <c r="B215" s="79"/>
      <c r="C215" s="82"/>
      <c r="D215" s="81"/>
      <c r="E215" s="82"/>
      <c r="F215" s="81"/>
      <c r="G215" s="79"/>
      <c r="H215" s="83"/>
      <c r="I215" s="79"/>
      <c r="J215" s="79"/>
      <c r="K215" s="79"/>
      <c r="L215" s="84"/>
      <c r="M215" s="84"/>
      <c r="N215" s="79"/>
      <c r="O215" s="85"/>
      <c r="P215" s="85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</row>
    <row r="216" spans="1:28" ht="15.75" customHeight="1">
      <c r="A216" s="86"/>
      <c r="B216" s="79"/>
      <c r="C216" s="82"/>
      <c r="D216" s="81"/>
      <c r="E216" s="82"/>
      <c r="F216" s="81"/>
      <c r="G216" s="79"/>
      <c r="H216" s="83"/>
      <c r="I216" s="79"/>
      <c r="J216" s="79"/>
      <c r="K216" s="79"/>
      <c r="L216" s="84"/>
      <c r="M216" s="84"/>
      <c r="N216" s="79"/>
      <c r="O216" s="85"/>
      <c r="P216" s="85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</row>
    <row r="217" spans="1:28" ht="15.75" customHeight="1">
      <c r="A217" s="86"/>
      <c r="B217" s="79"/>
      <c r="C217" s="82"/>
      <c r="D217" s="81"/>
      <c r="E217" s="82"/>
      <c r="F217" s="81"/>
      <c r="G217" s="79"/>
      <c r="H217" s="83"/>
      <c r="I217" s="79"/>
      <c r="J217" s="79"/>
      <c r="K217" s="79"/>
      <c r="L217" s="84"/>
      <c r="M217" s="84"/>
      <c r="N217" s="79"/>
      <c r="O217" s="85"/>
      <c r="P217" s="85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</row>
    <row r="218" spans="1:28" ht="15.75" customHeight="1">
      <c r="A218" s="86"/>
      <c r="B218" s="79"/>
      <c r="C218" s="82"/>
      <c r="D218" s="81"/>
      <c r="E218" s="82"/>
      <c r="F218" s="81"/>
      <c r="G218" s="79"/>
      <c r="H218" s="83"/>
      <c r="I218" s="79"/>
      <c r="J218" s="79"/>
      <c r="K218" s="79"/>
      <c r="L218" s="84"/>
      <c r="M218" s="84"/>
      <c r="N218" s="79"/>
      <c r="O218" s="85"/>
      <c r="P218" s="85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</row>
    <row r="219" spans="1:28" ht="15.75" customHeight="1">
      <c r="A219" s="86"/>
      <c r="B219" s="79"/>
      <c r="C219" s="82"/>
      <c r="D219" s="81"/>
      <c r="E219" s="82"/>
      <c r="F219" s="81"/>
      <c r="G219" s="79"/>
      <c r="H219" s="83"/>
      <c r="I219" s="79"/>
      <c r="J219" s="79"/>
      <c r="K219" s="79"/>
      <c r="L219" s="84"/>
      <c r="M219" s="84"/>
      <c r="N219" s="79"/>
      <c r="O219" s="85"/>
      <c r="P219" s="85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</row>
    <row r="220" spans="1:28" ht="15.75" customHeight="1">
      <c r="A220" s="86"/>
      <c r="B220" s="79"/>
      <c r="C220" s="82"/>
      <c r="D220" s="81"/>
      <c r="E220" s="82"/>
      <c r="F220" s="81"/>
      <c r="G220" s="79"/>
      <c r="H220" s="83"/>
      <c r="I220" s="79"/>
      <c r="J220" s="79"/>
      <c r="K220" s="79"/>
      <c r="L220" s="84"/>
      <c r="M220" s="84"/>
      <c r="N220" s="79"/>
      <c r="O220" s="85"/>
      <c r="P220" s="85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</row>
    <row r="221" spans="1:28" ht="15.75" customHeight="1">
      <c r="A221" s="86"/>
      <c r="B221" s="79"/>
      <c r="C221" s="82"/>
      <c r="D221" s="81"/>
      <c r="E221" s="82"/>
      <c r="F221" s="81"/>
      <c r="G221" s="79"/>
      <c r="H221" s="83"/>
      <c r="I221" s="79"/>
      <c r="J221" s="79"/>
      <c r="K221" s="79"/>
      <c r="L221" s="84"/>
      <c r="M221" s="84"/>
      <c r="N221" s="79"/>
      <c r="O221" s="85"/>
      <c r="P221" s="85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</row>
    <row r="222" spans="1:28" ht="15.75" customHeight="1">
      <c r="A222" s="86"/>
      <c r="B222" s="79"/>
      <c r="C222" s="82"/>
      <c r="D222" s="81"/>
      <c r="E222" s="82"/>
      <c r="F222" s="81"/>
      <c r="G222" s="79"/>
      <c r="H222" s="83"/>
      <c r="I222" s="79"/>
      <c r="J222" s="79"/>
      <c r="K222" s="79"/>
      <c r="L222" s="84"/>
      <c r="M222" s="84"/>
      <c r="N222" s="79"/>
      <c r="O222" s="85"/>
      <c r="P222" s="85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</row>
    <row r="223" spans="1:28" ht="15.75" customHeight="1">
      <c r="A223" s="86"/>
      <c r="B223" s="79"/>
      <c r="C223" s="82"/>
      <c r="D223" s="81"/>
      <c r="E223" s="82"/>
      <c r="F223" s="81"/>
      <c r="G223" s="79"/>
      <c r="H223" s="83"/>
      <c r="I223" s="79"/>
      <c r="J223" s="79"/>
      <c r="K223" s="79"/>
      <c r="L223" s="84"/>
      <c r="M223" s="84"/>
      <c r="N223" s="79"/>
      <c r="O223" s="85"/>
      <c r="P223" s="85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</row>
    <row r="224" spans="1:28" ht="15.75" customHeight="1">
      <c r="A224" s="86"/>
      <c r="B224" s="79"/>
      <c r="C224" s="82"/>
      <c r="D224" s="81"/>
      <c r="E224" s="82"/>
      <c r="F224" s="81"/>
      <c r="G224" s="79"/>
      <c r="H224" s="83"/>
      <c r="I224" s="79"/>
      <c r="J224" s="79"/>
      <c r="K224" s="79"/>
      <c r="L224" s="84"/>
      <c r="M224" s="84"/>
      <c r="N224" s="79"/>
      <c r="O224" s="85"/>
      <c r="P224" s="85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</row>
    <row r="225" spans="1:28" ht="15.75" customHeight="1">
      <c r="A225" s="86"/>
      <c r="B225" s="79"/>
      <c r="C225" s="82"/>
      <c r="D225" s="81"/>
      <c r="E225" s="82"/>
      <c r="F225" s="81"/>
      <c r="G225" s="79"/>
      <c r="H225" s="83"/>
      <c r="I225" s="79"/>
      <c r="J225" s="79"/>
      <c r="K225" s="79"/>
      <c r="L225" s="84"/>
      <c r="M225" s="84"/>
      <c r="N225" s="79"/>
      <c r="O225" s="85"/>
      <c r="P225" s="85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</row>
    <row r="226" spans="1:28" ht="15.75" customHeight="1">
      <c r="A226" s="86"/>
      <c r="B226" s="79"/>
      <c r="C226" s="82"/>
      <c r="D226" s="81"/>
      <c r="E226" s="82"/>
      <c r="F226" s="81"/>
      <c r="G226" s="79"/>
      <c r="H226" s="83"/>
      <c r="I226" s="79"/>
      <c r="J226" s="79"/>
      <c r="K226" s="79"/>
      <c r="L226" s="84"/>
      <c r="M226" s="84"/>
      <c r="N226" s="79"/>
      <c r="O226" s="85"/>
      <c r="P226" s="85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</row>
    <row r="227" spans="1:28" ht="15.75" customHeight="1">
      <c r="A227" s="86"/>
      <c r="B227" s="79"/>
      <c r="C227" s="82"/>
      <c r="D227" s="81"/>
      <c r="E227" s="82"/>
      <c r="F227" s="81"/>
      <c r="G227" s="79"/>
      <c r="H227" s="83"/>
      <c r="I227" s="79"/>
      <c r="J227" s="79"/>
      <c r="K227" s="79"/>
      <c r="L227" s="84"/>
      <c r="M227" s="84"/>
      <c r="N227" s="79"/>
      <c r="O227" s="85"/>
      <c r="P227" s="85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</row>
    <row r="228" spans="1:28" ht="15.75" customHeight="1">
      <c r="A228" s="86"/>
      <c r="B228" s="79"/>
      <c r="C228" s="82"/>
      <c r="D228" s="81"/>
      <c r="E228" s="82"/>
      <c r="F228" s="81"/>
      <c r="G228" s="79"/>
      <c r="H228" s="83"/>
      <c r="I228" s="79"/>
      <c r="J228" s="79"/>
      <c r="K228" s="79"/>
      <c r="L228" s="84"/>
      <c r="M228" s="84"/>
      <c r="N228" s="79"/>
      <c r="O228" s="85"/>
      <c r="P228" s="85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</row>
    <row r="229" spans="1:28" ht="15.75" customHeight="1">
      <c r="A229" s="86"/>
      <c r="B229" s="79"/>
      <c r="C229" s="82"/>
      <c r="D229" s="81"/>
      <c r="E229" s="82"/>
      <c r="F229" s="81"/>
      <c r="G229" s="79"/>
      <c r="H229" s="83"/>
      <c r="I229" s="79"/>
      <c r="J229" s="79"/>
      <c r="K229" s="79"/>
      <c r="L229" s="84"/>
      <c r="M229" s="84"/>
      <c r="N229" s="79"/>
      <c r="O229" s="85"/>
      <c r="P229" s="85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</row>
    <row r="230" spans="1:28" ht="15.75" customHeight="1">
      <c r="A230" s="86"/>
      <c r="B230" s="79"/>
      <c r="C230" s="82"/>
      <c r="D230" s="81"/>
      <c r="E230" s="82"/>
      <c r="F230" s="81"/>
      <c r="G230" s="79"/>
      <c r="H230" s="83"/>
      <c r="I230" s="79"/>
      <c r="J230" s="79"/>
      <c r="K230" s="79"/>
      <c r="L230" s="84"/>
      <c r="M230" s="84"/>
      <c r="N230" s="79"/>
      <c r="O230" s="85"/>
      <c r="P230" s="85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</row>
    <row r="231" spans="1:28" ht="15.75" customHeight="1">
      <c r="A231" s="86"/>
      <c r="B231" s="79"/>
      <c r="C231" s="82"/>
      <c r="D231" s="81"/>
      <c r="E231" s="82"/>
      <c r="F231" s="81"/>
      <c r="G231" s="79"/>
      <c r="H231" s="83"/>
      <c r="I231" s="79"/>
      <c r="J231" s="79"/>
      <c r="K231" s="79"/>
      <c r="L231" s="84"/>
      <c r="M231" s="84"/>
      <c r="N231" s="79"/>
      <c r="O231" s="85"/>
      <c r="P231" s="85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</row>
    <row r="232" spans="1:28" ht="15.75" customHeight="1">
      <c r="A232" s="86"/>
      <c r="B232" s="79"/>
      <c r="C232" s="82"/>
      <c r="D232" s="81"/>
      <c r="E232" s="82"/>
      <c r="F232" s="81"/>
      <c r="G232" s="79"/>
      <c r="H232" s="83"/>
      <c r="I232" s="79"/>
      <c r="J232" s="79"/>
      <c r="K232" s="79"/>
      <c r="L232" s="84"/>
      <c r="M232" s="84"/>
      <c r="N232" s="79"/>
      <c r="O232" s="85"/>
      <c r="P232" s="85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</row>
    <row r="233" spans="1:28" ht="15.75" customHeight="1">
      <c r="A233" s="86"/>
      <c r="B233" s="79"/>
      <c r="C233" s="82"/>
      <c r="D233" s="81"/>
      <c r="E233" s="82"/>
      <c r="F233" s="81"/>
      <c r="G233" s="79"/>
      <c r="H233" s="83"/>
      <c r="I233" s="79"/>
      <c r="J233" s="79"/>
      <c r="K233" s="79"/>
      <c r="L233" s="84"/>
      <c r="M233" s="84"/>
      <c r="N233" s="79"/>
      <c r="O233" s="85"/>
      <c r="P233" s="85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</row>
    <row r="234" spans="1:28" ht="15.75" customHeight="1">
      <c r="A234" s="86"/>
      <c r="B234" s="79"/>
      <c r="C234" s="82"/>
      <c r="D234" s="81"/>
      <c r="E234" s="82"/>
      <c r="F234" s="81"/>
      <c r="G234" s="79"/>
      <c r="H234" s="83"/>
      <c r="I234" s="79"/>
      <c r="J234" s="79"/>
      <c r="K234" s="79"/>
      <c r="L234" s="84"/>
      <c r="M234" s="84"/>
      <c r="N234" s="79"/>
      <c r="O234" s="85"/>
      <c r="P234" s="85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</row>
    <row r="235" spans="1:28" ht="15.75" customHeight="1">
      <c r="A235" s="86"/>
      <c r="B235" s="79"/>
      <c r="C235" s="82"/>
      <c r="D235" s="81"/>
      <c r="E235" s="82"/>
      <c r="F235" s="81"/>
      <c r="G235" s="79"/>
      <c r="H235" s="83"/>
      <c r="I235" s="79"/>
      <c r="J235" s="79"/>
      <c r="K235" s="79"/>
      <c r="L235" s="84"/>
      <c r="M235" s="84"/>
      <c r="N235" s="79"/>
      <c r="O235" s="85"/>
      <c r="P235" s="85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</row>
    <row r="236" spans="1:28" ht="15.75" customHeight="1">
      <c r="A236" s="86"/>
      <c r="B236" s="79"/>
      <c r="C236" s="82"/>
      <c r="D236" s="81"/>
      <c r="E236" s="82"/>
      <c r="F236" s="81"/>
      <c r="G236" s="79"/>
      <c r="H236" s="83"/>
      <c r="I236" s="79"/>
      <c r="J236" s="79"/>
      <c r="K236" s="79"/>
      <c r="L236" s="84"/>
      <c r="M236" s="84"/>
      <c r="N236" s="79"/>
      <c r="O236" s="85"/>
      <c r="P236" s="85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</row>
    <row r="237" spans="1:28" ht="15.75" customHeight="1">
      <c r="A237" s="86"/>
      <c r="B237" s="79"/>
      <c r="C237" s="82"/>
      <c r="D237" s="81"/>
      <c r="E237" s="82"/>
      <c r="F237" s="81"/>
      <c r="G237" s="79"/>
      <c r="H237" s="83"/>
      <c r="I237" s="79"/>
      <c r="J237" s="79"/>
      <c r="K237" s="79"/>
      <c r="L237" s="84"/>
      <c r="M237" s="84"/>
      <c r="N237" s="79"/>
      <c r="O237" s="85"/>
      <c r="P237" s="85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</row>
    <row r="238" spans="1:28" ht="15.75" customHeight="1">
      <c r="A238" s="86"/>
      <c r="B238" s="79"/>
      <c r="C238" s="82"/>
      <c r="D238" s="81"/>
      <c r="E238" s="82"/>
      <c r="F238" s="81"/>
      <c r="G238" s="79"/>
      <c r="H238" s="83"/>
      <c r="I238" s="79"/>
      <c r="J238" s="79"/>
      <c r="K238" s="79"/>
      <c r="L238" s="84"/>
      <c r="M238" s="84"/>
      <c r="N238" s="79"/>
      <c r="O238" s="85"/>
      <c r="P238" s="85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</row>
    <row r="239" spans="1:28" ht="15.75" customHeight="1">
      <c r="A239" s="86"/>
      <c r="B239" s="79"/>
      <c r="C239" s="82"/>
      <c r="D239" s="81"/>
      <c r="E239" s="82"/>
      <c r="F239" s="81"/>
      <c r="G239" s="79"/>
      <c r="H239" s="83"/>
      <c r="I239" s="79"/>
      <c r="J239" s="79"/>
      <c r="K239" s="79"/>
      <c r="L239" s="84"/>
      <c r="M239" s="84"/>
      <c r="N239" s="79"/>
      <c r="O239" s="85"/>
      <c r="P239" s="85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</row>
    <row r="240" spans="1:28" ht="15.75" customHeight="1">
      <c r="A240" s="86"/>
      <c r="B240" s="79"/>
      <c r="C240" s="82"/>
      <c r="D240" s="81"/>
      <c r="E240" s="82"/>
      <c r="F240" s="81"/>
      <c r="G240" s="79"/>
      <c r="H240" s="83"/>
      <c r="I240" s="79"/>
      <c r="J240" s="79"/>
      <c r="K240" s="79"/>
      <c r="L240" s="84"/>
      <c r="M240" s="84"/>
      <c r="N240" s="79"/>
      <c r="O240" s="85"/>
      <c r="P240" s="85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</row>
    <row r="241" spans="1:28" ht="15.75" customHeight="1">
      <c r="A241" s="86"/>
      <c r="B241" s="79"/>
      <c r="C241" s="82"/>
      <c r="D241" s="81"/>
      <c r="E241" s="82"/>
      <c r="F241" s="81"/>
      <c r="G241" s="79"/>
      <c r="H241" s="83"/>
      <c r="I241" s="79"/>
      <c r="J241" s="79"/>
      <c r="K241" s="79"/>
      <c r="L241" s="84"/>
      <c r="M241" s="84"/>
      <c r="N241" s="79"/>
      <c r="O241" s="85"/>
      <c r="P241" s="85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</row>
    <row r="242" spans="1:28" ht="15.75" customHeight="1">
      <c r="A242" s="86"/>
      <c r="B242" s="79"/>
      <c r="C242" s="82"/>
      <c r="D242" s="81"/>
      <c r="E242" s="82"/>
      <c r="F242" s="81"/>
      <c r="G242" s="79"/>
      <c r="H242" s="83"/>
      <c r="I242" s="79"/>
      <c r="J242" s="79"/>
      <c r="K242" s="79"/>
      <c r="L242" s="84"/>
      <c r="M242" s="84"/>
      <c r="N242" s="79"/>
      <c r="O242" s="85"/>
      <c r="P242" s="85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</row>
    <row r="243" spans="1:28" ht="15.75" customHeight="1">
      <c r="A243" s="86"/>
      <c r="B243" s="79"/>
      <c r="C243" s="82"/>
      <c r="D243" s="81"/>
      <c r="E243" s="82"/>
      <c r="F243" s="81"/>
      <c r="G243" s="79"/>
      <c r="H243" s="83"/>
      <c r="I243" s="79"/>
      <c r="J243" s="79"/>
      <c r="K243" s="79"/>
      <c r="L243" s="84"/>
      <c r="M243" s="84"/>
      <c r="N243" s="79"/>
      <c r="O243" s="85"/>
      <c r="P243" s="85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</row>
    <row r="244" spans="1:28" ht="15.75" customHeight="1">
      <c r="A244" s="86"/>
      <c r="B244" s="79"/>
      <c r="C244" s="82"/>
      <c r="D244" s="81"/>
      <c r="E244" s="82"/>
      <c r="F244" s="81"/>
      <c r="G244" s="79"/>
      <c r="H244" s="83"/>
      <c r="I244" s="79"/>
      <c r="J244" s="79"/>
      <c r="K244" s="79"/>
      <c r="L244" s="84"/>
      <c r="M244" s="84"/>
      <c r="N244" s="79"/>
      <c r="O244" s="85"/>
      <c r="P244" s="85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</row>
    <row r="245" spans="1:28" ht="15.75" customHeight="1">
      <c r="A245" s="86"/>
      <c r="B245" s="79"/>
      <c r="C245" s="82"/>
      <c r="D245" s="81"/>
      <c r="E245" s="82"/>
      <c r="F245" s="81"/>
      <c r="G245" s="79"/>
      <c r="H245" s="83"/>
      <c r="I245" s="79"/>
      <c r="J245" s="79"/>
      <c r="K245" s="79"/>
      <c r="L245" s="84"/>
      <c r="M245" s="84"/>
      <c r="N245" s="79"/>
      <c r="O245" s="85"/>
      <c r="P245" s="85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</row>
    <row r="246" spans="1:28" ht="15.75" customHeight="1">
      <c r="A246" s="86"/>
      <c r="B246" s="79"/>
      <c r="C246" s="82"/>
      <c r="D246" s="81"/>
      <c r="E246" s="82"/>
      <c r="F246" s="81"/>
      <c r="G246" s="79"/>
      <c r="H246" s="83"/>
      <c r="I246" s="79"/>
      <c r="J246" s="79"/>
      <c r="K246" s="79"/>
      <c r="L246" s="84"/>
      <c r="M246" s="84"/>
      <c r="N246" s="79"/>
      <c r="O246" s="85"/>
      <c r="P246" s="85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</row>
    <row r="247" spans="1:28" ht="15.75" customHeight="1">
      <c r="A247" s="86"/>
      <c r="B247" s="79"/>
      <c r="C247" s="82"/>
      <c r="D247" s="81"/>
      <c r="E247" s="82"/>
      <c r="F247" s="81"/>
      <c r="G247" s="79"/>
      <c r="H247" s="83"/>
      <c r="I247" s="79"/>
      <c r="J247" s="79"/>
      <c r="K247" s="79"/>
      <c r="L247" s="84"/>
      <c r="M247" s="84"/>
      <c r="N247" s="79"/>
      <c r="O247" s="85"/>
      <c r="P247" s="85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</row>
    <row r="248" spans="1:28" ht="15.75" customHeight="1">
      <c r="A248" s="86"/>
      <c r="B248" s="79"/>
      <c r="C248" s="82"/>
      <c r="D248" s="81"/>
      <c r="E248" s="82"/>
      <c r="F248" s="81"/>
      <c r="G248" s="79"/>
      <c r="H248" s="83"/>
      <c r="I248" s="79"/>
      <c r="J248" s="79"/>
      <c r="K248" s="79"/>
      <c r="L248" s="84"/>
      <c r="M248" s="84"/>
      <c r="N248" s="79"/>
      <c r="O248" s="85"/>
      <c r="P248" s="85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</row>
    <row r="249" spans="1:28" ht="15.75" customHeight="1">
      <c r="A249" s="86"/>
      <c r="B249" s="79"/>
      <c r="C249" s="82"/>
      <c r="D249" s="81"/>
      <c r="E249" s="82"/>
      <c r="F249" s="81"/>
      <c r="G249" s="79"/>
      <c r="H249" s="83"/>
      <c r="I249" s="79"/>
      <c r="J249" s="79"/>
      <c r="K249" s="79"/>
      <c r="L249" s="84"/>
      <c r="M249" s="84"/>
      <c r="N249" s="79"/>
      <c r="O249" s="85"/>
      <c r="P249" s="85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</row>
    <row r="250" spans="1:28" ht="15.75" customHeight="1">
      <c r="A250" s="86"/>
      <c r="B250" s="79"/>
      <c r="C250" s="82"/>
      <c r="D250" s="81"/>
      <c r="E250" s="82"/>
      <c r="F250" s="81"/>
      <c r="G250" s="79"/>
      <c r="H250" s="83"/>
      <c r="I250" s="79"/>
      <c r="J250" s="79"/>
      <c r="K250" s="79"/>
      <c r="L250" s="84"/>
      <c r="M250" s="84"/>
      <c r="N250" s="79"/>
      <c r="O250" s="85"/>
      <c r="P250" s="85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</row>
    <row r="251" spans="1:28" ht="15.75" customHeight="1">
      <c r="A251" s="86"/>
      <c r="B251" s="79"/>
      <c r="C251" s="82"/>
      <c r="D251" s="81"/>
      <c r="E251" s="82"/>
      <c r="F251" s="81"/>
      <c r="G251" s="79"/>
      <c r="H251" s="83"/>
      <c r="I251" s="79"/>
      <c r="J251" s="79"/>
      <c r="K251" s="79"/>
      <c r="L251" s="84"/>
      <c r="M251" s="84"/>
      <c r="N251" s="79"/>
      <c r="O251" s="85"/>
      <c r="P251" s="85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</row>
    <row r="252" spans="1:28" ht="15.75" customHeight="1">
      <c r="A252" s="86"/>
      <c r="B252" s="79"/>
      <c r="C252" s="82"/>
      <c r="D252" s="81"/>
      <c r="E252" s="82"/>
      <c r="F252" s="81"/>
      <c r="G252" s="79"/>
      <c r="H252" s="83"/>
      <c r="I252" s="79"/>
      <c r="J252" s="79"/>
      <c r="K252" s="79"/>
      <c r="L252" s="84"/>
      <c r="M252" s="84"/>
      <c r="N252" s="79"/>
      <c r="O252" s="85"/>
      <c r="P252" s="85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</row>
    <row r="253" spans="1:28" ht="15.75" customHeight="1">
      <c r="A253" s="86"/>
      <c r="B253" s="79"/>
      <c r="C253" s="82"/>
      <c r="D253" s="81"/>
      <c r="E253" s="82"/>
      <c r="F253" s="81"/>
      <c r="G253" s="79"/>
      <c r="H253" s="83"/>
      <c r="I253" s="79"/>
      <c r="J253" s="79"/>
      <c r="K253" s="79"/>
      <c r="L253" s="84"/>
      <c r="M253" s="84"/>
      <c r="N253" s="79"/>
      <c r="O253" s="85"/>
      <c r="P253" s="85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</row>
    <row r="254" spans="1:28" ht="15.75" customHeight="1">
      <c r="A254" s="86"/>
      <c r="B254" s="79"/>
      <c r="C254" s="82"/>
      <c r="D254" s="81"/>
      <c r="E254" s="82"/>
      <c r="F254" s="81"/>
      <c r="G254" s="79"/>
      <c r="H254" s="83"/>
      <c r="I254" s="79"/>
      <c r="J254" s="79"/>
      <c r="K254" s="79"/>
      <c r="L254" s="84"/>
      <c r="M254" s="84"/>
      <c r="N254" s="79"/>
      <c r="O254" s="85"/>
      <c r="P254" s="85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</row>
    <row r="255" spans="1:28" ht="15.75" customHeight="1">
      <c r="A255" s="86"/>
      <c r="B255" s="79"/>
      <c r="C255" s="82"/>
      <c r="D255" s="81"/>
      <c r="E255" s="82"/>
      <c r="F255" s="81"/>
      <c r="G255" s="79"/>
      <c r="H255" s="83"/>
      <c r="I255" s="79"/>
      <c r="J255" s="79"/>
      <c r="K255" s="79"/>
      <c r="L255" s="84"/>
      <c r="M255" s="84"/>
      <c r="N255" s="79"/>
      <c r="O255" s="85"/>
      <c r="P255" s="85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</row>
    <row r="256" spans="1:28" ht="15.75" customHeight="1">
      <c r="A256" s="86"/>
      <c r="B256" s="79"/>
      <c r="C256" s="82"/>
      <c r="D256" s="81"/>
      <c r="E256" s="82"/>
      <c r="F256" s="81"/>
      <c r="G256" s="79"/>
      <c r="H256" s="83"/>
      <c r="I256" s="79"/>
      <c r="J256" s="79"/>
      <c r="K256" s="79"/>
      <c r="L256" s="84"/>
      <c r="M256" s="84"/>
      <c r="N256" s="79"/>
      <c r="O256" s="85"/>
      <c r="P256" s="85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</row>
    <row r="257" spans="1:28" ht="15.75" customHeight="1">
      <c r="A257" s="86"/>
      <c r="B257" s="79"/>
      <c r="C257" s="82"/>
      <c r="D257" s="81"/>
      <c r="E257" s="82"/>
      <c r="F257" s="81"/>
      <c r="G257" s="79"/>
      <c r="H257" s="83"/>
      <c r="I257" s="79"/>
      <c r="J257" s="79"/>
      <c r="K257" s="79"/>
      <c r="L257" s="84"/>
      <c r="M257" s="84"/>
      <c r="N257" s="79"/>
      <c r="O257" s="85"/>
      <c r="P257" s="85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</row>
    <row r="258" spans="1:28" ht="15.75" customHeight="1">
      <c r="A258" s="86"/>
      <c r="B258" s="79"/>
      <c r="C258" s="82"/>
      <c r="D258" s="81"/>
      <c r="E258" s="82"/>
      <c r="F258" s="81"/>
      <c r="G258" s="79"/>
      <c r="H258" s="83"/>
      <c r="I258" s="79"/>
      <c r="J258" s="79"/>
      <c r="K258" s="79"/>
      <c r="L258" s="84"/>
      <c r="M258" s="84"/>
      <c r="N258" s="79"/>
      <c r="O258" s="85"/>
      <c r="P258" s="85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</row>
    <row r="259" spans="1:28" ht="15.75" customHeight="1">
      <c r="A259" s="86"/>
      <c r="B259" s="79"/>
      <c r="C259" s="82"/>
      <c r="D259" s="81"/>
      <c r="E259" s="82"/>
      <c r="F259" s="81"/>
      <c r="G259" s="79"/>
      <c r="H259" s="83"/>
      <c r="I259" s="79"/>
      <c r="J259" s="79"/>
      <c r="K259" s="79"/>
      <c r="L259" s="84"/>
      <c r="M259" s="84"/>
      <c r="N259" s="79"/>
      <c r="O259" s="85"/>
      <c r="P259" s="85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</row>
    <row r="260" spans="1:28" ht="15.75" customHeight="1">
      <c r="A260" s="86"/>
      <c r="B260" s="79"/>
      <c r="C260" s="82"/>
      <c r="D260" s="81"/>
      <c r="E260" s="82"/>
      <c r="F260" s="81"/>
      <c r="G260" s="79"/>
      <c r="H260" s="83"/>
      <c r="I260" s="79"/>
      <c r="J260" s="79"/>
      <c r="K260" s="79"/>
      <c r="L260" s="84"/>
      <c r="M260" s="84"/>
      <c r="N260" s="79"/>
      <c r="O260" s="85"/>
      <c r="P260" s="85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</row>
    <row r="261" spans="1:28" ht="15.75" customHeight="1">
      <c r="A261" s="86"/>
      <c r="B261" s="79"/>
      <c r="C261" s="82"/>
      <c r="D261" s="81"/>
      <c r="E261" s="82"/>
      <c r="F261" s="81"/>
      <c r="G261" s="79"/>
      <c r="H261" s="83"/>
      <c r="I261" s="79"/>
      <c r="J261" s="79"/>
      <c r="K261" s="79"/>
      <c r="L261" s="84"/>
      <c r="M261" s="84"/>
      <c r="N261" s="79"/>
      <c r="O261" s="85"/>
      <c r="P261" s="85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</row>
    <row r="262" spans="1:28" ht="15.75" customHeight="1">
      <c r="A262" s="86"/>
      <c r="B262" s="79"/>
      <c r="C262" s="82"/>
      <c r="D262" s="81"/>
      <c r="E262" s="82"/>
      <c r="F262" s="81"/>
      <c r="G262" s="79"/>
      <c r="H262" s="83"/>
      <c r="I262" s="79"/>
      <c r="J262" s="79"/>
      <c r="K262" s="79"/>
      <c r="L262" s="84"/>
      <c r="M262" s="84"/>
      <c r="N262" s="79"/>
      <c r="O262" s="85"/>
      <c r="P262" s="85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</row>
    <row r="263" spans="1:28" ht="15.75" customHeight="1">
      <c r="A263" s="86"/>
      <c r="B263" s="79"/>
      <c r="C263" s="82"/>
      <c r="D263" s="81"/>
      <c r="E263" s="82"/>
      <c r="F263" s="81"/>
      <c r="G263" s="79"/>
      <c r="H263" s="83"/>
      <c r="I263" s="79"/>
      <c r="J263" s="79"/>
      <c r="K263" s="79"/>
      <c r="L263" s="84"/>
      <c r="M263" s="84"/>
      <c r="N263" s="79"/>
      <c r="O263" s="85"/>
      <c r="P263" s="85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</row>
    <row r="264" spans="1:28" ht="15.75" customHeight="1">
      <c r="A264" s="86"/>
      <c r="B264" s="79"/>
      <c r="C264" s="82"/>
      <c r="D264" s="81"/>
      <c r="E264" s="82"/>
      <c r="F264" s="81"/>
      <c r="G264" s="79"/>
      <c r="H264" s="83"/>
      <c r="I264" s="79"/>
      <c r="J264" s="79"/>
      <c r="K264" s="79"/>
      <c r="L264" s="84"/>
      <c r="M264" s="84"/>
      <c r="N264" s="79"/>
      <c r="O264" s="85"/>
      <c r="P264" s="85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</row>
    <row r="265" spans="1:28" ht="15.75" customHeight="1">
      <c r="A265" s="86"/>
      <c r="B265" s="79"/>
      <c r="C265" s="82"/>
      <c r="D265" s="81"/>
      <c r="E265" s="82"/>
      <c r="F265" s="81"/>
      <c r="G265" s="79"/>
      <c r="H265" s="83"/>
      <c r="I265" s="79"/>
      <c r="J265" s="79"/>
      <c r="K265" s="79"/>
      <c r="L265" s="84"/>
      <c r="M265" s="84"/>
      <c r="N265" s="79"/>
      <c r="O265" s="85"/>
      <c r="P265" s="85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</row>
    <row r="266" spans="1:28" ht="15.75" customHeight="1">
      <c r="A266" s="86"/>
      <c r="B266" s="79"/>
      <c r="C266" s="82"/>
      <c r="D266" s="81"/>
      <c r="E266" s="82"/>
      <c r="F266" s="81"/>
      <c r="G266" s="79"/>
      <c r="H266" s="83"/>
      <c r="I266" s="79"/>
      <c r="J266" s="79"/>
      <c r="K266" s="79"/>
      <c r="L266" s="84"/>
      <c r="M266" s="84"/>
      <c r="N266" s="79"/>
      <c r="O266" s="85"/>
      <c r="P266" s="85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</row>
    <row r="267" spans="1:28" ht="15.75" customHeight="1">
      <c r="A267" s="86"/>
      <c r="B267" s="79"/>
      <c r="C267" s="82"/>
      <c r="D267" s="81"/>
      <c r="E267" s="82"/>
      <c r="F267" s="81"/>
      <c r="G267" s="79"/>
      <c r="H267" s="83"/>
      <c r="I267" s="79"/>
      <c r="J267" s="79"/>
      <c r="K267" s="79"/>
      <c r="L267" s="84"/>
      <c r="M267" s="84"/>
      <c r="N267" s="79"/>
      <c r="O267" s="85"/>
      <c r="P267" s="85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</row>
    <row r="268" spans="1:28" ht="15.75" customHeight="1">
      <c r="A268" s="86"/>
      <c r="B268" s="79"/>
      <c r="C268" s="82"/>
      <c r="D268" s="81"/>
      <c r="E268" s="82"/>
      <c r="F268" s="81"/>
      <c r="G268" s="79"/>
      <c r="H268" s="83"/>
      <c r="I268" s="79"/>
      <c r="J268" s="79"/>
      <c r="K268" s="79"/>
      <c r="L268" s="84"/>
      <c r="M268" s="84"/>
      <c r="N268" s="79"/>
      <c r="O268" s="85"/>
      <c r="P268" s="85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</row>
    <row r="269" spans="1:28" ht="15.75" customHeight="1">
      <c r="A269" s="86"/>
      <c r="B269" s="79"/>
      <c r="C269" s="82"/>
      <c r="D269" s="81"/>
      <c r="E269" s="82"/>
      <c r="F269" s="81"/>
      <c r="G269" s="79"/>
      <c r="H269" s="83"/>
      <c r="I269" s="79"/>
      <c r="J269" s="79"/>
      <c r="K269" s="79"/>
      <c r="L269" s="84"/>
      <c r="M269" s="84"/>
      <c r="N269" s="79"/>
      <c r="O269" s="85"/>
      <c r="P269" s="85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</row>
    <row r="270" spans="1:28" ht="15.75" customHeight="1">
      <c r="A270" s="86"/>
      <c r="B270" s="79"/>
      <c r="C270" s="82"/>
      <c r="D270" s="81"/>
      <c r="E270" s="82"/>
      <c r="F270" s="81"/>
      <c r="G270" s="79"/>
      <c r="H270" s="83"/>
      <c r="I270" s="79"/>
      <c r="J270" s="79"/>
      <c r="K270" s="79"/>
      <c r="L270" s="84"/>
      <c r="M270" s="84"/>
      <c r="N270" s="79"/>
      <c r="O270" s="85"/>
      <c r="P270" s="85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</row>
    <row r="271" spans="1:28" ht="15.75" customHeight="1">
      <c r="A271" s="86"/>
      <c r="B271" s="79"/>
      <c r="C271" s="82"/>
      <c r="D271" s="81"/>
      <c r="E271" s="82"/>
      <c r="F271" s="81"/>
      <c r="G271" s="79"/>
      <c r="H271" s="83"/>
      <c r="I271" s="79"/>
      <c r="J271" s="79"/>
      <c r="K271" s="79"/>
      <c r="L271" s="84"/>
      <c r="M271" s="84"/>
      <c r="N271" s="79"/>
      <c r="O271" s="85"/>
      <c r="P271" s="85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</row>
    <row r="272" spans="1:28" ht="15.75" customHeight="1">
      <c r="A272" s="86"/>
      <c r="B272" s="79"/>
      <c r="C272" s="82"/>
      <c r="D272" s="81"/>
      <c r="E272" s="82"/>
      <c r="F272" s="81"/>
      <c r="G272" s="79"/>
      <c r="H272" s="83"/>
      <c r="I272" s="79"/>
      <c r="J272" s="79"/>
      <c r="K272" s="79"/>
      <c r="L272" s="84"/>
      <c r="M272" s="84"/>
      <c r="N272" s="79"/>
      <c r="O272" s="85"/>
      <c r="P272" s="85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</row>
    <row r="273" spans="1:28" ht="15.75" customHeight="1">
      <c r="A273" s="86"/>
      <c r="B273" s="79"/>
      <c r="C273" s="82"/>
      <c r="D273" s="81"/>
      <c r="E273" s="82"/>
      <c r="F273" s="81"/>
      <c r="G273" s="79"/>
      <c r="H273" s="83"/>
      <c r="I273" s="79"/>
      <c r="J273" s="79"/>
      <c r="K273" s="79"/>
      <c r="L273" s="84"/>
      <c r="M273" s="84"/>
      <c r="N273" s="79"/>
      <c r="O273" s="85"/>
      <c r="P273" s="85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</row>
    <row r="274" spans="1:28" ht="15.75" customHeight="1">
      <c r="A274" s="86"/>
      <c r="B274" s="79"/>
      <c r="C274" s="82"/>
      <c r="D274" s="81"/>
      <c r="E274" s="82"/>
      <c r="F274" s="81"/>
      <c r="G274" s="79"/>
      <c r="H274" s="83"/>
      <c r="I274" s="79"/>
      <c r="J274" s="79"/>
      <c r="K274" s="79"/>
      <c r="L274" s="84"/>
      <c r="M274" s="84"/>
      <c r="N274" s="79"/>
      <c r="O274" s="85"/>
      <c r="P274" s="85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</row>
    <row r="275" spans="1:28" ht="15.75" customHeight="1">
      <c r="A275" s="86"/>
      <c r="B275" s="79"/>
      <c r="C275" s="82"/>
      <c r="D275" s="81"/>
      <c r="E275" s="82"/>
      <c r="F275" s="81"/>
      <c r="G275" s="79"/>
      <c r="H275" s="83"/>
      <c r="I275" s="79"/>
      <c r="J275" s="79"/>
      <c r="K275" s="79"/>
      <c r="L275" s="84"/>
      <c r="M275" s="84"/>
      <c r="N275" s="79"/>
      <c r="O275" s="85"/>
      <c r="P275" s="85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</row>
    <row r="276" spans="1:28" ht="15.75" customHeight="1">
      <c r="A276" s="86"/>
      <c r="B276" s="79"/>
      <c r="C276" s="82"/>
      <c r="D276" s="81"/>
      <c r="E276" s="82"/>
      <c r="F276" s="81"/>
      <c r="G276" s="79"/>
      <c r="H276" s="83"/>
      <c r="I276" s="79"/>
      <c r="J276" s="79"/>
      <c r="K276" s="79"/>
      <c r="L276" s="84"/>
      <c r="M276" s="84"/>
      <c r="N276" s="79"/>
      <c r="O276" s="85"/>
      <c r="P276" s="85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</row>
    <row r="277" spans="1:28" ht="15.75" customHeight="1">
      <c r="A277" s="86"/>
      <c r="B277" s="79"/>
      <c r="C277" s="82"/>
      <c r="D277" s="81"/>
      <c r="E277" s="82"/>
      <c r="F277" s="81"/>
      <c r="G277" s="79"/>
      <c r="H277" s="83"/>
      <c r="I277" s="79"/>
      <c r="J277" s="79"/>
      <c r="K277" s="79"/>
      <c r="L277" s="84"/>
      <c r="M277" s="84"/>
      <c r="N277" s="79"/>
      <c r="O277" s="85"/>
      <c r="P277" s="85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</row>
    <row r="278" spans="1:28" ht="15.75" customHeight="1">
      <c r="A278" s="86"/>
      <c r="B278" s="79"/>
      <c r="C278" s="82"/>
      <c r="D278" s="81"/>
      <c r="E278" s="82"/>
      <c r="F278" s="81"/>
      <c r="G278" s="79"/>
      <c r="H278" s="83"/>
      <c r="I278" s="79"/>
      <c r="J278" s="79"/>
      <c r="K278" s="79"/>
      <c r="L278" s="84"/>
      <c r="M278" s="84"/>
      <c r="N278" s="79"/>
      <c r="O278" s="85"/>
      <c r="P278" s="85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</row>
    <row r="279" spans="1:28" ht="15.75" customHeight="1">
      <c r="A279" s="86"/>
      <c r="B279" s="79"/>
      <c r="C279" s="82"/>
      <c r="D279" s="81"/>
      <c r="E279" s="82"/>
      <c r="F279" s="81"/>
      <c r="G279" s="79"/>
      <c r="H279" s="83"/>
      <c r="I279" s="79"/>
      <c r="J279" s="79"/>
      <c r="K279" s="79"/>
      <c r="L279" s="84"/>
      <c r="M279" s="84"/>
      <c r="N279" s="79"/>
      <c r="O279" s="85"/>
      <c r="P279" s="85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</row>
    <row r="280" spans="1:28" ht="15.75" customHeight="1">
      <c r="A280" s="86"/>
      <c r="B280" s="79"/>
      <c r="C280" s="82"/>
      <c r="D280" s="81"/>
      <c r="E280" s="82"/>
      <c r="F280" s="81"/>
      <c r="G280" s="79"/>
      <c r="H280" s="83"/>
      <c r="I280" s="79"/>
      <c r="J280" s="79"/>
      <c r="K280" s="79"/>
      <c r="L280" s="84"/>
      <c r="M280" s="84"/>
      <c r="N280" s="79"/>
      <c r="O280" s="85"/>
      <c r="P280" s="85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</row>
    <row r="281" spans="1:28" ht="15.75" customHeight="1">
      <c r="A281" s="86"/>
      <c r="B281" s="79"/>
      <c r="C281" s="82"/>
      <c r="D281" s="81"/>
      <c r="E281" s="82"/>
      <c r="F281" s="81"/>
      <c r="G281" s="79"/>
      <c r="H281" s="83"/>
      <c r="I281" s="79"/>
      <c r="J281" s="79"/>
      <c r="K281" s="79"/>
      <c r="L281" s="84"/>
      <c r="M281" s="84"/>
      <c r="N281" s="79"/>
      <c r="O281" s="85"/>
      <c r="P281" s="85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</row>
    <row r="282" spans="1:28" ht="15.75" customHeight="1">
      <c r="A282" s="86"/>
      <c r="B282" s="79"/>
      <c r="C282" s="82"/>
      <c r="D282" s="81"/>
      <c r="E282" s="82"/>
      <c r="F282" s="81"/>
      <c r="G282" s="79"/>
      <c r="H282" s="83"/>
      <c r="I282" s="79"/>
      <c r="J282" s="79"/>
      <c r="K282" s="79"/>
      <c r="L282" s="84"/>
      <c r="M282" s="84"/>
      <c r="N282" s="79"/>
      <c r="O282" s="85"/>
      <c r="P282" s="85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</row>
    <row r="283" spans="1:28" ht="15.75" customHeight="1">
      <c r="A283" s="86"/>
      <c r="B283" s="79"/>
      <c r="C283" s="82"/>
      <c r="D283" s="81"/>
      <c r="E283" s="82"/>
      <c r="F283" s="81"/>
      <c r="G283" s="79"/>
      <c r="H283" s="83"/>
      <c r="I283" s="79"/>
      <c r="J283" s="79"/>
      <c r="K283" s="79"/>
      <c r="L283" s="84"/>
      <c r="M283" s="84"/>
      <c r="N283" s="79"/>
      <c r="O283" s="85"/>
      <c r="P283" s="85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</row>
    <row r="284" spans="1:28" ht="15.75" customHeight="1">
      <c r="A284" s="86"/>
      <c r="B284" s="79"/>
      <c r="C284" s="82"/>
      <c r="D284" s="81"/>
      <c r="E284" s="82"/>
      <c r="F284" s="81"/>
      <c r="G284" s="79"/>
      <c r="H284" s="83"/>
      <c r="I284" s="79"/>
      <c r="J284" s="79"/>
      <c r="K284" s="79"/>
      <c r="L284" s="84"/>
      <c r="M284" s="84"/>
      <c r="N284" s="79"/>
      <c r="O284" s="85"/>
      <c r="P284" s="85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</row>
    <row r="285" spans="1:28" ht="15.75" customHeight="1">
      <c r="A285" s="86"/>
      <c r="B285" s="79"/>
      <c r="C285" s="82"/>
      <c r="D285" s="81"/>
      <c r="E285" s="82"/>
      <c r="F285" s="81"/>
      <c r="G285" s="79"/>
      <c r="H285" s="83"/>
      <c r="I285" s="79"/>
      <c r="J285" s="79"/>
      <c r="K285" s="79"/>
      <c r="L285" s="84"/>
      <c r="M285" s="84"/>
      <c r="N285" s="79"/>
      <c r="O285" s="85"/>
      <c r="P285" s="85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</row>
    <row r="286" spans="1:28" ht="15.75" customHeight="1">
      <c r="A286" s="86"/>
      <c r="B286" s="79"/>
      <c r="C286" s="82"/>
      <c r="D286" s="81"/>
      <c r="E286" s="82"/>
      <c r="F286" s="81"/>
      <c r="G286" s="79"/>
      <c r="H286" s="83"/>
      <c r="I286" s="79"/>
      <c r="J286" s="79"/>
      <c r="K286" s="79"/>
      <c r="L286" s="84"/>
      <c r="M286" s="84"/>
      <c r="N286" s="79"/>
      <c r="O286" s="85"/>
      <c r="P286" s="85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</row>
    <row r="287" spans="1:28" ht="15.75" customHeight="1">
      <c r="A287" s="86"/>
      <c r="B287" s="79"/>
      <c r="C287" s="82"/>
      <c r="D287" s="81"/>
      <c r="E287" s="82"/>
      <c r="F287" s="81"/>
      <c r="G287" s="79"/>
      <c r="H287" s="83"/>
      <c r="I287" s="79"/>
      <c r="J287" s="79"/>
      <c r="K287" s="79"/>
      <c r="L287" s="84"/>
      <c r="M287" s="84"/>
      <c r="N287" s="79"/>
      <c r="O287" s="85"/>
      <c r="P287" s="85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</row>
    <row r="288" spans="1:28" ht="15.75" customHeight="1">
      <c r="A288" s="86"/>
      <c r="B288" s="79"/>
      <c r="C288" s="82"/>
      <c r="D288" s="81"/>
      <c r="E288" s="82"/>
      <c r="F288" s="81"/>
      <c r="G288" s="79"/>
      <c r="H288" s="83"/>
      <c r="I288" s="79"/>
      <c r="J288" s="79"/>
      <c r="K288" s="79"/>
      <c r="L288" s="84"/>
      <c r="M288" s="84"/>
      <c r="N288" s="79"/>
      <c r="O288" s="85"/>
      <c r="P288" s="85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</row>
    <row r="289" spans="1:28" ht="15.75" customHeight="1">
      <c r="A289" s="86"/>
      <c r="B289" s="79"/>
      <c r="C289" s="82"/>
      <c r="D289" s="81"/>
      <c r="E289" s="82"/>
      <c r="F289" s="81"/>
      <c r="G289" s="79"/>
      <c r="H289" s="83"/>
      <c r="I289" s="79"/>
      <c r="J289" s="79"/>
      <c r="K289" s="79"/>
      <c r="L289" s="84"/>
      <c r="M289" s="84"/>
      <c r="N289" s="79"/>
      <c r="O289" s="85"/>
      <c r="P289" s="85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</row>
    <row r="290" spans="1:28" ht="15.75" customHeight="1">
      <c r="A290" s="86"/>
      <c r="B290" s="79"/>
      <c r="C290" s="82"/>
      <c r="D290" s="81"/>
      <c r="E290" s="82"/>
      <c r="F290" s="81"/>
      <c r="G290" s="79"/>
      <c r="H290" s="83"/>
      <c r="I290" s="79"/>
      <c r="J290" s="79"/>
      <c r="K290" s="79"/>
      <c r="L290" s="84"/>
      <c r="M290" s="84"/>
      <c r="N290" s="79"/>
      <c r="O290" s="85"/>
      <c r="P290" s="85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</row>
    <row r="291" spans="1:28" ht="15.75" customHeight="1">
      <c r="A291" s="86"/>
      <c r="B291" s="79"/>
      <c r="C291" s="82"/>
      <c r="D291" s="81"/>
      <c r="E291" s="82"/>
      <c r="F291" s="81"/>
      <c r="G291" s="79"/>
      <c r="H291" s="83"/>
      <c r="I291" s="79"/>
      <c r="J291" s="79"/>
      <c r="K291" s="79"/>
      <c r="L291" s="84"/>
      <c r="M291" s="84"/>
      <c r="N291" s="79"/>
      <c r="O291" s="85"/>
      <c r="P291" s="85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</row>
    <row r="292" spans="1:28" ht="15.75" customHeight="1">
      <c r="A292" s="86"/>
      <c r="B292" s="79"/>
      <c r="C292" s="82"/>
      <c r="D292" s="81"/>
      <c r="E292" s="82"/>
      <c r="F292" s="81"/>
      <c r="G292" s="79"/>
      <c r="H292" s="83"/>
      <c r="I292" s="79"/>
      <c r="J292" s="79"/>
      <c r="K292" s="79"/>
      <c r="L292" s="84"/>
      <c r="M292" s="84"/>
      <c r="N292" s="79"/>
      <c r="O292" s="85"/>
      <c r="P292" s="85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</row>
    <row r="293" spans="1:28" ht="15.75" customHeight="1">
      <c r="A293" s="86"/>
      <c r="B293" s="79"/>
      <c r="C293" s="82"/>
      <c r="D293" s="81"/>
      <c r="E293" s="82"/>
      <c r="F293" s="81"/>
      <c r="G293" s="79"/>
      <c r="H293" s="83"/>
      <c r="I293" s="79"/>
      <c r="J293" s="79"/>
      <c r="K293" s="79"/>
      <c r="L293" s="84"/>
      <c r="M293" s="84"/>
      <c r="N293" s="79"/>
      <c r="O293" s="85"/>
      <c r="P293" s="85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</row>
    <row r="294" spans="1:28" ht="15.75" customHeight="1">
      <c r="A294" s="86"/>
      <c r="B294" s="79"/>
      <c r="C294" s="82"/>
      <c r="D294" s="81"/>
      <c r="E294" s="82"/>
      <c r="F294" s="81"/>
      <c r="G294" s="79"/>
      <c r="H294" s="83"/>
      <c r="I294" s="79"/>
      <c r="J294" s="79"/>
      <c r="K294" s="79"/>
      <c r="L294" s="84"/>
      <c r="M294" s="84"/>
      <c r="N294" s="79"/>
      <c r="O294" s="85"/>
      <c r="P294" s="85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</row>
    <row r="295" spans="1:28" ht="15.75" customHeight="1">
      <c r="A295" s="86"/>
      <c r="B295" s="79"/>
      <c r="C295" s="82"/>
      <c r="D295" s="81"/>
      <c r="E295" s="82"/>
      <c r="F295" s="81"/>
      <c r="G295" s="79"/>
      <c r="H295" s="83"/>
      <c r="I295" s="79"/>
      <c r="J295" s="79"/>
      <c r="K295" s="79"/>
      <c r="L295" s="84"/>
      <c r="M295" s="84"/>
      <c r="N295" s="79"/>
      <c r="O295" s="85"/>
      <c r="P295" s="85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</row>
    <row r="296" spans="1:28" ht="15.75" customHeight="1">
      <c r="A296" s="86"/>
      <c r="B296" s="79"/>
      <c r="C296" s="82"/>
      <c r="D296" s="81"/>
      <c r="E296" s="82"/>
      <c r="F296" s="81"/>
      <c r="G296" s="79"/>
      <c r="H296" s="83"/>
      <c r="I296" s="79"/>
      <c r="J296" s="79"/>
      <c r="K296" s="79"/>
      <c r="L296" s="84"/>
      <c r="M296" s="84"/>
      <c r="N296" s="79"/>
      <c r="O296" s="85"/>
      <c r="P296" s="85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</row>
    <row r="297" spans="1:28" ht="15.75" customHeight="1">
      <c r="A297" s="86"/>
      <c r="B297" s="79"/>
      <c r="C297" s="82"/>
      <c r="D297" s="81"/>
      <c r="E297" s="82"/>
      <c r="F297" s="81"/>
      <c r="G297" s="79"/>
      <c r="H297" s="83"/>
      <c r="I297" s="79"/>
      <c r="J297" s="79"/>
      <c r="K297" s="79"/>
      <c r="L297" s="84"/>
      <c r="M297" s="84"/>
      <c r="N297" s="79"/>
      <c r="O297" s="85"/>
      <c r="P297" s="85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</row>
    <row r="298" spans="1:28" ht="15.75" customHeight="1">
      <c r="A298" s="86"/>
      <c r="B298" s="79"/>
      <c r="C298" s="82"/>
      <c r="D298" s="81"/>
      <c r="E298" s="82"/>
      <c r="F298" s="81"/>
      <c r="G298" s="79"/>
      <c r="H298" s="83"/>
      <c r="I298" s="79"/>
      <c r="J298" s="79"/>
      <c r="K298" s="79"/>
      <c r="L298" s="84"/>
      <c r="M298" s="84"/>
      <c r="N298" s="79"/>
      <c r="O298" s="85"/>
      <c r="P298" s="85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</row>
    <row r="299" spans="1:28" ht="15.75" customHeight="1">
      <c r="A299" s="86"/>
      <c r="B299" s="79"/>
      <c r="C299" s="82"/>
      <c r="D299" s="81"/>
      <c r="E299" s="82"/>
      <c r="F299" s="81"/>
      <c r="G299" s="79"/>
      <c r="H299" s="83"/>
      <c r="I299" s="79"/>
      <c r="J299" s="79"/>
      <c r="K299" s="79"/>
      <c r="L299" s="84"/>
      <c r="M299" s="84"/>
      <c r="N299" s="79"/>
      <c r="O299" s="85"/>
      <c r="P299" s="85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</row>
    <row r="300" spans="1:28" ht="15.75" customHeight="1">
      <c r="A300" s="86"/>
      <c r="B300" s="79"/>
      <c r="C300" s="82"/>
      <c r="D300" s="81"/>
      <c r="E300" s="82"/>
      <c r="F300" s="81"/>
      <c r="G300" s="79"/>
      <c r="H300" s="83"/>
      <c r="I300" s="79"/>
      <c r="J300" s="79"/>
      <c r="K300" s="79"/>
      <c r="L300" s="84"/>
      <c r="M300" s="84"/>
      <c r="N300" s="79"/>
      <c r="O300" s="85"/>
      <c r="P300" s="85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</row>
    <row r="301" spans="1:28" ht="15.75" customHeight="1">
      <c r="A301" s="86"/>
      <c r="B301" s="79"/>
      <c r="C301" s="82"/>
      <c r="D301" s="81"/>
      <c r="E301" s="82"/>
      <c r="F301" s="81"/>
      <c r="G301" s="79"/>
      <c r="H301" s="83"/>
      <c r="I301" s="79"/>
      <c r="J301" s="79"/>
      <c r="K301" s="79"/>
      <c r="L301" s="84"/>
      <c r="M301" s="84"/>
      <c r="N301" s="79"/>
      <c r="O301" s="85"/>
      <c r="P301" s="85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</row>
    <row r="302" spans="1:28" ht="15.75" customHeight="1">
      <c r="A302" s="86"/>
      <c r="B302" s="79"/>
      <c r="C302" s="82"/>
      <c r="D302" s="81"/>
      <c r="E302" s="82"/>
      <c r="F302" s="81"/>
      <c r="G302" s="79"/>
      <c r="H302" s="83"/>
      <c r="I302" s="79"/>
      <c r="J302" s="79"/>
      <c r="K302" s="79"/>
      <c r="L302" s="84"/>
      <c r="M302" s="84"/>
      <c r="N302" s="79"/>
      <c r="O302" s="85"/>
      <c r="P302" s="85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</row>
    <row r="303" spans="1:28" ht="15.75" customHeight="1">
      <c r="A303" s="86"/>
      <c r="B303" s="79"/>
      <c r="C303" s="82"/>
      <c r="D303" s="81"/>
      <c r="E303" s="82"/>
      <c r="F303" s="81"/>
      <c r="G303" s="79"/>
      <c r="H303" s="83"/>
      <c r="I303" s="79"/>
      <c r="J303" s="79"/>
      <c r="K303" s="79"/>
      <c r="L303" s="84"/>
      <c r="M303" s="84"/>
      <c r="N303" s="79"/>
      <c r="O303" s="85"/>
      <c r="P303" s="85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</row>
    <row r="304" spans="1:28" ht="15.75" customHeight="1">
      <c r="A304" s="86"/>
      <c r="B304" s="79"/>
      <c r="C304" s="82"/>
      <c r="D304" s="81"/>
      <c r="E304" s="82"/>
      <c r="F304" s="81"/>
      <c r="G304" s="79"/>
      <c r="H304" s="83"/>
      <c r="I304" s="79"/>
      <c r="J304" s="79"/>
      <c r="K304" s="79"/>
      <c r="L304" s="84"/>
      <c r="M304" s="84"/>
      <c r="N304" s="79"/>
      <c r="O304" s="85"/>
      <c r="P304" s="85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</row>
    <row r="305" spans="1:28" ht="15.75" customHeight="1">
      <c r="A305" s="86"/>
      <c r="B305" s="79"/>
      <c r="C305" s="82"/>
      <c r="D305" s="81"/>
      <c r="E305" s="82"/>
      <c r="F305" s="81"/>
      <c r="G305" s="79"/>
      <c r="H305" s="83"/>
      <c r="I305" s="79"/>
      <c r="J305" s="79"/>
      <c r="K305" s="79"/>
      <c r="L305" s="84"/>
      <c r="M305" s="84"/>
      <c r="N305" s="79"/>
      <c r="O305" s="85"/>
      <c r="P305" s="85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</row>
    <row r="306" spans="1:28" ht="15.75" customHeight="1">
      <c r="A306" s="86"/>
      <c r="B306" s="79"/>
      <c r="C306" s="82"/>
      <c r="D306" s="81"/>
      <c r="E306" s="82"/>
      <c r="F306" s="81"/>
      <c r="G306" s="79"/>
      <c r="H306" s="83"/>
      <c r="I306" s="79"/>
      <c r="J306" s="79"/>
      <c r="K306" s="79"/>
      <c r="L306" s="84"/>
      <c r="M306" s="84"/>
      <c r="N306" s="79"/>
      <c r="O306" s="85"/>
      <c r="P306" s="85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</row>
    <row r="307" spans="1:28" ht="15.75" customHeight="1">
      <c r="A307" s="86"/>
      <c r="B307" s="79"/>
      <c r="C307" s="82"/>
      <c r="D307" s="81"/>
      <c r="E307" s="82"/>
      <c r="F307" s="81"/>
      <c r="G307" s="79"/>
      <c r="H307" s="83"/>
      <c r="I307" s="79"/>
      <c r="J307" s="79"/>
      <c r="K307" s="79"/>
      <c r="L307" s="84"/>
      <c r="M307" s="84"/>
      <c r="N307" s="79"/>
      <c r="O307" s="85"/>
      <c r="P307" s="85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</row>
    <row r="308" spans="1:28" ht="15.75" customHeight="1">
      <c r="A308" s="86"/>
      <c r="B308" s="79"/>
      <c r="C308" s="82"/>
      <c r="D308" s="81"/>
      <c r="E308" s="82"/>
      <c r="F308" s="81"/>
      <c r="G308" s="79"/>
      <c r="H308" s="83"/>
      <c r="I308" s="79"/>
      <c r="J308" s="79"/>
      <c r="K308" s="79"/>
      <c r="L308" s="84"/>
      <c r="M308" s="84"/>
      <c r="N308" s="79"/>
      <c r="O308" s="85"/>
      <c r="P308" s="85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</row>
    <row r="309" spans="1:28" ht="15.75" customHeight="1">
      <c r="A309" s="86"/>
      <c r="B309" s="79"/>
      <c r="C309" s="82"/>
      <c r="D309" s="81"/>
      <c r="E309" s="82"/>
      <c r="F309" s="81"/>
      <c r="G309" s="79"/>
      <c r="H309" s="83"/>
      <c r="I309" s="79"/>
      <c r="J309" s="79"/>
      <c r="K309" s="79"/>
      <c r="L309" s="84"/>
      <c r="M309" s="84"/>
      <c r="N309" s="79"/>
      <c r="O309" s="85"/>
      <c r="P309" s="85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</row>
    <row r="310" spans="1:28" ht="15.75" customHeight="1">
      <c r="A310" s="86"/>
      <c r="B310" s="79"/>
      <c r="C310" s="82"/>
      <c r="D310" s="81"/>
      <c r="E310" s="82"/>
      <c r="F310" s="81"/>
      <c r="G310" s="79"/>
      <c r="H310" s="83"/>
      <c r="I310" s="79"/>
      <c r="J310" s="79"/>
      <c r="K310" s="79"/>
      <c r="L310" s="84"/>
      <c r="M310" s="84"/>
      <c r="N310" s="79"/>
      <c r="O310" s="85"/>
      <c r="P310" s="85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</row>
    <row r="311" spans="1:28" ht="15.75" customHeight="1">
      <c r="A311" s="86"/>
      <c r="B311" s="79"/>
      <c r="C311" s="82"/>
      <c r="D311" s="81"/>
      <c r="E311" s="82"/>
      <c r="F311" s="81"/>
      <c r="G311" s="79"/>
      <c r="H311" s="83"/>
      <c r="I311" s="79"/>
      <c r="J311" s="79"/>
      <c r="K311" s="79"/>
      <c r="L311" s="84"/>
      <c r="M311" s="84"/>
      <c r="N311" s="79"/>
      <c r="O311" s="85"/>
      <c r="P311" s="85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</row>
    <row r="312" spans="1:28" ht="15.75" customHeight="1">
      <c r="A312" s="86"/>
      <c r="B312" s="79"/>
      <c r="C312" s="82"/>
      <c r="D312" s="81"/>
      <c r="E312" s="82"/>
      <c r="F312" s="81"/>
      <c r="G312" s="79"/>
      <c r="H312" s="83"/>
      <c r="I312" s="79"/>
      <c r="J312" s="79"/>
      <c r="K312" s="79"/>
      <c r="L312" s="84"/>
      <c r="M312" s="84"/>
      <c r="N312" s="79"/>
      <c r="O312" s="85"/>
      <c r="P312" s="85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</row>
    <row r="313" spans="1:28" ht="15.75" customHeight="1">
      <c r="A313" s="86"/>
      <c r="B313" s="79"/>
      <c r="C313" s="82"/>
      <c r="D313" s="81"/>
      <c r="E313" s="82"/>
      <c r="F313" s="81"/>
      <c r="G313" s="79"/>
      <c r="H313" s="83"/>
      <c r="I313" s="79"/>
      <c r="J313" s="79"/>
      <c r="K313" s="79"/>
      <c r="L313" s="84"/>
      <c r="M313" s="84"/>
      <c r="N313" s="79"/>
      <c r="O313" s="85"/>
      <c r="P313" s="85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</row>
    <row r="314" spans="1:28" ht="15.75" customHeight="1">
      <c r="A314" s="86"/>
      <c r="B314" s="79"/>
      <c r="C314" s="82"/>
      <c r="D314" s="81"/>
      <c r="E314" s="82"/>
      <c r="F314" s="81"/>
      <c r="G314" s="79"/>
      <c r="H314" s="83"/>
      <c r="I314" s="79"/>
      <c r="J314" s="79"/>
      <c r="K314" s="79"/>
      <c r="L314" s="84"/>
      <c r="M314" s="84"/>
      <c r="N314" s="79"/>
      <c r="O314" s="85"/>
      <c r="P314" s="85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</row>
    <row r="315" spans="1:28" ht="15.75" customHeight="1">
      <c r="A315" s="86"/>
      <c r="B315" s="79"/>
      <c r="C315" s="82"/>
      <c r="D315" s="81"/>
      <c r="E315" s="82"/>
      <c r="F315" s="81"/>
      <c r="G315" s="79"/>
      <c r="H315" s="83"/>
      <c r="I315" s="79"/>
      <c r="J315" s="79"/>
      <c r="K315" s="79"/>
      <c r="L315" s="84"/>
      <c r="M315" s="84"/>
      <c r="N315" s="79"/>
      <c r="O315" s="85"/>
      <c r="P315" s="85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</row>
    <row r="316" spans="1:28" ht="15.75" customHeight="1">
      <c r="A316" s="86"/>
      <c r="B316" s="79"/>
      <c r="C316" s="82"/>
      <c r="D316" s="81"/>
      <c r="E316" s="82"/>
      <c r="F316" s="81"/>
      <c r="G316" s="79"/>
      <c r="H316" s="83"/>
      <c r="I316" s="79"/>
      <c r="J316" s="79"/>
      <c r="K316" s="79"/>
      <c r="L316" s="84"/>
      <c r="M316" s="84"/>
      <c r="N316" s="79"/>
      <c r="O316" s="85"/>
      <c r="P316" s="85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</row>
    <row r="317" spans="1:28" ht="15.75" customHeight="1">
      <c r="A317" s="86"/>
      <c r="B317" s="79"/>
      <c r="C317" s="82"/>
      <c r="D317" s="81"/>
      <c r="E317" s="82"/>
      <c r="F317" s="81"/>
      <c r="G317" s="79"/>
      <c r="H317" s="83"/>
      <c r="I317" s="79"/>
      <c r="J317" s="79"/>
      <c r="K317" s="79"/>
      <c r="L317" s="84"/>
      <c r="M317" s="84"/>
      <c r="N317" s="79"/>
      <c r="O317" s="85"/>
      <c r="P317" s="85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</row>
    <row r="318" spans="1:28" ht="15.75" customHeight="1">
      <c r="A318" s="86"/>
      <c r="B318" s="79"/>
      <c r="C318" s="82"/>
      <c r="D318" s="81"/>
      <c r="E318" s="82"/>
      <c r="F318" s="81"/>
      <c r="G318" s="79"/>
      <c r="H318" s="83"/>
      <c r="I318" s="79"/>
      <c r="J318" s="79"/>
      <c r="K318" s="79"/>
      <c r="L318" s="84"/>
      <c r="M318" s="84"/>
      <c r="N318" s="79"/>
      <c r="O318" s="85"/>
      <c r="P318" s="85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</row>
    <row r="319" spans="1:28" ht="15.75" customHeight="1">
      <c r="A319" s="86"/>
      <c r="B319" s="79"/>
      <c r="C319" s="82"/>
      <c r="D319" s="81"/>
      <c r="E319" s="82"/>
      <c r="F319" s="81"/>
      <c r="G319" s="79"/>
      <c r="H319" s="83"/>
      <c r="I319" s="79"/>
      <c r="J319" s="79"/>
      <c r="K319" s="79"/>
      <c r="L319" s="84"/>
      <c r="M319" s="84"/>
      <c r="N319" s="79"/>
      <c r="O319" s="85"/>
      <c r="P319" s="85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</row>
    <row r="320" spans="1:28" ht="15.75" customHeight="1">
      <c r="A320" s="86"/>
      <c r="B320" s="79"/>
      <c r="C320" s="82"/>
      <c r="D320" s="81"/>
      <c r="E320" s="82"/>
      <c r="F320" s="81"/>
      <c r="G320" s="79"/>
      <c r="H320" s="83"/>
      <c r="I320" s="79"/>
      <c r="J320" s="79"/>
      <c r="K320" s="79"/>
      <c r="L320" s="84"/>
      <c r="M320" s="84"/>
      <c r="N320" s="79"/>
      <c r="O320" s="85"/>
      <c r="P320" s="85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</row>
    <row r="321" spans="1:28" ht="15.75" customHeight="1">
      <c r="A321" s="86"/>
      <c r="B321" s="79"/>
      <c r="C321" s="82"/>
      <c r="D321" s="81"/>
      <c r="E321" s="82"/>
      <c r="F321" s="81"/>
      <c r="G321" s="79"/>
      <c r="H321" s="83"/>
      <c r="I321" s="79"/>
      <c r="J321" s="79"/>
      <c r="K321" s="79"/>
      <c r="L321" s="84"/>
      <c r="M321" s="84"/>
      <c r="N321" s="79"/>
      <c r="O321" s="85"/>
      <c r="P321" s="85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</row>
    <row r="322" spans="1:28" ht="15.75" customHeight="1">
      <c r="A322" s="86"/>
      <c r="B322" s="79"/>
      <c r="C322" s="82"/>
      <c r="D322" s="81"/>
      <c r="E322" s="82"/>
      <c r="F322" s="81"/>
      <c r="G322" s="79"/>
      <c r="H322" s="83"/>
      <c r="I322" s="79"/>
      <c r="J322" s="79"/>
      <c r="K322" s="79"/>
      <c r="L322" s="84"/>
      <c r="M322" s="84"/>
      <c r="N322" s="79"/>
      <c r="O322" s="85"/>
      <c r="P322" s="85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</row>
    <row r="323" spans="1:28" ht="15.75" customHeight="1">
      <c r="A323" s="86"/>
      <c r="B323" s="79"/>
      <c r="C323" s="82"/>
      <c r="D323" s="81"/>
      <c r="E323" s="82"/>
      <c r="F323" s="81"/>
      <c r="G323" s="79"/>
      <c r="H323" s="83"/>
      <c r="I323" s="79"/>
      <c r="J323" s="79"/>
      <c r="K323" s="79"/>
      <c r="L323" s="84"/>
      <c r="M323" s="84"/>
      <c r="N323" s="79"/>
      <c r="O323" s="85"/>
      <c r="P323" s="85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</row>
    <row r="324" spans="1:28" ht="15.75" customHeight="1">
      <c r="A324" s="86"/>
      <c r="B324" s="79"/>
      <c r="C324" s="82"/>
      <c r="D324" s="81"/>
      <c r="E324" s="82"/>
      <c r="F324" s="81"/>
      <c r="G324" s="79"/>
      <c r="H324" s="83"/>
      <c r="I324" s="79"/>
      <c r="J324" s="79"/>
      <c r="K324" s="79"/>
      <c r="L324" s="84"/>
      <c r="M324" s="84"/>
      <c r="N324" s="79"/>
      <c r="O324" s="85"/>
      <c r="P324" s="85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</row>
    <row r="325" spans="1:28" ht="15.75" customHeight="1">
      <c r="A325" s="86"/>
      <c r="B325" s="79"/>
      <c r="C325" s="82"/>
      <c r="D325" s="81"/>
      <c r="E325" s="82"/>
      <c r="F325" s="81"/>
      <c r="G325" s="79"/>
      <c r="H325" s="83"/>
      <c r="I325" s="79"/>
      <c r="J325" s="79"/>
      <c r="K325" s="79"/>
      <c r="L325" s="84"/>
      <c r="M325" s="84"/>
      <c r="N325" s="79"/>
      <c r="O325" s="85"/>
      <c r="P325" s="85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</row>
    <row r="326" spans="1:28" ht="15.75" customHeight="1">
      <c r="A326" s="86"/>
      <c r="B326" s="79"/>
      <c r="C326" s="82"/>
      <c r="D326" s="81"/>
      <c r="E326" s="82"/>
      <c r="F326" s="81"/>
      <c r="G326" s="79"/>
      <c r="H326" s="83"/>
      <c r="I326" s="79"/>
      <c r="J326" s="79"/>
      <c r="K326" s="79"/>
      <c r="L326" s="84"/>
      <c r="M326" s="84"/>
      <c r="N326" s="79"/>
      <c r="O326" s="85"/>
      <c r="P326" s="85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</row>
    <row r="327" spans="1:28" ht="15.75" customHeight="1">
      <c r="A327" s="86"/>
      <c r="B327" s="79"/>
      <c r="C327" s="82"/>
      <c r="D327" s="81"/>
      <c r="E327" s="82"/>
      <c r="F327" s="81"/>
      <c r="G327" s="79"/>
      <c r="H327" s="83"/>
      <c r="I327" s="79"/>
      <c r="J327" s="79"/>
      <c r="K327" s="79"/>
      <c r="L327" s="84"/>
      <c r="M327" s="84"/>
      <c r="N327" s="79"/>
      <c r="O327" s="85"/>
      <c r="P327" s="85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</row>
    <row r="328" spans="1:28" ht="15.75" customHeight="1">
      <c r="A328" s="86"/>
      <c r="B328" s="79"/>
      <c r="C328" s="82"/>
      <c r="D328" s="81"/>
      <c r="E328" s="82"/>
      <c r="F328" s="81"/>
      <c r="G328" s="79"/>
      <c r="H328" s="83"/>
      <c r="I328" s="79"/>
      <c r="J328" s="79"/>
      <c r="K328" s="79"/>
      <c r="L328" s="84"/>
      <c r="M328" s="84"/>
      <c r="N328" s="79"/>
      <c r="O328" s="85"/>
      <c r="P328" s="85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</row>
    <row r="329" spans="1:28" ht="15.75" customHeight="1">
      <c r="A329" s="86"/>
      <c r="B329" s="79"/>
      <c r="C329" s="82"/>
      <c r="D329" s="81"/>
      <c r="E329" s="82"/>
      <c r="F329" s="81"/>
      <c r="G329" s="79"/>
      <c r="H329" s="83"/>
      <c r="I329" s="79"/>
      <c r="J329" s="79"/>
      <c r="K329" s="79"/>
      <c r="L329" s="84"/>
      <c r="M329" s="84"/>
      <c r="N329" s="79"/>
      <c r="O329" s="85"/>
      <c r="P329" s="85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</row>
    <row r="330" spans="1:28" ht="15.75" customHeight="1">
      <c r="A330" s="86"/>
      <c r="B330" s="79"/>
      <c r="C330" s="82"/>
      <c r="D330" s="81"/>
      <c r="E330" s="82"/>
      <c r="F330" s="81"/>
      <c r="G330" s="79"/>
      <c r="H330" s="83"/>
      <c r="I330" s="79"/>
      <c r="J330" s="79"/>
      <c r="K330" s="79"/>
      <c r="L330" s="84"/>
      <c r="M330" s="84"/>
      <c r="N330" s="79"/>
      <c r="O330" s="85"/>
      <c r="P330" s="85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</row>
    <row r="331" spans="1:28" ht="15.75" customHeight="1">
      <c r="A331" s="86"/>
      <c r="B331" s="79"/>
      <c r="C331" s="82"/>
      <c r="D331" s="81"/>
      <c r="E331" s="82"/>
      <c r="F331" s="81"/>
      <c r="G331" s="79"/>
      <c r="H331" s="83"/>
      <c r="I331" s="79"/>
      <c r="J331" s="79"/>
      <c r="K331" s="79"/>
      <c r="L331" s="84"/>
      <c r="M331" s="84"/>
      <c r="N331" s="79"/>
      <c r="O331" s="85"/>
      <c r="P331" s="85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</row>
    <row r="332" spans="1:28" ht="15.75" customHeight="1">
      <c r="A332" s="86"/>
      <c r="B332" s="79"/>
      <c r="C332" s="82"/>
      <c r="D332" s="81"/>
      <c r="E332" s="82"/>
      <c r="F332" s="81"/>
      <c r="G332" s="79"/>
      <c r="H332" s="83"/>
      <c r="I332" s="79"/>
      <c r="J332" s="79"/>
      <c r="K332" s="79"/>
      <c r="L332" s="84"/>
      <c r="M332" s="84"/>
      <c r="N332" s="79"/>
      <c r="O332" s="85"/>
      <c r="P332" s="85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</row>
    <row r="333" spans="1:28" ht="15.75" customHeight="1">
      <c r="A333" s="86"/>
      <c r="B333" s="79"/>
      <c r="C333" s="82"/>
      <c r="D333" s="81"/>
      <c r="E333" s="82"/>
      <c r="F333" s="81"/>
      <c r="G333" s="79"/>
      <c r="H333" s="83"/>
      <c r="I333" s="79"/>
      <c r="J333" s="79"/>
      <c r="K333" s="79"/>
      <c r="L333" s="84"/>
      <c r="M333" s="84"/>
      <c r="N333" s="79"/>
      <c r="O333" s="85"/>
      <c r="P333" s="85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</row>
    <row r="334" spans="1:28" ht="15.75" customHeight="1">
      <c r="A334" s="86"/>
      <c r="B334" s="79"/>
      <c r="C334" s="82"/>
      <c r="D334" s="81"/>
      <c r="E334" s="82"/>
      <c r="F334" s="81"/>
      <c r="G334" s="79"/>
      <c r="H334" s="83"/>
      <c r="I334" s="79"/>
      <c r="J334" s="79"/>
      <c r="K334" s="79"/>
      <c r="L334" s="84"/>
      <c r="M334" s="84"/>
      <c r="N334" s="79"/>
      <c r="O334" s="85"/>
      <c r="P334" s="85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</row>
    <row r="335" spans="1:28" ht="15.75" customHeight="1">
      <c r="A335" s="86"/>
      <c r="B335" s="79"/>
      <c r="C335" s="82"/>
      <c r="D335" s="81"/>
      <c r="E335" s="82"/>
      <c r="F335" s="81"/>
      <c r="G335" s="79"/>
      <c r="H335" s="83"/>
      <c r="I335" s="79"/>
      <c r="J335" s="79"/>
      <c r="K335" s="79"/>
      <c r="L335" s="84"/>
      <c r="M335" s="84"/>
      <c r="N335" s="79"/>
      <c r="O335" s="85"/>
      <c r="P335" s="85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</row>
    <row r="336" spans="1:28" ht="15.75" customHeight="1">
      <c r="A336" s="86"/>
      <c r="B336" s="79"/>
      <c r="C336" s="82"/>
      <c r="D336" s="81"/>
      <c r="E336" s="82"/>
      <c r="F336" s="81"/>
      <c r="G336" s="79"/>
      <c r="H336" s="83"/>
      <c r="I336" s="79"/>
      <c r="J336" s="79"/>
      <c r="K336" s="79"/>
      <c r="L336" s="84"/>
      <c r="M336" s="84"/>
      <c r="N336" s="79"/>
      <c r="O336" s="85"/>
      <c r="P336" s="85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</row>
    <row r="337" spans="1:28" ht="15.75" customHeight="1">
      <c r="A337" s="86"/>
      <c r="B337" s="79"/>
      <c r="C337" s="82"/>
      <c r="D337" s="81"/>
      <c r="E337" s="82"/>
      <c r="F337" s="81"/>
      <c r="G337" s="79"/>
      <c r="H337" s="83"/>
      <c r="I337" s="79"/>
      <c r="J337" s="79"/>
      <c r="K337" s="79"/>
      <c r="L337" s="84"/>
      <c r="M337" s="84"/>
      <c r="N337" s="79"/>
      <c r="O337" s="85"/>
      <c r="P337" s="85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</row>
    <row r="338" spans="1:28" ht="15.75" customHeight="1">
      <c r="A338" s="86"/>
      <c r="B338" s="79"/>
      <c r="C338" s="82"/>
      <c r="D338" s="81"/>
      <c r="E338" s="82"/>
      <c r="F338" s="81"/>
      <c r="G338" s="79"/>
      <c r="H338" s="83"/>
      <c r="I338" s="79"/>
      <c r="J338" s="79"/>
      <c r="K338" s="79"/>
      <c r="L338" s="84"/>
      <c r="M338" s="84"/>
      <c r="N338" s="79"/>
      <c r="O338" s="85"/>
      <c r="P338" s="85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</row>
    <row r="339" spans="1:28" ht="15.75" customHeight="1">
      <c r="A339" s="86"/>
      <c r="B339" s="79"/>
      <c r="C339" s="82"/>
      <c r="D339" s="81"/>
      <c r="E339" s="82"/>
      <c r="F339" s="81"/>
      <c r="G339" s="79"/>
      <c r="H339" s="83"/>
      <c r="I339" s="79"/>
      <c r="J339" s="79"/>
      <c r="K339" s="79"/>
      <c r="L339" s="84"/>
      <c r="M339" s="84"/>
      <c r="N339" s="79"/>
      <c r="O339" s="85"/>
      <c r="P339" s="85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</row>
    <row r="340" spans="1:28" ht="15.75" customHeight="1">
      <c r="A340" s="86"/>
      <c r="B340" s="79"/>
      <c r="C340" s="82"/>
      <c r="D340" s="81"/>
      <c r="E340" s="82"/>
      <c r="F340" s="81"/>
      <c r="G340" s="79"/>
      <c r="H340" s="83"/>
      <c r="I340" s="79"/>
      <c r="J340" s="79"/>
      <c r="K340" s="79"/>
      <c r="L340" s="84"/>
      <c r="M340" s="84"/>
      <c r="N340" s="79"/>
      <c r="O340" s="85"/>
      <c r="P340" s="85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</row>
    <row r="341" spans="1:28" ht="15.75" customHeight="1">
      <c r="A341" s="86"/>
      <c r="B341" s="79"/>
      <c r="C341" s="82"/>
      <c r="D341" s="81"/>
      <c r="E341" s="82"/>
      <c r="F341" s="81"/>
      <c r="G341" s="79"/>
      <c r="H341" s="83"/>
      <c r="I341" s="79"/>
      <c r="J341" s="79"/>
      <c r="K341" s="79"/>
      <c r="L341" s="84"/>
      <c r="M341" s="84"/>
      <c r="N341" s="79"/>
      <c r="O341" s="85"/>
      <c r="P341" s="85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</row>
    <row r="342" spans="1:28" ht="15.75" customHeight="1">
      <c r="A342" s="86"/>
      <c r="B342" s="79"/>
      <c r="C342" s="82"/>
      <c r="D342" s="81"/>
      <c r="E342" s="82"/>
      <c r="F342" s="81"/>
      <c r="G342" s="79"/>
      <c r="H342" s="83"/>
      <c r="I342" s="79"/>
      <c r="J342" s="79"/>
      <c r="K342" s="79"/>
      <c r="L342" s="84"/>
      <c r="M342" s="84"/>
      <c r="N342" s="79"/>
      <c r="O342" s="85"/>
      <c r="P342" s="85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</row>
    <row r="343" spans="1:28" ht="15.75" customHeight="1">
      <c r="A343" s="86"/>
      <c r="B343" s="79"/>
      <c r="C343" s="82"/>
      <c r="D343" s="81"/>
      <c r="E343" s="82"/>
      <c r="F343" s="81"/>
      <c r="G343" s="79"/>
      <c r="H343" s="83"/>
      <c r="I343" s="79"/>
      <c r="J343" s="79"/>
      <c r="K343" s="79"/>
      <c r="L343" s="84"/>
      <c r="M343" s="84"/>
      <c r="N343" s="79"/>
      <c r="O343" s="85"/>
      <c r="P343" s="85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</row>
    <row r="344" spans="1:28" ht="15.75" customHeight="1">
      <c r="A344" s="86"/>
      <c r="B344" s="79"/>
      <c r="C344" s="82"/>
      <c r="D344" s="81"/>
      <c r="E344" s="82"/>
      <c r="F344" s="81"/>
      <c r="G344" s="79"/>
      <c r="H344" s="83"/>
      <c r="I344" s="79"/>
      <c r="J344" s="79"/>
      <c r="K344" s="79"/>
      <c r="L344" s="84"/>
      <c r="M344" s="84"/>
      <c r="N344" s="79"/>
      <c r="O344" s="85"/>
      <c r="P344" s="85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</row>
    <row r="345" spans="1:28" ht="15.75" customHeight="1">
      <c r="A345" s="86"/>
      <c r="B345" s="79"/>
      <c r="C345" s="82"/>
      <c r="D345" s="81"/>
      <c r="E345" s="82"/>
      <c r="F345" s="81"/>
      <c r="G345" s="79"/>
      <c r="H345" s="83"/>
      <c r="I345" s="79"/>
      <c r="J345" s="79"/>
      <c r="K345" s="79"/>
      <c r="L345" s="84"/>
      <c r="M345" s="84"/>
      <c r="N345" s="79"/>
      <c r="O345" s="85"/>
      <c r="P345" s="85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</row>
    <row r="346" spans="1:28" ht="15.75" customHeight="1">
      <c r="A346" s="86"/>
      <c r="B346" s="79"/>
      <c r="C346" s="82"/>
      <c r="D346" s="81"/>
      <c r="E346" s="82"/>
      <c r="F346" s="81"/>
      <c r="G346" s="79"/>
      <c r="H346" s="83"/>
      <c r="I346" s="79"/>
      <c r="J346" s="79"/>
      <c r="K346" s="79"/>
      <c r="L346" s="84"/>
      <c r="M346" s="84"/>
      <c r="N346" s="79"/>
      <c r="O346" s="85"/>
      <c r="P346" s="85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</row>
    <row r="347" spans="1:28" ht="15.75" customHeight="1">
      <c r="A347" s="86"/>
      <c r="B347" s="79"/>
      <c r="C347" s="82"/>
      <c r="D347" s="81"/>
      <c r="E347" s="82"/>
      <c r="F347" s="81"/>
      <c r="G347" s="79"/>
      <c r="H347" s="83"/>
      <c r="I347" s="79"/>
      <c r="J347" s="79"/>
      <c r="K347" s="79"/>
      <c r="L347" s="84"/>
      <c r="M347" s="84"/>
      <c r="N347" s="79"/>
      <c r="O347" s="85"/>
      <c r="P347" s="85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</row>
    <row r="348" spans="1:28" ht="15.75" customHeight="1">
      <c r="A348" s="86"/>
      <c r="B348" s="79"/>
      <c r="C348" s="82"/>
      <c r="D348" s="81"/>
      <c r="E348" s="82"/>
      <c r="F348" s="81"/>
      <c r="G348" s="79"/>
      <c r="H348" s="83"/>
      <c r="I348" s="79"/>
      <c r="J348" s="79"/>
      <c r="K348" s="79"/>
      <c r="L348" s="84"/>
      <c r="M348" s="84"/>
      <c r="N348" s="79"/>
      <c r="O348" s="85"/>
      <c r="P348" s="85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</row>
    <row r="349" spans="1:28" ht="15.75" customHeight="1">
      <c r="A349" s="86"/>
      <c r="B349" s="79"/>
      <c r="C349" s="82"/>
      <c r="D349" s="81"/>
      <c r="E349" s="82"/>
      <c r="F349" s="81"/>
      <c r="G349" s="79"/>
      <c r="H349" s="83"/>
      <c r="I349" s="79"/>
      <c r="J349" s="79"/>
      <c r="K349" s="79"/>
      <c r="L349" s="84"/>
      <c r="M349" s="84"/>
      <c r="N349" s="79"/>
      <c r="O349" s="85"/>
      <c r="P349" s="85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</row>
    <row r="350" spans="1:28" ht="15.75" customHeight="1">
      <c r="A350" s="86"/>
      <c r="B350" s="79"/>
      <c r="C350" s="82"/>
      <c r="D350" s="81"/>
      <c r="E350" s="82"/>
      <c r="F350" s="81"/>
      <c r="G350" s="79"/>
      <c r="H350" s="83"/>
      <c r="I350" s="79"/>
      <c r="J350" s="79"/>
      <c r="K350" s="79"/>
      <c r="L350" s="84"/>
      <c r="M350" s="84"/>
      <c r="N350" s="79"/>
      <c r="O350" s="85"/>
      <c r="P350" s="85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</row>
    <row r="351" spans="1:28" ht="15.75" customHeight="1">
      <c r="A351" s="86"/>
      <c r="B351" s="79"/>
      <c r="C351" s="82"/>
      <c r="D351" s="81"/>
      <c r="E351" s="82"/>
      <c r="F351" s="81"/>
      <c r="G351" s="79"/>
      <c r="H351" s="83"/>
      <c r="I351" s="79"/>
      <c r="J351" s="79"/>
      <c r="K351" s="79"/>
      <c r="L351" s="84"/>
      <c r="M351" s="84"/>
      <c r="N351" s="79"/>
      <c r="O351" s="85"/>
      <c r="P351" s="85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</row>
    <row r="352" spans="1:28" ht="15.75" customHeight="1">
      <c r="A352" s="86"/>
      <c r="B352" s="79"/>
      <c r="C352" s="82"/>
      <c r="D352" s="81"/>
      <c r="E352" s="82"/>
      <c r="F352" s="81"/>
      <c r="G352" s="79"/>
      <c r="H352" s="83"/>
      <c r="I352" s="79"/>
      <c r="J352" s="79"/>
      <c r="K352" s="79"/>
      <c r="L352" s="84"/>
      <c r="M352" s="84"/>
      <c r="N352" s="79"/>
      <c r="O352" s="85"/>
      <c r="P352" s="85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</row>
    <row r="353" spans="1:28" ht="15.75" customHeight="1">
      <c r="A353" s="86"/>
      <c r="B353" s="79"/>
      <c r="C353" s="82"/>
      <c r="D353" s="81"/>
      <c r="E353" s="82"/>
      <c r="F353" s="81"/>
      <c r="G353" s="79"/>
      <c r="H353" s="83"/>
      <c r="I353" s="79"/>
      <c r="J353" s="79"/>
      <c r="K353" s="79"/>
      <c r="L353" s="84"/>
      <c r="M353" s="84"/>
      <c r="N353" s="79"/>
      <c r="O353" s="85"/>
      <c r="P353" s="85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</row>
    <row r="354" spans="1:28" ht="15.75" customHeight="1">
      <c r="A354" s="86"/>
      <c r="B354" s="79"/>
      <c r="C354" s="82"/>
      <c r="D354" s="81"/>
      <c r="E354" s="82"/>
      <c r="F354" s="81"/>
      <c r="G354" s="79"/>
      <c r="H354" s="83"/>
      <c r="I354" s="79"/>
      <c r="J354" s="79"/>
      <c r="K354" s="79"/>
      <c r="L354" s="84"/>
      <c r="M354" s="84"/>
      <c r="N354" s="79"/>
      <c r="O354" s="85"/>
      <c r="P354" s="85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</row>
    <row r="355" spans="1:28" ht="15.75" customHeight="1">
      <c r="A355" s="86"/>
      <c r="B355" s="79"/>
      <c r="C355" s="82"/>
      <c r="D355" s="81"/>
      <c r="E355" s="82"/>
      <c r="F355" s="81"/>
      <c r="G355" s="79"/>
      <c r="H355" s="83"/>
      <c r="I355" s="79"/>
      <c r="J355" s="79"/>
      <c r="K355" s="79"/>
      <c r="L355" s="84"/>
      <c r="M355" s="84"/>
      <c r="N355" s="79"/>
      <c r="O355" s="85"/>
      <c r="P355" s="85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</row>
    <row r="356" spans="1:28" ht="15.75" customHeight="1">
      <c r="A356" s="86"/>
      <c r="B356" s="79"/>
      <c r="C356" s="82"/>
      <c r="D356" s="81"/>
      <c r="E356" s="82"/>
      <c r="F356" s="81"/>
      <c r="G356" s="79"/>
      <c r="H356" s="83"/>
      <c r="I356" s="79"/>
      <c r="J356" s="79"/>
      <c r="K356" s="79"/>
      <c r="L356" s="84"/>
      <c r="M356" s="84"/>
      <c r="N356" s="79"/>
      <c r="O356" s="85"/>
      <c r="P356" s="85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</row>
    <row r="357" spans="1:28" ht="15.75" customHeight="1">
      <c r="A357" s="86"/>
      <c r="B357" s="79"/>
      <c r="C357" s="82"/>
      <c r="D357" s="81"/>
      <c r="E357" s="82"/>
      <c r="F357" s="81"/>
      <c r="G357" s="79"/>
      <c r="H357" s="83"/>
      <c r="I357" s="79"/>
      <c r="J357" s="79"/>
      <c r="K357" s="79"/>
      <c r="L357" s="84"/>
      <c r="M357" s="84"/>
      <c r="N357" s="79"/>
      <c r="O357" s="85"/>
      <c r="P357" s="85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</row>
    <row r="358" spans="1:28" ht="15.75" customHeight="1">
      <c r="A358" s="86"/>
      <c r="B358" s="79"/>
      <c r="C358" s="82"/>
      <c r="D358" s="81"/>
      <c r="E358" s="82"/>
      <c r="F358" s="81"/>
      <c r="G358" s="79"/>
      <c r="H358" s="83"/>
      <c r="I358" s="79"/>
      <c r="J358" s="79"/>
      <c r="K358" s="79"/>
      <c r="L358" s="84"/>
      <c r="M358" s="84"/>
      <c r="N358" s="79"/>
      <c r="O358" s="85"/>
      <c r="P358" s="85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</row>
    <row r="359" spans="1:28" ht="15.75" customHeight="1">
      <c r="A359" s="86"/>
      <c r="B359" s="79"/>
      <c r="C359" s="82"/>
      <c r="D359" s="81"/>
      <c r="E359" s="82"/>
      <c r="F359" s="81"/>
      <c r="G359" s="79"/>
      <c r="H359" s="83"/>
      <c r="I359" s="79"/>
      <c r="J359" s="79"/>
      <c r="K359" s="79"/>
      <c r="L359" s="84"/>
      <c r="M359" s="84"/>
      <c r="N359" s="79"/>
      <c r="O359" s="85"/>
      <c r="P359" s="85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</row>
    <row r="360" spans="1:28" ht="15.75" customHeight="1">
      <c r="A360" s="86"/>
      <c r="B360" s="79"/>
      <c r="C360" s="82"/>
      <c r="D360" s="81"/>
      <c r="E360" s="82"/>
      <c r="F360" s="81"/>
      <c r="G360" s="79"/>
      <c r="H360" s="83"/>
      <c r="I360" s="79"/>
      <c r="J360" s="79"/>
      <c r="K360" s="79"/>
      <c r="L360" s="84"/>
      <c r="M360" s="84"/>
      <c r="N360" s="79"/>
      <c r="O360" s="85"/>
      <c r="P360" s="85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</row>
    <row r="361" spans="1:28" ht="15.75" customHeight="1">
      <c r="A361" s="86"/>
      <c r="B361" s="79"/>
      <c r="C361" s="82"/>
      <c r="D361" s="81"/>
      <c r="E361" s="82"/>
      <c r="F361" s="81"/>
      <c r="G361" s="79"/>
      <c r="H361" s="83"/>
      <c r="I361" s="79"/>
      <c r="J361" s="79"/>
      <c r="K361" s="79"/>
      <c r="L361" s="84"/>
      <c r="M361" s="84"/>
      <c r="N361" s="79"/>
      <c r="O361" s="85"/>
      <c r="P361" s="85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</row>
    <row r="362" spans="1:28" ht="15.75" customHeight="1">
      <c r="A362" s="86"/>
      <c r="B362" s="79"/>
      <c r="C362" s="82"/>
      <c r="D362" s="81"/>
      <c r="E362" s="82"/>
      <c r="F362" s="81"/>
      <c r="G362" s="79"/>
      <c r="H362" s="83"/>
      <c r="I362" s="79"/>
      <c r="J362" s="79"/>
      <c r="K362" s="79"/>
      <c r="L362" s="84"/>
      <c r="M362" s="84"/>
      <c r="N362" s="79"/>
      <c r="O362" s="85"/>
      <c r="P362" s="85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</row>
    <row r="363" spans="1:28" ht="15.75" customHeight="1">
      <c r="A363" s="86"/>
      <c r="B363" s="79"/>
      <c r="C363" s="82"/>
      <c r="D363" s="81"/>
      <c r="E363" s="82"/>
      <c r="F363" s="81"/>
      <c r="G363" s="79"/>
      <c r="H363" s="83"/>
      <c r="I363" s="79"/>
      <c r="J363" s="79"/>
      <c r="K363" s="79"/>
      <c r="L363" s="84"/>
      <c r="M363" s="84"/>
      <c r="N363" s="79"/>
      <c r="O363" s="85"/>
      <c r="P363" s="85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</row>
    <row r="364" spans="1:28" ht="15.75" customHeight="1">
      <c r="A364" s="86"/>
      <c r="B364" s="79"/>
      <c r="C364" s="82"/>
      <c r="D364" s="81"/>
      <c r="E364" s="82"/>
      <c r="F364" s="81"/>
      <c r="G364" s="79"/>
      <c r="H364" s="83"/>
      <c r="I364" s="79"/>
      <c r="J364" s="79"/>
      <c r="K364" s="79"/>
      <c r="L364" s="84"/>
      <c r="M364" s="84"/>
      <c r="N364" s="79"/>
      <c r="O364" s="85"/>
      <c r="P364" s="85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</row>
    <row r="365" spans="1:28" ht="15.75" customHeight="1">
      <c r="A365" s="86"/>
      <c r="B365" s="79"/>
      <c r="C365" s="82"/>
      <c r="D365" s="81"/>
      <c r="E365" s="82"/>
      <c r="F365" s="81"/>
      <c r="G365" s="79"/>
      <c r="H365" s="83"/>
      <c r="I365" s="79"/>
      <c r="J365" s="79"/>
      <c r="K365" s="79"/>
      <c r="L365" s="84"/>
      <c r="M365" s="84"/>
      <c r="N365" s="79"/>
      <c r="O365" s="85"/>
      <c r="P365" s="85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</row>
    <row r="366" spans="1:28" ht="15.75" customHeight="1">
      <c r="A366" s="86"/>
      <c r="B366" s="79"/>
      <c r="C366" s="82"/>
      <c r="D366" s="81"/>
      <c r="E366" s="82"/>
      <c r="F366" s="81"/>
      <c r="G366" s="79"/>
      <c r="H366" s="83"/>
      <c r="I366" s="79"/>
      <c r="J366" s="79"/>
      <c r="K366" s="79"/>
      <c r="L366" s="84"/>
      <c r="M366" s="84"/>
      <c r="N366" s="79"/>
      <c r="O366" s="85"/>
      <c r="P366" s="85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</row>
    <row r="367" spans="1:28" ht="15.75" customHeight="1">
      <c r="A367" s="86"/>
      <c r="B367" s="79"/>
      <c r="C367" s="82"/>
      <c r="D367" s="81"/>
      <c r="E367" s="82"/>
      <c r="F367" s="81"/>
      <c r="G367" s="79"/>
      <c r="H367" s="83"/>
      <c r="I367" s="79"/>
      <c r="J367" s="79"/>
      <c r="K367" s="79"/>
      <c r="L367" s="84"/>
      <c r="M367" s="84"/>
      <c r="N367" s="79"/>
      <c r="O367" s="85"/>
      <c r="P367" s="85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</row>
    <row r="368" spans="1:28" ht="15.75" customHeight="1">
      <c r="A368" s="86"/>
      <c r="B368" s="79"/>
      <c r="C368" s="82"/>
      <c r="D368" s="81"/>
      <c r="E368" s="82"/>
      <c r="F368" s="81"/>
      <c r="G368" s="79"/>
      <c r="H368" s="83"/>
      <c r="I368" s="79"/>
      <c r="J368" s="79"/>
      <c r="K368" s="79"/>
      <c r="L368" s="84"/>
      <c r="M368" s="84"/>
      <c r="N368" s="79"/>
      <c r="O368" s="85"/>
      <c r="P368" s="85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</row>
    <row r="369" spans="1:28" ht="15.75" customHeight="1">
      <c r="A369" s="86"/>
      <c r="B369" s="79"/>
      <c r="C369" s="82"/>
      <c r="D369" s="81"/>
      <c r="E369" s="82"/>
      <c r="F369" s="81"/>
      <c r="G369" s="79"/>
      <c r="H369" s="83"/>
      <c r="I369" s="79"/>
      <c r="J369" s="79"/>
      <c r="K369" s="79"/>
      <c r="L369" s="84"/>
      <c r="M369" s="84"/>
      <c r="N369" s="79"/>
      <c r="O369" s="85"/>
      <c r="P369" s="85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</row>
    <row r="370" spans="1:28" ht="15.75" customHeight="1">
      <c r="A370" s="86"/>
      <c r="B370" s="79"/>
      <c r="C370" s="82"/>
      <c r="D370" s="81"/>
      <c r="E370" s="82"/>
      <c r="F370" s="81"/>
      <c r="G370" s="79"/>
      <c r="H370" s="83"/>
      <c r="I370" s="79"/>
      <c r="J370" s="79"/>
      <c r="K370" s="79"/>
      <c r="L370" s="84"/>
      <c r="M370" s="84"/>
      <c r="N370" s="79"/>
      <c r="O370" s="85"/>
      <c r="P370" s="85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</row>
    <row r="371" spans="1:28" ht="15.75" customHeight="1">
      <c r="A371" s="86"/>
      <c r="B371" s="79"/>
      <c r="C371" s="82"/>
      <c r="D371" s="81"/>
      <c r="E371" s="82"/>
      <c r="F371" s="81"/>
      <c r="G371" s="79"/>
      <c r="H371" s="83"/>
      <c r="I371" s="79"/>
      <c r="J371" s="79"/>
      <c r="K371" s="79"/>
      <c r="L371" s="84"/>
      <c r="M371" s="84"/>
      <c r="N371" s="79"/>
      <c r="O371" s="85"/>
      <c r="P371" s="85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</row>
    <row r="372" spans="1:28" ht="15.75" customHeight="1">
      <c r="A372" s="86"/>
      <c r="B372" s="79"/>
      <c r="C372" s="82"/>
      <c r="D372" s="81"/>
      <c r="E372" s="82"/>
      <c r="F372" s="81"/>
      <c r="G372" s="79"/>
      <c r="H372" s="83"/>
      <c r="I372" s="79"/>
      <c r="J372" s="79"/>
      <c r="K372" s="79"/>
      <c r="L372" s="84"/>
      <c r="M372" s="84"/>
      <c r="N372" s="79"/>
      <c r="O372" s="85"/>
      <c r="P372" s="85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</row>
    <row r="373" spans="1:28" ht="15.75" customHeight="1">
      <c r="A373" s="86"/>
      <c r="B373" s="79"/>
      <c r="C373" s="82"/>
      <c r="D373" s="81"/>
      <c r="E373" s="82"/>
      <c r="F373" s="81"/>
      <c r="G373" s="79"/>
      <c r="H373" s="83"/>
      <c r="I373" s="79"/>
      <c r="J373" s="79"/>
      <c r="K373" s="79"/>
      <c r="L373" s="84"/>
      <c r="M373" s="84"/>
      <c r="N373" s="79"/>
      <c r="O373" s="85"/>
      <c r="P373" s="85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</row>
    <row r="374" spans="1:28" ht="15.75" customHeight="1">
      <c r="A374" s="86"/>
      <c r="B374" s="79"/>
      <c r="C374" s="82"/>
      <c r="D374" s="81"/>
      <c r="E374" s="82"/>
      <c r="F374" s="81"/>
      <c r="G374" s="79"/>
      <c r="H374" s="83"/>
      <c r="I374" s="79"/>
      <c r="J374" s="79"/>
      <c r="K374" s="79"/>
      <c r="L374" s="84"/>
      <c r="M374" s="84"/>
      <c r="N374" s="79"/>
      <c r="O374" s="85"/>
      <c r="P374" s="85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</row>
    <row r="375" spans="1:28" ht="15.75" customHeight="1">
      <c r="A375" s="86"/>
      <c r="B375" s="79"/>
      <c r="C375" s="82"/>
      <c r="D375" s="81"/>
      <c r="E375" s="82"/>
      <c r="F375" s="81"/>
      <c r="G375" s="79"/>
      <c r="H375" s="83"/>
      <c r="I375" s="79"/>
      <c r="J375" s="79"/>
      <c r="K375" s="79"/>
      <c r="L375" s="84"/>
      <c r="M375" s="84"/>
      <c r="N375" s="79"/>
      <c r="O375" s="85"/>
      <c r="P375" s="85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</row>
    <row r="376" spans="1:28" ht="15.75" customHeight="1">
      <c r="A376" s="86"/>
      <c r="B376" s="79"/>
      <c r="C376" s="82"/>
      <c r="D376" s="81"/>
      <c r="E376" s="82"/>
      <c r="F376" s="81"/>
      <c r="G376" s="79"/>
      <c r="H376" s="83"/>
      <c r="I376" s="79"/>
      <c r="J376" s="79"/>
      <c r="K376" s="79"/>
      <c r="L376" s="84"/>
      <c r="M376" s="84"/>
      <c r="N376" s="79"/>
      <c r="O376" s="85"/>
      <c r="P376" s="85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</row>
    <row r="377" spans="1:28" ht="15.75" customHeight="1">
      <c r="A377" s="86"/>
      <c r="B377" s="79"/>
      <c r="C377" s="82"/>
      <c r="D377" s="81"/>
      <c r="E377" s="82"/>
      <c r="F377" s="81"/>
      <c r="G377" s="79"/>
      <c r="H377" s="83"/>
      <c r="I377" s="79"/>
      <c r="J377" s="79"/>
      <c r="K377" s="79"/>
      <c r="L377" s="84"/>
      <c r="M377" s="84"/>
      <c r="N377" s="79"/>
      <c r="O377" s="85"/>
      <c r="P377" s="85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</row>
    <row r="378" spans="1:28" ht="15.75" customHeight="1">
      <c r="A378" s="86"/>
      <c r="B378" s="79"/>
      <c r="C378" s="82"/>
      <c r="D378" s="81"/>
      <c r="E378" s="82"/>
      <c r="F378" s="81"/>
      <c r="G378" s="79"/>
      <c r="H378" s="83"/>
      <c r="I378" s="79"/>
      <c r="J378" s="79"/>
      <c r="K378" s="79"/>
      <c r="L378" s="84"/>
      <c r="M378" s="84"/>
      <c r="N378" s="79"/>
      <c r="O378" s="85"/>
      <c r="P378" s="85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</row>
    <row r="379" spans="1:28" ht="15.75" customHeight="1">
      <c r="A379" s="86"/>
      <c r="B379" s="79"/>
      <c r="C379" s="82"/>
      <c r="D379" s="81"/>
      <c r="E379" s="82"/>
      <c r="F379" s="81"/>
      <c r="G379" s="79"/>
      <c r="H379" s="83"/>
      <c r="I379" s="79"/>
      <c r="J379" s="79"/>
      <c r="K379" s="79"/>
      <c r="L379" s="84"/>
      <c r="M379" s="84"/>
      <c r="N379" s="79"/>
      <c r="O379" s="85"/>
      <c r="P379" s="85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</row>
    <row r="380" spans="1:28" ht="15.75" customHeight="1">
      <c r="A380" s="86"/>
      <c r="B380" s="79"/>
      <c r="C380" s="82"/>
      <c r="D380" s="81"/>
      <c r="E380" s="82"/>
      <c r="F380" s="81"/>
      <c r="G380" s="79"/>
      <c r="H380" s="83"/>
      <c r="I380" s="79"/>
      <c r="J380" s="79"/>
      <c r="K380" s="79"/>
      <c r="L380" s="84"/>
      <c r="M380" s="84"/>
      <c r="N380" s="79"/>
      <c r="O380" s="85"/>
      <c r="P380" s="85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</row>
    <row r="381" spans="1:28" ht="15.75" customHeight="1">
      <c r="A381" s="86"/>
      <c r="B381" s="79"/>
      <c r="C381" s="82"/>
      <c r="D381" s="81"/>
      <c r="E381" s="82"/>
      <c r="F381" s="81"/>
      <c r="G381" s="79"/>
      <c r="H381" s="83"/>
      <c r="I381" s="79"/>
      <c r="J381" s="79"/>
      <c r="K381" s="79"/>
      <c r="L381" s="84"/>
      <c r="M381" s="84"/>
      <c r="N381" s="79"/>
      <c r="O381" s="85"/>
      <c r="P381" s="85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</row>
    <row r="382" spans="1:28" ht="15.75" customHeight="1">
      <c r="A382" s="86"/>
      <c r="B382" s="79"/>
      <c r="C382" s="82"/>
      <c r="D382" s="81"/>
      <c r="E382" s="82"/>
      <c r="F382" s="81"/>
      <c r="G382" s="79"/>
      <c r="H382" s="83"/>
      <c r="I382" s="79"/>
      <c r="J382" s="79"/>
      <c r="K382" s="79"/>
      <c r="L382" s="84"/>
      <c r="M382" s="84"/>
      <c r="N382" s="79"/>
      <c r="O382" s="85"/>
      <c r="P382" s="85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</row>
    <row r="383" spans="1:28" ht="15.75" customHeight="1">
      <c r="A383" s="86"/>
      <c r="B383" s="79"/>
      <c r="C383" s="82"/>
      <c r="D383" s="81"/>
      <c r="E383" s="82"/>
      <c r="F383" s="81"/>
      <c r="G383" s="79"/>
      <c r="H383" s="83"/>
      <c r="I383" s="79"/>
      <c r="J383" s="79"/>
      <c r="K383" s="79"/>
      <c r="L383" s="84"/>
      <c r="M383" s="84"/>
      <c r="N383" s="79"/>
      <c r="O383" s="85"/>
      <c r="P383" s="85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</row>
    <row r="384" spans="1:28" ht="15.75" customHeight="1">
      <c r="A384" s="86"/>
      <c r="B384" s="79"/>
      <c r="C384" s="82"/>
      <c r="D384" s="81"/>
      <c r="E384" s="82"/>
      <c r="F384" s="81"/>
      <c r="G384" s="79"/>
      <c r="H384" s="83"/>
      <c r="I384" s="79"/>
      <c r="J384" s="79"/>
      <c r="K384" s="79"/>
      <c r="L384" s="84"/>
      <c r="M384" s="84"/>
      <c r="N384" s="79"/>
      <c r="O384" s="85"/>
      <c r="P384" s="85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</row>
    <row r="385" spans="1:28" ht="15.75" customHeight="1">
      <c r="A385" s="86"/>
      <c r="B385" s="79"/>
      <c r="C385" s="82"/>
      <c r="D385" s="81"/>
      <c r="E385" s="82"/>
      <c r="F385" s="81"/>
      <c r="G385" s="79"/>
      <c r="H385" s="83"/>
      <c r="I385" s="79"/>
      <c r="J385" s="79"/>
      <c r="K385" s="79"/>
      <c r="L385" s="84"/>
      <c r="M385" s="84"/>
      <c r="N385" s="79"/>
      <c r="O385" s="85"/>
      <c r="P385" s="85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</row>
    <row r="386" spans="1:28" ht="15.75" customHeight="1">
      <c r="A386" s="86"/>
      <c r="B386" s="79"/>
      <c r="C386" s="82"/>
      <c r="D386" s="81"/>
      <c r="E386" s="82"/>
      <c r="F386" s="81"/>
      <c r="G386" s="79"/>
      <c r="H386" s="83"/>
      <c r="I386" s="79"/>
      <c r="J386" s="79"/>
      <c r="K386" s="79"/>
      <c r="L386" s="84"/>
      <c r="M386" s="84"/>
      <c r="N386" s="79"/>
      <c r="O386" s="85"/>
      <c r="P386" s="85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</row>
    <row r="387" spans="1:28" ht="15.75" customHeight="1">
      <c r="A387" s="86"/>
      <c r="B387" s="79"/>
      <c r="C387" s="82"/>
      <c r="D387" s="81"/>
      <c r="E387" s="82"/>
      <c r="F387" s="81"/>
      <c r="G387" s="79"/>
      <c r="H387" s="83"/>
      <c r="I387" s="79"/>
      <c r="J387" s="79"/>
      <c r="K387" s="79"/>
      <c r="L387" s="84"/>
      <c r="M387" s="84"/>
      <c r="N387" s="79"/>
      <c r="O387" s="85"/>
      <c r="P387" s="85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</row>
    <row r="388" spans="1:28" ht="15.75" customHeight="1">
      <c r="A388" s="86"/>
      <c r="B388" s="79"/>
      <c r="C388" s="82"/>
      <c r="D388" s="81"/>
      <c r="E388" s="82"/>
      <c r="F388" s="81"/>
      <c r="G388" s="79"/>
      <c r="H388" s="83"/>
      <c r="I388" s="79"/>
      <c r="J388" s="79"/>
      <c r="K388" s="79"/>
      <c r="L388" s="84"/>
      <c r="M388" s="84"/>
      <c r="N388" s="79"/>
      <c r="O388" s="85"/>
      <c r="P388" s="85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</row>
    <row r="389" spans="1:28" ht="15.75" customHeight="1">
      <c r="A389" s="86"/>
      <c r="B389" s="79"/>
      <c r="C389" s="82"/>
      <c r="D389" s="81"/>
      <c r="E389" s="82"/>
      <c r="F389" s="81"/>
      <c r="G389" s="79"/>
      <c r="H389" s="83"/>
      <c r="I389" s="79"/>
      <c r="J389" s="79"/>
      <c r="K389" s="79"/>
      <c r="L389" s="84"/>
      <c r="M389" s="84"/>
      <c r="N389" s="79"/>
      <c r="O389" s="85"/>
      <c r="P389" s="85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</row>
    <row r="390" spans="1:28" ht="15.75" customHeight="1">
      <c r="A390" s="86"/>
      <c r="B390" s="79"/>
      <c r="C390" s="82"/>
      <c r="D390" s="81"/>
      <c r="E390" s="82"/>
      <c r="F390" s="81"/>
      <c r="G390" s="79"/>
      <c r="H390" s="83"/>
      <c r="I390" s="79"/>
      <c r="J390" s="79"/>
      <c r="K390" s="79"/>
      <c r="L390" s="84"/>
      <c r="M390" s="84"/>
      <c r="N390" s="79"/>
      <c r="O390" s="85"/>
      <c r="P390" s="85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</row>
    <row r="391" spans="1:28" ht="15.75" customHeight="1">
      <c r="A391" s="86"/>
      <c r="B391" s="79"/>
      <c r="C391" s="82"/>
      <c r="D391" s="81"/>
      <c r="E391" s="82"/>
      <c r="F391" s="81"/>
      <c r="G391" s="79"/>
      <c r="H391" s="83"/>
      <c r="I391" s="79"/>
      <c r="J391" s="79"/>
      <c r="K391" s="79"/>
      <c r="L391" s="84"/>
      <c r="M391" s="84"/>
      <c r="N391" s="79"/>
      <c r="O391" s="85"/>
      <c r="P391" s="85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</row>
    <row r="392" spans="1:28" ht="15.75" customHeight="1">
      <c r="A392" s="86"/>
      <c r="B392" s="79"/>
      <c r="C392" s="82"/>
      <c r="D392" s="81"/>
      <c r="E392" s="82"/>
      <c r="F392" s="81"/>
      <c r="G392" s="79"/>
      <c r="H392" s="83"/>
      <c r="I392" s="79"/>
      <c r="J392" s="79"/>
      <c r="K392" s="79"/>
      <c r="L392" s="84"/>
      <c r="M392" s="84"/>
      <c r="N392" s="79"/>
      <c r="O392" s="85"/>
      <c r="P392" s="85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</row>
    <row r="393" spans="1:28" ht="15.75" customHeight="1">
      <c r="A393" s="86"/>
      <c r="B393" s="79"/>
      <c r="C393" s="82"/>
      <c r="D393" s="81"/>
      <c r="E393" s="82"/>
      <c r="F393" s="81"/>
      <c r="G393" s="79"/>
      <c r="H393" s="83"/>
      <c r="I393" s="79"/>
      <c r="J393" s="79"/>
      <c r="K393" s="79"/>
      <c r="L393" s="84"/>
      <c r="M393" s="84"/>
      <c r="N393" s="79"/>
      <c r="O393" s="85"/>
      <c r="P393" s="85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</row>
    <row r="394" spans="1:28" ht="15.75" customHeight="1">
      <c r="A394" s="86"/>
      <c r="B394" s="79"/>
      <c r="C394" s="82"/>
      <c r="D394" s="81"/>
      <c r="E394" s="82"/>
      <c r="F394" s="81"/>
      <c r="G394" s="79"/>
      <c r="H394" s="83"/>
      <c r="I394" s="79"/>
      <c r="J394" s="79"/>
      <c r="K394" s="79"/>
      <c r="L394" s="84"/>
      <c r="M394" s="84"/>
      <c r="N394" s="79"/>
      <c r="O394" s="85"/>
      <c r="P394" s="85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</row>
    <row r="395" spans="1:28" ht="15.75" customHeight="1">
      <c r="A395" s="86"/>
      <c r="B395" s="79"/>
      <c r="C395" s="82"/>
      <c r="D395" s="81"/>
      <c r="E395" s="82"/>
      <c r="F395" s="81"/>
      <c r="G395" s="79"/>
      <c r="H395" s="83"/>
      <c r="I395" s="79"/>
      <c r="J395" s="79"/>
      <c r="K395" s="79"/>
      <c r="L395" s="84"/>
      <c r="M395" s="84"/>
      <c r="N395" s="79"/>
      <c r="O395" s="85"/>
      <c r="P395" s="85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</row>
    <row r="396" spans="1:28" ht="15.75" customHeight="1">
      <c r="A396" s="86"/>
      <c r="B396" s="79"/>
      <c r="C396" s="82"/>
      <c r="D396" s="81"/>
      <c r="E396" s="82"/>
      <c r="F396" s="81"/>
      <c r="G396" s="79"/>
      <c r="H396" s="83"/>
      <c r="I396" s="79"/>
      <c r="J396" s="79"/>
      <c r="K396" s="79"/>
      <c r="L396" s="84"/>
      <c r="M396" s="84"/>
      <c r="N396" s="79"/>
      <c r="O396" s="85"/>
      <c r="P396" s="85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</row>
    <row r="397" spans="1:28" ht="15.75" customHeight="1">
      <c r="A397" s="86"/>
      <c r="B397" s="79"/>
      <c r="C397" s="82"/>
      <c r="D397" s="81"/>
      <c r="E397" s="82"/>
      <c r="F397" s="81"/>
      <c r="G397" s="79"/>
      <c r="H397" s="83"/>
      <c r="I397" s="79"/>
      <c r="J397" s="79"/>
      <c r="K397" s="79"/>
      <c r="L397" s="84"/>
      <c r="M397" s="84"/>
      <c r="N397" s="79"/>
      <c r="O397" s="85"/>
      <c r="P397" s="85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</row>
    <row r="398" spans="1:28" ht="15.75" customHeight="1">
      <c r="A398" s="86"/>
      <c r="B398" s="79"/>
      <c r="C398" s="82"/>
      <c r="D398" s="81"/>
      <c r="E398" s="82"/>
      <c r="F398" s="81"/>
      <c r="G398" s="79"/>
      <c r="H398" s="83"/>
      <c r="I398" s="79"/>
      <c r="J398" s="79"/>
      <c r="K398" s="79"/>
      <c r="L398" s="84"/>
      <c r="M398" s="84"/>
      <c r="N398" s="79"/>
      <c r="O398" s="85"/>
      <c r="P398" s="85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</row>
    <row r="399" spans="1:28" ht="15.75" customHeight="1">
      <c r="A399" s="86"/>
      <c r="B399" s="79"/>
      <c r="C399" s="82"/>
      <c r="D399" s="81"/>
      <c r="E399" s="82"/>
      <c r="F399" s="81"/>
      <c r="G399" s="79"/>
      <c r="H399" s="83"/>
      <c r="I399" s="79"/>
      <c r="J399" s="79"/>
      <c r="K399" s="79"/>
      <c r="L399" s="84"/>
      <c r="M399" s="84"/>
      <c r="N399" s="79"/>
      <c r="O399" s="85"/>
      <c r="P399" s="85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</row>
    <row r="400" spans="1:28" ht="15.75" customHeight="1">
      <c r="A400" s="86"/>
      <c r="B400" s="79"/>
      <c r="C400" s="82"/>
      <c r="D400" s="81"/>
      <c r="E400" s="82"/>
      <c r="F400" s="81"/>
      <c r="G400" s="79"/>
      <c r="H400" s="83"/>
      <c r="I400" s="79"/>
      <c r="J400" s="79"/>
      <c r="K400" s="79"/>
      <c r="L400" s="84"/>
      <c r="M400" s="84"/>
      <c r="N400" s="79"/>
      <c r="O400" s="85"/>
      <c r="P400" s="85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</row>
    <row r="401" spans="1:28" ht="15.75" customHeight="1">
      <c r="A401" s="86"/>
      <c r="B401" s="79"/>
      <c r="C401" s="82"/>
      <c r="D401" s="81"/>
      <c r="E401" s="82"/>
      <c r="F401" s="81"/>
      <c r="G401" s="79"/>
      <c r="H401" s="83"/>
      <c r="I401" s="79"/>
      <c r="J401" s="79"/>
      <c r="K401" s="79"/>
      <c r="L401" s="84"/>
      <c r="M401" s="84"/>
      <c r="N401" s="79"/>
      <c r="O401" s="85"/>
      <c r="P401" s="85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</row>
    <row r="402" spans="1:28" ht="15.75" customHeight="1">
      <c r="A402" s="86"/>
      <c r="B402" s="79"/>
      <c r="C402" s="82"/>
      <c r="D402" s="81"/>
      <c r="E402" s="82"/>
      <c r="F402" s="81"/>
      <c r="G402" s="79"/>
      <c r="H402" s="83"/>
      <c r="I402" s="79"/>
      <c r="J402" s="79"/>
      <c r="K402" s="79"/>
      <c r="L402" s="84"/>
      <c r="M402" s="84"/>
      <c r="N402" s="79"/>
      <c r="O402" s="85"/>
      <c r="P402" s="85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</row>
    <row r="403" spans="1:28" ht="15.75" customHeight="1">
      <c r="A403" s="86"/>
      <c r="B403" s="79"/>
      <c r="C403" s="82"/>
      <c r="D403" s="81"/>
      <c r="E403" s="82"/>
      <c r="F403" s="81"/>
      <c r="G403" s="79"/>
      <c r="H403" s="83"/>
      <c r="I403" s="79"/>
      <c r="J403" s="79"/>
      <c r="K403" s="79"/>
      <c r="L403" s="84"/>
      <c r="M403" s="84"/>
      <c r="N403" s="79"/>
      <c r="O403" s="85"/>
      <c r="P403" s="85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</row>
    <row r="404" spans="1:28" ht="15.75" customHeight="1">
      <c r="A404" s="86"/>
      <c r="B404" s="79"/>
      <c r="C404" s="82"/>
      <c r="D404" s="81"/>
      <c r="E404" s="82"/>
      <c r="F404" s="81"/>
      <c r="G404" s="79"/>
      <c r="H404" s="83"/>
      <c r="I404" s="79"/>
      <c r="J404" s="79"/>
      <c r="K404" s="79"/>
      <c r="L404" s="84"/>
      <c r="M404" s="84"/>
      <c r="N404" s="79"/>
      <c r="O404" s="85"/>
      <c r="P404" s="85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</row>
    <row r="405" spans="1:28" ht="15.75" customHeight="1">
      <c r="A405" s="86"/>
      <c r="B405" s="79"/>
      <c r="C405" s="82"/>
      <c r="D405" s="81"/>
      <c r="E405" s="82"/>
      <c r="F405" s="81"/>
      <c r="G405" s="79"/>
      <c r="H405" s="83"/>
      <c r="I405" s="79"/>
      <c r="J405" s="79"/>
      <c r="K405" s="79"/>
      <c r="L405" s="84"/>
      <c r="M405" s="84"/>
      <c r="N405" s="79"/>
      <c r="O405" s="85"/>
      <c r="P405" s="85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</row>
    <row r="406" spans="1:28" ht="15.75" customHeight="1">
      <c r="A406" s="86"/>
      <c r="B406" s="79"/>
      <c r="C406" s="82"/>
      <c r="D406" s="81"/>
      <c r="E406" s="82"/>
      <c r="F406" s="81"/>
      <c r="G406" s="79"/>
      <c r="H406" s="83"/>
      <c r="I406" s="79"/>
      <c r="J406" s="79"/>
      <c r="K406" s="79"/>
      <c r="L406" s="84"/>
      <c r="M406" s="84"/>
      <c r="N406" s="79"/>
      <c r="O406" s="85"/>
      <c r="P406" s="85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</row>
    <row r="407" spans="1:28" ht="15.75" customHeight="1">
      <c r="A407" s="86"/>
      <c r="B407" s="79"/>
      <c r="C407" s="82"/>
      <c r="D407" s="81"/>
      <c r="E407" s="82"/>
      <c r="F407" s="81"/>
      <c r="G407" s="79"/>
      <c r="H407" s="83"/>
      <c r="I407" s="79"/>
      <c r="J407" s="79"/>
      <c r="K407" s="79"/>
      <c r="L407" s="84"/>
      <c r="M407" s="84"/>
      <c r="N407" s="79"/>
      <c r="O407" s="85"/>
      <c r="P407" s="85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</row>
    <row r="408" spans="1:28" ht="15.75" customHeight="1">
      <c r="A408" s="86"/>
      <c r="B408" s="79"/>
      <c r="C408" s="82"/>
      <c r="D408" s="81"/>
      <c r="E408" s="82"/>
      <c r="F408" s="81"/>
      <c r="G408" s="79"/>
      <c r="H408" s="83"/>
      <c r="I408" s="79"/>
      <c r="J408" s="79"/>
      <c r="K408" s="79"/>
      <c r="L408" s="84"/>
      <c r="M408" s="84"/>
      <c r="N408" s="79"/>
      <c r="O408" s="85"/>
      <c r="P408" s="85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</row>
    <row r="409" spans="1:28" ht="15.75" customHeight="1">
      <c r="A409" s="86"/>
      <c r="B409" s="79"/>
      <c r="C409" s="82"/>
      <c r="D409" s="81"/>
      <c r="E409" s="82"/>
      <c r="F409" s="81"/>
      <c r="G409" s="79"/>
      <c r="H409" s="83"/>
      <c r="I409" s="79"/>
      <c r="J409" s="79"/>
      <c r="K409" s="79"/>
      <c r="L409" s="84"/>
      <c r="M409" s="84"/>
      <c r="N409" s="79"/>
      <c r="O409" s="85"/>
      <c r="P409" s="85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</row>
    <row r="410" spans="1:28" ht="15.75" customHeight="1">
      <c r="A410" s="86"/>
      <c r="B410" s="79"/>
      <c r="C410" s="82"/>
      <c r="D410" s="81"/>
      <c r="E410" s="82"/>
      <c r="F410" s="81"/>
      <c r="G410" s="79"/>
      <c r="H410" s="83"/>
      <c r="I410" s="79"/>
      <c r="J410" s="79"/>
      <c r="K410" s="79"/>
      <c r="L410" s="84"/>
      <c r="M410" s="84"/>
      <c r="N410" s="79"/>
      <c r="O410" s="85"/>
      <c r="P410" s="85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</row>
    <row r="411" spans="1:28" ht="15.75" customHeight="1">
      <c r="A411" s="86"/>
      <c r="B411" s="79"/>
      <c r="C411" s="82"/>
      <c r="D411" s="81"/>
      <c r="E411" s="82"/>
      <c r="F411" s="81"/>
      <c r="G411" s="79"/>
      <c r="H411" s="83"/>
      <c r="I411" s="79"/>
      <c r="J411" s="79"/>
      <c r="K411" s="79"/>
      <c r="L411" s="84"/>
      <c r="M411" s="84"/>
      <c r="N411" s="79"/>
      <c r="O411" s="85"/>
      <c r="P411" s="85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</row>
    <row r="412" spans="1:28" ht="15.75" customHeight="1">
      <c r="A412" s="86"/>
      <c r="B412" s="79"/>
      <c r="C412" s="82"/>
      <c r="D412" s="81"/>
      <c r="E412" s="82"/>
      <c r="F412" s="81"/>
      <c r="G412" s="79"/>
      <c r="H412" s="83"/>
      <c r="I412" s="79"/>
      <c r="J412" s="79"/>
      <c r="K412" s="79"/>
      <c r="L412" s="84"/>
      <c r="M412" s="84"/>
      <c r="N412" s="79"/>
      <c r="O412" s="85"/>
      <c r="P412" s="85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</row>
    <row r="413" spans="1:28" ht="15.75" customHeight="1">
      <c r="A413" s="86"/>
      <c r="B413" s="79"/>
      <c r="C413" s="82"/>
      <c r="D413" s="81"/>
      <c r="E413" s="82"/>
      <c r="F413" s="81"/>
      <c r="G413" s="79"/>
      <c r="H413" s="83"/>
      <c r="I413" s="79"/>
      <c r="J413" s="79"/>
      <c r="K413" s="79"/>
      <c r="L413" s="84"/>
      <c r="M413" s="84"/>
      <c r="N413" s="79"/>
      <c r="O413" s="85"/>
      <c r="P413" s="85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</row>
    <row r="414" spans="1:28" ht="15.75" customHeight="1">
      <c r="A414" s="86"/>
      <c r="B414" s="79"/>
      <c r="C414" s="82"/>
      <c r="D414" s="81"/>
      <c r="E414" s="82"/>
      <c r="F414" s="81"/>
      <c r="G414" s="79"/>
      <c r="H414" s="83"/>
      <c r="I414" s="79"/>
      <c r="J414" s="79"/>
      <c r="K414" s="79"/>
      <c r="L414" s="84"/>
      <c r="M414" s="84"/>
      <c r="N414" s="79"/>
      <c r="O414" s="85"/>
      <c r="P414" s="85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</row>
    <row r="415" spans="1:28" ht="15.75" customHeight="1">
      <c r="A415" s="86"/>
      <c r="B415" s="79"/>
      <c r="C415" s="82"/>
      <c r="D415" s="81"/>
      <c r="E415" s="82"/>
      <c r="F415" s="81"/>
      <c r="G415" s="79"/>
      <c r="H415" s="83"/>
      <c r="I415" s="79"/>
      <c r="J415" s="79"/>
      <c r="K415" s="79"/>
      <c r="L415" s="84"/>
      <c r="M415" s="84"/>
      <c r="N415" s="79"/>
      <c r="O415" s="85"/>
      <c r="P415" s="85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</row>
    <row r="416" spans="1:28" ht="15.75" customHeight="1">
      <c r="A416" s="86"/>
      <c r="B416" s="79"/>
      <c r="C416" s="82"/>
      <c r="D416" s="81"/>
      <c r="E416" s="82"/>
      <c r="F416" s="81"/>
      <c r="G416" s="79"/>
      <c r="H416" s="83"/>
      <c r="I416" s="79"/>
      <c r="J416" s="79"/>
      <c r="K416" s="79"/>
      <c r="L416" s="84"/>
      <c r="M416" s="84"/>
      <c r="N416" s="79"/>
      <c r="O416" s="85"/>
      <c r="P416" s="85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</row>
    <row r="417" spans="1:28" ht="15.75" customHeight="1">
      <c r="A417" s="86"/>
      <c r="B417" s="79"/>
      <c r="C417" s="82"/>
      <c r="D417" s="81"/>
      <c r="E417" s="82"/>
      <c r="F417" s="81"/>
      <c r="G417" s="79"/>
      <c r="H417" s="83"/>
      <c r="I417" s="79"/>
      <c r="J417" s="79"/>
      <c r="K417" s="79"/>
      <c r="L417" s="84"/>
      <c r="M417" s="84"/>
      <c r="N417" s="79"/>
      <c r="O417" s="85"/>
      <c r="P417" s="85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</row>
    <row r="418" spans="1:28" ht="15.75" customHeight="1">
      <c r="A418" s="86"/>
      <c r="B418" s="79"/>
      <c r="C418" s="82"/>
      <c r="D418" s="81"/>
      <c r="E418" s="82"/>
      <c r="F418" s="81"/>
      <c r="G418" s="79"/>
      <c r="H418" s="83"/>
      <c r="I418" s="79"/>
      <c r="J418" s="79"/>
      <c r="K418" s="79"/>
      <c r="L418" s="84"/>
      <c r="M418" s="84"/>
      <c r="N418" s="79"/>
      <c r="O418" s="85"/>
      <c r="P418" s="85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</row>
    <row r="419" spans="1:28" ht="15.75" customHeight="1">
      <c r="A419" s="86"/>
      <c r="B419" s="79"/>
      <c r="C419" s="82"/>
      <c r="D419" s="81"/>
      <c r="E419" s="82"/>
      <c r="F419" s="81"/>
      <c r="G419" s="79"/>
      <c r="H419" s="83"/>
      <c r="I419" s="79"/>
      <c r="J419" s="79"/>
      <c r="K419" s="79"/>
      <c r="L419" s="84"/>
      <c r="M419" s="84"/>
      <c r="N419" s="79"/>
      <c r="O419" s="85"/>
      <c r="P419" s="85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</row>
    <row r="420" spans="1:28" ht="15.75" customHeight="1">
      <c r="A420" s="86"/>
      <c r="B420" s="79"/>
      <c r="C420" s="82"/>
      <c r="D420" s="81"/>
      <c r="E420" s="82"/>
      <c r="F420" s="81"/>
      <c r="G420" s="79"/>
      <c r="H420" s="83"/>
      <c r="I420" s="79"/>
      <c r="J420" s="79"/>
      <c r="K420" s="79"/>
      <c r="L420" s="84"/>
      <c r="M420" s="84"/>
      <c r="N420" s="79"/>
      <c r="O420" s="85"/>
      <c r="P420" s="85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</row>
    <row r="421" spans="1:28" ht="15.75" customHeight="1">
      <c r="A421" s="86"/>
      <c r="B421" s="79"/>
      <c r="C421" s="82"/>
      <c r="D421" s="81"/>
      <c r="E421" s="82"/>
      <c r="F421" s="81"/>
      <c r="G421" s="79"/>
      <c r="H421" s="83"/>
      <c r="I421" s="79"/>
      <c r="J421" s="79"/>
      <c r="K421" s="79"/>
      <c r="L421" s="84"/>
      <c r="M421" s="84"/>
      <c r="N421" s="79"/>
      <c r="O421" s="85"/>
      <c r="P421" s="85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</row>
    <row r="422" spans="1:28" ht="15.75" customHeight="1">
      <c r="A422" s="86"/>
      <c r="B422" s="79"/>
      <c r="C422" s="82"/>
      <c r="D422" s="81"/>
      <c r="E422" s="82"/>
      <c r="F422" s="81"/>
      <c r="G422" s="79"/>
      <c r="H422" s="83"/>
      <c r="I422" s="79"/>
      <c r="J422" s="79"/>
      <c r="K422" s="79"/>
      <c r="L422" s="84"/>
      <c r="M422" s="84"/>
      <c r="N422" s="79"/>
      <c r="O422" s="85"/>
      <c r="P422" s="85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</row>
    <row r="423" spans="1:28" ht="15.75" customHeight="1">
      <c r="A423" s="86"/>
      <c r="B423" s="79"/>
      <c r="C423" s="82"/>
      <c r="D423" s="81"/>
      <c r="E423" s="82"/>
      <c r="F423" s="81"/>
      <c r="G423" s="79"/>
      <c r="H423" s="83"/>
      <c r="I423" s="79"/>
      <c r="J423" s="79"/>
      <c r="K423" s="79"/>
      <c r="L423" s="84"/>
      <c r="M423" s="84"/>
      <c r="N423" s="79"/>
      <c r="O423" s="85"/>
      <c r="P423" s="85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</row>
    <row r="424" spans="1:28" ht="15.75" customHeight="1">
      <c r="A424" s="86"/>
      <c r="B424" s="79"/>
      <c r="C424" s="82"/>
      <c r="D424" s="81"/>
      <c r="E424" s="82"/>
      <c r="F424" s="81"/>
      <c r="G424" s="79"/>
      <c r="H424" s="83"/>
      <c r="I424" s="79"/>
      <c r="J424" s="79"/>
      <c r="K424" s="79"/>
      <c r="L424" s="84"/>
      <c r="M424" s="84"/>
      <c r="N424" s="79"/>
      <c r="O424" s="85"/>
      <c r="P424" s="85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</row>
    <row r="425" spans="1:28" ht="15.75" customHeight="1">
      <c r="A425" s="86"/>
      <c r="B425" s="79"/>
      <c r="C425" s="82"/>
      <c r="D425" s="81"/>
      <c r="E425" s="82"/>
      <c r="F425" s="81"/>
      <c r="G425" s="79"/>
      <c r="H425" s="83"/>
      <c r="I425" s="79"/>
      <c r="J425" s="79"/>
      <c r="K425" s="79"/>
      <c r="L425" s="84"/>
      <c r="M425" s="84"/>
      <c r="N425" s="79"/>
      <c r="O425" s="85"/>
      <c r="P425" s="85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</row>
    <row r="426" spans="1:28" ht="15.75" customHeight="1">
      <c r="A426" s="86"/>
      <c r="B426" s="79"/>
      <c r="C426" s="82"/>
      <c r="D426" s="81"/>
      <c r="E426" s="82"/>
      <c r="F426" s="81"/>
      <c r="G426" s="79"/>
      <c r="H426" s="83"/>
      <c r="I426" s="79"/>
      <c r="J426" s="79"/>
      <c r="K426" s="79"/>
      <c r="L426" s="84"/>
      <c r="M426" s="84"/>
      <c r="N426" s="79"/>
      <c r="O426" s="85"/>
      <c r="P426" s="85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</row>
    <row r="427" spans="1:28" ht="15.75" customHeight="1">
      <c r="A427" s="86"/>
      <c r="B427" s="79"/>
      <c r="C427" s="82"/>
      <c r="D427" s="81"/>
      <c r="E427" s="82"/>
      <c r="F427" s="81"/>
      <c r="G427" s="79"/>
      <c r="H427" s="83"/>
      <c r="I427" s="79"/>
      <c r="J427" s="79"/>
      <c r="K427" s="79"/>
      <c r="L427" s="84"/>
      <c r="M427" s="84"/>
      <c r="N427" s="79"/>
      <c r="O427" s="85"/>
      <c r="P427" s="85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</row>
    <row r="428" spans="1:28" ht="15.75" customHeight="1">
      <c r="A428" s="86"/>
      <c r="B428" s="79"/>
      <c r="C428" s="82"/>
      <c r="D428" s="81"/>
      <c r="E428" s="82"/>
      <c r="F428" s="81"/>
      <c r="G428" s="79"/>
      <c r="H428" s="83"/>
      <c r="I428" s="79"/>
      <c r="J428" s="79"/>
      <c r="K428" s="79"/>
      <c r="L428" s="84"/>
      <c r="M428" s="84"/>
      <c r="N428" s="79"/>
      <c r="O428" s="85"/>
      <c r="P428" s="85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</row>
    <row r="429" spans="1:28" ht="15.75" customHeight="1">
      <c r="A429" s="86"/>
      <c r="B429" s="79"/>
      <c r="C429" s="82"/>
      <c r="D429" s="81"/>
      <c r="E429" s="82"/>
      <c r="F429" s="81"/>
      <c r="G429" s="79"/>
      <c r="H429" s="83"/>
      <c r="I429" s="79"/>
      <c r="J429" s="79"/>
      <c r="K429" s="79"/>
      <c r="L429" s="84"/>
      <c r="M429" s="84"/>
      <c r="N429" s="79"/>
      <c r="O429" s="85"/>
      <c r="P429" s="85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</row>
    <row r="430" spans="1:28" ht="15.75" customHeight="1">
      <c r="A430" s="86"/>
      <c r="B430" s="79"/>
      <c r="C430" s="82"/>
      <c r="D430" s="81"/>
      <c r="E430" s="82"/>
      <c r="F430" s="81"/>
      <c r="G430" s="79"/>
      <c r="H430" s="83"/>
      <c r="I430" s="79"/>
      <c r="J430" s="79"/>
      <c r="K430" s="79"/>
      <c r="L430" s="84"/>
      <c r="M430" s="84"/>
      <c r="N430" s="79"/>
      <c r="O430" s="85"/>
      <c r="P430" s="85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</row>
    <row r="431" spans="1:28" ht="15.75" customHeight="1">
      <c r="A431" s="86"/>
      <c r="B431" s="79"/>
      <c r="C431" s="82"/>
      <c r="D431" s="81"/>
      <c r="E431" s="82"/>
      <c r="F431" s="81"/>
      <c r="G431" s="79"/>
      <c r="H431" s="83"/>
      <c r="I431" s="79"/>
      <c r="J431" s="79"/>
      <c r="K431" s="79"/>
      <c r="L431" s="84"/>
      <c r="M431" s="84"/>
      <c r="N431" s="79"/>
      <c r="O431" s="85"/>
      <c r="P431" s="85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</row>
    <row r="432" spans="1:28" ht="15.75" customHeight="1">
      <c r="A432" s="86"/>
      <c r="B432" s="79"/>
      <c r="C432" s="82"/>
      <c r="D432" s="81"/>
      <c r="E432" s="82"/>
      <c r="F432" s="81"/>
      <c r="G432" s="79"/>
      <c r="H432" s="83"/>
      <c r="I432" s="79"/>
      <c r="J432" s="79"/>
      <c r="K432" s="79"/>
      <c r="L432" s="84"/>
      <c r="M432" s="84"/>
      <c r="N432" s="79"/>
      <c r="O432" s="85"/>
      <c r="P432" s="85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</row>
    <row r="433" spans="1:28" ht="15.75" customHeight="1">
      <c r="A433" s="86"/>
      <c r="B433" s="79"/>
      <c r="C433" s="82"/>
      <c r="D433" s="81"/>
      <c r="E433" s="82"/>
      <c r="F433" s="81"/>
      <c r="G433" s="79"/>
      <c r="H433" s="83"/>
      <c r="I433" s="79"/>
      <c r="J433" s="79"/>
      <c r="K433" s="79"/>
      <c r="L433" s="84"/>
      <c r="M433" s="84"/>
      <c r="N433" s="79"/>
      <c r="O433" s="85"/>
      <c r="P433" s="85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</row>
    <row r="434" spans="1:28" ht="15.75" customHeight="1">
      <c r="A434" s="86"/>
      <c r="B434" s="79"/>
      <c r="C434" s="82"/>
      <c r="D434" s="81"/>
      <c r="E434" s="82"/>
      <c r="F434" s="81"/>
      <c r="G434" s="79"/>
      <c r="H434" s="83"/>
      <c r="I434" s="79"/>
      <c r="J434" s="79"/>
      <c r="K434" s="79"/>
      <c r="L434" s="84"/>
      <c r="M434" s="84"/>
      <c r="N434" s="79"/>
      <c r="O434" s="85"/>
      <c r="P434" s="85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</row>
    <row r="435" spans="1:28" ht="15.75" customHeight="1">
      <c r="A435" s="86"/>
      <c r="B435" s="79"/>
      <c r="C435" s="82"/>
      <c r="D435" s="81"/>
      <c r="E435" s="82"/>
      <c r="F435" s="81"/>
      <c r="G435" s="79"/>
      <c r="H435" s="83"/>
      <c r="I435" s="79"/>
      <c r="J435" s="79"/>
      <c r="K435" s="79"/>
      <c r="L435" s="84"/>
      <c r="M435" s="84"/>
      <c r="N435" s="79"/>
      <c r="O435" s="85"/>
      <c r="P435" s="85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</row>
    <row r="436" spans="1:28" ht="15.75" customHeight="1">
      <c r="A436" s="86"/>
      <c r="B436" s="79"/>
      <c r="C436" s="82"/>
      <c r="D436" s="81"/>
      <c r="E436" s="82"/>
      <c r="F436" s="81"/>
      <c r="G436" s="79"/>
      <c r="H436" s="83"/>
      <c r="I436" s="79"/>
      <c r="J436" s="79"/>
      <c r="K436" s="79"/>
      <c r="L436" s="84"/>
      <c r="M436" s="84"/>
      <c r="N436" s="79"/>
      <c r="O436" s="85"/>
      <c r="P436" s="85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</row>
    <row r="437" spans="1:28" ht="15.75" customHeight="1">
      <c r="A437" s="86"/>
      <c r="B437" s="79"/>
      <c r="C437" s="82"/>
      <c r="D437" s="81"/>
      <c r="E437" s="82"/>
      <c r="F437" s="81"/>
      <c r="G437" s="79"/>
      <c r="H437" s="83"/>
      <c r="I437" s="79"/>
      <c r="J437" s="79"/>
      <c r="K437" s="79"/>
      <c r="L437" s="84"/>
      <c r="M437" s="84"/>
      <c r="N437" s="79"/>
      <c r="O437" s="85"/>
      <c r="P437" s="85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</row>
    <row r="438" spans="1:28" ht="15.75" customHeight="1">
      <c r="A438" s="86"/>
      <c r="B438" s="79"/>
      <c r="C438" s="82"/>
      <c r="D438" s="81"/>
      <c r="E438" s="82"/>
      <c r="F438" s="81"/>
      <c r="G438" s="79"/>
      <c r="H438" s="83"/>
      <c r="I438" s="79"/>
      <c r="J438" s="79"/>
      <c r="K438" s="79"/>
      <c r="L438" s="84"/>
      <c r="M438" s="84"/>
      <c r="N438" s="79"/>
      <c r="O438" s="85"/>
      <c r="P438" s="85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</row>
    <row r="439" spans="1:28" ht="15.75" customHeight="1">
      <c r="A439" s="86"/>
      <c r="B439" s="79"/>
      <c r="C439" s="82"/>
      <c r="D439" s="81"/>
      <c r="E439" s="82"/>
      <c r="F439" s="81"/>
      <c r="G439" s="79"/>
      <c r="H439" s="83"/>
      <c r="I439" s="79"/>
      <c r="J439" s="79"/>
      <c r="K439" s="79"/>
      <c r="L439" s="84"/>
      <c r="M439" s="84"/>
      <c r="N439" s="79"/>
      <c r="O439" s="85"/>
      <c r="P439" s="85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</row>
    <row r="440" spans="1:28" ht="15.75" customHeight="1">
      <c r="A440" s="86"/>
      <c r="B440" s="79"/>
      <c r="C440" s="82"/>
      <c r="D440" s="81"/>
      <c r="E440" s="82"/>
      <c r="F440" s="81"/>
      <c r="G440" s="79"/>
      <c r="H440" s="83"/>
      <c r="I440" s="79"/>
      <c r="J440" s="79"/>
      <c r="K440" s="79"/>
      <c r="L440" s="84"/>
      <c r="M440" s="84"/>
      <c r="N440" s="79"/>
      <c r="O440" s="85"/>
      <c r="P440" s="85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</row>
    <row r="441" spans="1:28" ht="15.75" customHeight="1">
      <c r="A441" s="86"/>
      <c r="B441" s="79"/>
      <c r="C441" s="82"/>
      <c r="D441" s="81"/>
      <c r="E441" s="82"/>
      <c r="F441" s="81"/>
      <c r="G441" s="79"/>
      <c r="H441" s="83"/>
      <c r="I441" s="79"/>
      <c r="J441" s="79"/>
      <c r="K441" s="79"/>
      <c r="L441" s="84"/>
      <c r="M441" s="84"/>
      <c r="N441" s="79"/>
      <c r="O441" s="85"/>
      <c r="P441" s="85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</row>
    <row r="442" spans="1:28" ht="15.75" customHeight="1">
      <c r="A442" s="86"/>
      <c r="B442" s="79"/>
      <c r="C442" s="82"/>
      <c r="D442" s="81"/>
      <c r="E442" s="82"/>
      <c r="F442" s="81"/>
      <c r="G442" s="79"/>
      <c r="H442" s="83"/>
      <c r="I442" s="79"/>
      <c r="J442" s="79"/>
      <c r="K442" s="79"/>
      <c r="L442" s="84"/>
      <c r="M442" s="84"/>
      <c r="N442" s="79"/>
      <c r="O442" s="85"/>
      <c r="P442" s="85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</row>
    <row r="443" spans="1:28" ht="15.75" customHeight="1">
      <c r="A443" s="86"/>
      <c r="B443" s="79"/>
      <c r="C443" s="82"/>
      <c r="D443" s="81"/>
      <c r="E443" s="82"/>
      <c r="F443" s="81"/>
      <c r="G443" s="79"/>
      <c r="H443" s="83"/>
      <c r="I443" s="79"/>
      <c r="J443" s="79"/>
      <c r="K443" s="79"/>
      <c r="L443" s="84"/>
      <c r="M443" s="84"/>
      <c r="N443" s="79"/>
      <c r="O443" s="85"/>
      <c r="P443" s="85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</row>
    <row r="444" spans="1:28" ht="15.75" customHeight="1">
      <c r="A444" s="86"/>
      <c r="B444" s="79"/>
      <c r="C444" s="82"/>
      <c r="D444" s="81"/>
      <c r="E444" s="82"/>
      <c r="F444" s="81"/>
      <c r="G444" s="79"/>
      <c r="H444" s="83"/>
      <c r="I444" s="79"/>
      <c r="J444" s="79"/>
      <c r="K444" s="79"/>
      <c r="L444" s="84"/>
      <c r="M444" s="84"/>
      <c r="N444" s="79"/>
      <c r="O444" s="85"/>
      <c r="P444" s="85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</row>
    <row r="445" spans="1:28" ht="15.75" customHeight="1">
      <c r="A445" s="86"/>
      <c r="B445" s="79"/>
      <c r="C445" s="82"/>
      <c r="D445" s="81"/>
      <c r="E445" s="82"/>
      <c r="F445" s="81"/>
      <c r="G445" s="79"/>
      <c r="H445" s="83"/>
      <c r="I445" s="79"/>
      <c r="J445" s="79"/>
      <c r="K445" s="79"/>
      <c r="L445" s="84"/>
      <c r="M445" s="84"/>
      <c r="N445" s="79"/>
      <c r="O445" s="85"/>
      <c r="P445" s="85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</row>
    <row r="446" spans="1:28" ht="15.75" customHeight="1">
      <c r="A446" s="86"/>
      <c r="B446" s="79"/>
      <c r="C446" s="82"/>
      <c r="D446" s="81"/>
      <c r="E446" s="82"/>
      <c r="F446" s="81"/>
      <c r="G446" s="79"/>
      <c r="H446" s="83"/>
      <c r="I446" s="79"/>
      <c r="J446" s="79"/>
      <c r="K446" s="79"/>
      <c r="L446" s="84"/>
      <c r="M446" s="84"/>
      <c r="N446" s="79"/>
      <c r="O446" s="85"/>
      <c r="P446" s="85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</row>
    <row r="447" spans="1:28" ht="15.75" customHeight="1">
      <c r="A447" s="86"/>
      <c r="B447" s="79"/>
      <c r="C447" s="82"/>
      <c r="D447" s="81"/>
      <c r="E447" s="82"/>
      <c r="F447" s="81"/>
      <c r="G447" s="79"/>
      <c r="H447" s="83"/>
      <c r="I447" s="79"/>
      <c r="J447" s="79"/>
      <c r="K447" s="79"/>
      <c r="L447" s="84"/>
      <c r="M447" s="84"/>
      <c r="N447" s="79"/>
      <c r="O447" s="85"/>
      <c r="P447" s="85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</row>
    <row r="448" spans="1:28" ht="15.75" customHeight="1">
      <c r="A448" s="86"/>
      <c r="B448" s="79"/>
      <c r="C448" s="82"/>
      <c r="D448" s="81"/>
      <c r="E448" s="82"/>
      <c r="F448" s="81"/>
      <c r="G448" s="79"/>
      <c r="H448" s="83"/>
      <c r="I448" s="79"/>
      <c r="J448" s="79"/>
      <c r="K448" s="79"/>
      <c r="L448" s="84"/>
      <c r="M448" s="84"/>
      <c r="N448" s="79"/>
      <c r="O448" s="85"/>
      <c r="P448" s="85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</row>
    <row r="449" spans="1:28" ht="15.75" customHeight="1">
      <c r="A449" s="86"/>
      <c r="B449" s="79"/>
      <c r="C449" s="82"/>
      <c r="D449" s="81"/>
      <c r="E449" s="82"/>
      <c r="F449" s="81"/>
      <c r="G449" s="79"/>
      <c r="H449" s="83"/>
      <c r="I449" s="79"/>
      <c r="J449" s="79"/>
      <c r="K449" s="79"/>
      <c r="L449" s="84"/>
      <c r="M449" s="84"/>
      <c r="N449" s="79"/>
      <c r="O449" s="85"/>
      <c r="P449" s="85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</row>
    <row r="450" spans="1:28" ht="15.75" customHeight="1">
      <c r="A450" s="86"/>
      <c r="B450" s="79"/>
      <c r="C450" s="82"/>
      <c r="D450" s="81"/>
      <c r="E450" s="82"/>
      <c r="F450" s="81"/>
      <c r="G450" s="79"/>
      <c r="H450" s="83"/>
      <c r="I450" s="79"/>
      <c r="J450" s="79"/>
      <c r="K450" s="79"/>
      <c r="L450" s="84"/>
      <c r="M450" s="84"/>
      <c r="N450" s="79"/>
      <c r="O450" s="85"/>
      <c r="P450" s="85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</row>
    <row r="451" spans="1:28" ht="15.75" customHeight="1">
      <c r="A451" s="86"/>
      <c r="B451" s="79"/>
      <c r="C451" s="82"/>
      <c r="D451" s="81"/>
      <c r="E451" s="82"/>
      <c r="F451" s="81"/>
      <c r="G451" s="79"/>
      <c r="H451" s="83"/>
      <c r="I451" s="79"/>
      <c r="J451" s="79"/>
      <c r="K451" s="79"/>
      <c r="L451" s="84"/>
      <c r="M451" s="84"/>
      <c r="N451" s="79"/>
      <c r="O451" s="85"/>
      <c r="P451" s="85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</row>
    <row r="452" spans="1:28" ht="15.75" customHeight="1">
      <c r="A452" s="86"/>
      <c r="B452" s="79"/>
      <c r="C452" s="82"/>
      <c r="D452" s="81"/>
      <c r="E452" s="82"/>
      <c r="F452" s="81"/>
      <c r="G452" s="79"/>
      <c r="H452" s="83"/>
      <c r="I452" s="79"/>
      <c r="J452" s="79"/>
      <c r="K452" s="79"/>
      <c r="L452" s="84"/>
      <c r="M452" s="84"/>
      <c r="N452" s="79"/>
      <c r="O452" s="85"/>
      <c r="P452" s="85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</row>
    <row r="453" spans="1:28" ht="15.75" customHeight="1">
      <c r="A453" s="86"/>
      <c r="B453" s="79"/>
      <c r="C453" s="82"/>
      <c r="D453" s="81"/>
      <c r="E453" s="82"/>
      <c r="F453" s="81"/>
      <c r="G453" s="79"/>
      <c r="H453" s="83"/>
      <c r="I453" s="79"/>
      <c r="J453" s="79"/>
      <c r="K453" s="79"/>
      <c r="L453" s="84"/>
      <c r="M453" s="84"/>
      <c r="N453" s="79"/>
      <c r="O453" s="85"/>
      <c r="P453" s="85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</row>
    <row r="454" spans="1:28" ht="15.75" customHeight="1">
      <c r="A454" s="86"/>
      <c r="B454" s="79"/>
      <c r="C454" s="82"/>
      <c r="D454" s="81"/>
      <c r="E454" s="82"/>
      <c r="F454" s="81"/>
      <c r="G454" s="79"/>
      <c r="H454" s="83"/>
      <c r="I454" s="79"/>
      <c r="J454" s="79"/>
      <c r="K454" s="79"/>
      <c r="L454" s="84"/>
      <c r="M454" s="84"/>
      <c r="N454" s="79"/>
      <c r="O454" s="85"/>
      <c r="P454" s="85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</row>
    <row r="455" spans="1:28" ht="15.75" customHeight="1">
      <c r="A455" s="86"/>
      <c r="B455" s="79"/>
      <c r="C455" s="82"/>
      <c r="D455" s="81"/>
      <c r="E455" s="82"/>
      <c r="F455" s="81"/>
      <c r="G455" s="79"/>
      <c r="H455" s="83"/>
      <c r="I455" s="79"/>
      <c r="J455" s="79"/>
      <c r="K455" s="79"/>
      <c r="L455" s="84"/>
      <c r="M455" s="84"/>
      <c r="N455" s="79"/>
      <c r="O455" s="85"/>
      <c r="P455" s="85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</row>
    <row r="456" spans="1:28" ht="15.75" customHeight="1">
      <c r="A456" s="86"/>
      <c r="B456" s="79"/>
      <c r="C456" s="82"/>
      <c r="D456" s="81"/>
      <c r="E456" s="82"/>
      <c r="F456" s="81"/>
      <c r="G456" s="79"/>
      <c r="H456" s="83"/>
      <c r="I456" s="79"/>
      <c r="J456" s="79"/>
      <c r="K456" s="79"/>
      <c r="L456" s="84"/>
      <c r="M456" s="84"/>
      <c r="N456" s="79"/>
      <c r="O456" s="85"/>
      <c r="P456" s="85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</row>
    <row r="457" spans="1:28" ht="15.75" customHeight="1">
      <c r="A457" s="86"/>
      <c r="B457" s="79"/>
      <c r="C457" s="82"/>
      <c r="D457" s="81"/>
      <c r="E457" s="82"/>
      <c r="F457" s="81"/>
      <c r="G457" s="79"/>
      <c r="H457" s="83"/>
      <c r="I457" s="79"/>
      <c r="J457" s="79"/>
      <c r="K457" s="79"/>
      <c r="L457" s="84"/>
      <c r="M457" s="84"/>
      <c r="N457" s="79"/>
      <c r="O457" s="85"/>
      <c r="P457" s="85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</row>
    <row r="458" spans="1:28" ht="15.75" customHeight="1">
      <c r="A458" s="86"/>
      <c r="B458" s="79"/>
      <c r="C458" s="82"/>
      <c r="D458" s="81"/>
      <c r="E458" s="82"/>
      <c r="F458" s="81"/>
      <c r="G458" s="79"/>
      <c r="H458" s="83"/>
      <c r="I458" s="79"/>
      <c r="J458" s="79"/>
      <c r="K458" s="79"/>
      <c r="L458" s="84"/>
      <c r="M458" s="84"/>
      <c r="N458" s="79"/>
      <c r="O458" s="85"/>
      <c r="P458" s="85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</row>
    <row r="459" spans="1:28" ht="15.75" customHeight="1">
      <c r="A459" s="86"/>
      <c r="B459" s="79"/>
      <c r="C459" s="82"/>
      <c r="D459" s="81"/>
      <c r="E459" s="82"/>
      <c r="F459" s="81"/>
      <c r="G459" s="79"/>
      <c r="H459" s="83"/>
      <c r="I459" s="79"/>
      <c r="J459" s="79"/>
      <c r="K459" s="79"/>
      <c r="L459" s="84"/>
      <c r="M459" s="84"/>
      <c r="N459" s="79"/>
      <c r="O459" s="85"/>
      <c r="P459" s="85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</row>
    <row r="460" spans="1:28" ht="15.75" customHeight="1">
      <c r="A460" s="86"/>
      <c r="B460" s="79"/>
      <c r="C460" s="82"/>
      <c r="D460" s="81"/>
      <c r="E460" s="82"/>
      <c r="F460" s="81"/>
      <c r="G460" s="79"/>
      <c r="H460" s="83"/>
      <c r="I460" s="79"/>
      <c r="J460" s="79"/>
      <c r="K460" s="79"/>
      <c r="L460" s="84"/>
      <c r="M460" s="84"/>
      <c r="N460" s="79"/>
      <c r="O460" s="85"/>
      <c r="P460" s="85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</row>
    <row r="461" spans="1:28" ht="15.75" customHeight="1">
      <c r="A461" s="86"/>
      <c r="B461" s="79"/>
      <c r="C461" s="82"/>
      <c r="D461" s="81"/>
      <c r="E461" s="82"/>
      <c r="F461" s="81"/>
      <c r="G461" s="79"/>
      <c r="H461" s="83"/>
      <c r="I461" s="79"/>
      <c r="J461" s="79"/>
      <c r="K461" s="79"/>
      <c r="L461" s="84"/>
      <c r="M461" s="84"/>
      <c r="N461" s="79"/>
      <c r="O461" s="85"/>
      <c r="P461" s="85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</row>
    <row r="462" spans="1:28" ht="15.75" customHeight="1">
      <c r="A462" s="86"/>
      <c r="B462" s="79"/>
      <c r="C462" s="82"/>
      <c r="D462" s="81"/>
      <c r="E462" s="82"/>
      <c r="F462" s="81"/>
      <c r="G462" s="79"/>
      <c r="H462" s="83"/>
      <c r="I462" s="79"/>
      <c r="J462" s="79"/>
      <c r="K462" s="79"/>
      <c r="L462" s="84"/>
      <c r="M462" s="84"/>
      <c r="N462" s="79"/>
      <c r="O462" s="85"/>
      <c r="P462" s="85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</row>
    <row r="463" spans="1:28" ht="15.75" customHeight="1">
      <c r="A463" s="86"/>
      <c r="B463" s="79"/>
      <c r="C463" s="82"/>
      <c r="D463" s="81"/>
      <c r="E463" s="82"/>
      <c r="F463" s="81"/>
      <c r="G463" s="79"/>
      <c r="H463" s="83"/>
      <c r="I463" s="79"/>
      <c r="J463" s="79"/>
      <c r="K463" s="79"/>
      <c r="L463" s="84"/>
      <c r="M463" s="84"/>
      <c r="N463" s="79"/>
      <c r="O463" s="85"/>
      <c r="P463" s="85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</row>
    <row r="464" spans="1:28" ht="15.75" customHeight="1">
      <c r="A464" s="86"/>
      <c r="B464" s="79"/>
      <c r="C464" s="82"/>
      <c r="D464" s="81"/>
      <c r="E464" s="82"/>
      <c r="F464" s="81"/>
      <c r="G464" s="79"/>
      <c r="H464" s="83"/>
      <c r="I464" s="79"/>
      <c r="J464" s="79"/>
      <c r="K464" s="79"/>
      <c r="L464" s="84"/>
      <c r="M464" s="84"/>
      <c r="N464" s="79"/>
      <c r="O464" s="85"/>
      <c r="P464" s="85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</row>
    <row r="465" spans="1:28" ht="15.75" customHeight="1">
      <c r="A465" s="86"/>
      <c r="B465" s="79"/>
      <c r="C465" s="82"/>
      <c r="D465" s="81"/>
      <c r="E465" s="82"/>
      <c r="F465" s="81"/>
      <c r="G465" s="79"/>
      <c r="H465" s="83"/>
      <c r="I465" s="79"/>
      <c r="J465" s="79"/>
      <c r="K465" s="79"/>
      <c r="L465" s="84"/>
      <c r="M465" s="84"/>
      <c r="N465" s="79"/>
      <c r="O465" s="85"/>
      <c r="P465" s="85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</row>
    <row r="466" spans="1:28" ht="15.75" customHeight="1">
      <c r="A466" s="86"/>
      <c r="B466" s="79"/>
      <c r="C466" s="82"/>
      <c r="D466" s="81"/>
      <c r="E466" s="82"/>
      <c r="F466" s="81"/>
      <c r="G466" s="79"/>
      <c r="H466" s="83"/>
      <c r="I466" s="79"/>
      <c r="J466" s="79"/>
      <c r="K466" s="79"/>
      <c r="L466" s="84"/>
      <c r="M466" s="84"/>
      <c r="N466" s="79"/>
      <c r="O466" s="85"/>
      <c r="P466" s="85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</row>
    <row r="467" spans="1:28" ht="15.75" customHeight="1">
      <c r="A467" s="86"/>
      <c r="B467" s="79"/>
      <c r="C467" s="82"/>
      <c r="D467" s="81"/>
      <c r="E467" s="82"/>
      <c r="F467" s="81"/>
      <c r="G467" s="79"/>
      <c r="H467" s="83"/>
      <c r="I467" s="79"/>
      <c r="J467" s="79"/>
      <c r="K467" s="79"/>
      <c r="L467" s="84"/>
      <c r="M467" s="84"/>
      <c r="N467" s="79"/>
      <c r="O467" s="85"/>
      <c r="P467" s="85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</row>
    <row r="468" spans="1:28" ht="15.75" customHeight="1">
      <c r="A468" s="86"/>
      <c r="B468" s="79"/>
      <c r="C468" s="82"/>
      <c r="D468" s="81"/>
      <c r="E468" s="82"/>
      <c r="F468" s="81"/>
      <c r="G468" s="79"/>
      <c r="H468" s="83"/>
      <c r="I468" s="79"/>
      <c r="J468" s="79"/>
      <c r="K468" s="79"/>
      <c r="L468" s="84"/>
      <c r="M468" s="84"/>
      <c r="N468" s="79"/>
      <c r="O468" s="85"/>
      <c r="P468" s="85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</row>
    <row r="469" spans="1:28" ht="15.75" customHeight="1">
      <c r="A469" s="86"/>
      <c r="B469" s="79"/>
      <c r="C469" s="82"/>
      <c r="D469" s="81"/>
      <c r="E469" s="82"/>
      <c r="F469" s="81"/>
      <c r="G469" s="79"/>
      <c r="H469" s="83"/>
      <c r="I469" s="79"/>
      <c r="J469" s="79"/>
      <c r="K469" s="79"/>
      <c r="L469" s="84"/>
      <c r="M469" s="84"/>
      <c r="N469" s="79"/>
      <c r="O469" s="85"/>
      <c r="P469" s="85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</row>
    <row r="470" spans="1:28" ht="15.75" customHeight="1">
      <c r="A470" s="86"/>
      <c r="B470" s="79"/>
      <c r="C470" s="82"/>
      <c r="D470" s="81"/>
      <c r="E470" s="82"/>
      <c r="F470" s="81"/>
      <c r="G470" s="79"/>
      <c r="H470" s="83"/>
      <c r="I470" s="79"/>
      <c r="J470" s="79"/>
      <c r="K470" s="79"/>
      <c r="L470" s="84"/>
      <c r="M470" s="84"/>
      <c r="N470" s="79"/>
      <c r="O470" s="85"/>
      <c r="P470" s="85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</row>
    <row r="471" spans="1:28" ht="15.75" customHeight="1">
      <c r="A471" s="86"/>
      <c r="B471" s="79"/>
      <c r="C471" s="82"/>
      <c r="D471" s="81"/>
      <c r="E471" s="82"/>
      <c r="F471" s="81"/>
      <c r="G471" s="79"/>
      <c r="H471" s="83"/>
      <c r="I471" s="79"/>
      <c r="J471" s="79"/>
      <c r="K471" s="79"/>
      <c r="L471" s="84"/>
      <c r="M471" s="84"/>
      <c r="N471" s="79"/>
      <c r="O471" s="85"/>
      <c r="P471" s="85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</row>
    <row r="472" spans="1:28" ht="15.75" customHeight="1">
      <c r="A472" s="86"/>
      <c r="B472" s="79"/>
      <c r="C472" s="82"/>
      <c r="D472" s="81"/>
      <c r="E472" s="82"/>
      <c r="F472" s="81"/>
      <c r="G472" s="79"/>
      <c r="H472" s="83"/>
      <c r="I472" s="79"/>
      <c r="J472" s="79"/>
      <c r="K472" s="79"/>
      <c r="L472" s="84"/>
      <c r="M472" s="84"/>
      <c r="N472" s="79"/>
      <c r="O472" s="85"/>
      <c r="P472" s="85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</row>
    <row r="473" spans="1:28" ht="15.75" customHeight="1">
      <c r="A473" s="86"/>
      <c r="B473" s="79"/>
      <c r="C473" s="82"/>
      <c r="D473" s="81"/>
      <c r="E473" s="82"/>
      <c r="F473" s="81"/>
      <c r="G473" s="79"/>
      <c r="H473" s="83"/>
      <c r="I473" s="79"/>
      <c r="J473" s="79"/>
      <c r="K473" s="79"/>
      <c r="L473" s="84"/>
      <c r="M473" s="84"/>
      <c r="N473" s="79"/>
      <c r="O473" s="85"/>
      <c r="P473" s="85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</row>
    <row r="474" spans="1:28" ht="15.75" customHeight="1">
      <c r="A474" s="86"/>
      <c r="B474" s="79"/>
      <c r="C474" s="82"/>
      <c r="D474" s="81"/>
      <c r="E474" s="82"/>
      <c r="F474" s="81"/>
      <c r="G474" s="79"/>
      <c r="H474" s="83"/>
      <c r="I474" s="79"/>
      <c r="J474" s="79"/>
      <c r="K474" s="79"/>
      <c r="L474" s="84"/>
      <c r="M474" s="84"/>
      <c r="N474" s="79"/>
      <c r="O474" s="85"/>
      <c r="P474" s="85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</row>
    <row r="475" spans="1:28" ht="15.75" customHeight="1">
      <c r="A475" s="86"/>
      <c r="B475" s="79"/>
      <c r="C475" s="82"/>
      <c r="D475" s="81"/>
      <c r="E475" s="82"/>
      <c r="F475" s="81"/>
      <c r="G475" s="79"/>
      <c r="H475" s="83"/>
      <c r="I475" s="79"/>
      <c r="J475" s="79"/>
      <c r="K475" s="79"/>
      <c r="L475" s="84"/>
      <c r="M475" s="84"/>
      <c r="N475" s="79"/>
      <c r="O475" s="85"/>
      <c r="P475" s="85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</row>
    <row r="476" spans="1:28" ht="15.75" customHeight="1">
      <c r="A476" s="86"/>
      <c r="B476" s="79"/>
      <c r="C476" s="82"/>
      <c r="D476" s="81"/>
      <c r="E476" s="82"/>
      <c r="F476" s="81"/>
      <c r="G476" s="79"/>
      <c r="H476" s="83"/>
      <c r="I476" s="79"/>
      <c r="J476" s="79"/>
      <c r="K476" s="79"/>
      <c r="L476" s="84"/>
      <c r="M476" s="84"/>
      <c r="N476" s="79"/>
      <c r="O476" s="85"/>
      <c r="P476" s="85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</row>
    <row r="477" spans="1:28" ht="15.75" customHeight="1">
      <c r="A477" s="86"/>
      <c r="B477" s="79"/>
      <c r="C477" s="82"/>
      <c r="D477" s="81"/>
      <c r="E477" s="82"/>
      <c r="F477" s="81"/>
      <c r="G477" s="79"/>
      <c r="H477" s="83"/>
      <c r="I477" s="79"/>
      <c r="J477" s="79"/>
      <c r="K477" s="79"/>
      <c r="L477" s="84"/>
      <c r="M477" s="84"/>
      <c r="N477" s="79"/>
      <c r="O477" s="85"/>
      <c r="P477" s="85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</row>
    <row r="478" spans="1:28" ht="15.75" customHeight="1">
      <c r="A478" s="86"/>
      <c r="B478" s="79"/>
      <c r="C478" s="82"/>
      <c r="D478" s="81"/>
      <c r="E478" s="82"/>
      <c r="F478" s="81"/>
      <c r="G478" s="79"/>
      <c r="H478" s="83"/>
      <c r="I478" s="79"/>
      <c r="J478" s="79"/>
      <c r="K478" s="79"/>
      <c r="L478" s="84"/>
      <c r="M478" s="84"/>
      <c r="N478" s="79"/>
      <c r="O478" s="85"/>
      <c r="P478" s="85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</row>
    <row r="479" spans="1:28" ht="15.75" customHeight="1">
      <c r="A479" s="86"/>
      <c r="B479" s="79"/>
      <c r="C479" s="82"/>
      <c r="D479" s="81"/>
      <c r="E479" s="82"/>
      <c r="F479" s="81"/>
      <c r="G479" s="79"/>
      <c r="H479" s="83"/>
      <c r="I479" s="79"/>
      <c r="J479" s="79"/>
      <c r="K479" s="79"/>
      <c r="L479" s="84"/>
      <c r="M479" s="84"/>
      <c r="N479" s="79"/>
      <c r="O479" s="85"/>
      <c r="P479" s="85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</row>
    <row r="480" spans="1:28" ht="15.75" customHeight="1">
      <c r="A480" s="86"/>
      <c r="B480" s="79"/>
      <c r="C480" s="82"/>
      <c r="D480" s="81"/>
      <c r="E480" s="82"/>
      <c r="F480" s="81"/>
      <c r="G480" s="79"/>
      <c r="H480" s="83"/>
      <c r="I480" s="79"/>
      <c r="J480" s="79"/>
      <c r="K480" s="79"/>
      <c r="L480" s="84"/>
      <c r="M480" s="84"/>
      <c r="N480" s="79"/>
      <c r="O480" s="85"/>
      <c r="P480" s="85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</row>
    <row r="481" spans="1:28" ht="15.75" customHeight="1">
      <c r="A481" s="86"/>
      <c r="B481" s="79"/>
      <c r="C481" s="82"/>
      <c r="D481" s="81"/>
      <c r="E481" s="82"/>
      <c r="F481" s="81"/>
      <c r="G481" s="79"/>
      <c r="H481" s="83"/>
      <c r="I481" s="79"/>
      <c r="J481" s="79"/>
      <c r="K481" s="79"/>
      <c r="L481" s="84"/>
      <c r="M481" s="84"/>
      <c r="N481" s="79"/>
      <c r="O481" s="85"/>
      <c r="P481" s="85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</row>
    <row r="482" spans="1:28" ht="15.75" customHeight="1">
      <c r="A482" s="86"/>
      <c r="B482" s="79"/>
      <c r="C482" s="82"/>
      <c r="D482" s="81"/>
      <c r="E482" s="82"/>
      <c r="F482" s="81"/>
      <c r="G482" s="79"/>
      <c r="H482" s="83"/>
      <c r="I482" s="79"/>
      <c r="J482" s="79"/>
      <c r="K482" s="79"/>
      <c r="L482" s="84"/>
      <c r="M482" s="84"/>
      <c r="N482" s="79"/>
      <c r="O482" s="85"/>
      <c r="P482" s="85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</row>
    <row r="483" spans="1:28" ht="15.75" customHeight="1">
      <c r="A483" s="86"/>
      <c r="B483" s="79"/>
      <c r="C483" s="82"/>
      <c r="D483" s="81"/>
      <c r="E483" s="82"/>
      <c r="F483" s="81"/>
      <c r="G483" s="79"/>
      <c r="H483" s="83"/>
      <c r="I483" s="79"/>
      <c r="J483" s="79"/>
      <c r="K483" s="79"/>
      <c r="L483" s="84"/>
      <c r="M483" s="84"/>
      <c r="N483" s="79"/>
      <c r="O483" s="85"/>
      <c r="P483" s="85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</row>
    <row r="484" spans="1:28" ht="15.75" customHeight="1">
      <c r="A484" s="86"/>
      <c r="B484" s="79"/>
      <c r="C484" s="82"/>
      <c r="D484" s="81"/>
      <c r="E484" s="82"/>
      <c r="F484" s="81"/>
      <c r="G484" s="79"/>
      <c r="H484" s="83"/>
      <c r="I484" s="79"/>
      <c r="J484" s="79"/>
      <c r="K484" s="79"/>
      <c r="L484" s="84"/>
      <c r="M484" s="84"/>
      <c r="N484" s="79"/>
      <c r="O484" s="85"/>
      <c r="P484" s="85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</row>
    <row r="485" spans="1:28" ht="15.75" customHeight="1">
      <c r="A485" s="86"/>
      <c r="B485" s="79"/>
      <c r="C485" s="82"/>
      <c r="D485" s="81"/>
      <c r="E485" s="82"/>
      <c r="F485" s="81"/>
      <c r="G485" s="79"/>
      <c r="H485" s="83"/>
      <c r="I485" s="79"/>
      <c r="J485" s="79"/>
      <c r="K485" s="79"/>
      <c r="L485" s="84"/>
      <c r="M485" s="84"/>
      <c r="N485" s="79"/>
      <c r="O485" s="85"/>
      <c r="P485" s="85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</row>
    <row r="486" spans="1:28" ht="15.75" customHeight="1">
      <c r="A486" s="86"/>
      <c r="B486" s="79"/>
      <c r="C486" s="82"/>
      <c r="D486" s="81"/>
      <c r="E486" s="82"/>
      <c r="F486" s="81"/>
      <c r="G486" s="79"/>
      <c r="H486" s="83"/>
      <c r="I486" s="79"/>
      <c r="J486" s="79"/>
      <c r="K486" s="79"/>
      <c r="L486" s="84"/>
      <c r="M486" s="84"/>
      <c r="N486" s="79"/>
      <c r="O486" s="85"/>
      <c r="P486" s="85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</row>
    <row r="487" spans="1:28" ht="15.75" customHeight="1">
      <c r="A487" s="86"/>
      <c r="B487" s="79"/>
      <c r="C487" s="82"/>
      <c r="D487" s="81"/>
      <c r="E487" s="82"/>
      <c r="F487" s="81"/>
      <c r="G487" s="79"/>
      <c r="H487" s="83"/>
      <c r="I487" s="79"/>
      <c r="J487" s="79"/>
      <c r="K487" s="79"/>
      <c r="L487" s="84"/>
      <c r="M487" s="84"/>
      <c r="N487" s="79"/>
      <c r="O487" s="85"/>
      <c r="P487" s="85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</row>
    <row r="488" spans="1:28" ht="15.75" customHeight="1">
      <c r="A488" s="86"/>
      <c r="B488" s="79"/>
      <c r="C488" s="82"/>
      <c r="D488" s="81"/>
      <c r="E488" s="82"/>
      <c r="F488" s="81"/>
      <c r="G488" s="79"/>
      <c r="H488" s="83"/>
      <c r="I488" s="79"/>
      <c r="J488" s="79"/>
      <c r="K488" s="79"/>
      <c r="L488" s="84"/>
      <c r="M488" s="84"/>
      <c r="N488" s="79"/>
      <c r="O488" s="85"/>
      <c r="P488" s="85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</row>
    <row r="489" spans="1:28" ht="15.75" customHeight="1">
      <c r="A489" s="86"/>
      <c r="B489" s="79"/>
      <c r="C489" s="82"/>
      <c r="D489" s="81"/>
      <c r="E489" s="82"/>
      <c r="F489" s="81"/>
      <c r="G489" s="79"/>
      <c r="H489" s="83"/>
      <c r="I489" s="79"/>
      <c r="J489" s="79"/>
      <c r="K489" s="79"/>
      <c r="L489" s="84"/>
      <c r="M489" s="84"/>
      <c r="N489" s="79"/>
      <c r="O489" s="85"/>
      <c r="P489" s="85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</row>
    <row r="490" spans="1:28" ht="15.75" customHeight="1">
      <c r="A490" s="86"/>
      <c r="B490" s="79"/>
      <c r="C490" s="82"/>
      <c r="D490" s="81"/>
      <c r="E490" s="82"/>
      <c r="F490" s="81"/>
      <c r="G490" s="79"/>
      <c r="H490" s="83"/>
      <c r="I490" s="79"/>
      <c r="J490" s="79"/>
      <c r="K490" s="79"/>
      <c r="L490" s="84"/>
      <c r="M490" s="84"/>
      <c r="N490" s="79"/>
      <c r="O490" s="85"/>
      <c r="P490" s="85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</row>
    <row r="491" spans="1:28" ht="15.75" customHeight="1">
      <c r="A491" s="86"/>
      <c r="B491" s="79"/>
      <c r="C491" s="82"/>
      <c r="D491" s="81"/>
      <c r="E491" s="82"/>
      <c r="F491" s="81"/>
      <c r="G491" s="79"/>
      <c r="H491" s="83"/>
      <c r="I491" s="79"/>
      <c r="J491" s="79"/>
      <c r="K491" s="79"/>
      <c r="L491" s="84"/>
      <c r="M491" s="84"/>
      <c r="N491" s="79"/>
      <c r="O491" s="85"/>
      <c r="P491" s="85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</row>
    <row r="492" spans="1:28" ht="15.75" customHeight="1">
      <c r="A492" s="86"/>
      <c r="B492" s="79"/>
      <c r="C492" s="82"/>
      <c r="D492" s="81"/>
      <c r="E492" s="82"/>
      <c r="F492" s="81"/>
      <c r="G492" s="79"/>
      <c r="H492" s="83"/>
      <c r="I492" s="79"/>
      <c r="J492" s="79"/>
      <c r="K492" s="79"/>
      <c r="L492" s="84"/>
      <c r="M492" s="84"/>
      <c r="N492" s="79"/>
      <c r="O492" s="85"/>
      <c r="P492" s="85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</row>
    <row r="493" spans="1:28" ht="15.75" customHeight="1">
      <c r="A493" s="86"/>
      <c r="B493" s="79"/>
      <c r="C493" s="82"/>
      <c r="D493" s="81"/>
      <c r="E493" s="82"/>
      <c r="F493" s="81"/>
      <c r="G493" s="79"/>
      <c r="H493" s="83"/>
      <c r="I493" s="79"/>
      <c r="J493" s="79"/>
      <c r="K493" s="79"/>
      <c r="L493" s="84"/>
      <c r="M493" s="84"/>
      <c r="N493" s="79"/>
      <c r="O493" s="85"/>
      <c r="P493" s="85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</row>
    <row r="494" spans="1:28" ht="15.75" customHeight="1">
      <c r="A494" s="86"/>
      <c r="B494" s="79"/>
      <c r="C494" s="82"/>
      <c r="D494" s="81"/>
      <c r="E494" s="82"/>
      <c r="F494" s="81"/>
      <c r="G494" s="79"/>
      <c r="H494" s="83"/>
      <c r="I494" s="79"/>
      <c r="J494" s="79"/>
      <c r="K494" s="79"/>
      <c r="L494" s="84"/>
      <c r="M494" s="84"/>
      <c r="N494" s="79"/>
      <c r="O494" s="85"/>
      <c r="P494" s="85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</row>
    <row r="495" spans="1:28" ht="15.75" customHeight="1">
      <c r="A495" s="86"/>
      <c r="B495" s="79"/>
      <c r="C495" s="82"/>
      <c r="D495" s="81"/>
      <c r="E495" s="82"/>
      <c r="F495" s="81"/>
      <c r="G495" s="79"/>
      <c r="H495" s="83"/>
      <c r="I495" s="79"/>
      <c r="J495" s="79"/>
      <c r="K495" s="79"/>
      <c r="L495" s="84"/>
      <c r="M495" s="84"/>
      <c r="N495" s="79"/>
      <c r="O495" s="85"/>
      <c r="P495" s="85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</row>
    <row r="496" spans="1:28" ht="15.75" customHeight="1">
      <c r="A496" s="86"/>
      <c r="B496" s="79"/>
      <c r="C496" s="82"/>
      <c r="D496" s="81"/>
      <c r="E496" s="82"/>
      <c r="F496" s="81"/>
      <c r="G496" s="79"/>
      <c r="H496" s="83"/>
      <c r="I496" s="79"/>
      <c r="J496" s="79"/>
      <c r="K496" s="79"/>
      <c r="L496" s="84"/>
      <c r="M496" s="84"/>
      <c r="N496" s="79"/>
      <c r="O496" s="85"/>
      <c r="P496" s="85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</row>
    <row r="497" spans="1:28" ht="15.75" customHeight="1">
      <c r="A497" s="86"/>
      <c r="B497" s="79"/>
      <c r="C497" s="82"/>
      <c r="D497" s="81"/>
      <c r="E497" s="82"/>
      <c r="F497" s="81"/>
      <c r="G497" s="79"/>
      <c r="H497" s="83"/>
      <c r="I497" s="79"/>
      <c r="J497" s="79"/>
      <c r="K497" s="79"/>
      <c r="L497" s="84"/>
      <c r="M497" s="84"/>
      <c r="N497" s="79"/>
      <c r="O497" s="85"/>
      <c r="P497" s="85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</row>
    <row r="498" spans="1:28" ht="15.75" customHeight="1">
      <c r="A498" s="86"/>
      <c r="B498" s="79"/>
      <c r="C498" s="82"/>
      <c r="D498" s="81"/>
      <c r="E498" s="82"/>
      <c r="F498" s="81"/>
      <c r="G498" s="79"/>
      <c r="H498" s="83"/>
      <c r="I498" s="79"/>
      <c r="J498" s="79"/>
      <c r="K498" s="79"/>
      <c r="L498" s="84"/>
      <c r="M498" s="84"/>
      <c r="N498" s="79"/>
      <c r="O498" s="85"/>
      <c r="P498" s="85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</row>
    <row r="499" spans="1:28" ht="15.75" customHeight="1">
      <c r="A499" s="86"/>
      <c r="B499" s="79"/>
      <c r="C499" s="82"/>
      <c r="D499" s="81"/>
      <c r="E499" s="82"/>
      <c r="F499" s="81"/>
      <c r="G499" s="79"/>
      <c r="H499" s="83"/>
      <c r="I499" s="79"/>
      <c r="J499" s="79"/>
      <c r="K499" s="79"/>
      <c r="L499" s="84"/>
      <c r="M499" s="84"/>
      <c r="N499" s="79"/>
      <c r="O499" s="85"/>
      <c r="P499" s="85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</row>
    <row r="500" spans="1:28" ht="15.75" customHeight="1">
      <c r="A500" s="86"/>
      <c r="B500" s="79"/>
      <c r="C500" s="82"/>
      <c r="D500" s="81"/>
      <c r="E500" s="82"/>
      <c r="F500" s="81"/>
      <c r="G500" s="79"/>
      <c r="H500" s="83"/>
      <c r="I500" s="79"/>
      <c r="J500" s="79"/>
      <c r="K500" s="79"/>
      <c r="L500" s="84"/>
      <c r="M500" s="84"/>
      <c r="N500" s="79"/>
      <c r="O500" s="85"/>
      <c r="P500" s="85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</row>
    <row r="501" spans="1:28" ht="15.75" customHeight="1">
      <c r="A501" s="86"/>
      <c r="B501" s="79"/>
      <c r="C501" s="82"/>
      <c r="D501" s="81"/>
      <c r="E501" s="82"/>
      <c r="F501" s="81"/>
      <c r="G501" s="79"/>
      <c r="H501" s="83"/>
      <c r="I501" s="79"/>
      <c r="J501" s="79"/>
      <c r="K501" s="79"/>
      <c r="L501" s="84"/>
      <c r="M501" s="84"/>
      <c r="N501" s="79"/>
      <c r="O501" s="85"/>
      <c r="P501" s="85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</row>
    <row r="502" spans="1:28" ht="15.75" customHeight="1">
      <c r="A502" s="86"/>
      <c r="B502" s="79"/>
      <c r="C502" s="82"/>
      <c r="D502" s="81"/>
      <c r="E502" s="82"/>
      <c r="F502" s="81"/>
      <c r="G502" s="79"/>
      <c r="H502" s="83"/>
      <c r="I502" s="79"/>
      <c r="J502" s="79"/>
      <c r="K502" s="79"/>
      <c r="L502" s="84"/>
      <c r="M502" s="84"/>
      <c r="N502" s="79"/>
      <c r="O502" s="85"/>
      <c r="P502" s="85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</row>
    <row r="503" spans="1:28" ht="15.75" customHeight="1">
      <c r="A503" s="86"/>
      <c r="B503" s="79"/>
      <c r="C503" s="82"/>
      <c r="D503" s="81"/>
      <c r="E503" s="82"/>
      <c r="F503" s="81"/>
      <c r="G503" s="79"/>
      <c r="H503" s="83"/>
      <c r="I503" s="79"/>
      <c r="J503" s="79"/>
      <c r="K503" s="79"/>
      <c r="L503" s="84"/>
      <c r="M503" s="84"/>
      <c r="N503" s="79"/>
      <c r="O503" s="85"/>
      <c r="P503" s="85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</row>
    <row r="504" spans="1:28" ht="15.75" customHeight="1">
      <c r="A504" s="86"/>
      <c r="B504" s="79"/>
      <c r="C504" s="82"/>
      <c r="D504" s="81"/>
      <c r="E504" s="82"/>
      <c r="F504" s="81"/>
      <c r="G504" s="79"/>
      <c r="H504" s="83"/>
      <c r="I504" s="79"/>
      <c r="J504" s="79"/>
      <c r="K504" s="79"/>
      <c r="L504" s="84"/>
      <c r="M504" s="84"/>
      <c r="N504" s="79"/>
      <c r="O504" s="85"/>
      <c r="P504" s="85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</row>
    <row r="505" spans="1:28" ht="15.75" customHeight="1">
      <c r="A505" s="86"/>
      <c r="B505" s="79"/>
      <c r="C505" s="82"/>
      <c r="D505" s="81"/>
      <c r="E505" s="82"/>
      <c r="F505" s="81"/>
      <c r="G505" s="79"/>
      <c r="H505" s="83"/>
      <c r="I505" s="79"/>
      <c r="J505" s="79"/>
      <c r="K505" s="79"/>
      <c r="L505" s="84"/>
      <c r="M505" s="84"/>
      <c r="N505" s="79"/>
      <c r="O505" s="85"/>
      <c r="P505" s="85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</row>
    <row r="506" spans="1:28" ht="15.75" customHeight="1">
      <c r="A506" s="86"/>
      <c r="B506" s="79"/>
      <c r="C506" s="82"/>
      <c r="D506" s="81"/>
      <c r="E506" s="82"/>
      <c r="F506" s="81"/>
      <c r="G506" s="79"/>
      <c r="H506" s="83"/>
      <c r="I506" s="79"/>
      <c r="J506" s="79"/>
      <c r="K506" s="79"/>
      <c r="L506" s="84"/>
      <c r="M506" s="84"/>
      <c r="N506" s="79"/>
      <c r="O506" s="85"/>
      <c r="P506" s="85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</row>
    <row r="507" spans="1:28" ht="15.75" customHeight="1">
      <c r="A507" s="86"/>
      <c r="B507" s="79"/>
      <c r="C507" s="82"/>
      <c r="D507" s="81"/>
      <c r="E507" s="82"/>
      <c r="F507" s="81"/>
      <c r="G507" s="79"/>
      <c r="H507" s="83"/>
      <c r="I507" s="79"/>
      <c r="J507" s="79"/>
      <c r="K507" s="79"/>
      <c r="L507" s="84"/>
      <c r="M507" s="84"/>
      <c r="N507" s="79"/>
      <c r="O507" s="85"/>
      <c r="P507" s="85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</row>
    <row r="508" spans="1:28" ht="15.75" customHeight="1">
      <c r="A508" s="86"/>
      <c r="B508" s="79"/>
      <c r="C508" s="82"/>
      <c r="D508" s="81"/>
      <c r="E508" s="82"/>
      <c r="F508" s="81"/>
      <c r="G508" s="79"/>
      <c r="H508" s="83"/>
      <c r="I508" s="79"/>
      <c r="J508" s="79"/>
      <c r="K508" s="79"/>
      <c r="L508" s="84"/>
      <c r="M508" s="84"/>
      <c r="N508" s="79"/>
      <c r="O508" s="85"/>
      <c r="P508" s="85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</row>
    <row r="509" spans="1:28" ht="15.75" customHeight="1">
      <c r="A509" s="86"/>
      <c r="B509" s="79"/>
      <c r="C509" s="82"/>
      <c r="D509" s="81"/>
      <c r="E509" s="82"/>
      <c r="F509" s="81"/>
      <c r="G509" s="79"/>
      <c r="H509" s="83"/>
      <c r="I509" s="79"/>
      <c r="J509" s="79"/>
      <c r="K509" s="79"/>
      <c r="L509" s="84"/>
      <c r="M509" s="84"/>
      <c r="N509" s="79"/>
      <c r="O509" s="85"/>
      <c r="P509" s="85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</row>
    <row r="510" spans="1:28" ht="15.75" customHeight="1">
      <c r="A510" s="86"/>
      <c r="B510" s="79"/>
      <c r="C510" s="82"/>
      <c r="D510" s="81"/>
      <c r="E510" s="82"/>
      <c r="F510" s="81"/>
      <c r="G510" s="79"/>
      <c r="H510" s="83"/>
      <c r="I510" s="79"/>
      <c r="J510" s="79"/>
      <c r="K510" s="79"/>
      <c r="L510" s="84"/>
      <c r="M510" s="84"/>
      <c r="N510" s="79"/>
      <c r="O510" s="85"/>
      <c r="P510" s="85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</row>
    <row r="511" spans="1:28" ht="15.75" customHeight="1">
      <c r="A511" s="86"/>
      <c r="B511" s="79"/>
      <c r="C511" s="82"/>
      <c r="D511" s="81"/>
      <c r="E511" s="82"/>
      <c r="F511" s="81"/>
      <c r="G511" s="79"/>
      <c r="H511" s="83"/>
      <c r="I511" s="79"/>
      <c r="J511" s="79"/>
      <c r="K511" s="79"/>
      <c r="L511" s="84"/>
      <c r="M511" s="84"/>
      <c r="N511" s="79"/>
      <c r="O511" s="85"/>
      <c r="P511" s="85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</row>
    <row r="512" spans="1:28" ht="15.75" customHeight="1">
      <c r="A512" s="86"/>
      <c r="B512" s="79"/>
      <c r="C512" s="82"/>
      <c r="D512" s="81"/>
      <c r="E512" s="82"/>
      <c r="F512" s="81"/>
      <c r="G512" s="79"/>
      <c r="H512" s="83"/>
      <c r="I512" s="79"/>
      <c r="J512" s="79"/>
      <c r="K512" s="79"/>
      <c r="L512" s="84"/>
      <c r="M512" s="84"/>
      <c r="N512" s="79"/>
      <c r="O512" s="85"/>
      <c r="P512" s="85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</row>
    <row r="513" spans="1:28" ht="15.75" customHeight="1">
      <c r="A513" s="86"/>
      <c r="B513" s="79"/>
      <c r="C513" s="82"/>
      <c r="D513" s="81"/>
      <c r="E513" s="82"/>
      <c r="F513" s="81"/>
      <c r="G513" s="79"/>
      <c r="H513" s="83"/>
      <c r="I513" s="79"/>
      <c r="J513" s="79"/>
      <c r="K513" s="79"/>
      <c r="L513" s="84"/>
      <c r="M513" s="84"/>
      <c r="N513" s="79"/>
      <c r="O513" s="85"/>
      <c r="P513" s="85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</row>
    <row r="514" spans="1:28" ht="15.75" customHeight="1">
      <c r="A514" s="86"/>
      <c r="B514" s="79"/>
      <c r="C514" s="82"/>
      <c r="D514" s="81"/>
      <c r="E514" s="82"/>
      <c r="F514" s="81"/>
      <c r="G514" s="79"/>
      <c r="H514" s="83"/>
      <c r="I514" s="79"/>
      <c r="J514" s="79"/>
      <c r="K514" s="79"/>
      <c r="L514" s="84"/>
      <c r="M514" s="84"/>
      <c r="N514" s="79"/>
      <c r="O514" s="85"/>
      <c r="P514" s="85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</row>
    <row r="515" spans="1:28" ht="15.75" customHeight="1">
      <c r="A515" s="86"/>
      <c r="B515" s="79"/>
      <c r="C515" s="82"/>
      <c r="D515" s="81"/>
      <c r="E515" s="82"/>
      <c r="F515" s="81"/>
      <c r="G515" s="79"/>
      <c r="H515" s="83"/>
      <c r="I515" s="79"/>
      <c r="J515" s="79"/>
      <c r="K515" s="79"/>
      <c r="L515" s="84"/>
      <c r="M515" s="84"/>
      <c r="N515" s="79"/>
      <c r="O515" s="85"/>
      <c r="P515" s="85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</row>
    <row r="516" spans="1:28" ht="15.75" customHeight="1">
      <c r="A516" s="86"/>
      <c r="B516" s="79"/>
      <c r="C516" s="82"/>
      <c r="D516" s="81"/>
      <c r="E516" s="82"/>
      <c r="F516" s="81"/>
      <c r="G516" s="79"/>
      <c r="H516" s="83"/>
      <c r="I516" s="79"/>
      <c r="J516" s="79"/>
      <c r="K516" s="79"/>
      <c r="L516" s="84"/>
      <c r="M516" s="84"/>
      <c r="N516" s="79"/>
      <c r="O516" s="85"/>
      <c r="P516" s="85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</row>
    <row r="517" spans="1:28" ht="15.75" customHeight="1">
      <c r="A517" s="86"/>
      <c r="B517" s="79"/>
      <c r="C517" s="82"/>
      <c r="D517" s="81"/>
      <c r="E517" s="82"/>
      <c r="F517" s="81"/>
      <c r="G517" s="79"/>
      <c r="H517" s="83"/>
      <c r="I517" s="79"/>
      <c r="J517" s="79"/>
      <c r="K517" s="79"/>
      <c r="L517" s="84"/>
      <c r="M517" s="84"/>
      <c r="N517" s="79"/>
      <c r="O517" s="85"/>
      <c r="P517" s="85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</row>
    <row r="518" spans="1:28" ht="15.75" customHeight="1">
      <c r="A518" s="86"/>
      <c r="B518" s="79"/>
      <c r="C518" s="82"/>
      <c r="D518" s="81"/>
      <c r="E518" s="82"/>
      <c r="F518" s="81"/>
      <c r="G518" s="79"/>
      <c r="H518" s="83"/>
      <c r="I518" s="79"/>
      <c r="J518" s="79"/>
      <c r="K518" s="79"/>
      <c r="L518" s="84"/>
      <c r="M518" s="84"/>
      <c r="N518" s="79"/>
      <c r="O518" s="85"/>
      <c r="P518" s="85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</row>
    <row r="519" spans="1:28" ht="15.75" customHeight="1">
      <c r="A519" s="86"/>
      <c r="B519" s="79"/>
      <c r="C519" s="82"/>
      <c r="D519" s="81"/>
      <c r="E519" s="82"/>
      <c r="F519" s="81"/>
      <c r="G519" s="79"/>
      <c r="H519" s="83"/>
      <c r="I519" s="79"/>
      <c r="J519" s="79"/>
      <c r="K519" s="79"/>
      <c r="L519" s="84"/>
      <c r="M519" s="84"/>
      <c r="N519" s="79"/>
      <c r="O519" s="85"/>
      <c r="P519" s="85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</row>
    <row r="520" spans="1:28" ht="15.75" customHeight="1">
      <c r="A520" s="86"/>
      <c r="B520" s="79"/>
      <c r="C520" s="82"/>
      <c r="D520" s="81"/>
      <c r="E520" s="82"/>
      <c r="F520" s="81"/>
      <c r="G520" s="79"/>
      <c r="H520" s="83"/>
      <c r="I520" s="79"/>
      <c r="J520" s="79"/>
      <c r="K520" s="79"/>
      <c r="L520" s="84"/>
      <c r="M520" s="84"/>
      <c r="N520" s="79"/>
      <c r="O520" s="85"/>
      <c r="P520" s="85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</row>
    <row r="521" spans="1:28" ht="15.75" customHeight="1">
      <c r="A521" s="86"/>
      <c r="B521" s="79"/>
      <c r="C521" s="82"/>
      <c r="D521" s="81"/>
      <c r="E521" s="82"/>
      <c r="F521" s="81"/>
      <c r="G521" s="79"/>
      <c r="H521" s="83"/>
      <c r="I521" s="79"/>
      <c r="J521" s="79"/>
      <c r="K521" s="79"/>
      <c r="L521" s="84"/>
      <c r="M521" s="84"/>
      <c r="N521" s="79"/>
      <c r="O521" s="85"/>
      <c r="P521" s="85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</row>
    <row r="522" spans="1:28" ht="15.75" customHeight="1">
      <c r="A522" s="86"/>
      <c r="B522" s="79"/>
      <c r="C522" s="82"/>
      <c r="D522" s="81"/>
      <c r="E522" s="82"/>
      <c r="F522" s="81"/>
      <c r="G522" s="79"/>
      <c r="H522" s="83"/>
      <c r="I522" s="79"/>
      <c r="J522" s="79"/>
      <c r="K522" s="79"/>
      <c r="L522" s="84"/>
      <c r="M522" s="84"/>
      <c r="N522" s="79"/>
      <c r="O522" s="85"/>
      <c r="P522" s="85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</row>
    <row r="523" spans="1:28" ht="15.75" customHeight="1">
      <c r="A523" s="86"/>
      <c r="B523" s="79"/>
      <c r="C523" s="82"/>
      <c r="D523" s="81"/>
      <c r="E523" s="82"/>
      <c r="F523" s="81"/>
      <c r="G523" s="79"/>
      <c r="H523" s="83"/>
      <c r="I523" s="79"/>
      <c r="J523" s="79"/>
      <c r="K523" s="79"/>
      <c r="L523" s="84"/>
      <c r="M523" s="84"/>
      <c r="N523" s="79"/>
      <c r="O523" s="85"/>
      <c r="P523" s="85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</row>
    <row r="524" spans="1:28" ht="15.75" customHeight="1">
      <c r="A524" s="86"/>
      <c r="B524" s="79"/>
      <c r="C524" s="82"/>
      <c r="D524" s="81"/>
      <c r="E524" s="82"/>
      <c r="F524" s="81"/>
      <c r="G524" s="79"/>
      <c r="H524" s="83"/>
      <c r="I524" s="79"/>
      <c r="J524" s="79"/>
      <c r="K524" s="79"/>
      <c r="L524" s="84"/>
      <c r="M524" s="84"/>
      <c r="N524" s="79"/>
      <c r="O524" s="85"/>
      <c r="P524" s="85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</row>
    <row r="525" spans="1:28" ht="15.75" customHeight="1">
      <c r="A525" s="86"/>
      <c r="B525" s="79"/>
      <c r="C525" s="82"/>
      <c r="D525" s="81"/>
      <c r="E525" s="82"/>
      <c r="F525" s="81"/>
      <c r="G525" s="79"/>
      <c r="H525" s="83"/>
      <c r="I525" s="79"/>
      <c r="J525" s="79"/>
      <c r="K525" s="79"/>
      <c r="L525" s="84"/>
      <c r="M525" s="84"/>
      <c r="N525" s="79"/>
      <c r="O525" s="85"/>
      <c r="P525" s="85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</row>
    <row r="526" spans="1:28" ht="15.75" customHeight="1">
      <c r="A526" s="86"/>
      <c r="B526" s="79"/>
      <c r="C526" s="82"/>
      <c r="D526" s="81"/>
      <c r="E526" s="82"/>
      <c r="F526" s="81"/>
      <c r="G526" s="79"/>
      <c r="H526" s="83"/>
      <c r="I526" s="79"/>
      <c r="J526" s="79"/>
      <c r="K526" s="79"/>
      <c r="L526" s="84"/>
      <c r="M526" s="84"/>
      <c r="N526" s="79"/>
      <c r="O526" s="85"/>
      <c r="P526" s="85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</row>
    <row r="527" spans="1:28" ht="15.75" customHeight="1">
      <c r="A527" s="86"/>
      <c r="B527" s="79"/>
      <c r="C527" s="82"/>
      <c r="D527" s="81"/>
      <c r="E527" s="82"/>
      <c r="F527" s="81"/>
      <c r="G527" s="79"/>
      <c r="H527" s="83"/>
      <c r="I527" s="79"/>
      <c r="J527" s="79"/>
      <c r="K527" s="79"/>
      <c r="L527" s="84"/>
      <c r="M527" s="84"/>
      <c r="N527" s="79"/>
      <c r="O527" s="85"/>
      <c r="P527" s="85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</row>
    <row r="528" spans="1:28" ht="15.75" customHeight="1">
      <c r="A528" s="86"/>
      <c r="B528" s="79"/>
      <c r="C528" s="82"/>
      <c r="D528" s="81"/>
      <c r="E528" s="82"/>
      <c r="F528" s="81"/>
      <c r="G528" s="79"/>
      <c r="H528" s="83"/>
      <c r="I528" s="79"/>
      <c r="J528" s="79"/>
      <c r="K528" s="79"/>
      <c r="L528" s="84"/>
      <c r="M528" s="84"/>
      <c r="N528" s="79"/>
      <c r="O528" s="85"/>
      <c r="P528" s="85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</row>
    <row r="529" spans="1:28" ht="15.75" customHeight="1">
      <c r="A529" s="86"/>
      <c r="B529" s="79"/>
      <c r="C529" s="82"/>
      <c r="D529" s="81"/>
      <c r="E529" s="82"/>
      <c r="F529" s="81"/>
      <c r="G529" s="79"/>
      <c r="H529" s="83"/>
      <c r="I529" s="79"/>
      <c r="J529" s="79"/>
      <c r="K529" s="79"/>
      <c r="L529" s="84"/>
      <c r="M529" s="84"/>
      <c r="N529" s="79"/>
      <c r="O529" s="85"/>
      <c r="P529" s="85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</row>
    <row r="530" spans="1:28" ht="15.75" customHeight="1">
      <c r="A530" s="86"/>
      <c r="B530" s="79"/>
      <c r="C530" s="82"/>
      <c r="D530" s="81"/>
      <c r="E530" s="82"/>
      <c r="F530" s="81"/>
      <c r="G530" s="79"/>
      <c r="H530" s="83"/>
      <c r="I530" s="79"/>
      <c r="J530" s="79"/>
      <c r="K530" s="79"/>
      <c r="L530" s="84"/>
      <c r="M530" s="84"/>
      <c r="N530" s="79"/>
      <c r="O530" s="85"/>
      <c r="P530" s="85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</row>
    <row r="531" spans="1:28" ht="15.75" customHeight="1">
      <c r="A531" s="86"/>
      <c r="B531" s="79"/>
      <c r="C531" s="82"/>
      <c r="D531" s="81"/>
      <c r="E531" s="82"/>
      <c r="F531" s="81"/>
      <c r="G531" s="79"/>
      <c r="H531" s="83"/>
      <c r="I531" s="79"/>
      <c r="J531" s="79"/>
      <c r="K531" s="79"/>
      <c r="L531" s="84"/>
      <c r="M531" s="84"/>
      <c r="N531" s="79"/>
      <c r="O531" s="85"/>
      <c r="P531" s="85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</row>
    <row r="532" spans="1:28" ht="15.75" customHeight="1">
      <c r="A532" s="86"/>
      <c r="B532" s="79"/>
      <c r="C532" s="82"/>
      <c r="D532" s="81"/>
      <c r="E532" s="82"/>
      <c r="F532" s="81"/>
      <c r="G532" s="79"/>
      <c r="H532" s="83"/>
      <c r="I532" s="79"/>
      <c r="J532" s="79"/>
      <c r="K532" s="79"/>
      <c r="L532" s="84"/>
      <c r="M532" s="84"/>
      <c r="N532" s="79"/>
      <c r="O532" s="85"/>
      <c r="P532" s="85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</row>
    <row r="533" spans="1:28" ht="15.75" customHeight="1">
      <c r="A533" s="86"/>
      <c r="B533" s="79"/>
      <c r="C533" s="82"/>
      <c r="D533" s="81"/>
      <c r="E533" s="82"/>
      <c r="F533" s="81"/>
      <c r="G533" s="79"/>
      <c r="H533" s="83"/>
      <c r="I533" s="79"/>
      <c r="J533" s="79"/>
      <c r="K533" s="79"/>
      <c r="L533" s="84"/>
      <c r="M533" s="84"/>
      <c r="N533" s="79"/>
      <c r="O533" s="85"/>
      <c r="P533" s="85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</row>
    <row r="534" spans="1:28" ht="15.75" customHeight="1">
      <c r="A534" s="86"/>
      <c r="B534" s="79"/>
      <c r="C534" s="82"/>
      <c r="D534" s="81"/>
      <c r="E534" s="82"/>
      <c r="F534" s="81"/>
      <c r="G534" s="79"/>
      <c r="H534" s="83"/>
      <c r="I534" s="79"/>
      <c r="J534" s="79"/>
      <c r="K534" s="79"/>
      <c r="L534" s="84"/>
      <c r="M534" s="84"/>
      <c r="N534" s="79"/>
      <c r="O534" s="85"/>
      <c r="P534" s="85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</row>
    <row r="535" spans="1:28" ht="15.75" customHeight="1">
      <c r="A535" s="86"/>
      <c r="B535" s="79"/>
      <c r="C535" s="82"/>
      <c r="D535" s="81"/>
      <c r="E535" s="82"/>
      <c r="F535" s="81"/>
      <c r="G535" s="79"/>
      <c r="H535" s="83"/>
      <c r="I535" s="79"/>
      <c r="J535" s="79"/>
      <c r="K535" s="79"/>
      <c r="L535" s="84"/>
      <c r="M535" s="84"/>
      <c r="N535" s="79"/>
      <c r="O535" s="85"/>
      <c r="P535" s="85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</row>
    <row r="536" spans="1:28" ht="15.75" customHeight="1">
      <c r="A536" s="86"/>
      <c r="B536" s="79"/>
      <c r="C536" s="82"/>
      <c r="D536" s="81"/>
      <c r="E536" s="82"/>
      <c r="F536" s="81"/>
      <c r="G536" s="79"/>
      <c r="H536" s="83"/>
      <c r="I536" s="79"/>
      <c r="J536" s="79"/>
      <c r="K536" s="79"/>
      <c r="L536" s="84"/>
      <c r="M536" s="84"/>
      <c r="N536" s="79"/>
      <c r="O536" s="85"/>
      <c r="P536" s="85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</row>
    <row r="537" spans="1:28" ht="15.75" customHeight="1">
      <c r="A537" s="86"/>
      <c r="B537" s="79"/>
      <c r="C537" s="82"/>
      <c r="D537" s="81"/>
      <c r="E537" s="82"/>
      <c r="F537" s="81"/>
      <c r="G537" s="79"/>
      <c r="H537" s="83"/>
      <c r="I537" s="79"/>
      <c r="J537" s="79"/>
      <c r="K537" s="79"/>
      <c r="L537" s="84"/>
      <c r="M537" s="84"/>
      <c r="N537" s="79"/>
      <c r="O537" s="85"/>
      <c r="P537" s="85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</row>
    <row r="538" spans="1:28" ht="15.75" customHeight="1">
      <c r="A538" s="86"/>
      <c r="B538" s="79"/>
      <c r="C538" s="82"/>
      <c r="D538" s="81"/>
      <c r="E538" s="82"/>
      <c r="F538" s="81"/>
      <c r="G538" s="79"/>
      <c r="H538" s="83"/>
      <c r="I538" s="79"/>
      <c r="J538" s="79"/>
      <c r="K538" s="79"/>
      <c r="L538" s="84"/>
      <c r="M538" s="84"/>
      <c r="N538" s="79"/>
      <c r="O538" s="85"/>
      <c r="P538" s="85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</row>
    <row r="539" spans="1:28" ht="15.75" customHeight="1">
      <c r="A539" s="86"/>
      <c r="B539" s="79"/>
      <c r="C539" s="82"/>
      <c r="D539" s="81"/>
      <c r="E539" s="82"/>
      <c r="F539" s="81"/>
      <c r="G539" s="79"/>
      <c r="H539" s="83"/>
      <c r="I539" s="79"/>
      <c r="J539" s="79"/>
      <c r="K539" s="79"/>
      <c r="L539" s="84"/>
      <c r="M539" s="84"/>
      <c r="N539" s="79"/>
      <c r="O539" s="85"/>
      <c r="P539" s="85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</row>
    <row r="540" spans="1:28" ht="15.75" customHeight="1">
      <c r="A540" s="86"/>
      <c r="B540" s="79"/>
      <c r="C540" s="82"/>
      <c r="D540" s="81"/>
      <c r="E540" s="82"/>
      <c r="F540" s="81"/>
      <c r="G540" s="79"/>
      <c r="H540" s="83"/>
      <c r="I540" s="79"/>
      <c r="J540" s="79"/>
      <c r="K540" s="79"/>
      <c r="L540" s="84"/>
      <c r="M540" s="84"/>
      <c r="N540" s="79"/>
      <c r="O540" s="85"/>
      <c r="P540" s="85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</row>
    <row r="541" spans="1:28" ht="15.75" customHeight="1">
      <c r="A541" s="86"/>
      <c r="B541" s="79"/>
      <c r="C541" s="82"/>
      <c r="D541" s="81"/>
      <c r="E541" s="82"/>
      <c r="F541" s="81"/>
      <c r="G541" s="79"/>
      <c r="H541" s="83"/>
      <c r="I541" s="79"/>
      <c r="J541" s="79"/>
      <c r="K541" s="79"/>
      <c r="L541" s="84"/>
      <c r="M541" s="84"/>
      <c r="N541" s="79"/>
      <c r="O541" s="85"/>
      <c r="P541" s="85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</row>
    <row r="542" spans="1:28" ht="15.75" customHeight="1">
      <c r="A542" s="86"/>
      <c r="B542" s="79"/>
      <c r="C542" s="82"/>
      <c r="D542" s="81"/>
      <c r="E542" s="82"/>
      <c r="F542" s="81"/>
      <c r="G542" s="79"/>
      <c r="H542" s="83"/>
      <c r="I542" s="79"/>
      <c r="J542" s="79"/>
      <c r="K542" s="79"/>
      <c r="L542" s="84"/>
      <c r="M542" s="84"/>
      <c r="N542" s="79"/>
      <c r="O542" s="85"/>
      <c r="P542" s="85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</row>
    <row r="543" spans="1:28" ht="15.75" customHeight="1">
      <c r="A543" s="86"/>
      <c r="B543" s="79"/>
      <c r="C543" s="82"/>
      <c r="D543" s="81"/>
      <c r="E543" s="82"/>
      <c r="F543" s="81"/>
      <c r="G543" s="79"/>
      <c r="H543" s="83"/>
      <c r="I543" s="79"/>
      <c r="J543" s="79"/>
      <c r="K543" s="79"/>
      <c r="L543" s="84"/>
      <c r="M543" s="84"/>
      <c r="N543" s="79"/>
      <c r="O543" s="85"/>
      <c r="P543" s="85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</row>
    <row r="544" spans="1:28" ht="15.75" customHeight="1">
      <c r="A544" s="86"/>
      <c r="B544" s="79"/>
      <c r="C544" s="82"/>
      <c r="D544" s="81"/>
      <c r="E544" s="82"/>
      <c r="F544" s="81"/>
      <c r="G544" s="79"/>
      <c r="H544" s="83"/>
      <c r="I544" s="79"/>
      <c r="J544" s="79"/>
      <c r="K544" s="79"/>
      <c r="L544" s="84"/>
      <c r="M544" s="84"/>
      <c r="N544" s="79"/>
      <c r="O544" s="85"/>
      <c r="P544" s="85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</row>
    <row r="545" spans="1:28" ht="15.75" customHeight="1">
      <c r="A545" s="86"/>
      <c r="B545" s="79"/>
      <c r="C545" s="82"/>
      <c r="D545" s="81"/>
      <c r="E545" s="82"/>
      <c r="F545" s="81"/>
      <c r="G545" s="79"/>
      <c r="H545" s="83"/>
      <c r="I545" s="79"/>
      <c r="J545" s="79"/>
      <c r="K545" s="79"/>
      <c r="L545" s="84"/>
      <c r="M545" s="84"/>
      <c r="N545" s="79"/>
      <c r="O545" s="85"/>
      <c r="P545" s="85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</row>
    <row r="546" spans="1:28" ht="15.75" customHeight="1">
      <c r="A546" s="86"/>
      <c r="B546" s="79"/>
      <c r="C546" s="82"/>
      <c r="D546" s="81"/>
      <c r="E546" s="82"/>
      <c r="F546" s="81"/>
      <c r="G546" s="79"/>
      <c r="H546" s="83"/>
      <c r="I546" s="79"/>
      <c r="J546" s="79"/>
      <c r="K546" s="79"/>
      <c r="L546" s="84"/>
      <c r="M546" s="84"/>
      <c r="N546" s="79"/>
      <c r="O546" s="85"/>
      <c r="P546" s="85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</row>
    <row r="547" spans="1:28" ht="15.75" customHeight="1">
      <c r="A547" s="86"/>
      <c r="B547" s="79"/>
      <c r="C547" s="82"/>
      <c r="D547" s="81"/>
      <c r="E547" s="82"/>
      <c r="F547" s="81"/>
      <c r="G547" s="79"/>
      <c r="H547" s="83"/>
      <c r="I547" s="79"/>
      <c r="J547" s="79"/>
      <c r="K547" s="79"/>
      <c r="L547" s="84"/>
      <c r="M547" s="84"/>
      <c r="N547" s="79"/>
      <c r="O547" s="85"/>
      <c r="P547" s="85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</row>
    <row r="548" spans="1:28" ht="15.75" customHeight="1">
      <c r="A548" s="86"/>
      <c r="B548" s="79"/>
      <c r="C548" s="82"/>
      <c r="D548" s="81"/>
      <c r="E548" s="82"/>
      <c r="F548" s="81"/>
      <c r="G548" s="79"/>
      <c r="H548" s="83"/>
      <c r="I548" s="79"/>
      <c r="J548" s="79"/>
      <c r="K548" s="79"/>
      <c r="L548" s="84"/>
      <c r="M548" s="84"/>
      <c r="N548" s="79"/>
      <c r="O548" s="85"/>
      <c r="P548" s="85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</row>
    <row r="549" spans="1:28" ht="15.75" customHeight="1">
      <c r="A549" s="86"/>
      <c r="B549" s="79"/>
      <c r="C549" s="82"/>
      <c r="D549" s="81"/>
      <c r="E549" s="82"/>
      <c r="F549" s="81"/>
      <c r="G549" s="79"/>
      <c r="H549" s="83"/>
      <c r="I549" s="79"/>
      <c r="J549" s="79"/>
      <c r="K549" s="79"/>
      <c r="L549" s="84"/>
      <c r="M549" s="84"/>
      <c r="N549" s="79"/>
      <c r="O549" s="85"/>
      <c r="P549" s="85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</row>
    <row r="550" spans="1:28" ht="15.75" customHeight="1">
      <c r="A550" s="86"/>
      <c r="B550" s="79"/>
      <c r="C550" s="82"/>
      <c r="D550" s="81"/>
      <c r="E550" s="82"/>
      <c r="F550" s="81"/>
      <c r="G550" s="79"/>
      <c r="H550" s="83"/>
      <c r="I550" s="79"/>
      <c r="J550" s="79"/>
      <c r="K550" s="79"/>
      <c r="L550" s="84"/>
      <c r="M550" s="84"/>
      <c r="N550" s="79"/>
      <c r="O550" s="85"/>
      <c r="P550" s="85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</row>
    <row r="551" spans="1:28" ht="15.75" customHeight="1">
      <c r="A551" s="86"/>
      <c r="B551" s="79"/>
      <c r="C551" s="82"/>
      <c r="D551" s="81"/>
      <c r="E551" s="82"/>
      <c r="F551" s="81"/>
      <c r="G551" s="79"/>
      <c r="H551" s="83"/>
      <c r="I551" s="79"/>
      <c r="J551" s="79"/>
      <c r="K551" s="79"/>
      <c r="L551" s="84"/>
      <c r="M551" s="84"/>
      <c r="N551" s="79"/>
      <c r="O551" s="85"/>
      <c r="P551" s="85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</row>
    <row r="552" spans="1:28" ht="15.75" customHeight="1">
      <c r="A552" s="86"/>
      <c r="B552" s="79"/>
      <c r="C552" s="82"/>
      <c r="D552" s="81"/>
      <c r="E552" s="82"/>
      <c r="F552" s="81"/>
      <c r="G552" s="79"/>
      <c r="H552" s="83"/>
      <c r="I552" s="79"/>
      <c r="J552" s="79"/>
      <c r="K552" s="79"/>
      <c r="L552" s="84"/>
      <c r="M552" s="84"/>
      <c r="N552" s="79"/>
      <c r="O552" s="85"/>
      <c r="P552" s="85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</row>
    <row r="553" spans="1:28" ht="15.75" customHeight="1">
      <c r="A553" s="86"/>
      <c r="B553" s="79"/>
      <c r="C553" s="82"/>
      <c r="D553" s="81"/>
      <c r="E553" s="82"/>
      <c r="F553" s="81"/>
      <c r="G553" s="79"/>
      <c r="H553" s="83"/>
      <c r="I553" s="79"/>
      <c r="J553" s="79"/>
      <c r="K553" s="79"/>
      <c r="L553" s="84"/>
      <c r="M553" s="84"/>
      <c r="N553" s="79"/>
      <c r="O553" s="85"/>
      <c r="P553" s="85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</row>
    <row r="554" spans="1:28" ht="15.75" customHeight="1">
      <c r="A554" s="86"/>
      <c r="B554" s="79"/>
      <c r="C554" s="82"/>
      <c r="D554" s="81"/>
      <c r="E554" s="82"/>
      <c r="F554" s="81"/>
      <c r="G554" s="79"/>
      <c r="H554" s="83"/>
      <c r="I554" s="79"/>
      <c r="J554" s="79"/>
      <c r="K554" s="79"/>
      <c r="L554" s="84"/>
      <c r="M554" s="84"/>
      <c r="N554" s="79"/>
      <c r="O554" s="85"/>
      <c r="P554" s="85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</row>
    <row r="555" spans="1:28" ht="15.75" customHeight="1">
      <c r="A555" s="86"/>
      <c r="B555" s="79"/>
      <c r="C555" s="82"/>
      <c r="D555" s="81"/>
      <c r="E555" s="82"/>
      <c r="F555" s="81"/>
      <c r="G555" s="79"/>
      <c r="H555" s="83"/>
      <c r="I555" s="79"/>
      <c r="J555" s="79"/>
      <c r="K555" s="79"/>
      <c r="L555" s="84"/>
      <c r="M555" s="84"/>
      <c r="N555" s="79"/>
      <c r="O555" s="85"/>
      <c r="P555" s="85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</row>
    <row r="556" spans="1:28" ht="15.75" customHeight="1">
      <c r="A556" s="86"/>
      <c r="B556" s="79"/>
      <c r="C556" s="82"/>
      <c r="D556" s="81"/>
      <c r="E556" s="82"/>
      <c r="F556" s="81"/>
      <c r="G556" s="79"/>
      <c r="H556" s="83"/>
      <c r="I556" s="79"/>
      <c r="J556" s="79"/>
      <c r="K556" s="79"/>
      <c r="L556" s="84"/>
      <c r="M556" s="84"/>
      <c r="N556" s="79"/>
      <c r="O556" s="85"/>
      <c r="P556" s="85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</row>
    <row r="557" spans="1:28" ht="15.75" customHeight="1">
      <c r="A557" s="86"/>
      <c r="B557" s="79"/>
      <c r="C557" s="82"/>
      <c r="D557" s="81"/>
      <c r="E557" s="82"/>
      <c r="F557" s="81"/>
      <c r="G557" s="79"/>
      <c r="H557" s="83"/>
      <c r="I557" s="79"/>
      <c r="J557" s="79"/>
      <c r="K557" s="79"/>
      <c r="L557" s="84"/>
      <c r="M557" s="84"/>
      <c r="N557" s="79"/>
      <c r="O557" s="85"/>
      <c r="P557" s="85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</row>
    <row r="558" spans="1:28" ht="15.75" customHeight="1">
      <c r="A558" s="86"/>
      <c r="B558" s="79"/>
      <c r="C558" s="82"/>
      <c r="D558" s="81"/>
      <c r="E558" s="82"/>
      <c r="F558" s="81"/>
      <c r="G558" s="79"/>
      <c r="H558" s="83"/>
      <c r="I558" s="79"/>
      <c r="J558" s="79"/>
      <c r="K558" s="79"/>
      <c r="L558" s="84"/>
      <c r="M558" s="84"/>
      <c r="N558" s="79"/>
      <c r="O558" s="85"/>
      <c r="P558" s="85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</row>
    <row r="559" spans="1:28" ht="15.75" customHeight="1">
      <c r="A559" s="86"/>
      <c r="B559" s="79"/>
      <c r="C559" s="82"/>
      <c r="D559" s="81"/>
      <c r="E559" s="82"/>
      <c r="F559" s="81"/>
      <c r="G559" s="79"/>
      <c r="H559" s="83"/>
      <c r="I559" s="79"/>
      <c r="J559" s="79"/>
      <c r="K559" s="79"/>
      <c r="L559" s="84"/>
      <c r="M559" s="84"/>
      <c r="N559" s="79"/>
      <c r="O559" s="85"/>
      <c r="P559" s="85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</row>
    <row r="560" spans="1:28" ht="15.75" customHeight="1">
      <c r="A560" s="86"/>
      <c r="B560" s="79"/>
      <c r="C560" s="82"/>
      <c r="D560" s="81"/>
      <c r="E560" s="82"/>
      <c r="F560" s="81"/>
      <c r="G560" s="79"/>
      <c r="H560" s="83"/>
      <c r="I560" s="79"/>
      <c r="J560" s="79"/>
      <c r="K560" s="79"/>
      <c r="L560" s="84"/>
      <c r="M560" s="84"/>
      <c r="N560" s="79"/>
      <c r="O560" s="85"/>
      <c r="P560" s="85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</row>
    <row r="561" spans="1:28" ht="15.75" customHeight="1">
      <c r="A561" s="86"/>
      <c r="B561" s="79"/>
      <c r="C561" s="82"/>
      <c r="D561" s="81"/>
      <c r="E561" s="82"/>
      <c r="F561" s="81"/>
      <c r="G561" s="79"/>
      <c r="H561" s="83"/>
      <c r="I561" s="79"/>
      <c r="J561" s="79"/>
      <c r="K561" s="79"/>
      <c r="L561" s="84"/>
      <c r="M561" s="84"/>
      <c r="N561" s="79"/>
      <c r="O561" s="85"/>
      <c r="P561" s="85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</row>
    <row r="562" spans="1:28" ht="15.75" customHeight="1">
      <c r="A562" s="86"/>
      <c r="B562" s="79"/>
      <c r="C562" s="82"/>
      <c r="D562" s="81"/>
      <c r="E562" s="82"/>
      <c r="F562" s="81"/>
      <c r="G562" s="79"/>
      <c r="H562" s="83"/>
      <c r="I562" s="79"/>
      <c r="J562" s="79"/>
      <c r="K562" s="79"/>
      <c r="L562" s="84"/>
      <c r="M562" s="84"/>
      <c r="N562" s="79"/>
      <c r="O562" s="85"/>
      <c r="P562" s="85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</row>
    <row r="563" spans="1:28" ht="15.75" customHeight="1">
      <c r="A563" s="86"/>
      <c r="B563" s="79"/>
      <c r="C563" s="82"/>
      <c r="D563" s="81"/>
      <c r="E563" s="82"/>
      <c r="F563" s="81"/>
      <c r="G563" s="79"/>
      <c r="H563" s="83"/>
      <c r="I563" s="79"/>
      <c r="J563" s="79"/>
      <c r="K563" s="79"/>
      <c r="L563" s="84"/>
      <c r="M563" s="84"/>
      <c r="N563" s="79"/>
      <c r="O563" s="85"/>
      <c r="P563" s="85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</row>
    <row r="564" spans="1:28" ht="15.75" customHeight="1">
      <c r="A564" s="86"/>
      <c r="B564" s="79"/>
      <c r="C564" s="82"/>
      <c r="D564" s="81"/>
      <c r="E564" s="82"/>
      <c r="F564" s="81"/>
      <c r="G564" s="79"/>
      <c r="H564" s="83"/>
      <c r="I564" s="79"/>
      <c r="J564" s="79"/>
      <c r="K564" s="79"/>
      <c r="L564" s="84"/>
      <c r="M564" s="84"/>
      <c r="N564" s="79"/>
      <c r="O564" s="85"/>
      <c r="P564" s="85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</row>
    <row r="565" spans="1:28" ht="15.75" customHeight="1">
      <c r="A565" s="86"/>
      <c r="B565" s="79"/>
      <c r="C565" s="82"/>
      <c r="D565" s="81"/>
      <c r="E565" s="82"/>
      <c r="F565" s="81"/>
      <c r="G565" s="79"/>
      <c r="H565" s="83"/>
      <c r="I565" s="79"/>
      <c r="J565" s="79"/>
      <c r="K565" s="79"/>
      <c r="L565" s="84"/>
      <c r="M565" s="84"/>
      <c r="N565" s="79"/>
      <c r="O565" s="85"/>
      <c r="P565" s="85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</row>
    <row r="566" spans="1:28" ht="15.75" customHeight="1">
      <c r="A566" s="86"/>
      <c r="B566" s="79"/>
      <c r="C566" s="82"/>
      <c r="D566" s="81"/>
      <c r="E566" s="82"/>
      <c r="F566" s="81"/>
      <c r="G566" s="79"/>
      <c r="H566" s="83"/>
      <c r="I566" s="79"/>
      <c r="J566" s="79"/>
      <c r="K566" s="79"/>
      <c r="L566" s="84"/>
      <c r="M566" s="84"/>
      <c r="N566" s="79"/>
      <c r="O566" s="85"/>
      <c r="P566" s="85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</row>
    <row r="567" spans="1:28" ht="15.75" customHeight="1">
      <c r="A567" s="86"/>
      <c r="B567" s="79"/>
      <c r="C567" s="82"/>
      <c r="D567" s="81"/>
      <c r="E567" s="82"/>
      <c r="F567" s="81"/>
      <c r="G567" s="79"/>
      <c r="H567" s="83"/>
      <c r="I567" s="79"/>
      <c r="J567" s="79"/>
      <c r="K567" s="79"/>
      <c r="L567" s="84"/>
      <c r="M567" s="84"/>
      <c r="N567" s="79"/>
      <c r="O567" s="85"/>
      <c r="P567" s="85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</row>
    <row r="568" spans="1:28" ht="15.75" customHeight="1">
      <c r="A568" s="86"/>
      <c r="B568" s="79"/>
      <c r="C568" s="82"/>
      <c r="D568" s="81"/>
      <c r="E568" s="82"/>
      <c r="F568" s="81"/>
      <c r="G568" s="79"/>
      <c r="H568" s="83"/>
      <c r="I568" s="79"/>
      <c r="J568" s="79"/>
      <c r="K568" s="79"/>
      <c r="L568" s="84"/>
      <c r="M568" s="84"/>
      <c r="N568" s="79"/>
      <c r="O568" s="85"/>
      <c r="P568" s="85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</row>
    <row r="569" spans="1:28" ht="15.75" customHeight="1">
      <c r="A569" s="86"/>
      <c r="B569" s="79"/>
      <c r="C569" s="82"/>
      <c r="D569" s="81"/>
      <c r="E569" s="82"/>
      <c r="F569" s="81"/>
      <c r="G569" s="79"/>
      <c r="H569" s="83"/>
      <c r="I569" s="79"/>
      <c r="J569" s="79"/>
      <c r="K569" s="79"/>
      <c r="L569" s="84"/>
      <c r="M569" s="84"/>
      <c r="N569" s="79"/>
      <c r="O569" s="85"/>
      <c r="P569" s="85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</row>
    <row r="570" spans="1:28" ht="15.75" customHeight="1">
      <c r="A570" s="86"/>
      <c r="B570" s="79"/>
      <c r="C570" s="82"/>
      <c r="D570" s="81"/>
      <c r="E570" s="82"/>
      <c r="F570" s="81"/>
      <c r="G570" s="79"/>
      <c r="H570" s="83"/>
      <c r="I570" s="79"/>
      <c r="J570" s="79"/>
      <c r="K570" s="79"/>
      <c r="L570" s="84"/>
      <c r="M570" s="84"/>
      <c r="N570" s="79"/>
      <c r="O570" s="85"/>
      <c r="P570" s="85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</row>
    <row r="571" spans="1:28" ht="15.75" customHeight="1">
      <c r="A571" s="86"/>
      <c r="B571" s="79"/>
      <c r="C571" s="82"/>
      <c r="D571" s="81"/>
      <c r="E571" s="82"/>
      <c r="F571" s="81"/>
      <c r="G571" s="79"/>
      <c r="H571" s="83"/>
      <c r="I571" s="79"/>
      <c r="J571" s="79"/>
      <c r="K571" s="79"/>
      <c r="L571" s="84"/>
      <c r="M571" s="84"/>
      <c r="N571" s="79"/>
      <c r="O571" s="85"/>
      <c r="P571" s="85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</row>
    <row r="572" spans="1:28" ht="15.75" customHeight="1">
      <c r="A572" s="86"/>
      <c r="B572" s="79"/>
      <c r="C572" s="82"/>
      <c r="D572" s="81"/>
      <c r="E572" s="82"/>
      <c r="F572" s="81"/>
      <c r="G572" s="79"/>
      <c r="H572" s="83"/>
      <c r="I572" s="79"/>
      <c r="J572" s="79"/>
      <c r="K572" s="79"/>
      <c r="L572" s="84"/>
      <c r="M572" s="84"/>
      <c r="N572" s="79"/>
      <c r="O572" s="85"/>
      <c r="P572" s="85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</row>
    <row r="573" spans="1:28" ht="15.75" customHeight="1">
      <c r="A573" s="86"/>
      <c r="B573" s="79"/>
      <c r="C573" s="82"/>
      <c r="D573" s="81"/>
      <c r="E573" s="82"/>
      <c r="F573" s="81"/>
      <c r="G573" s="79"/>
      <c r="H573" s="83"/>
      <c r="I573" s="79"/>
      <c r="J573" s="79"/>
      <c r="K573" s="79"/>
      <c r="L573" s="84"/>
      <c r="M573" s="84"/>
      <c r="N573" s="79"/>
      <c r="O573" s="85"/>
      <c r="P573" s="85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</row>
    <row r="574" spans="1:28" ht="15.75" customHeight="1">
      <c r="A574" s="86"/>
      <c r="B574" s="79"/>
      <c r="C574" s="82"/>
      <c r="D574" s="81"/>
      <c r="E574" s="82"/>
      <c r="F574" s="81"/>
      <c r="G574" s="79"/>
      <c r="H574" s="83"/>
      <c r="I574" s="79"/>
      <c r="J574" s="79"/>
      <c r="K574" s="79"/>
      <c r="L574" s="84"/>
      <c r="M574" s="84"/>
      <c r="N574" s="79"/>
      <c r="O574" s="85"/>
      <c r="P574" s="85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</row>
    <row r="575" spans="1:28" ht="15.75" customHeight="1">
      <c r="A575" s="86"/>
      <c r="B575" s="79"/>
      <c r="C575" s="82"/>
      <c r="D575" s="81"/>
      <c r="E575" s="82"/>
      <c r="F575" s="81"/>
      <c r="G575" s="79"/>
      <c r="H575" s="83"/>
      <c r="I575" s="79"/>
      <c r="J575" s="79"/>
      <c r="K575" s="79"/>
      <c r="L575" s="84"/>
      <c r="M575" s="84"/>
      <c r="N575" s="79"/>
      <c r="O575" s="85"/>
      <c r="P575" s="85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</row>
    <row r="576" spans="1:28" ht="15.75" customHeight="1">
      <c r="A576" s="86"/>
      <c r="B576" s="79"/>
      <c r="C576" s="82"/>
      <c r="D576" s="81"/>
      <c r="E576" s="82"/>
      <c r="F576" s="81"/>
      <c r="G576" s="79"/>
      <c r="H576" s="83"/>
      <c r="I576" s="79"/>
      <c r="J576" s="79"/>
      <c r="K576" s="79"/>
      <c r="L576" s="84"/>
      <c r="M576" s="84"/>
      <c r="N576" s="79"/>
      <c r="O576" s="85"/>
      <c r="P576" s="85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</row>
    <row r="577" spans="1:28" ht="15.75" customHeight="1">
      <c r="A577" s="86"/>
      <c r="B577" s="79"/>
      <c r="C577" s="82"/>
      <c r="D577" s="81"/>
      <c r="E577" s="82"/>
      <c r="F577" s="81"/>
      <c r="G577" s="79"/>
      <c r="H577" s="83"/>
      <c r="I577" s="79"/>
      <c r="J577" s="79"/>
      <c r="K577" s="79"/>
      <c r="L577" s="84"/>
      <c r="M577" s="84"/>
      <c r="N577" s="79"/>
      <c r="O577" s="85"/>
      <c r="P577" s="85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</row>
    <row r="578" spans="1:28" ht="15.75" customHeight="1">
      <c r="A578" s="86"/>
      <c r="B578" s="79"/>
      <c r="C578" s="82"/>
      <c r="D578" s="81"/>
      <c r="E578" s="82"/>
      <c r="F578" s="81"/>
      <c r="G578" s="79"/>
      <c r="H578" s="83"/>
      <c r="I578" s="79"/>
      <c r="J578" s="79"/>
      <c r="K578" s="79"/>
      <c r="L578" s="84"/>
      <c r="M578" s="84"/>
      <c r="N578" s="79"/>
      <c r="O578" s="85"/>
      <c r="P578" s="85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</row>
    <row r="579" spans="1:28" ht="15.75" customHeight="1">
      <c r="A579" s="86"/>
      <c r="B579" s="79"/>
      <c r="C579" s="82"/>
      <c r="D579" s="81"/>
      <c r="E579" s="82"/>
      <c r="F579" s="81"/>
      <c r="G579" s="79"/>
      <c r="H579" s="83"/>
      <c r="I579" s="79"/>
      <c r="J579" s="79"/>
      <c r="K579" s="79"/>
      <c r="L579" s="84"/>
      <c r="M579" s="84"/>
      <c r="N579" s="79"/>
      <c r="O579" s="85"/>
      <c r="P579" s="85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</row>
    <row r="580" spans="1:28" ht="15.75" customHeight="1">
      <c r="A580" s="86"/>
      <c r="B580" s="79"/>
      <c r="C580" s="82"/>
      <c r="D580" s="81"/>
      <c r="E580" s="82"/>
      <c r="F580" s="81"/>
      <c r="G580" s="79"/>
      <c r="H580" s="83"/>
      <c r="I580" s="79"/>
      <c r="J580" s="79"/>
      <c r="K580" s="79"/>
      <c r="L580" s="84"/>
      <c r="M580" s="84"/>
      <c r="N580" s="79"/>
      <c r="O580" s="85"/>
      <c r="P580" s="85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</row>
    <row r="581" spans="1:28" ht="15.75" customHeight="1">
      <c r="A581" s="86"/>
      <c r="B581" s="79"/>
      <c r="C581" s="82"/>
      <c r="D581" s="81"/>
      <c r="E581" s="82"/>
      <c r="F581" s="81"/>
      <c r="G581" s="79"/>
      <c r="H581" s="83"/>
      <c r="I581" s="79"/>
      <c r="J581" s="79"/>
      <c r="K581" s="79"/>
      <c r="L581" s="84"/>
      <c r="M581" s="84"/>
      <c r="N581" s="79"/>
      <c r="O581" s="85"/>
      <c r="P581" s="85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</row>
    <row r="582" spans="1:28" ht="15.75" customHeight="1">
      <c r="A582" s="86"/>
      <c r="B582" s="79"/>
      <c r="C582" s="82"/>
      <c r="D582" s="81"/>
      <c r="E582" s="82"/>
      <c r="F582" s="81"/>
      <c r="G582" s="79"/>
      <c r="H582" s="83"/>
      <c r="I582" s="79"/>
      <c r="J582" s="79"/>
      <c r="K582" s="79"/>
      <c r="L582" s="84"/>
      <c r="M582" s="84"/>
      <c r="N582" s="79"/>
      <c r="O582" s="85"/>
      <c r="P582" s="85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</row>
    <row r="583" spans="1:28" ht="15.75" customHeight="1">
      <c r="A583" s="86"/>
      <c r="B583" s="79"/>
      <c r="C583" s="82"/>
      <c r="D583" s="81"/>
      <c r="E583" s="82"/>
      <c r="F583" s="81"/>
      <c r="G583" s="79"/>
      <c r="H583" s="83"/>
      <c r="I583" s="79"/>
      <c r="J583" s="79"/>
      <c r="K583" s="79"/>
      <c r="L583" s="84"/>
      <c r="M583" s="84"/>
      <c r="N583" s="79"/>
      <c r="O583" s="85"/>
      <c r="P583" s="85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</row>
    <row r="584" spans="1:28" ht="15.75" customHeight="1">
      <c r="A584" s="86"/>
      <c r="B584" s="79"/>
      <c r="C584" s="82"/>
      <c r="D584" s="81"/>
      <c r="E584" s="82"/>
      <c r="F584" s="81"/>
      <c r="G584" s="79"/>
      <c r="H584" s="83"/>
      <c r="I584" s="79"/>
      <c r="J584" s="79"/>
      <c r="K584" s="79"/>
      <c r="L584" s="84"/>
      <c r="M584" s="84"/>
      <c r="N584" s="79"/>
      <c r="O584" s="85"/>
      <c r="P584" s="85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</row>
    <row r="585" spans="1:28" ht="15.75" customHeight="1">
      <c r="A585" s="86"/>
      <c r="B585" s="79"/>
      <c r="C585" s="82"/>
      <c r="D585" s="81"/>
      <c r="E585" s="82"/>
      <c r="F585" s="81"/>
      <c r="G585" s="79"/>
      <c r="H585" s="83"/>
      <c r="I585" s="79"/>
      <c r="J585" s="79"/>
      <c r="K585" s="79"/>
      <c r="L585" s="84"/>
      <c r="M585" s="84"/>
      <c r="N585" s="79"/>
      <c r="O585" s="85"/>
      <c r="P585" s="85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</row>
    <row r="586" spans="1:28" ht="15.75" customHeight="1">
      <c r="A586" s="86"/>
      <c r="B586" s="79"/>
      <c r="C586" s="82"/>
      <c r="D586" s="81"/>
      <c r="E586" s="82"/>
      <c r="F586" s="81"/>
      <c r="G586" s="79"/>
      <c r="H586" s="83"/>
      <c r="I586" s="79"/>
      <c r="J586" s="79"/>
      <c r="K586" s="79"/>
      <c r="L586" s="84"/>
      <c r="M586" s="84"/>
      <c r="N586" s="79"/>
      <c r="O586" s="85"/>
      <c r="P586" s="85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</row>
    <row r="587" spans="1:28" ht="15.75" customHeight="1">
      <c r="A587" s="86"/>
      <c r="B587" s="79"/>
      <c r="C587" s="82"/>
      <c r="D587" s="81"/>
      <c r="E587" s="82"/>
      <c r="F587" s="81"/>
      <c r="G587" s="79"/>
      <c r="H587" s="83"/>
      <c r="I587" s="79"/>
      <c r="J587" s="79"/>
      <c r="K587" s="79"/>
      <c r="L587" s="84"/>
      <c r="M587" s="84"/>
      <c r="N587" s="79"/>
      <c r="O587" s="85"/>
      <c r="P587" s="85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</row>
    <row r="588" spans="1:28" ht="15.75" customHeight="1">
      <c r="A588" s="86"/>
      <c r="B588" s="79"/>
      <c r="C588" s="82"/>
      <c r="D588" s="81"/>
      <c r="E588" s="82"/>
      <c r="F588" s="81"/>
      <c r="G588" s="79"/>
      <c r="H588" s="83"/>
      <c r="I588" s="79"/>
      <c r="J588" s="79"/>
      <c r="K588" s="79"/>
      <c r="L588" s="84"/>
      <c r="M588" s="84"/>
      <c r="N588" s="79"/>
      <c r="O588" s="85"/>
      <c r="P588" s="85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</row>
    <row r="589" spans="1:28" ht="15.75" customHeight="1">
      <c r="A589" s="86"/>
      <c r="B589" s="79"/>
      <c r="C589" s="82"/>
      <c r="D589" s="81"/>
      <c r="E589" s="82"/>
      <c r="F589" s="81"/>
      <c r="G589" s="79"/>
      <c r="H589" s="83"/>
      <c r="I589" s="79"/>
      <c r="J589" s="79"/>
      <c r="K589" s="79"/>
      <c r="L589" s="84"/>
      <c r="M589" s="84"/>
      <c r="N589" s="79"/>
      <c r="O589" s="85"/>
      <c r="P589" s="85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</row>
    <row r="590" spans="1:28" ht="15.75" customHeight="1">
      <c r="A590" s="86"/>
      <c r="B590" s="79"/>
      <c r="C590" s="82"/>
      <c r="D590" s="81"/>
      <c r="E590" s="82"/>
      <c r="F590" s="81"/>
      <c r="G590" s="79"/>
      <c r="H590" s="83"/>
      <c r="I590" s="79"/>
      <c r="J590" s="79"/>
      <c r="K590" s="79"/>
      <c r="L590" s="84"/>
      <c r="M590" s="84"/>
      <c r="N590" s="79"/>
      <c r="O590" s="85"/>
      <c r="P590" s="85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</row>
    <row r="591" spans="1:28" ht="15.75" customHeight="1">
      <c r="A591" s="86"/>
      <c r="B591" s="79"/>
      <c r="C591" s="82"/>
      <c r="D591" s="81"/>
      <c r="E591" s="82"/>
      <c r="F591" s="81"/>
      <c r="G591" s="79"/>
      <c r="H591" s="83"/>
      <c r="I591" s="79"/>
      <c r="J591" s="79"/>
      <c r="K591" s="79"/>
      <c r="L591" s="84"/>
      <c r="M591" s="84"/>
      <c r="N591" s="79"/>
      <c r="O591" s="85"/>
      <c r="P591" s="85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</row>
    <row r="592" spans="1:28" ht="15.75" customHeight="1">
      <c r="A592" s="86"/>
      <c r="B592" s="79"/>
      <c r="C592" s="82"/>
      <c r="D592" s="81"/>
      <c r="E592" s="82"/>
      <c r="F592" s="81"/>
      <c r="G592" s="79"/>
      <c r="H592" s="83"/>
      <c r="I592" s="79"/>
      <c r="J592" s="79"/>
      <c r="K592" s="79"/>
      <c r="L592" s="84"/>
      <c r="M592" s="84"/>
      <c r="N592" s="79"/>
      <c r="O592" s="85"/>
      <c r="P592" s="85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</row>
    <row r="593" spans="1:28" ht="15.75" customHeight="1">
      <c r="A593" s="86"/>
      <c r="B593" s="79"/>
      <c r="C593" s="82"/>
      <c r="D593" s="81"/>
      <c r="E593" s="82"/>
      <c r="F593" s="81"/>
      <c r="G593" s="79"/>
      <c r="H593" s="83"/>
      <c r="I593" s="79"/>
      <c r="J593" s="79"/>
      <c r="K593" s="79"/>
      <c r="L593" s="84"/>
      <c r="M593" s="84"/>
      <c r="N593" s="79"/>
      <c r="O593" s="85"/>
      <c r="P593" s="85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</row>
    <row r="594" spans="1:28" ht="15.75" customHeight="1">
      <c r="A594" s="86"/>
      <c r="B594" s="79"/>
      <c r="C594" s="82"/>
      <c r="D594" s="81"/>
      <c r="E594" s="82"/>
      <c r="F594" s="81"/>
      <c r="G594" s="79"/>
      <c r="H594" s="83"/>
      <c r="I594" s="79"/>
      <c r="J594" s="79"/>
      <c r="K594" s="79"/>
      <c r="L594" s="84"/>
      <c r="M594" s="84"/>
      <c r="N594" s="79"/>
      <c r="O594" s="85"/>
      <c r="P594" s="85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</row>
    <row r="595" spans="1:28" ht="15.75" customHeight="1">
      <c r="A595" s="86"/>
      <c r="B595" s="79"/>
      <c r="C595" s="82"/>
      <c r="D595" s="81"/>
      <c r="E595" s="82"/>
      <c r="F595" s="81"/>
      <c r="G595" s="79"/>
      <c r="H595" s="83"/>
      <c r="I595" s="79"/>
      <c r="J595" s="79"/>
      <c r="K595" s="79"/>
      <c r="L595" s="84"/>
      <c r="M595" s="84"/>
      <c r="N595" s="79"/>
      <c r="O595" s="85"/>
      <c r="P595" s="85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</row>
    <row r="596" spans="1:28" ht="15.75" customHeight="1">
      <c r="A596" s="86"/>
      <c r="B596" s="79"/>
      <c r="C596" s="82"/>
      <c r="D596" s="81"/>
      <c r="E596" s="82"/>
      <c r="F596" s="81"/>
      <c r="G596" s="79"/>
      <c r="H596" s="83"/>
      <c r="I596" s="79"/>
      <c r="J596" s="79"/>
      <c r="K596" s="79"/>
      <c r="L596" s="84"/>
      <c r="M596" s="84"/>
      <c r="N596" s="79"/>
      <c r="O596" s="85"/>
      <c r="P596" s="85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</row>
    <row r="597" spans="1:28" ht="15.75" customHeight="1">
      <c r="A597" s="86"/>
      <c r="B597" s="79"/>
      <c r="C597" s="82"/>
      <c r="D597" s="81"/>
      <c r="E597" s="82"/>
      <c r="F597" s="81"/>
      <c r="G597" s="79"/>
      <c r="H597" s="83"/>
      <c r="I597" s="79"/>
      <c r="J597" s="79"/>
      <c r="K597" s="79"/>
      <c r="L597" s="84"/>
      <c r="M597" s="84"/>
      <c r="N597" s="79"/>
      <c r="O597" s="85"/>
      <c r="P597" s="85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</row>
    <row r="598" spans="1:28" ht="15.75" customHeight="1">
      <c r="A598" s="86"/>
      <c r="B598" s="79"/>
      <c r="C598" s="82"/>
      <c r="D598" s="81"/>
      <c r="E598" s="82"/>
      <c r="F598" s="81"/>
      <c r="G598" s="79"/>
      <c r="H598" s="83"/>
      <c r="I598" s="79"/>
      <c r="J598" s="79"/>
      <c r="K598" s="79"/>
      <c r="L598" s="84"/>
      <c r="M598" s="84"/>
      <c r="N598" s="79"/>
      <c r="O598" s="85"/>
      <c r="P598" s="85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</row>
    <row r="599" spans="1:28" ht="15.75" customHeight="1">
      <c r="A599" s="86"/>
      <c r="B599" s="79"/>
      <c r="C599" s="82"/>
      <c r="D599" s="81"/>
      <c r="E599" s="82"/>
      <c r="F599" s="81"/>
      <c r="G599" s="79"/>
      <c r="H599" s="83"/>
      <c r="I599" s="79"/>
      <c r="J599" s="79"/>
      <c r="K599" s="79"/>
      <c r="L599" s="84"/>
      <c r="M599" s="84"/>
      <c r="N599" s="79"/>
      <c r="O599" s="85"/>
      <c r="P599" s="85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</row>
    <row r="600" spans="1:28" ht="15.75" customHeight="1">
      <c r="A600" s="86"/>
      <c r="B600" s="79"/>
      <c r="C600" s="82"/>
      <c r="D600" s="81"/>
      <c r="E600" s="82"/>
      <c r="F600" s="81"/>
      <c r="G600" s="79"/>
      <c r="H600" s="83"/>
      <c r="I600" s="79"/>
      <c r="J600" s="79"/>
      <c r="K600" s="79"/>
      <c r="L600" s="84"/>
      <c r="M600" s="84"/>
      <c r="N600" s="79"/>
      <c r="O600" s="85"/>
      <c r="P600" s="85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</row>
    <row r="601" spans="1:28" ht="15.75" customHeight="1">
      <c r="A601" s="86"/>
      <c r="B601" s="79"/>
      <c r="C601" s="82"/>
      <c r="D601" s="81"/>
      <c r="E601" s="82"/>
      <c r="F601" s="81"/>
      <c r="G601" s="79"/>
      <c r="H601" s="83"/>
      <c r="I601" s="79"/>
      <c r="J601" s="79"/>
      <c r="K601" s="79"/>
      <c r="L601" s="84"/>
      <c r="M601" s="84"/>
      <c r="N601" s="79"/>
      <c r="O601" s="85"/>
      <c r="P601" s="85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</row>
    <row r="602" spans="1:28" ht="15.75" customHeight="1">
      <c r="A602" s="86"/>
      <c r="B602" s="79"/>
      <c r="C602" s="82"/>
      <c r="D602" s="81"/>
      <c r="E602" s="82"/>
      <c r="F602" s="81"/>
      <c r="G602" s="79"/>
      <c r="H602" s="83"/>
      <c r="I602" s="79"/>
      <c r="J602" s="79"/>
      <c r="K602" s="79"/>
      <c r="L602" s="84"/>
      <c r="M602" s="84"/>
      <c r="N602" s="79"/>
      <c r="O602" s="85"/>
      <c r="P602" s="85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</row>
    <row r="603" spans="1:28" ht="15.75" customHeight="1">
      <c r="A603" s="86"/>
      <c r="B603" s="79"/>
      <c r="C603" s="82"/>
      <c r="D603" s="81"/>
      <c r="E603" s="82"/>
      <c r="F603" s="81"/>
      <c r="G603" s="79"/>
      <c r="H603" s="83"/>
      <c r="I603" s="79"/>
      <c r="J603" s="79"/>
      <c r="K603" s="79"/>
      <c r="L603" s="84"/>
      <c r="M603" s="84"/>
      <c r="N603" s="79"/>
      <c r="O603" s="85"/>
      <c r="P603" s="85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</row>
    <row r="604" spans="1:28" ht="15.75" customHeight="1">
      <c r="A604" s="86"/>
      <c r="B604" s="79"/>
      <c r="C604" s="82"/>
      <c r="D604" s="81"/>
      <c r="E604" s="82"/>
      <c r="F604" s="81"/>
      <c r="G604" s="79"/>
      <c r="H604" s="83"/>
      <c r="I604" s="79"/>
      <c r="J604" s="79"/>
      <c r="K604" s="79"/>
      <c r="L604" s="84"/>
      <c r="M604" s="84"/>
      <c r="N604" s="79"/>
      <c r="O604" s="85"/>
      <c r="P604" s="85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</row>
    <row r="605" spans="1:28" ht="15.75" customHeight="1">
      <c r="A605" s="86"/>
      <c r="B605" s="79"/>
      <c r="C605" s="82"/>
      <c r="D605" s="81"/>
      <c r="E605" s="82"/>
      <c r="F605" s="81"/>
      <c r="G605" s="79"/>
      <c r="H605" s="83"/>
      <c r="I605" s="79"/>
      <c r="J605" s="79"/>
      <c r="K605" s="79"/>
      <c r="L605" s="84"/>
      <c r="M605" s="84"/>
      <c r="N605" s="79"/>
      <c r="O605" s="85"/>
      <c r="P605" s="85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</row>
    <row r="606" spans="1:28" ht="15.75" customHeight="1">
      <c r="A606" s="86"/>
      <c r="B606" s="79"/>
      <c r="C606" s="82"/>
      <c r="D606" s="81"/>
      <c r="E606" s="82"/>
      <c r="F606" s="81"/>
      <c r="G606" s="79"/>
      <c r="H606" s="83"/>
      <c r="I606" s="79"/>
      <c r="J606" s="79"/>
      <c r="K606" s="79"/>
      <c r="L606" s="84"/>
      <c r="M606" s="84"/>
      <c r="N606" s="79"/>
      <c r="O606" s="85"/>
      <c r="P606" s="85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</row>
    <row r="607" spans="1:28" ht="15.75" customHeight="1">
      <c r="A607" s="86"/>
      <c r="B607" s="79"/>
      <c r="C607" s="82"/>
      <c r="D607" s="81"/>
      <c r="E607" s="82"/>
      <c r="F607" s="81"/>
      <c r="G607" s="79"/>
      <c r="H607" s="83"/>
      <c r="I607" s="79"/>
      <c r="J607" s="79"/>
      <c r="K607" s="79"/>
      <c r="L607" s="84"/>
      <c r="M607" s="84"/>
      <c r="N607" s="79"/>
      <c r="O607" s="85"/>
      <c r="P607" s="85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</row>
    <row r="608" spans="1:28" ht="15.75" customHeight="1">
      <c r="A608" s="86"/>
      <c r="B608" s="79"/>
      <c r="C608" s="82"/>
      <c r="D608" s="81"/>
      <c r="E608" s="82"/>
      <c r="F608" s="81"/>
      <c r="G608" s="79"/>
      <c r="H608" s="83"/>
      <c r="I608" s="79"/>
      <c r="J608" s="79"/>
      <c r="K608" s="79"/>
      <c r="L608" s="84"/>
      <c r="M608" s="84"/>
      <c r="N608" s="79"/>
      <c r="O608" s="85"/>
      <c r="P608" s="85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</row>
    <row r="609" spans="1:28" ht="15.75" customHeight="1">
      <c r="A609" s="86"/>
      <c r="B609" s="79"/>
      <c r="C609" s="82"/>
      <c r="D609" s="81"/>
      <c r="E609" s="82"/>
      <c r="F609" s="81"/>
      <c r="G609" s="79"/>
      <c r="H609" s="83"/>
      <c r="I609" s="79"/>
      <c r="J609" s="79"/>
      <c r="K609" s="79"/>
      <c r="L609" s="84"/>
      <c r="M609" s="84"/>
      <c r="N609" s="79"/>
      <c r="O609" s="85"/>
      <c r="P609" s="85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</row>
    <row r="610" spans="1:28" ht="15.75" customHeight="1">
      <c r="A610" s="86"/>
      <c r="B610" s="79"/>
      <c r="C610" s="82"/>
      <c r="D610" s="81"/>
      <c r="E610" s="82"/>
      <c r="F610" s="81"/>
      <c r="G610" s="79"/>
      <c r="H610" s="83"/>
      <c r="I610" s="79"/>
      <c r="J610" s="79"/>
      <c r="K610" s="79"/>
      <c r="L610" s="84"/>
      <c r="M610" s="84"/>
      <c r="N610" s="79"/>
      <c r="O610" s="85"/>
      <c r="P610" s="85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</row>
    <row r="611" spans="1:28" ht="15.75" customHeight="1">
      <c r="A611" s="86"/>
      <c r="B611" s="79"/>
      <c r="C611" s="82"/>
      <c r="D611" s="81"/>
      <c r="E611" s="82"/>
      <c r="F611" s="81"/>
      <c r="G611" s="79"/>
      <c r="H611" s="83"/>
      <c r="I611" s="79"/>
      <c r="J611" s="79"/>
      <c r="K611" s="79"/>
      <c r="L611" s="84"/>
      <c r="M611" s="84"/>
      <c r="N611" s="79"/>
      <c r="O611" s="85"/>
      <c r="P611" s="85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</row>
    <row r="612" spans="1:28" ht="15.75" customHeight="1">
      <c r="A612" s="86"/>
      <c r="B612" s="79"/>
      <c r="C612" s="82"/>
      <c r="D612" s="81"/>
      <c r="E612" s="82"/>
      <c r="F612" s="81"/>
      <c r="G612" s="79"/>
      <c r="H612" s="83"/>
      <c r="I612" s="79"/>
      <c r="J612" s="79"/>
      <c r="K612" s="79"/>
      <c r="L612" s="84"/>
      <c r="M612" s="84"/>
      <c r="N612" s="79"/>
      <c r="O612" s="85"/>
      <c r="P612" s="85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</row>
    <row r="613" spans="1:28" ht="15.75" customHeight="1">
      <c r="A613" s="86"/>
      <c r="B613" s="79"/>
      <c r="C613" s="82"/>
      <c r="D613" s="81"/>
      <c r="E613" s="82"/>
      <c r="F613" s="81"/>
      <c r="G613" s="79"/>
      <c r="H613" s="83"/>
      <c r="I613" s="79"/>
      <c r="J613" s="79"/>
      <c r="K613" s="79"/>
      <c r="L613" s="84"/>
      <c r="M613" s="84"/>
      <c r="N613" s="79"/>
      <c r="O613" s="85"/>
      <c r="P613" s="85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</row>
    <row r="614" spans="1:28" ht="15.75" customHeight="1">
      <c r="A614" s="86"/>
      <c r="B614" s="79"/>
      <c r="C614" s="82"/>
      <c r="D614" s="81"/>
      <c r="E614" s="82"/>
      <c r="F614" s="81"/>
      <c r="G614" s="79"/>
      <c r="H614" s="83"/>
      <c r="I614" s="79"/>
      <c r="J614" s="79"/>
      <c r="K614" s="79"/>
      <c r="L614" s="84"/>
      <c r="M614" s="84"/>
      <c r="N614" s="79"/>
      <c r="O614" s="85"/>
      <c r="P614" s="85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</row>
    <row r="615" spans="1:28" ht="15.75" customHeight="1">
      <c r="A615" s="86"/>
      <c r="B615" s="79"/>
      <c r="C615" s="82"/>
      <c r="D615" s="81"/>
      <c r="E615" s="82"/>
      <c r="F615" s="81"/>
      <c r="G615" s="79"/>
      <c r="H615" s="83"/>
      <c r="I615" s="79"/>
      <c r="J615" s="79"/>
      <c r="K615" s="79"/>
      <c r="L615" s="84"/>
      <c r="M615" s="84"/>
      <c r="N615" s="79"/>
      <c r="O615" s="85"/>
      <c r="P615" s="85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</row>
    <row r="616" spans="1:28" ht="15.75" customHeight="1">
      <c r="A616" s="86"/>
      <c r="B616" s="79"/>
      <c r="C616" s="82"/>
      <c r="D616" s="81"/>
      <c r="E616" s="82"/>
      <c r="F616" s="81"/>
      <c r="G616" s="79"/>
      <c r="H616" s="83"/>
      <c r="I616" s="79"/>
      <c r="J616" s="79"/>
      <c r="K616" s="79"/>
      <c r="L616" s="84"/>
      <c r="M616" s="84"/>
      <c r="N616" s="79"/>
      <c r="O616" s="85"/>
      <c r="P616" s="85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</row>
    <row r="617" spans="1:28" ht="15.75" customHeight="1">
      <c r="A617" s="86"/>
      <c r="B617" s="79"/>
      <c r="C617" s="82"/>
      <c r="D617" s="81"/>
      <c r="E617" s="82"/>
      <c r="F617" s="81"/>
      <c r="G617" s="79"/>
      <c r="H617" s="83"/>
      <c r="I617" s="79"/>
      <c r="J617" s="79"/>
      <c r="K617" s="79"/>
      <c r="L617" s="84"/>
      <c r="M617" s="84"/>
      <c r="N617" s="79"/>
      <c r="O617" s="85"/>
      <c r="P617" s="85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</row>
    <row r="618" spans="1:28" ht="15.75" customHeight="1">
      <c r="A618" s="86"/>
      <c r="B618" s="79"/>
      <c r="C618" s="82"/>
      <c r="D618" s="81"/>
      <c r="E618" s="82"/>
      <c r="F618" s="81"/>
      <c r="G618" s="79"/>
      <c r="H618" s="83"/>
      <c r="I618" s="79"/>
      <c r="J618" s="79"/>
      <c r="K618" s="79"/>
      <c r="L618" s="84"/>
      <c r="M618" s="84"/>
      <c r="N618" s="79"/>
      <c r="O618" s="85"/>
      <c r="P618" s="85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</row>
    <row r="619" spans="1:28" ht="15.75" customHeight="1">
      <c r="A619" s="86"/>
      <c r="B619" s="79"/>
      <c r="C619" s="82"/>
      <c r="D619" s="81"/>
      <c r="E619" s="82"/>
      <c r="F619" s="81"/>
      <c r="G619" s="79"/>
      <c r="H619" s="83"/>
      <c r="I619" s="79"/>
      <c r="J619" s="79"/>
      <c r="K619" s="79"/>
      <c r="L619" s="84"/>
      <c r="M619" s="84"/>
      <c r="N619" s="79"/>
      <c r="O619" s="85"/>
      <c r="P619" s="85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</row>
    <row r="620" spans="1:28" ht="15.75" customHeight="1">
      <c r="A620" s="86"/>
      <c r="B620" s="79"/>
      <c r="C620" s="82"/>
      <c r="D620" s="81"/>
      <c r="E620" s="82"/>
      <c r="F620" s="81"/>
      <c r="G620" s="79"/>
      <c r="H620" s="83"/>
      <c r="I620" s="79"/>
      <c r="J620" s="79"/>
      <c r="K620" s="79"/>
      <c r="L620" s="84"/>
      <c r="M620" s="84"/>
      <c r="N620" s="79"/>
      <c r="O620" s="85"/>
      <c r="P620" s="85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</row>
    <row r="621" spans="1:28" ht="15.75" customHeight="1">
      <c r="A621" s="86"/>
      <c r="B621" s="79"/>
      <c r="C621" s="82"/>
      <c r="D621" s="81"/>
      <c r="E621" s="82"/>
      <c r="F621" s="81"/>
      <c r="G621" s="79"/>
      <c r="H621" s="83"/>
      <c r="I621" s="79"/>
      <c r="J621" s="79"/>
      <c r="K621" s="79"/>
      <c r="L621" s="84"/>
      <c r="M621" s="84"/>
      <c r="N621" s="79"/>
      <c r="O621" s="85"/>
      <c r="P621" s="85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</row>
    <row r="622" spans="1:28" ht="15.75" customHeight="1">
      <c r="A622" s="86"/>
      <c r="B622" s="79"/>
      <c r="C622" s="82"/>
      <c r="D622" s="81"/>
      <c r="E622" s="82"/>
      <c r="F622" s="81"/>
      <c r="G622" s="79"/>
      <c r="H622" s="83"/>
      <c r="I622" s="79"/>
      <c r="J622" s="79"/>
      <c r="K622" s="79"/>
      <c r="L622" s="84"/>
      <c r="M622" s="84"/>
      <c r="N622" s="79"/>
      <c r="O622" s="85"/>
      <c r="P622" s="85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</row>
    <row r="623" spans="1:28" ht="15.75" customHeight="1">
      <c r="A623" s="86"/>
      <c r="B623" s="79"/>
      <c r="C623" s="82"/>
      <c r="D623" s="81"/>
      <c r="E623" s="82"/>
      <c r="F623" s="81"/>
      <c r="G623" s="79"/>
      <c r="H623" s="83"/>
      <c r="I623" s="79"/>
      <c r="J623" s="79"/>
      <c r="K623" s="79"/>
      <c r="L623" s="84"/>
      <c r="M623" s="84"/>
      <c r="N623" s="79"/>
      <c r="O623" s="85"/>
      <c r="P623" s="85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</row>
    <row r="624" spans="1:28" ht="15.75" customHeight="1">
      <c r="A624" s="86"/>
      <c r="B624" s="79"/>
      <c r="C624" s="82"/>
      <c r="D624" s="81"/>
      <c r="E624" s="82"/>
      <c r="F624" s="81"/>
      <c r="G624" s="79"/>
      <c r="H624" s="83"/>
      <c r="I624" s="79"/>
      <c r="J624" s="79"/>
      <c r="K624" s="79"/>
      <c r="L624" s="84"/>
      <c r="M624" s="84"/>
      <c r="N624" s="79"/>
      <c r="O624" s="85"/>
      <c r="P624" s="85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</row>
    <row r="625" spans="1:28" ht="15.75" customHeight="1">
      <c r="A625" s="86"/>
      <c r="B625" s="79"/>
      <c r="C625" s="82"/>
      <c r="D625" s="81"/>
      <c r="E625" s="82"/>
      <c r="F625" s="81"/>
      <c r="G625" s="79"/>
      <c r="H625" s="83"/>
      <c r="I625" s="79"/>
      <c r="J625" s="79"/>
      <c r="K625" s="79"/>
      <c r="L625" s="84"/>
      <c r="M625" s="84"/>
      <c r="N625" s="79"/>
      <c r="O625" s="85"/>
      <c r="P625" s="85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</row>
    <row r="626" spans="1:28" ht="15.75" customHeight="1">
      <c r="A626" s="86"/>
      <c r="B626" s="79"/>
      <c r="C626" s="82"/>
      <c r="D626" s="81"/>
      <c r="E626" s="82"/>
      <c r="F626" s="81"/>
      <c r="G626" s="79"/>
      <c r="H626" s="83"/>
      <c r="I626" s="79"/>
      <c r="J626" s="79"/>
      <c r="K626" s="79"/>
      <c r="L626" s="84"/>
      <c r="M626" s="84"/>
      <c r="N626" s="79"/>
      <c r="O626" s="85"/>
      <c r="P626" s="85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</row>
    <row r="627" spans="1:28" ht="15.75" customHeight="1">
      <c r="A627" s="86"/>
      <c r="B627" s="79"/>
      <c r="C627" s="82"/>
      <c r="D627" s="81"/>
      <c r="E627" s="82"/>
      <c r="F627" s="81"/>
      <c r="G627" s="79"/>
      <c r="H627" s="83"/>
      <c r="I627" s="79"/>
      <c r="J627" s="79"/>
      <c r="K627" s="79"/>
      <c r="L627" s="84"/>
      <c r="M627" s="84"/>
      <c r="N627" s="79"/>
      <c r="O627" s="85"/>
      <c r="P627" s="85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</row>
    <row r="628" spans="1:28" ht="15.75" customHeight="1">
      <c r="A628" s="86"/>
      <c r="B628" s="79"/>
      <c r="C628" s="82"/>
      <c r="D628" s="81"/>
      <c r="E628" s="82"/>
      <c r="F628" s="81"/>
      <c r="G628" s="79"/>
      <c r="H628" s="83"/>
      <c r="I628" s="79"/>
      <c r="J628" s="79"/>
      <c r="K628" s="79"/>
      <c r="L628" s="84"/>
      <c r="M628" s="84"/>
      <c r="N628" s="79"/>
      <c r="O628" s="85"/>
      <c r="P628" s="85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</row>
    <row r="629" spans="1:28" ht="15.75" customHeight="1">
      <c r="A629" s="86"/>
      <c r="B629" s="79"/>
      <c r="C629" s="82"/>
      <c r="D629" s="81"/>
      <c r="E629" s="82"/>
      <c r="F629" s="81"/>
      <c r="G629" s="79"/>
      <c r="H629" s="83"/>
      <c r="I629" s="79"/>
      <c r="J629" s="79"/>
      <c r="K629" s="79"/>
      <c r="L629" s="84"/>
      <c r="M629" s="84"/>
      <c r="N629" s="79"/>
      <c r="O629" s="85"/>
      <c r="P629" s="85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</row>
    <row r="630" spans="1:28" ht="15.75" customHeight="1">
      <c r="A630" s="86"/>
      <c r="B630" s="79"/>
      <c r="C630" s="82"/>
      <c r="D630" s="81"/>
      <c r="E630" s="82"/>
      <c r="F630" s="81"/>
      <c r="G630" s="79"/>
      <c r="H630" s="83"/>
      <c r="I630" s="79"/>
      <c r="J630" s="79"/>
      <c r="K630" s="79"/>
      <c r="L630" s="84"/>
      <c r="M630" s="84"/>
      <c r="N630" s="79"/>
      <c r="O630" s="85"/>
      <c r="P630" s="85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</row>
    <row r="631" spans="1:28" ht="15.75" customHeight="1">
      <c r="A631" s="86"/>
      <c r="B631" s="79"/>
      <c r="C631" s="82"/>
      <c r="D631" s="81"/>
      <c r="E631" s="82"/>
      <c r="F631" s="81"/>
      <c r="G631" s="79"/>
      <c r="H631" s="83"/>
      <c r="I631" s="79"/>
      <c r="J631" s="79"/>
      <c r="K631" s="79"/>
      <c r="L631" s="84"/>
      <c r="M631" s="84"/>
      <c r="N631" s="79"/>
      <c r="O631" s="85"/>
      <c r="P631" s="85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</row>
    <row r="632" spans="1:28" ht="15.75" customHeight="1">
      <c r="A632" s="86"/>
      <c r="B632" s="79"/>
      <c r="C632" s="82"/>
      <c r="D632" s="81"/>
      <c r="E632" s="82"/>
      <c r="F632" s="81"/>
      <c r="G632" s="79"/>
      <c r="H632" s="83"/>
      <c r="I632" s="79"/>
      <c r="J632" s="79"/>
      <c r="K632" s="79"/>
      <c r="L632" s="84"/>
      <c r="M632" s="84"/>
      <c r="N632" s="79"/>
      <c r="O632" s="85"/>
      <c r="P632" s="85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</row>
    <row r="633" spans="1:28" ht="15.75" customHeight="1">
      <c r="A633" s="86"/>
      <c r="B633" s="79"/>
      <c r="C633" s="82"/>
      <c r="D633" s="81"/>
      <c r="E633" s="82"/>
      <c r="F633" s="81"/>
      <c r="G633" s="79"/>
      <c r="H633" s="83"/>
      <c r="I633" s="79"/>
      <c r="J633" s="79"/>
      <c r="K633" s="79"/>
      <c r="L633" s="84"/>
      <c r="M633" s="84"/>
      <c r="N633" s="79"/>
      <c r="O633" s="85"/>
      <c r="P633" s="85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</row>
    <row r="634" spans="1:28" ht="15.75" customHeight="1">
      <c r="A634" s="86"/>
      <c r="B634" s="79"/>
      <c r="C634" s="82"/>
      <c r="D634" s="81"/>
      <c r="E634" s="82"/>
      <c r="F634" s="81"/>
      <c r="G634" s="79"/>
      <c r="H634" s="83"/>
      <c r="I634" s="79"/>
      <c r="J634" s="79"/>
      <c r="K634" s="79"/>
      <c r="L634" s="84"/>
      <c r="M634" s="84"/>
      <c r="N634" s="79"/>
      <c r="O634" s="85"/>
      <c r="P634" s="85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</row>
    <row r="635" spans="1:28" ht="15.75" customHeight="1">
      <c r="A635" s="86"/>
      <c r="B635" s="79"/>
      <c r="C635" s="82"/>
      <c r="D635" s="81"/>
      <c r="E635" s="82"/>
      <c r="F635" s="81"/>
      <c r="G635" s="79"/>
      <c r="H635" s="83"/>
      <c r="I635" s="79"/>
      <c r="J635" s="79"/>
      <c r="K635" s="79"/>
      <c r="L635" s="84"/>
      <c r="M635" s="84"/>
      <c r="N635" s="79"/>
      <c r="O635" s="85"/>
      <c r="P635" s="85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</row>
    <row r="636" spans="1:28" ht="15.75" customHeight="1">
      <c r="A636" s="86"/>
      <c r="B636" s="79"/>
      <c r="C636" s="82"/>
      <c r="D636" s="81"/>
      <c r="E636" s="82"/>
      <c r="F636" s="81"/>
      <c r="G636" s="79"/>
      <c r="H636" s="83"/>
      <c r="I636" s="79"/>
      <c r="J636" s="79"/>
      <c r="K636" s="79"/>
      <c r="L636" s="84"/>
      <c r="M636" s="84"/>
      <c r="N636" s="79"/>
      <c r="O636" s="85"/>
      <c r="P636" s="85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</row>
    <row r="637" spans="1:28" ht="15.75" customHeight="1">
      <c r="A637" s="86"/>
      <c r="B637" s="79"/>
      <c r="C637" s="82"/>
      <c r="D637" s="81"/>
      <c r="E637" s="82"/>
      <c r="F637" s="81"/>
      <c r="G637" s="79"/>
      <c r="H637" s="83"/>
      <c r="I637" s="79"/>
      <c r="J637" s="79"/>
      <c r="K637" s="79"/>
      <c r="L637" s="84"/>
      <c r="M637" s="84"/>
      <c r="N637" s="79"/>
      <c r="O637" s="85"/>
      <c r="P637" s="85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</row>
    <row r="638" spans="1:28" ht="15.75" customHeight="1">
      <c r="A638" s="86"/>
      <c r="B638" s="79"/>
      <c r="C638" s="82"/>
      <c r="D638" s="81"/>
      <c r="E638" s="82"/>
      <c r="F638" s="81"/>
      <c r="G638" s="79"/>
      <c r="H638" s="83"/>
      <c r="I638" s="79"/>
      <c r="J638" s="79"/>
      <c r="K638" s="79"/>
      <c r="L638" s="84"/>
      <c r="M638" s="84"/>
      <c r="N638" s="79"/>
      <c r="O638" s="85"/>
      <c r="P638" s="85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</row>
    <row r="639" spans="1:28" ht="15.75" customHeight="1">
      <c r="A639" s="86"/>
      <c r="B639" s="79"/>
      <c r="C639" s="82"/>
      <c r="D639" s="81"/>
      <c r="E639" s="82"/>
      <c r="F639" s="81"/>
      <c r="G639" s="79"/>
      <c r="H639" s="83"/>
      <c r="I639" s="79"/>
      <c r="J639" s="79"/>
      <c r="K639" s="79"/>
      <c r="L639" s="84"/>
      <c r="M639" s="84"/>
      <c r="N639" s="79"/>
      <c r="O639" s="85"/>
      <c r="P639" s="85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</row>
    <row r="640" spans="1:28" ht="15.75" customHeight="1">
      <c r="A640" s="86"/>
      <c r="B640" s="79"/>
      <c r="C640" s="82"/>
      <c r="D640" s="81"/>
      <c r="E640" s="82"/>
      <c r="F640" s="81"/>
      <c r="G640" s="79"/>
      <c r="H640" s="83"/>
      <c r="I640" s="79"/>
      <c r="J640" s="79"/>
      <c r="K640" s="79"/>
      <c r="L640" s="84"/>
      <c r="M640" s="84"/>
      <c r="N640" s="79"/>
      <c r="O640" s="85"/>
      <c r="P640" s="85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</row>
    <row r="641" spans="1:28" ht="15.75" customHeight="1">
      <c r="A641" s="86"/>
      <c r="B641" s="79"/>
      <c r="C641" s="82"/>
      <c r="D641" s="81"/>
      <c r="E641" s="82"/>
      <c r="F641" s="81"/>
      <c r="G641" s="79"/>
      <c r="H641" s="83"/>
      <c r="I641" s="79"/>
      <c r="J641" s="79"/>
      <c r="K641" s="79"/>
      <c r="L641" s="84"/>
      <c r="M641" s="84"/>
      <c r="N641" s="79"/>
      <c r="O641" s="85"/>
      <c r="P641" s="85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</row>
    <row r="642" spans="1:28" ht="15.75" customHeight="1">
      <c r="A642" s="86"/>
      <c r="B642" s="79"/>
      <c r="C642" s="82"/>
      <c r="D642" s="81"/>
      <c r="E642" s="82"/>
      <c r="F642" s="81"/>
      <c r="G642" s="79"/>
      <c r="H642" s="83"/>
      <c r="I642" s="79"/>
      <c r="J642" s="79"/>
      <c r="K642" s="79"/>
      <c r="L642" s="84"/>
      <c r="M642" s="84"/>
      <c r="N642" s="79"/>
      <c r="O642" s="85"/>
      <c r="P642" s="85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</row>
    <row r="643" spans="1:28" ht="15.75" customHeight="1">
      <c r="A643" s="86"/>
      <c r="B643" s="79"/>
      <c r="C643" s="82"/>
      <c r="D643" s="81"/>
      <c r="E643" s="82"/>
      <c r="F643" s="81"/>
      <c r="G643" s="79"/>
      <c r="H643" s="83"/>
      <c r="I643" s="79"/>
      <c r="J643" s="79"/>
      <c r="K643" s="79"/>
      <c r="L643" s="84"/>
      <c r="M643" s="84"/>
      <c r="N643" s="79"/>
      <c r="O643" s="85"/>
      <c r="P643" s="85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</row>
    <row r="644" spans="1:28" ht="15.75" customHeight="1">
      <c r="A644" s="86"/>
      <c r="B644" s="79"/>
      <c r="C644" s="82"/>
      <c r="D644" s="81"/>
      <c r="E644" s="82"/>
      <c r="F644" s="81"/>
      <c r="G644" s="79"/>
      <c r="H644" s="83"/>
      <c r="I644" s="79"/>
      <c r="J644" s="79"/>
      <c r="K644" s="79"/>
      <c r="L644" s="84"/>
      <c r="M644" s="84"/>
      <c r="N644" s="79"/>
      <c r="O644" s="85"/>
      <c r="P644" s="85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</row>
    <row r="645" spans="1:28" ht="15.75" customHeight="1">
      <c r="A645" s="86"/>
      <c r="B645" s="79"/>
      <c r="C645" s="82"/>
      <c r="D645" s="81"/>
      <c r="E645" s="82"/>
      <c r="F645" s="81"/>
      <c r="G645" s="79"/>
      <c r="H645" s="83"/>
      <c r="I645" s="79"/>
      <c r="J645" s="79"/>
      <c r="K645" s="79"/>
      <c r="L645" s="84"/>
      <c r="M645" s="84"/>
      <c r="N645" s="79"/>
      <c r="O645" s="85"/>
      <c r="P645" s="85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</row>
    <row r="646" spans="1:28" ht="15.75" customHeight="1">
      <c r="A646" s="86"/>
      <c r="B646" s="79"/>
      <c r="C646" s="82"/>
      <c r="D646" s="81"/>
      <c r="E646" s="82"/>
      <c r="F646" s="81"/>
      <c r="G646" s="79"/>
      <c r="H646" s="83"/>
      <c r="I646" s="79"/>
      <c r="J646" s="79"/>
      <c r="K646" s="79"/>
      <c r="L646" s="84"/>
      <c r="M646" s="84"/>
      <c r="N646" s="79"/>
      <c r="O646" s="85"/>
      <c r="P646" s="85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</row>
    <row r="647" spans="1:28" ht="15.75" customHeight="1">
      <c r="A647" s="86"/>
      <c r="B647" s="79"/>
      <c r="C647" s="82"/>
      <c r="D647" s="81"/>
      <c r="E647" s="82"/>
      <c r="F647" s="81"/>
      <c r="G647" s="79"/>
      <c r="H647" s="83"/>
      <c r="I647" s="79"/>
      <c r="J647" s="79"/>
      <c r="K647" s="79"/>
      <c r="L647" s="84"/>
      <c r="M647" s="84"/>
      <c r="N647" s="79"/>
      <c r="O647" s="85"/>
      <c r="P647" s="85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</row>
    <row r="648" spans="1:28" ht="15.75" customHeight="1">
      <c r="A648" s="86"/>
      <c r="B648" s="79"/>
      <c r="C648" s="82"/>
      <c r="D648" s="81"/>
      <c r="E648" s="82"/>
      <c r="F648" s="81"/>
      <c r="G648" s="79"/>
      <c r="H648" s="83"/>
      <c r="I648" s="79"/>
      <c r="J648" s="79"/>
      <c r="K648" s="79"/>
      <c r="L648" s="84"/>
      <c r="M648" s="84"/>
      <c r="N648" s="79"/>
      <c r="O648" s="85"/>
      <c r="P648" s="85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</row>
    <row r="649" spans="1:28" ht="15.75" customHeight="1">
      <c r="A649" s="86"/>
      <c r="B649" s="79"/>
      <c r="C649" s="82"/>
      <c r="D649" s="81"/>
      <c r="E649" s="82"/>
      <c r="F649" s="81"/>
      <c r="G649" s="79"/>
      <c r="H649" s="83"/>
      <c r="I649" s="79"/>
      <c r="J649" s="79"/>
      <c r="K649" s="79"/>
      <c r="L649" s="84"/>
      <c r="M649" s="84"/>
      <c r="N649" s="79"/>
      <c r="O649" s="85"/>
      <c r="P649" s="85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</row>
    <row r="650" spans="1:28" ht="15.75" customHeight="1">
      <c r="A650" s="86"/>
      <c r="B650" s="79"/>
      <c r="C650" s="82"/>
      <c r="D650" s="81"/>
      <c r="E650" s="82"/>
      <c r="F650" s="81"/>
      <c r="G650" s="79"/>
      <c r="H650" s="83"/>
      <c r="I650" s="79"/>
      <c r="J650" s="79"/>
      <c r="K650" s="79"/>
      <c r="L650" s="84"/>
      <c r="M650" s="84"/>
      <c r="N650" s="79"/>
      <c r="O650" s="85"/>
      <c r="P650" s="85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</row>
    <row r="651" spans="1:28" ht="15.75" customHeight="1">
      <c r="A651" s="86"/>
      <c r="B651" s="79"/>
      <c r="C651" s="82"/>
      <c r="D651" s="81"/>
      <c r="E651" s="82"/>
      <c r="F651" s="81"/>
      <c r="G651" s="79"/>
      <c r="H651" s="83"/>
      <c r="I651" s="79"/>
      <c r="J651" s="79"/>
      <c r="K651" s="79"/>
      <c r="L651" s="84"/>
      <c r="M651" s="84"/>
      <c r="N651" s="79"/>
      <c r="O651" s="85"/>
      <c r="P651" s="85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</row>
    <row r="652" spans="1:28" ht="15.75" customHeight="1">
      <c r="A652" s="86"/>
      <c r="B652" s="79"/>
      <c r="C652" s="82"/>
      <c r="D652" s="81"/>
      <c r="E652" s="82"/>
      <c r="F652" s="81"/>
      <c r="G652" s="79"/>
      <c r="H652" s="83"/>
      <c r="I652" s="79"/>
      <c r="J652" s="79"/>
      <c r="K652" s="79"/>
      <c r="L652" s="84"/>
      <c r="M652" s="84"/>
      <c r="N652" s="79"/>
      <c r="O652" s="85"/>
      <c r="P652" s="85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</row>
    <row r="653" spans="1:28" ht="15.75" customHeight="1">
      <c r="A653" s="86"/>
      <c r="B653" s="79"/>
      <c r="C653" s="82"/>
      <c r="D653" s="81"/>
      <c r="E653" s="82"/>
      <c r="F653" s="81"/>
      <c r="G653" s="79"/>
      <c r="H653" s="83"/>
      <c r="I653" s="79"/>
      <c r="J653" s="79"/>
      <c r="K653" s="79"/>
      <c r="L653" s="84"/>
      <c r="M653" s="84"/>
      <c r="N653" s="79"/>
      <c r="O653" s="85"/>
      <c r="P653" s="85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</row>
    <row r="654" spans="1:28" ht="15.75" customHeight="1">
      <c r="A654" s="86"/>
      <c r="B654" s="79"/>
      <c r="C654" s="82"/>
      <c r="D654" s="81"/>
      <c r="E654" s="82"/>
      <c r="F654" s="81"/>
      <c r="G654" s="79"/>
      <c r="H654" s="83"/>
      <c r="I654" s="79"/>
      <c r="J654" s="79"/>
      <c r="K654" s="79"/>
      <c r="L654" s="84"/>
      <c r="M654" s="84"/>
      <c r="N654" s="79"/>
      <c r="O654" s="85"/>
      <c r="P654" s="85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</row>
    <row r="655" spans="1:28" ht="15.75" customHeight="1">
      <c r="A655" s="86"/>
      <c r="B655" s="79"/>
      <c r="C655" s="82"/>
      <c r="D655" s="81"/>
      <c r="E655" s="82"/>
      <c r="F655" s="81"/>
      <c r="G655" s="79"/>
      <c r="H655" s="83"/>
      <c r="I655" s="79"/>
      <c r="J655" s="79"/>
      <c r="K655" s="79"/>
      <c r="L655" s="84"/>
      <c r="M655" s="84"/>
      <c r="N655" s="79"/>
      <c r="O655" s="85"/>
      <c r="P655" s="85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</row>
    <row r="656" spans="1:28" ht="15.75" customHeight="1">
      <c r="A656" s="86"/>
      <c r="B656" s="79"/>
      <c r="C656" s="82"/>
      <c r="D656" s="81"/>
      <c r="E656" s="82"/>
      <c r="F656" s="81"/>
      <c r="G656" s="79"/>
      <c r="H656" s="83"/>
      <c r="I656" s="79"/>
      <c r="J656" s="79"/>
      <c r="K656" s="79"/>
      <c r="L656" s="84"/>
      <c r="M656" s="84"/>
      <c r="N656" s="79"/>
      <c r="O656" s="85"/>
      <c r="P656" s="85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</row>
    <row r="657" spans="1:28" ht="15.75" customHeight="1">
      <c r="A657" s="86"/>
      <c r="B657" s="79"/>
      <c r="C657" s="82"/>
      <c r="D657" s="81"/>
      <c r="E657" s="82"/>
      <c r="F657" s="81"/>
      <c r="G657" s="79"/>
      <c r="H657" s="83"/>
      <c r="I657" s="79"/>
      <c r="J657" s="79"/>
      <c r="K657" s="79"/>
      <c r="L657" s="84"/>
      <c r="M657" s="84"/>
      <c r="N657" s="79"/>
      <c r="O657" s="85"/>
      <c r="P657" s="85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</row>
    <row r="658" spans="1:28" ht="15.75" customHeight="1">
      <c r="A658" s="86"/>
      <c r="B658" s="79"/>
      <c r="C658" s="82"/>
      <c r="D658" s="81"/>
      <c r="E658" s="82"/>
      <c r="F658" s="81"/>
      <c r="G658" s="79"/>
      <c r="H658" s="83"/>
      <c r="I658" s="79"/>
      <c r="J658" s="79"/>
      <c r="K658" s="79"/>
      <c r="L658" s="84"/>
      <c r="M658" s="84"/>
      <c r="N658" s="79"/>
      <c r="O658" s="85"/>
      <c r="P658" s="85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</row>
    <row r="659" spans="1:28" ht="15.75" customHeight="1">
      <c r="A659" s="86"/>
      <c r="B659" s="79"/>
      <c r="C659" s="82"/>
      <c r="D659" s="81"/>
      <c r="E659" s="82"/>
      <c r="F659" s="81"/>
      <c r="G659" s="79"/>
      <c r="H659" s="83"/>
      <c r="I659" s="79"/>
      <c r="J659" s="79"/>
      <c r="K659" s="79"/>
      <c r="L659" s="84"/>
      <c r="M659" s="84"/>
      <c r="N659" s="79"/>
      <c r="O659" s="85"/>
      <c r="P659" s="85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</row>
    <row r="660" spans="1:28" ht="15.75" customHeight="1">
      <c r="A660" s="86"/>
      <c r="B660" s="79"/>
      <c r="C660" s="82"/>
      <c r="D660" s="81"/>
      <c r="E660" s="82"/>
      <c r="F660" s="81"/>
      <c r="G660" s="79"/>
      <c r="H660" s="83"/>
      <c r="I660" s="79"/>
      <c r="J660" s="79"/>
      <c r="K660" s="79"/>
      <c r="L660" s="84"/>
      <c r="M660" s="84"/>
      <c r="N660" s="79"/>
      <c r="O660" s="85"/>
      <c r="P660" s="85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</row>
    <row r="661" spans="1:28" ht="15.75" customHeight="1">
      <c r="A661" s="86"/>
      <c r="B661" s="79"/>
      <c r="C661" s="82"/>
      <c r="D661" s="81"/>
      <c r="E661" s="82"/>
      <c r="F661" s="81"/>
      <c r="G661" s="79"/>
      <c r="H661" s="83"/>
      <c r="I661" s="79"/>
      <c r="J661" s="79"/>
      <c r="K661" s="79"/>
      <c r="L661" s="84"/>
      <c r="M661" s="84"/>
      <c r="N661" s="79"/>
      <c r="O661" s="85"/>
      <c r="P661" s="85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</row>
    <row r="662" spans="1:28" ht="15.75" customHeight="1">
      <c r="A662" s="86"/>
      <c r="B662" s="79"/>
      <c r="C662" s="82"/>
      <c r="D662" s="81"/>
      <c r="E662" s="82"/>
      <c r="F662" s="81"/>
      <c r="G662" s="79"/>
      <c r="H662" s="83"/>
      <c r="I662" s="79"/>
      <c r="J662" s="79"/>
      <c r="K662" s="79"/>
      <c r="L662" s="84"/>
      <c r="M662" s="84"/>
      <c r="N662" s="79"/>
      <c r="O662" s="85"/>
      <c r="P662" s="85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</row>
    <row r="663" spans="1:28" ht="15.75" customHeight="1">
      <c r="A663" s="86"/>
      <c r="B663" s="79"/>
      <c r="C663" s="82"/>
      <c r="D663" s="81"/>
      <c r="E663" s="82"/>
      <c r="F663" s="81"/>
      <c r="G663" s="79"/>
      <c r="H663" s="83"/>
      <c r="I663" s="79"/>
      <c r="J663" s="79"/>
      <c r="K663" s="79"/>
      <c r="L663" s="84"/>
      <c r="M663" s="84"/>
      <c r="N663" s="79"/>
      <c r="O663" s="85"/>
      <c r="P663" s="85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</row>
    <row r="664" spans="1:28" ht="15.75" customHeight="1">
      <c r="A664" s="86"/>
      <c r="B664" s="79"/>
      <c r="C664" s="82"/>
      <c r="D664" s="81"/>
      <c r="E664" s="82"/>
      <c r="F664" s="81"/>
      <c r="G664" s="79"/>
      <c r="H664" s="83"/>
      <c r="I664" s="79"/>
      <c r="J664" s="79"/>
      <c r="K664" s="79"/>
      <c r="L664" s="84"/>
      <c r="M664" s="84"/>
      <c r="N664" s="79"/>
      <c r="O664" s="85"/>
      <c r="P664" s="85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</row>
    <row r="665" spans="1:28" ht="15.75" customHeight="1">
      <c r="A665" s="86"/>
      <c r="B665" s="79"/>
      <c r="C665" s="82"/>
      <c r="D665" s="81"/>
      <c r="E665" s="82"/>
      <c r="F665" s="81"/>
      <c r="G665" s="79"/>
      <c r="H665" s="83"/>
      <c r="I665" s="79"/>
      <c r="J665" s="79"/>
      <c r="K665" s="79"/>
      <c r="L665" s="84"/>
      <c r="M665" s="84"/>
      <c r="N665" s="79"/>
      <c r="O665" s="85"/>
      <c r="P665" s="85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</row>
    <row r="666" spans="1:28" ht="15.75" customHeight="1">
      <c r="A666" s="86"/>
      <c r="B666" s="79"/>
      <c r="C666" s="82"/>
      <c r="D666" s="81"/>
      <c r="E666" s="82"/>
      <c r="F666" s="81"/>
      <c r="G666" s="79"/>
      <c r="H666" s="83"/>
      <c r="I666" s="79"/>
      <c r="J666" s="79"/>
      <c r="K666" s="79"/>
      <c r="L666" s="84"/>
      <c r="M666" s="84"/>
      <c r="N666" s="79"/>
      <c r="O666" s="85"/>
      <c r="P666" s="85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</row>
    <row r="667" spans="1:28" ht="15.75" customHeight="1">
      <c r="A667" s="86"/>
      <c r="B667" s="79"/>
      <c r="C667" s="82"/>
      <c r="D667" s="81"/>
      <c r="E667" s="82"/>
      <c r="F667" s="81"/>
      <c r="G667" s="79"/>
      <c r="H667" s="83"/>
      <c r="I667" s="79"/>
      <c r="J667" s="79"/>
      <c r="K667" s="79"/>
      <c r="L667" s="84"/>
      <c r="M667" s="84"/>
      <c r="N667" s="79"/>
      <c r="O667" s="85"/>
      <c r="P667" s="85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</row>
    <row r="668" spans="1:28" ht="15.75" customHeight="1">
      <c r="A668" s="86"/>
      <c r="B668" s="79"/>
      <c r="C668" s="82"/>
      <c r="D668" s="81"/>
      <c r="E668" s="82"/>
      <c r="F668" s="81"/>
      <c r="G668" s="79"/>
      <c r="H668" s="83"/>
      <c r="I668" s="79"/>
      <c r="J668" s="79"/>
      <c r="K668" s="79"/>
      <c r="L668" s="84"/>
      <c r="M668" s="84"/>
      <c r="N668" s="79"/>
      <c r="O668" s="85"/>
      <c r="P668" s="85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</row>
    <row r="669" spans="1:28" ht="15.75" customHeight="1">
      <c r="A669" s="86"/>
      <c r="B669" s="79"/>
      <c r="C669" s="82"/>
      <c r="D669" s="81"/>
      <c r="E669" s="82"/>
      <c r="F669" s="81"/>
      <c r="G669" s="79"/>
      <c r="H669" s="83"/>
      <c r="I669" s="79"/>
      <c r="J669" s="79"/>
      <c r="K669" s="79"/>
      <c r="L669" s="84"/>
      <c r="M669" s="84"/>
      <c r="N669" s="79"/>
      <c r="O669" s="85"/>
      <c r="P669" s="85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</row>
    <row r="670" spans="1:28" ht="15.75" customHeight="1">
      <c r="A670" s="86"/>
      <c r="B670" s="79"/>
      <c r="C670" s="82"/>
      <c r="D670" s="81"/>
      <c r="E670" s="82"/>
      <c r="F670" s="81"/>
      <c r="G670" s="79"/>
      <c r="H670" s="83"/>
      <c r="I670" s="79"/>
      <c r="J670" s="79"/>
      <c r="K670" s="79"/>
      <c r="L670" s="84"/>
      <c r="M670" s="84"/>
      <c r="N670" s="79"/>
      <c r="O670" s="85"/>
      <c r="P670" s="85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</row>
    <row r="671" spans="1:28" ht="15.75" customHeight="1">
      <c r="A671" s="86"/>
      <c r="B671" s="79"/>
      <c r="C671" s="82"/>
      <c r="D671" s="81"/>
      <c r="E671" s="82"/>
      <c r="F671" s="81"/>
      <c r="G671" s="79"/>
      <c r="H671" s="83"/>
      <c r="I671" s="79"/>
      <c r="J671" s="79"/>
      <c r="K671" s="79"/>
      <c r="L671" s="84"/>
      <c r="M671" s="84"/>
      <c r="N671" s="79"/>
      <c r="O671" s="85"/>
      <c r="P671" s="85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</row>
    <row r="672" spans="1:28" ht="15.75" customHeight="1">
      <c r="A672" s="86"/>
      <c r="B672" s="79"/>
      <c r="C672" s="82"/>
      <c r="D672" s="81"/>
      <c r="E672" s="82"/>
      <c r="F672" s="81"/>
      <c r="G672" s="79"/>
      <c r="H672" s="83"/>
      <c r="I672" s="79"/>
      <c r="J672" s="79"/>
      <c r="K672" s="79"/>
      <c r="L672" s="84"/>
      <c r="M672" s="84"/>
      <c r="N672" s="79"/>
      <c r="O672" s="85"/>
      <c r="P672" s="85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</row>
    <row r="673" spans="1:28" ht="15.75" customHeight="1">
      <c r="A673" s="86"/>
      <c r="B673" s="79"/>
      <c r="C673" s="82"/>
      <c r="D673" s="81"/>
      <c r="E673" s="82"/>
      <c r="F673" s="81"/>
      <c r="G673" s="79"/>
      <c r="H673" s="83"/>
      <c r="I673" s="79"/>
      <c r="J673" s="79"/>
      <c r="K673" s="79"/>
      <c r="L673" s="84"/>
      <c r="M673" s="84"/>
      <c r="N673" s="79"/>
      <c r="O673" s="85"/>
      <c r="P673" s="85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</row>
    <row r="674" spans="1:28" ht="15.75" customHeight="1">
      <c r="A674" s="86"/>
      <c r="B674" s="79"/>
      <c r="C674" s="82"/>
      <c r="D674" s="81"/>
      <c r="E674" s="82"/>
      <c r="F674" s="81"/>
      <c r="G674" s="79"/>
      <c r="H674" s="83"/>
      <c r="I674" s="79"/>
      <c r="J674" s="79"/>
      <c r="K674" s="79"/>
      <c r="L674" s="84"/>
      <c r="M674" s="84"/>
      <c r="N674" s="79"/>
      <c r="O674" s="85"/>
      <c r="P674" s="85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</row>
    <row r="675" spans="1:28" ht="15.75" customHeight="1">
      <c r="A675" s="86"/>
      <c r="B675" s="79"/>
      <c r="C675" s="82"/>
      <c r="D675" s="81"/>
      <c r="E675" s="82"/>
      <c r="F675" s="81"/>
      <c r="G675" s="79"/>
      <c r="H675" s="83"/>
      <c r="I675" s="79"/>
      <c r="J675" s="79"/>
      <c r="K675" s="79"/>
      <c r="L675" s="84"/>
      <c r="M675" s="84"/>
      <c r="N675" s="79"/>
      <c r="O675" s="85"/>
      <c r="P675" s="85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</row>
    <row r="676" spans="1:28" ht="15.75" customHeight="1">
      <c r="A676" s="86"/>
      <c r="B676" s="79"/>
      <c r="C676" s="82"/>
      <c r="D676" s="81"/>
      <c r="E676" s="82"/>
      <c r="F676" s="81"/>
      <c r="G676" s="79"/>
      <c r="H676" s="83"/>
      <c r="I676" s="79"/>
      <c r="J676" s="79"/>
      <c r="K676" s="79"/>
      <c r="L676" s="84"/>
      <c r="M676" s="84"/>
      <c r="N676" s="79"/>
      <c r="O676" s="85"/>
      <c r="P676" s="85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</row>
    <row r="677" spans="1:28" ht="15.75" customHeight="1">
      <c r="A677" s="86"/>
      <c r="B677" s="79"/>
      <c r="C677" s="82"/>
      <c r="D677" s="81"/>
      <c r="E677" s="82"/>
      <c r="F677" s="81"/>
      <c r="G677" s="79"/>
      <c r="H677" s="83"/>
      <c r="I677" s="79"/>
      <c r="J677" s="79"/>
      <c r="K677" s="79"/>
      <c r="L677" s="84"/>
      <c r="M677" s="84"/>
      <c r="N677" s="79"/>
      <c r="O677" s="85"/>
      <c r="P677" s="85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</row>
    <row r="678" spans="1:28" ht="15.75" customHeight="1">
      <c r="A678" s="86"/>
      <c r="B678" s="79"/>
      <c r="C678" s="82"/>
      <c r="D678" s="81"/>
      <c r="E678" s="82"/>
      <c r="F678" s="81"/>
      <c r="G678" s="79"/>
      <c r="H678" s="83"/>
      <c r="I678" s="79"/>
      <c r="J678" s="79"/>
      <c r="K678" s="79"/>
      <c r="L678" s="84"/>
      <c r="M678" s="84"/>
      <c r="N678" s="79"/>
      <c r="O678" s="85"/>
      <c r="P678" s="85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</row>
    <row r="679" spans="1:28" ht="15.75" customHeight="1">
      <c r="A679" s="86"/>
      <c r="B679" s="79"/>
      <c r="C679" s="82"/>
      <c r="D679" s="81"/>
      <c r="E679" s="82"/>
      <c r="F679" s="81"/>
      <c r="G679" s="79"/>
      <c r="H679" s="83"/>
      <c r="I679" s="79"/>
      <c r="J679" s="79"/>
      <c r="K679" s="79"/>
      <c r="L679" s="84"/>
      <c r="M679" s="84"/>
      <c r="N679" s="79"/>
      <c r="O679" s="85"/>
      <c r="P679" s="85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</row>
    <row r="680" spans="1:28" ht="15.75" customHeight="1">
      <c r="A680" s="86"/>
      <c r="B680" s="79"/>
      <c r="C680" s="82"/>
      <c r="D680" s="81"/>
      <c r="E680" s="82"/>
      <c r="F680" s="81"/>
      <c r="G680" s="79"/>
      <c r="H680" s="83"/>
      <c r="I680" s="79"/>
      <c r="J680" s="79"/>
      <c r="K680" s="79"/>
      <c r="L680" s="84"/>
      <c r="M680" s="84"/>
      <c r="N680" s="79"/>
      <c r="O680" s="85"/>
      <c r="P680" s="85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</row>
    <row r="681" spans="1:28" ht="15.75" customHeight="1">
      <c r="A681" s="86"/>
      <c r="B681" s="79"/>
      <c r="C681" s="82"/>
      <c r="D681" s="81"/>
      <c r="E681" s="82"/>
      <c r="F681" s="81"/>
      <c r="G681" s="79"/>
      <c r="H681" s="83"/>
      <c r="I681" s="79"/>
      <c r="J681" s="79"/>
      <c r="K681" s="79"/>
      <c r="L681" s="84"/>
      <c r="M681" s="84"/>
      <c r="N681" s="79"/>
      <c r="O681" s="85"/>
      <c r="P681" s="85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</row>
    <row r="682" spans="1:28" ht="15.75" customHeight="1">
      <c r="A682" s="86"/>
      <c r="B682" s="79"/>
      <c r="C682" s="82"/>
      <c r="D682" s="81"/>
      <c r="E682" s="82"/>
      <c r="F682" s="81"/>
      <c r="G682" s="79"/>
      <c r="H682" s="83"/>
      <c r="I682" s="79"/>
      <c r="J682" s="79"/>
      <c r="K682" s="79"/>
      <c r="L682" s="84"/>
      <c r="M682" s="84"/>
      <c r="N682" s="79"/>
      <c r="O682" s="85"/>
      <c r="P682" s="85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</row>
    <row r="683" spans="1:28" ht="15.75" customHeight="1">
      <c r="A683" s="86"/>
      <c r="B683" s="79"/>
      <c r="C683" s="82"/>
      <c r="D683" s="81"/>
      <c r="E683" s="82"/>
      <c r="F683" s="81"/>
      <c r="G683" s="79"/>
      <c r="H683" s="83"/>
      <c r="I683" s="79"/>
      <c r="J683" s="79"/>
      <c r="K683" s="79"/>
      <c r="L683" s="84"/>
      <c r="M683" s="84"/>
      <c r="N683" s="79"/>
      <c r="O683" s="85"/>
      <c r="P683" s="85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</row>
    <row r="684" spans="1:28" ht="15.75" customHeight="1">
      <c r="A684" s="86"/>
      <c r="B684" s="79"/>
      <c r="C684" s="82"/>
      <c r="D684" s="81"/>
      <c r="E684" s="82"/>
      <c r="F684" s="81"/>
      <c r="G684" s="79"/>
      <c r="H684" s="83"/>
      <c r="I684" s="79"/>
      <c r="J684" s="79"/>
      <c r="K684" s="79"/>
      <c r="L684" s="84"/>
      <c r="M684" s="84"/>
      <c r="N684" s="79"/>
      <c r="O684" s="85"/>
      <c r="P684" s="85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</row>
    <row r="685" spans="1:28" ht="15.75" customHeight="1">
      <c r="A685" s="86"/>
      <c r="B685" s="79"/>
      <c r="C685" s="82"/>
      <c r="D685" s="81"/>
      <c r="E685" s="82"/>
      <c r="F685" s="81"/>
      <c r="G685" s="79"/>
      <c r="H685" s="83"/>
      <c r="I685" s="79"/>
      <c r="J685" s="79"/>
      <c r="K685" s="79"/>
      <c r="L685" s="84"/>
      <c r="M685" s="84"/>
      <c r="N685" s="79"/>
      <c r="O685" s="85"/>
      <c r="P685" s="85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</row>
    <row r="686" spans="1:28" ht="15.75" customHeight="1">
      <c r="A686" s="86"/>
      <c r="B686" s="79"/>
      <c r="C686" s="82"/>
      <c r="D686" s="81"/>
      <c r="E686" s="82"/>
      <c r="F686" s="81"/>
      <c r="G686" s="79"/>
      <c r="H686" s="83"/>
      <c r="I686" s="79"/>
      <c r="J686" s="79"/>
      <c r="K686" s="79"/>
      <c r="L686" s="84"/>
      <c r="M686" s="84"/>
      <c r="N686" s="79"/>
      <c r="O686" s="85"/>
      <c r="P686" s="85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</row>
    <row r="687" spans="1:28" ht="15.75" customHeight="1">
      <c r="A687" s="86"/>
      <c r="B687" s="79"/>
      <c r="C687" s="82"/>
      <c r="D687" s="81"/>
      <c r="E687" s="82"/>
      <c r="F687" s="81"/>
      <c r="G687" s="79"/>
      <c r="H687" s="83"/>
      <c r="I687" s="79"/>
      <c r="J687" s="79"/>
      <c r="K687" s="79"/>
      <c r="L687" s="84"/>
      <c r="M687" s="84"/>
      <c r="N687" s="79"/>
      <c r="O687" s="85"/>
      <c r="P687" s="85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</row>
    <row r="688" spans="1:28" ht="15.75" customHeight="1">
      <c r="A688" s="86"/>
      <c r="B688" s="79"/>
      <c r="C688" s="82"/>
      <c r="D688" s="81"/>
      <c r="E688" s="82"/>
      <c r="F688" s="81"/>
      <c r="G688" s="79"/>
      <c r="H688" s="83"/>
      <c r="I688" s="79"/>
      <c r="J688" s="79"/>
      <c r="K688" s="79"/>
      <c r="L688" s="84"/>
      <c r="M688" s="84"/>
      <c r="N688" s="79"/>
      <c r="O688" s="85"/>
      <c r="P688" s="85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</row>
    <row r="689" spans="1:28" ht="15.75" customHeight="1">
      <c r="A689" s="86"/>
      <c r="B689" s="79"/>
      <c r="C689" s="82"/>
      <c r="D689" s="81"/>
      <c r="E689" s="82"/>
      <c r="F689" s="81"/>
      <c r="G689" s="79"/>
      <c r="H689" s="83"/>
      <c r="I689" s="79"/>
      <c r="J689" s="79"/>
      <c r="K689" s="79"/>
      <c r="L689" s="84"/>
      <c r="M689" s="84"/>
      <c r="N689" s="79"/>
      <c r="O689" s="85"/>
      <c r="P689" s="85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</row>
    <row r="690" spans="1:28" ht="15.75" customHeight="1">
      <c r="A690" s="86"/>
      <c r="B690" s="79"/>
      <c r="C690" s="82"/>
      <c r="D690" s="81"/>
      <c r="E690" s="82"/>
      <c r="F690" s="81"/>
      <c r="G690" s="79"/>
      <c r="H690" s="83"/>
      <c r="I690" s="79"/>
      <c r="J690" s="79"/>
      <c r="K690" s="79"/>
      <c r="L690" s="84"/>
      <c r="M690" s="84"/>
      <c r="N690" s="79"/>
      <c r="O690" s="85"/>
      <c r="P690" s="85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</row>
    <row r="691" spans="1:28" ht="15.75" customHeight="1">
      <c r="A691" s="86"/>
      <c r="B691" s="79"/>
      <c r="C691" s="82"/>
      <c r="D691" s="81"/>
      <c r="E691" s="82"/>
      <c r="F691" s="81"/>
      <c r="G691" s="79"/>
      <c r="H691" s="83"/>
      <c r="I691" s="79"/>
      <c r="J691" s="79"/>
      <c r="K691" s="79"/>
      <c r="L691" s="84"/>
      <c r="M691" s="84"/>
      <c r="N691" s="79"/>
      <c r="O691" s="85"/>
      <c r="P691" s="85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</row>
    <row r="692" spans="1:28" ht="15.75" customHeight="1">
      <c r="A692" s="86"/>
      <c r="B692" s="79"/>
      <c r="C692" s="82"/>
      <c r="D692" s="81"/>
      <c r="E692" s="82"/>
      <c r="F692" s="81"/>
      <c r="G692" s="79"/>
      <c r="H692" s="83"/>
      <c r="I692" s="79"/>
      <c r="J692" s="79"/>
      <c r="K692" s="79"/>
      <c r="L692" s="84"/>
      <c r="M692" s="84"/>
      <c r="N692" s="79"/>
      <c r="O692" s="85"/>
      <c r="P692" s="85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</row>
    <row r="693" spans="1:28" ht="15.75" customHeight="1">
      <c r="A693" s="86"/>
      <c r="B693" s="79"/>
      <c r="C693" s="82"/>
      <c r="D693" s="81"/>
      <c r="E693" s="82"/>
      <c r="F693" s="81"/>
      <c r="G693" s="79"/>
      <c r="H693" s="83"/>
      <c r="I693" s="79"/>
      <c r="J693" s="79"/>
      <c r="K693" s="79"/>
      <c r="L693" s="84"/>
      <c r="M693" s="84"/>
      <c r="N693" s="79"/>
      <c r="O693" s="85"/>
      <c r="P693" s="85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</row>
    <row r="694" spans="1:28" ht="15.75" customHeight="1">
      <c r="A694" s="86"/>
      <c r="B694" s="79"/>
      <c r="C694" s="82"/>
      <c r="D694" s="81"/>
      <c r="E694" s="82"/>
      <c r="F694" s="81"/>
      <c r="G694" s="79"/>
      <c r="H694" s="83"/>
      <c r="I694" s="79"/>
      <c r="J694" s="79"/>
      <c r="K694" s="79"/>
      <c r="L694" s="84"/>
      <c r="M694" s="84"/>
      <c r="N694" s="79"/>
      <c r="O694" s="85"/>
      <c r="P694" s="85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</row>
    <row r="695" spans="1:28" ht="15.75" customHeight="1">
      <c r="A695" s="86"/>
      <c r="B695" s="79"/>
      <c r="C695" s="82"/>
      <c r="D695" s="81"/>
      <c r="E695" s="82"/>
      <c r="F695" s="81"/>
      <c r="G695" s="79"/>
      <c r="H695" s="83"/>
      <c r="I695" s="79"/>
      <c r="J695" s="79"/>
      <c r="K695" s="79"/>
      <c r="L695" s="84"/>
      <c r="M695" s="84"/>
      <c r="N695" s="79"/>
      <c r="O695" s="85"/>
      <c r="P695" s="85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</row>
    <row r="696" spans="1:28" ht="15.75" customHeight="1">
      <c r="A696" s="86"/>
      <c r="B696" s="79"/>
      <c r="C696" s="82"/>
      <c r="D696" s="81"/>
      <c r="E696" s="82"/>
      <c r="F696" s="81"/>
      <c r="G696" s="79"/>
      <c r="H696" s="83"/>
      <c r="I696" s="79"/>
      <c r="J696" s="79"/>
      <c r="K696" s="79"/>
      <c r="L696" s="84"/>
      <c r="M696" s="84"/>
      <c r="N696" s="79"/>
      <c r="O696" s="85"/>
      <c r="P696" s="85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</row>
    <row r="697" spans="1:28" ht="15.75" customHeight="1">
      <c r="A697" s="86"/>
      <c r="B697" s="79"/>
      <c r="C697" s="82"/>
      <c r="D697" s="81"/>
      <c r="E697" s="82"/>
      <c r="F697" s="81"/>
      <c r="G697" s="79"/>
      <c r="H697" s="83"/>
      <c r="I697" s="79"/>
      <c r="J697" s="79"/>
      <c r="K697" s="79"/>
      <c r="L697" s="84"/>
      <c r="M697" s="84"/>
      <c r="N697" s="79"/>
      <c r="O697" s="85"/>
      <c r="P697" s="85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</row>
    <row r="698" spans="1:28" ht="15.75" customHeight="1">
      <c r="A698" s="86"/>
      <c r="B698" s="79"/>
      <c r="C698" s="82"/>
      <c r="D698" s="81"/>
      <c r="E698" s="82"/>
      <c r="F698" s="81"/>
      <c r="G698" s="79"/>
      <c r="H698" s="83"/>
      <c r="I698" s="79"/>
      <c r="J698" s="79"/>
      <c r="K698" s="79"/>
      <c r="L698" s="84"/>
      <c r="M698" s="84"/>
      <c r="N698" s="79"/>
      <c r="O698" s="85"/>
      <c r="P698" s="85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</row>
    <row r="699" spans="1:28" ht="15.75" customHeight="1">
      <c r="A699" s="86"/>
      <c r="B699" s="79"/>
      <c r="C699" s="82"/>
      <c r="D699" s="81"/>
      <c r="E699" s="82"/>
      <c r="F699" s="81"/>
      <c r="G699" s="79"/>
      <c r="H699" s="83"/>
      <c r="I699" s="79"/>
      <c r="J699" s="79"/>
      <c r="K699" s="79"/>
      <c r="L699" s="84"/>
      <c r="M699" s="84"/>
      <c r="N699" s="79"/>
      <c r="O699" s="85"/>
      <c r="P699" s="85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</row>
    <row r="700" spans="1:28" ht="15.75" customHeight="1">
      <c r="A700" s="86"/>
      <c r="B700" s="79"/>
      <c r="C700" s="82"/>
      <c r="D700" s="81"/>
      <c r="E700" s="82"/>
      <c r="F700" s="81"/>
      <c r="G700" s="79"/>
      <c r="H700" s="83"/>
      <c r="I700" s="79"/>
      <c r="J700" s="79"/>
      <c r="K700" s="79"/>
      <c r="L700" s="84"/>
      <c r="M700" s="84"/>
      <c r="N700" s="79"/>
      <c r="O700" s="85"/>
      <c r="P700" s="85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</row>
    <row r="701" spans="1:28" ht="15.75" customHeight="1">
      <c r="A701" s="86"/>
      <c r="B701" s="79"/>
      <c r="C701" s="82"/>
      <c r="D701" s="81"/>
      <c r="E701" s="82"/>
      <c r="F701" s="81"/>
      <c r="G701" s="79"/>
      <c r="H701" s="83"/>
      <c r="I701" s="79"/>
      <c r="J701" s="79"/>
      <c r="K701" s="79"/>
      <c r="L701" s="84"/>
      <c r="M701" s="84"/>
      <c r="N701" s="79"/>
      <c r="O701" s="85"/>
      <c r="P701" s="85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</row>
    <row r="702" spans="1:28" ht="15.75" customHeight="1">
      <c r="A702" s="86"/>
      <c r="B702" s="79"/>
      <c r="C702" s="82"/>
      <c r="D702" s="81"/>
      <c r="E702" s="82"/>
      <c r="F702" s="81"/>
      <c r="G702" s="79"/>
      <c r="H702" s="83"/>
      <c r="I702" s="79"/>
      <c r="J702" s="79"/>
      <c r="K702" s="79"/>
      <c r="L702" s="84"/>
      <c r="M702" s="84"/>
      <c r="N702" s="79"/>
      <c r="O702" s="85"/>
      <c r="P702" s="85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</row>
    <row r="703" spans="1:28" ht="15.75" customHeight="1">
      <c r="A703" s="86"/>
      <c r="B703" s="79"/>
      <c r="C703" s="82"/>
      <c r="D703" s="81"/>
      <c r="E703" s="82"/>
      <c r="F703" s="81"/>
      <c r="G703" s="79"/>
      <c r="H703" s="83"/>
      <c r="I703" s="79"/>
      <c r="J703" s="79"/>
      <c r="K703" s="79"/>
      <c r="L703" s="84"/>
      <c r="M703" s="84"/>
      <c r="N703" s="79"/>
      <c r="O703" s="85"/>
      <c r="P703" s="85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</row>
    <row r="704" spans="1:28" ht="15.75" customHeight="1">
      <c r="A704" s="86"/>
      <c r="B704" s="79"/>
      <c r="C704" s="82"/>
      <c r="D704" s="81"/>
      <c r="E704" s="82"/>
      <c r="F704" s="81"/>
      <c r="G704" s="79"/>
      <c r="H704" s="83"/>
      <c r="I704" s="79"/>
      <c r="J704" s="79"/>
      <c r="K704" s="79"/>
      <c r="L704" s="84"/>
      <c r="M704" s="84"/>
      <c r="N704" s="79"/>
      <c r="O704" s="85"/>
      <c r="P704" s="85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</row>
    <row r="705" spans="1:28" ht="15.75" customHeight="1">
      <c r="A705" s="86"/>
      <c r="B705" s="79"/>
      <c r="C705" s="82"/>
      <c r="D705" s="81"/>
      <c r="E705" s="82"/>
      <c r="F705" s="81"/>
      <c r="G705" s="79"/>
      <c r="H705" s="83"/>
      <c r="I705" s="79"/>
      <c r="J705" s="79"/>
      <c r="K705" s="79"/>
      <c r="L705" s="84"/>
      <c r="M705" s="84"/>
      <c r="N705" s="79"/>
      <c r="O705" s="85"/>
      <c r="P705" s="85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</row>
    <row r="706" spans="1:28" ht="15.75" customHeight="1">
      <c r="A706" s="86"/>
      <c r="B706" s="79"/>
      <c r="C706" s="82"/>
      <c r="D706" s="81"/>
      <c r="E706" s="82"/>
      <c r="F706" s="81"/>
      <c r="G706" s="79"/>
      <c r="H706" s="83"/>
      <c r="I706" s="79"/>
      <c r="J706" s="79"/>
      <c r="K706" s="79"/>
      <c r="L706" s="84"/>
      <c r="M706" s="84"/>
      <c r="N706" s="79"/>
      <c r="O706" s="85"/>
      <c r="P706" s="85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</row>
    <row r="707" spans="1:28" ht="15.75" customHeight="1">
      <c r="A707" s="86"/>
      <c r="B707" s="79"/>
      <c r="C707" s="82"/>
      <c r="D707" s="81"/>
      <c r="E707" s="82"/>
      <c r="F707" s="81"/>
      <c r="G707" s="79"/>
      <c r="H707" s="83"/>
      <c r="I707" s="79"/>
      <c r="J707" s="79"/>
      <c r="K707" s="79"/>
      <c r="L707" s="84"/>
      <c r="M707" s="84"/>
      <c r="N707" s="79"/>
      <c r="O707" s="85"/>
      <c r="P707" s="85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</row>
    <row r="708" spans="1:28" ht="15.75" customHeight="1">
      <c r="A708" s="86"/>
      <c r="B708" s="79"/>
      <c r="C708" s="82"/>
      <c r="D708" s="81"/>
      <c r="E708" s="82"/>
      <c r="F708" s="81"/>
      <c r="G708" s="79"/>
      <c r="H708" s="83"/>
      <c r="I708" s="79"/>
      <c r="J708" s="79"/>
      <c r="K708" s="79"/>
      <c r="L708" s="84"/>
      <c r="M708" s="84"/>
      <c r="N708" s="79"/>
      <c r="O708" s="85"/>
      <c r="P708" s="85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</row>
    <row r="709" spans="1:28" ht="15.75" customHeight="1">
      <c r="A709" s="86"/>
      <c r="B709" s="79"/>
      <c r="C709" s="82"/>
      <c r="D709" s="81"/>
      <c r="E709" s="82"/>
      <c r="F709" s="81"/>
      <c r="G709" s="79"/>
      <c r="H709" s="83"/>
      <c r="I709" s="79"/>
      <c r="J709" s="79"/>
      <c r="K709" s="79"/>
      <c r="L709" s="84"/>
      <c r="M709" s="84"/>
      <c r="N709" s="79"/>
      <c r="O709" s="85"/>
      <c r="P709" s="85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</row>
    <row r="710" spans="1:28" ht="15.75" customHeight="1">
      <c r="A710" s="86"/>
      <c r="B710" s="79"/>
      <c r="C710" s="82"/>
      <c r="D710" s="81"/>
      <c r="E710" s="82"/>
      <c r="F710" s="81"/>
      <c r="G710" s="79"/>
      <c r="H710" s="83"/>
      <c r="I710" s="79"/>
      <c r="J710" s="79"/>
      <c r="K710" s="79"/>
      <c r="L710" s="84"/>
      <c r="M710" s="84"/>
      <c r="N710" s="79"/>
      <c r="O710" s="85"/>
      <c r="P710" s="85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</row>
    <row r="711" spans="1:28" ht="15.75" customHeight="1">
      <c r="A711" s="86"/>
      <c r="B711" s="79"/>
      <c r="C711" s="82"/>
      <c r="D711" s="81"/>
      <c r="E711" s="82"/>
      <c r="F711" s="81"/>
      <c r="G711" s="79"/>
      <c r="H711" s="83"/>
      <c r="I711" s="79"/>
      <c r="J711" s="79"/>
      <c r="K711" s="79"/>
      <c r="L711" s="84"/>
      <c r="M711" s="84"/>
      <c r="N711" s="79"/>
      <c r="O711" s="85"/>
      <c r="P711" s="85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</row>
    <row r="712" spans="1:28" ht="15.75" customHeight="1">
      <c r="A712" s="86"/>
      <c r="B712" s="79"/>
      <c r="C712" s="82"/>
      <c r="D712" s="81"/>
      <c r="E712" s="82"/>
      <c r="F712" s="81"/>
      <c r="G712" s="79"/>
      <c r="H712" s="83"/>
      <c r="I712" s="79"/>
      <c r="J712" s="79"/>
      <c r="K712" s="79"/>
      <c r="L712" s="84"/>
      <c r="M712" s="84"/>
      <c r="N712" s="79"/>
      <c r="O712" s="85"/>
      <c r="P712" s="85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</row>
    <row r="713" spans="1:28" ht="15.75" customHeight="1">
      <c r="A713" s="86"/>
      <c r="B713" s="79"/>
      <c r="C713" s="82"/>
      <c r="D713" s="81"/>
      <c r="E713" s="82"/>
      <c r="F713" s="81"/>
      <c r="G713" s="79"/>
      <c r="H713" s="83"/>
      <c r="I713" s="79"/>
      <c r="J713" s="79"/>
      <c r="K713" s="79"/>
      <c r="L713" s="84"/>
      <c r="M713" s="84"/>
      <c r="N713" s="79"/>
      <c r="O713" s="85"/>
      <c r="P713" s="85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</row>
    <row r="714" spans="1:28" ht="15.75" customHeight="1">
      <c r="A714" s="86"/>
      <c r="B714" s="79"/>
      <c r="C714" s="82"/>
      <c r="D714" s="81"/>
      <c r="E714" s="82"/>
      <c r="F714" s="81"/>
      <c r="G714" s="79"/>
      <c r="H714" s="83"/>
      <c r="I714" s="79"/>
      <c r="J714" s="79"/>
      <c r="K714" s="79"/>
      <c r="L714" s="84"/>
      <c r="M714" s="84"/>
      <c r="N714" s="79"/>
      <c r="O714" s="85"/>
      <c r="P714" s="85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</row>
    <row r="715" spans="1:28" ht="15.75" customHeight="1">
      <c r="A715" s="86"/>
      <c r="B715" s="79"/>
      <c r="C715" s="82"/>
      <c r="D715" s="81"/>
      <c r="E715" s="82"/>
      <c r="F715" s="81"/>
      <c r="G715" s="79"/>
      <c r="H715" s="83"/>
      <c r="I715" s="79"/>
      <c r="J715" s="79"/>
      <c r="K715" s="79"/>
      <c r="L715" s="84"/>
      <c r="M715" s="84"/>
      <c r="N715" s="79"/>
      <c r="O715" s="85"/>
      <c r="P715" s="85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</row>
    <row r="716" spans="1:28" ht="15.75" customHeight="1">
      <c r="A716" s="86"/>
      <c r="B716" s="79"/>
      <c r="C716" s="82"/>
      <c r="D716" s="81"/>
      <c r="E716" s="82"/>
      <c r="F716" s="81"/>
      <c r="G716" s="79"/>
      <c r="H716" s="83"/>
      <c r="I716" s="79"/>
      <c r="J716" s="79"/>
      <c r="K716" s="79"/>
      <c r="L716" s="84"/>
      <c r="M716" s="84"/>
      <c r="N716" s="79"/>
      <c r="O716" s="85"/>
      <c r="P716" s="85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</row>
    <row r="717" spans="1:28" ht="15.75" customHeight="1">
      <c r="A717" s="86"/>
      <c r="B717" s="79"/>
      <c r="C717" s="82"/>
      <c r="D717" s="81"/>
      <c r="E717" s="82"/>
      <c r="F717" s="81"/>
      <c r="G717" s="79"/>
      <c r="H717" s="83"/>
      <c r="I717" s="79"/>
      <c r="J717" s="79"/>
      <c r="K717" s="79"/>
      <c r="L717" s="84"/>
      <c r="M717" s="84"/>
      <c r="N717" s="79"/>
      <c r="O717" s="85"/>
      <c r="P717" s="85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</row>
    <row r="718" spans="1:28" ht="15.75" customHeight="1">
      <c r="A718" s="86"/>
      <c r="B718" s="79"/>
      <c r="C718" s="82"/>
      <c r="D718" s="81"/>
      <c r="E718" s="82"/>
      <c r="F718" s="81"/>
      <c r="G718" s="79"/>
      <c r="H718" s="83"/>
      <c r="I718" s="79"/>
      <c r="J718" s="79"/>
      <c r="K718" s="79"/>
      <c r="L718" s="84"/>
      <c r="M718" s="84"/>
      <c r="N718" s="79"/>
      <c r="O718" s="85"/>
      <c r="P718" s="85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</row>
    <row r="719" spans="1:28" ht="15.75" customHeight="1">
      <c r="A719" s="86"/>
      <c r="B719" s="79"/>
      <c r="C719" s="82"/>
      <c r="D719" s="81"/>
      <c r="E719" s="82"/>
      <c r="F719" s="81"/>
      <c r="G719" s="79"/>
      <c r="H719" s="83"/>
      <c r="I719" s="79"/>
      <c r="J719" s="79"/>
      <c r="K719" s="79"/>
      <c r="L719" s="84"/>
      <c r="M719" s="84"/>
      <c r="N719" s="79"/>
      <c r="O719" s="85"/>
      <c r="P719" s="85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</row>
    <row r="720" spans="1:28" ht="15.75" customHeight="1">
      <c r="A720" s="86"/>
      <c r="B720" s="79"/>
      <c r="C720" s="82"/>
      <c r="D720" s="81"/>
      <c r="E720" s="82"/>
      <c r="F720" s="81"/>
      <c r="G720" s="79"/>
      <c r="H720" s="83"/>
      <c r="I720" s="79"/>
      <c r="J720" s="79"/>
      <c r="K720" s="79"/>
      <c r="L720" s="84"/>
      <c r="M720" s="84"/>
      <c r="N720" s="79"/>
      <c r="O720" s="85"/>
      <c r="P720" s="85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</row>
    <row r="721" spans="1:28" ht="15.75" customHeight="1">
      <c r="A721" s="86"/>
      <c r="B721" s="79"/>
      <c r="C721" s="82"/>
      <c r="D721" s="81"/>
      <c r="E721" s="82"/>
      <c r="F721" s="81"/>
      <c r="G721" s="79"/>
      <c r="H721" s="83"/>
      <c r="I721" s="79"/>
      <c r="J721" s="79"/>
      <c r="K721" s="79"/>
      <c r="L721" s="84"/>
      <c r="M721" s="84"/>
      <c r="N721" s="79"/>
      <c r="O721" s="85"/>
      <c r="P721" s="85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</row>
    <row r="722" spans="1:28" ht="15.75" customHeight="1">
      <c r="A722" s="86"/>
      <c r="B722" s="79"/>
      <c r="C722" s="82"/>
      <c r="D722" s="81"/>
      <c r="E722" s="82"/>
      <c r="F722" s="81"/>
      <c r="G722" s="79"/>
      <c r="H722" s="83"/>
      <c r="I722" s="79"/>
      <c r="J722" s="79"/>
      <c r="K722" s="79"/>
      <c r="L722" s="84"/>
      <c r="M722" s="84"/>
      <c r="N722" s="79"/>
      <c r="O722" s="85"/>
      <c r="P722" s="85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</row>
    <row r="723" spans="1:28" ht="15.75" customHeight="1">
      <c r="A723" s="86"/>
      <c r="B723" s="79"/>
      <c r="C723" s="82"/>
      <c r="D723" s="81"/>
      <c r="E723" s="82"/>
      <c r="F723" s="81"/>
      <c r="G723" s="79"/>
      <c r="H723" s="83"/>
      <c r="I723" s="79"/>
      <c r="J723" s="79"/>
      <c r="K723" s="79"/>
      <c r="L723" s="84"/>
      <c r="M723" s="84"/>
      <c r="N723" s="79"/>
      <c r="O723" s="85"/>
      <c r="P723" s="85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</row>
    <row r="724" spans="1:28" ht="15.75" customHeight="1">
      <c r="A724" s="86"/>
      <c r="B724" s="79"/>
      <c r="C724" s="82"/>
      <c r="D724" s="81"/>
      <c r="E724" s="82"/>
      <c r="F724" s="81"/>
      <c r="G724" s="79"/>
      <c r="H724" s="83"/>
      <c r="I724" s="79"/>
      <c r="J724" s="79"/>
      <c r="K724" s="79"/>
      <c r="L724" s="84"/>
      <c r="M724" s="84"/>
      <c r="N724" s="79"/>
      <c r="O724" s="85"/>
      <c r="P724" s="85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</row>
    <row r="725" spans="1:28" ht="15.75" customHeight="1">
      <c r="A725" s="86"/>
      <c r="B725" s="79"/>
      <c r="C725" s="82"/>
      <c r="D725" s="81"/>
      <c r="E725" s="82"/>
      <c r="F725" s="81"/>
      <c r="G725" s="79"/>
      <c r="H725" s="83"/>
      <c r="I725" s="79"/>
      <c r="J725" s="79"/>
      <c r="K725" s="79"/>
      <c r="L725" s="84"/>
      <c r="M725" s="84"/>
      <c r="N725" s="79"/>
      <c r="O725" s="85"/>
      <c r="P725" s="85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</row>
    <row r="726" spans="1:28" ht="15.75" customHeight="1">
      <c r="A726" s="86"/>
      <c r="B726" s="79"/>
      <c r="C726" s="82"/>
      <c r="D726" s="81"/>
      <c r="E726" s="82"/>
      <c r="F726" s="81"/>
      <c r="G726" s="79"/>
      <c r="H726" s="83"/>
      <c r="I726" s="79"/>
      <c r="J726" s="79"/>
      <c r="K726" s="79"/>
      <c r="L726" s="84"/>
      <c r="M726" s="84"/>
      <c r="N726" s="79"/>
      <c r="O726" s="85"/>
      <c r="P726" s="85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</row>
    <row r="727" spans="1:28" ht="15.75" customHeight="1">
      <c r="A727" s="86"/>
      <c r="B727" s="79"/>
      <c r="C727" s="82"/>
      <c r="D727" s="81"/>
      <c r="E727" s="82"/>
      <c r="F727" s="81"/>
      <c r="G727" s="79"/>
      <c r="H727" s="83"/>
      <c r="I727" s="79"/>
      <c r="J727" s="79"/>
      <c r="K727" s="79"/>
      <c r="L727" s="84"/>
      <c r="M727" s="84"/>
      <c r="N727" s="79"/>
      <c r="O727" s="85"/>
      <c r="P727" s="85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</row>
    <row r="728" spans="1:28" ht="15.75" customHeight="1">
      <c r="A728" s="86"/>
      <c r="B728" s="79"/>
      <c r="C728" s="82"/>
      <c r="D728" s="81"/>
      <c r="E728" s="82"/>
      <c r="F728" s="81"/>
      <c r="G728" s="79"/>
      <c r="H728" s="83"/>
      <c r="I728" s="79"/>
      <c r="J728" s="79"/>
      <c r="K728" s="79"/>
      <c r="L728" s="84"/>
      <c r="M728" s="84"/>
      <c r="N728" s="79"/>
      <c r="O728" s="85"/>
      <c r="P728" s="85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</row>
    <row r="729" spans="1:28" ht="15.75" customHeight="1">
      <c r="A729" s="86"/>
      <c r="B729" s="79"/>
      <c r="C729" s="82"/>
      <c r="D729" s="81"/>
      <c r="E729" s="82"/>
      <c r="F729" s="81"/>
      <c r="G729" s="79"/>
      <c r="H729" s="83"/>
      <c r="I729" s="79"/>
      <c r="J729" s="79"/>
      <c r="K729" s="79"/>
      <c r="L729" s="84"/>
      <c r="M729" s="84"/>
      <c r="N729" s="79"/>
      <c r="O729" s="85"/>
      <c r="P729" s="85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</row>
    <row r="730" spans="1:28" ht="15.75" customHeight="1">
      <c r="A730" s="86"/>
      <c r="B730" s="79"/>
      <c r="C730" s="82"/>
      <c r="D730" s="81"/>
      <c r="E730" s="82"/>
      <c r="F730" s="81"/>
      <c r="G730" s="79"/>
      <c r="H730" s="83"/>
      <c r="I730" s="79"/>
      <c r="J730" s="79"/>
      <c r="K730" s="79"/>
      <c r="L730" s="84"/>
      <c r="M730" s="84"/>
      <c r="N730" s="79"/>
      <c r="O730" s="85"/>
      <c r="P730" s="85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</row>
    <row r="731" spans="1:28" ht="15.75" customHeight="1">
      <c r="A731" s="86"/>
      <c r="B731" s="79"/>
      <c r="C731" s="82"/>
      <c r="D731" s="81"/>
      <c r="E731" s="82"/>
      <c r="F731" s="81"/>
      <c r="G731" s="79"/>
      <c r="H731" s="83"/>
      <c r="I731" s="79"/>
      <c r="J731" s="79"/>
      <c r="K731" s="79"/>
      <c r="L731" s="84"/>
      <c r="M731" s="84"/>
      <c r="N731" s="79"/>
      <c r="O731" s="85"/>
      <c r="P731" s="85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</row>
    <row r="732" spans="1:28" ht="15.75" customHeight="1">
      <c r="A732" s="86"/>
      <c r="B732" s="79"/>
      <c r="C732" s="82"/>
      <c r="D732" s="81"/>
      <c r="E732" s="82"/>
      <c r="F732" s="81"/>
      <c r="G732" s="79"/>
      <c r="H732" s="83"/>
      <c r="I732" s="79"/>
      <c r="J732" s="79"/>
      <c r="K732" s="79"/>
      <c r="L732" s="84"/>
      <c r="M732" s="84"/>
      <c r="N732" s="79"/>
      <c r="O732" s="85"/>
      <c r="P732" s="85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</row>
    <row r="733" spans="1:28" ht="15.75" customHeight="1">
      <c r="A733" s="86"/>
      <c r="B733" s="79"/>
      <c r="C733" s="82"/>
      <c r="D733" s="81"/>
      <c r="E733" s="82"/>
      <c r="F733" s="81"/>
      <c r="G733" s="79"/>
      <c r="H733" s="83"/>
      <c r="I733" s="79"/>
      <c r="J733" s="79"/>
      <c r="K733" s="79"/>
      <c r="L733" s="84"/>
      <c r="M733" s="84"/>
      <c r="N733" s="79"/>
      <c r="O733" s="85"/>
      <c r="P733" s="85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</row>
    <row r="734" spans="1:28" ht="15.75" customHeight="1">
      <c r="A734" s="86"/>
      <c r="B734" s="79"/>
      <c r="C734" s="82"/>
      <c r="D734" s="81"/>
      <c r="E734" s="82"/>
      <c r="F734" s="81"/>
      <c r="G734" s="79"/>
      <c r="H734" s="83"/>
      <c r="I734" s="79"/>
      <c r="J734" s="79"/>
      <c r="K734" s="79"/>
      <c r="L734" s="84"/>
      <c r="M734" s="84"/>
      <c r="N734" s="79"/>
      <c r="O734" s="85"/>
      <c r="P734" s="85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</row>
    <row r="735" spans="1:28" ht="15.75" customHeight="1">
      <c r="A735" s="86"/>
      <c r="B735" s="79"/>
      <c r="C735" s="82"/>
      <c r="D735" s="81"/>
      <c r="E735" s="82"/>
      <c r="F735" s="81"/>
      <c r="G735" s="79"/>
      <c r="H735" s="83"/>
      <c r="I735" s="79"/>
      <c r="J735" s="79"/>
      <c r="K735" s="79"/>
      <c r="L735" s="84"/>
      <c r="M735" s="84"/>
      <c r="N735" s="79"/>
      <c r="O735" s="85"/>
      <c r="P735" s="85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</row>
    <row r="736" spans="1:28" ht="15.75" customHeight="1">
      <c r="A736" s="86"/>
      <c r="B736" s="79"/>
      <c r="C736" s="82"/>
      <c r="D736" s="81"/>
      <c r="E736" s="82"/>
      <c r="F736" s="81"/>
      <c r="G736" s="79"/>
      <c r="H736" s="83"/>
      <c r="I736" s="79"/>
      <c r="J736" s="79"/>
      <c r="K736" s="79"/>
      <c r="L736" s="84"/>
      <c r="M736" s="84"/>
      <c r="N736" s="79"/>
      <c r="O736" s="85"/>
      <c r="P736" s="85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</row>
    <row r="737" spans="1:28" ht="15.75" customHeight="1">
      <c r="A737" s="86"/>
      <c r="B737" s="79"/>
      <c r="C737" s="82"/>
      <c r="D737" s="81"/>
      <c r="E737" s="82"/>
      <c r="F737" s="81"/>
      <c r="G737" s="79"/>
      <c r="H737" s="83"/>
      <c r="I737" s="79"/>
      <c r="J737" s="79"/>
      <c r="K737" s="79"/>
      <c r="L737" s="84"/>
      <c r="M737" s="84"/>
      <c r="N737" s="79"/>
      <c r="O737" s="85"/>
      <c r="P737" s="85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</row>
    <row r="738" spans="1:28" ht="15.75" customHeight="1">
      <c r="A738" s="86"/>
      <c r="B738" s="79"/>
      <c r="C738" s="82"/>
      <c r="D738" s="81"/>
      <c r="E738" s="82"/>
      <c r="F738" s="81"/>
      <c r="G738" s="79"/>
      <c r="H738" s="83"/>
      <c r="I738" s="79"/>
      <c r="J738" s="79"/>
      <c r="K738" s="79"/>
      <c r="L738" s="84"/>
      <c r="M738" s="84"/>
      <c r="N738" s="79"/>
      <c r="O738" s="85"/>
      <c r="P738" s="85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</row>
    <row r="739" spans="1:28" ht="15.75" customHeight="1">
      <c r="A739" s="86"/>
      <c r="B739" s="79"/>
      <c r="C739" s="82"/>
      <c r="D739" s="81"/>
      <c r="E739" s="82"/>
      <c r="F739" s="81"/>
      <c r="G739" s="79"/>
      <c r="H739" s="83"/>
      <c r="I739" s="79"/>
      <c r="J739" s="79"/>
      <c r="K739" s="79"/>
      <c r="L739" s="84"/>
      <c r="M739" s="84"/>
      <c r="N739" s="79"/>
      <c r="O739" s="85"/>
      <c r="P739" s="85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</row>
    <row r="740" spans="1:28" ht="15.75" customHeight="1">
      <c r="A740" s="86"/>
      <c r="B740" s="79"/>
      <c r="C740" s="82"/>
      <c r="D740" s="81"/>
      <c r="E740" s="82"/>
      <c r="F740" s="81"/>
      <c r="G740" s="79"/>
      <c r="H740" s="83"/>
      <c r="I740" s="79"/>
      <c r="J740" s="79"/>
      <c r="K740" s="79"/>
      <c r="L740" s="84"/>
      <c r="M740" s="84"/>
      <c r="N740" s="79"/>
      <c r="O740" s="85"/>
      <c r="P740" s="85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</row>
    <row r="741" spans="1:28" ht="15.75" customHeight="1">
      <c r="A741" s="86"/>
      <c r="B741" s="79"/>
      <c r="C741" s="82"/>
      <c r="D741" s="81"/>
      <c r="E741" s="82"/>
      <c r="F741" s="81"/>
      <c r="G741" s="79"/>
      <c r="H741" s="83"/>
      <c r="I741" s="79"/>
      <c r="J741" s="79"/>
      <c r="K741" s="79"/>
      <c r="L741" s="84"/>
      <c r="M741" s="84"/>
      <c r="N741" s="79"/>
      <c r="O741" s="85"/>
      <c r="P741" s="85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</row>
    <row r="742" spans="1:28" ht="15.75" customHeight="1">
      <c r="A742" s="86"/>
      <c r="B742" s="79"/>
      <c r="C742" s="82"/>
      <c r="D742" s="81"/>
      <c r="E742" s="82"/>
      <c r="F742" s="81"/>
      <c r="G742" s="79"/>
      <c r="H742" s="83"/>
      <c r="I742" s="79"/>
      <c r="J742" s="79"/>
      <c r="K742" s="79"/>
      <c r="L742" s="84"/>
      <c r="M742" s="84"/>
      <c r="N742" s="79"/>
      <c r="O742" s="85"/>
      <c r="P742" s="85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</row>
    <row r="743" spans="1:28" ht="15.75" customHeight="1">
      <c r="A743" s="86"/>
      <c r="B743" s="79"/>
      <c r="C743" s="82"/>
      <c r="D743" s="81"/>
      <c r="E743" s="82"/>
      <c r="F743" s="81"/>
      <c r="G743" s="79"/>
      <c r="H743" s="83"/>
      <c r="I743" s="79"/>
      <c r="J743" s="79"/>
      <c r="K743" s="79"/>
      <c r="L743" s="84"/>
      <c r="M743" s="84"/>
      <c r="N743" s="79"/>
      <c r="O743" s="85"/>
      <c r="P743" s="85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</row>
    <row r="744" spans="1:28" ht="15.75" customHeight="1">
      <c r="A744" s="86"/>
      <c r="B744" s="79"/>
      <c r="C744" s="82"/>
      <c r="D744" s="81"/>
      <c r="E744" s="82"/>
      <c r="F744" s="81"/>
      <c r="G744" s="79"/>
      <c r="H744" s="83"/>
      <c r="I744" s="79"/>
      <c r="J744" s="79"/>
      <c r="K744" s="79"/>
      <c r="L744" s="84"/>
      <c r="M744" s="84"/>
      <c r="N744" s="79"/>
      <c r="O744" s="85"/>
      <c r="P744" s="85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</row>
    <row r="745" spans="1:28" ht="15.75" customHeight="1">
      <c r="A745" s="86"/>
      <c r="B745" s="79"/>
      <c r="C745" s="82"/>
      <c r="D745" s="81"/>
      <c r="E745" s="82"/>
      <c r="F745" s="81"/>
      <c r="G745" s="79"/>
      <c r="H745" s="83"/>
      <c r="I745" s="79"/>
      <c r="J745" s="79"/>
      <c r="K745" s="79"/>
      <c r="L745" s="84"/>
      <c r="M745" s="84"/>
      <c r="N745" s="79"/>
      <c r="O745" s="85"/>
      <c r="P745" s="85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</row>
    <row r="746" spans="1:28" ht="15.75" customHeight="1">
      <c r="A746" s="86"/>
      <c r="B746" s="79"/>
      <c r="C746" s="82"/>
      <c r="D746" s="81"/>
      <c r="E746" s="82"/>
      <c r="F746" s="81"/>
      <c r="G746" s="79"/>
      <c r="H746" s="83"/>
      <c r="I746" s="79"/>
      <c r="J746" s="79"/>
      <c r="K746" s="79"/>
      <c r="L746" s="84"/>
      <c r="M746" s="84"/>
      <c r="N746" s="79"/>
      <c r="O746" s="85"/>
      <c r="P746" s="85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</row>
    <row r="747" spans="1:28" ht="15.75" customHeight="1">
      <c r="A747" s="86"/>
      <c r="B747" s="79"/>
      <c r="C747" s="82"/>
      <c r="D747" s="81"/>
      <c r="E747" s="82"/>
      <c r="F747" s="81"/>
      <c r="G747" s="79"/>
      <c r="H747" s="83"/>
      <c r="I747" s="79"/>
      <c r="J747" s="79"/>
      <c r="K747" s="79"/>
      <c r="L747" s="84"/>
      <c r="M747" s="84"/>
      <c r="N747" s="79"/>
      <c r="O747" s="85"/>
      <c r="P747" s="85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</row>
    <row r="748" spans="1:28" ht="15.75" customHeight="1">
      <c r="A748" s="86"/>
      <c r="B748" s="79"/>
      <c r="C748" s="82"/>
      <c r="D748" s="81"/>
      <c r="E748" s="82"/>
      <c r="F748" s="81"/>
      <c r="G748" s="79"/>
      <c r="H748" s="83"/>
      <c r="I748" s="79"/>
      <c r="J748" s="79"/>
      <c r="K748" s="79"/>
      <c r="L748" s="84"/>
      <c r="M748" s="84"/>
      <c r="N748" s="79"/>
      <c r="O748" s="85"/>
      <c r="P748" s="85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</row>
    <row r="749" spans="1:28" ht="15.75" customHeight="1">
      <c r="A749" s="86"/>
      <c r="B749" s="79"/>
      <c r="C749" s="82"/>
      <c r="D749" s="81"/>
      <c r="E749" s="82"/>
      <c r="F749" s="81"/>
      <c r="G749" s="79"/>
      <c r="H749" s="83"/>
      <c r="I749" s="79"/>
      <c r="J749" s="79"/>
      <c r="K749" s="79"/>
      <c r="L749" s="84"/>
      <c r="M749" s="84"/>
      <c r="N749" s="79"/>
      <c r="O749" s="85"/>
      <c r="P749" s="85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</row>
    <row r="750" spans="1:28" ht="15.75" customHeight="1">
      <c r="A750" s="86"/>
      <c r="B750" s="79"/>
      <c r="C750" s="82"/>
      <c r="D750" s="81"/>
      <c r="E750" s="82"/>
      <c r="F750" s="81"/>
      <c r="G750" s="79"/>
      <c r="H750" s="83"/>
      <c r="I750" s="79"/>
      <c r="J750" s="79"/>
      <c r="K750" s="79"/>
      <c r="L750" s="84"/>
      <c r="M750" s="84"/>
      <c r="N750" s="79"/>
      <c r="O750" s="85"/>
      <c r="P750" s="85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</row>
    <row r="751" spans="1:28" ht="15.75" customHeight="1">
      <c r="A751" s="86"/>
      <c r="B751" s="79"/>
      <c r="C751" s="82"/>
      <c r="D751" s="81"/>
      <c r="E751" s="82"/>
      <c r="F751" s="81"/>
      <c r="G751" s="79"/>
      <c r="H751" s="83"/>
      <c r="I751" s="79"/>
      <c r="J751" s="79"/>
      <c r="K751" s="79"/>
      <c r="L751" s="84"/>
      <c r="M751" s="84"/>
      <c r="N751" s="79"/>
      <c r="O751" s="85"/>
      <c r="P751" s="85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</row>
    <row r="752" spans="1:28" ht="15.75" customHeight="1">
      <c r="A752" s="86"/>
      <c r="B752" s="79"/>
      <c r="C752" s="82"/>
      <c r="D752" s="81"/>
      <c r="E752" s="82"/>
      <c r="F752" s="81"/>
      <c r="G752" s="79"/>
      <c r="H752" s="83"/>
      <c r="I752" s="79"/>
      <c r="J752" s="79"/>
      <c r="K752" s="79"/>
      <c r="L752" s="84"/>
      <c r="M752" s="84"/>
      <c r="N752" s="79"/>
      <c r="O752" s="85"/>
      <c r="P752" s="85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</row>
    <row r="753" spans="1:28" ht="15.75" customHeight="1">
      <c r="A753" s="86"/>
      <c r="B753" s="79"/>
      <c r="C753" s="82"/>
      <c r="D753" s="81"/>
      <c r="E753" s="82"/>
      <c r="F753" s="81"/>
      <c r="G753" s="79"/>
      <c r="H753" s="83"/>
      <c r="I753" s="79"/>
      <c r="J753" s="79"/>
      <c r="K753" s="79"/>
      <c r="L753" s="84"/>
      <c r="M753" s="84"/>
      <c r="N753" s="79"/>
      <c r="O753" s="85"/>
      <c r="P753" s="85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</row>
    <row r="754" spans="1:28" ht="15.75" customHeight="1">
      <c r="A754" s="86"/>
      <c r="B754" s="79"/>
      <c r="C754" s="82"/>
      <c r="D754" s="81"/>
      <c r="E754" s="82"/>
      <c r="F754" s="81"/>
      <c r="G754" s="79"/>
      <c r="H754" s="83"/>
      <c r="I754" s="79"/>
      <c r="J754" s="79"/>
      <c r="K754" s="79"/>
      <c r="L754" s="84"/>
      <c r="M754" s="84"/>
      <c r="N754" s="79"/>
      <c r="O754" s="85"/>
      <c r="P754" s="85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</row>
    <row r="755" spans="1:28" ht="15.75" customHeight="1">
      <c r="A755" s="86"/>
      <c r="B755" s="79"/>
      <c r="C755" s="82"/>
      <c r="D755" s="81"/>
      <c r="E755" s="82"/>
      <c r="F755" s="81"/>
      <c r="G755" s="79"/>
      <c r="H755" s="83"/>
      <c r="I755" s="79"/>
      <c r="J755" s="79"/>
      <c r="K755" s="79"/>
      <c r="L755" s="84"/>
      <c r="M755" s="84"/>
      <c r="N755" s="79"/>
      <c r="O755" s="85"/>
      <c r="P755" s="85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</row>
    <row r="756" spans="1:28" ht="15.75" customHeight="1">
      <c r="A756" s="86"/>
      <c r="B756" s="79"/>
      <c r="C756" s="82"/>
      <c r="D756" s="81"/>
      <c r="E756" s="82"/>
      <c r="F756" s="81"/>
      <c r="G756" s="79"/>
      <c r="H756" s="83"/>
      <c r="I756" s="79"/>
      <c r="J756" s="79"/>
      <c r="K756" s="79"/>
      <c r="L756" s="84"/>
      <c r="M756" s="84"/>
      <c r="N756" s="79"/>
      <c r="O756" s="85"/>
      <c r="P756" s="85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</row>
    <row r="757" spans="1:28" ht="15.75" customHeight="1">
      <c r="A757" s="86"/>
      <c r="B757" s="79"/>
      <c r="C757" s="82"/>
      <c r="D757" s="81"/>
      <c r="E757" s="82"/>
      <c r="F757" s="81"/>
      <c r="G757" s="79"/>
      <c r="H757" s="83"/>
      <c r="I757" s="79"/>
      <c r="J757" s="79"/>
      <c r="K757" s="79"/>
      <c r="L757" s="84"/>
      <c r="M757" s="84"/>
      <c r="N757" s="79"/>
      <c r="O757" s="85"/>
      <c r="P757" s="85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</row>
    <row r="758" spans="1:28" ht="15.75" customHeight="1">
      <c r="A758" s="86"/>
      <c r="B758" s="79"/>
      <c r="C758" s="82"/>
      <c r="D758" s="81"/>
      <c r="E758" s="82"/>
      <c r="F758" s="81"/>
      <c r="G758" s="79"/>
      <c r="H758" s="83"/>
      <c r="I758" s="79"/>
      <c r="J758" s="79"/>
      <c r="K758" s="79"/>
      <c r="L758" s="84"/>
      <c r="M758" s="84"/>
      <c r="N758" s="79"/>
      <c r="O758" s="85"/>
      <c r="P758" s="85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</row>
    <row r="759" spans="1:28" ht="15.75" customHeight="1">
      <c r="A759" s="86"/>
      <c r="B759" s="79"/>
      <c r="C759" s="82"/>
      <c r="D759" s="81"/>
      <c r="E759" s="82"/>
      <c r="F759" s="81"/>
      <c r="G759" s="79"/>
      <c r="H759" s="83"/>
      <c r="I759" s="79"/>
      <c r="J759" s="79"/>
      <c r="K759" s="79"/>
      <c r="L759" s="84"/>
      <c r="M759" s="84"/>
      <c r="N759" s="79"/>
      <c r="O759" s="85"/>
      <c r="P759" s="85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</row>
    <row r="760" spans="1:28" ht="15.75" customHeight="1">
      <c r="A760" s="86"/>
      <c r="B760" s="79"/>
      <c r="C760" s="82"/>
      <c r="D760" s="81"/>
      <c r="E760" s="82"/>
      <c r="F760" s="81"/>
      <c r="G760" s="79"/>
      <c r="H760" s="83"/>
      <c r="I760" s="79"/>
      <c r="J760" s="79"/>
      <c r="K760" s="79"/>
      <c r="L760" s="84"/>
      <c r="M760" s="84"/>
      <c r="N760" s="79"/>
      <c r="O760" s="85"/>
      <c r="P760" s="85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</row>
    <row r="761" spans="1:28" ht="15.75" customHeight="1">
      <c r="A761" s="86"/>
      <c r="B761" s="79"/>
      <c r="C761" s="82"/>
      <c r="D761" s="81"/>
      <c r="E761" s="82"/>
      <c r="F761" s="81"/>
      <c r="G761" s="79"/>
      <c r="H761" s="83"/>
      <c r="I761" s="79"/>
      <c r="J761" s="79"/>
      <c r="K761" s="79"/>
      <c r="L761" s="84"/>
      <c r="M761" s="84"/>
      <c r="N761" s="79"/>
      <c r="O761" s="85"/>
      <c r="P761" s="85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</row>
    <row r="762" spans="1:28" ht="15.75" customHeight="1">
      <c r="A762" s="86"/>
      <c r="B762" s="79"/>
      <c r="C762" s="82"/>
      <c r="D762" s="81"/>
      <c r="E762" s="82"/>
      <c r="F762" s="81"/>
      <c r="G762" s="79"/>
      <c r="H762" s="83"/>
      <c r="I762" s="79"/>
      <c r="J762" s="79"/>
      <c r="K762" s="79"/>
      <c r="L762" s="84"/>
      <c r="M762" s="84"/>
      <c r="N762" s="79"/>
      <c r="O762" s="85"/>
      <c r="P762" s="85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</row>
    <row r="763" spans="1:28" ht="15.75" customHeight="1">
      <c r="A763" s="86"/>
      <c r="B763" s="79"/>
      <c r="C763" s="82"/>
      <c r="D763" s="81"/>
      <c r="E763" s="82"/>
      <c r="F763" s="81"/>
      <c r="G763" s="79"/>
      <c r="H763" s="83"/>
      <c r="I763" s="79"/>
      <c r="J763" s="79"/>
      <c r="K763" s="79"/>
      <c r="L763" s="84"/>
      <c r="M763" s="84"/>
      <c r="N763" s="79"/>
      <c r="O763" s="85"/>
      <c r="P763" s="85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</row>
    <row r="764" spans="1:28" ht="15.75" customHeight="1">
      <c r="A764" s="86"/>
      <c r="B764" s="79"/>
      <c r="C764" s="82"/>
      <c r="D764" s="81"/>
      <c r="E764" s="82"/>
      <c r="F764" s="81"/>
      <c r="G764" s="79"/>
      <c r="H764" s="83"/>
      <c r="I764" s="79"/>
      <c r="J764" s="79"/>
      <c r="K764" s="79"/>
      <c r="L764" s="84"/>
      <c r="M764" s="84"/>
      <c r="N764" s="79"/>
      <c r="O764" s="85"/>
      <c r="P764" s="85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</row>
    <row r="765" spans="1:28" ht="15.75" customHeight="1">
      <c r="A765" s="86"/>
      <c r="B765" s="79"/>
      <c r="C765" s="82"/>
      <c r="D765" s="81"/>
      <c r="E765" s="82"/>
      <c r="F765" s="81"/>
      <c r="G765" s="79"/>
      <c r="H765" s="83"/>
      <c r="I765" s="79"/>
      <c r="J765" s="79"/>
      <c r="K765" s="79"/>
      <c r="L765" s="84"/>
      <c r="M765" s="84"/>
      <c r="N765" s="79"/>
      <c r="O765" s="85"/>
      <c r="P765" s="85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</row>
    <row r="766" spans="1:28" ht="15.75" customHeight="1">
      <c r="A766" s="86"/>
      <c r="B766" s="79"/>
      <c r="C766" s="82"/>
      <c r="D766" s="81"/>
      <c r="E766" s="82"/>
      <c r="F766" s="81"/>
      <c r="G766" s="79"/>
      <c r="H766" s="83"/>
      <c r="I766" s="79"/>
      <c r="J766" s="79"/>
      <c r="K766" s="79"/>
      <c r="L766" s="84"/>
      <c r="M766" s="84"/>
      <c r="N766" s="79"/>
      <c r="O766" s="85"/>
      <c r="P766" s="85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</row>
    <row r="767" spans="1:28" ht="15.75" customHeight="1">
      <c r="A767" s="86"/>
      <c r="B767" s="79"/>
      <c r="C767" s="82"/>
      <c r="D767" s="81"/>
      <c r="E767" s="82"/>
      <c r="F767" s="81"/>
      <c r="G767" s="79"/>
      <c r="H767" s="83"/>
      <c r="I767" s="79"/>
      <c r="J767" s="79"/>
      <c r="K767" s="79"/>
      <c r="L767" s="84"/>
      <c r="M767" s="84"/>
      <c r="N767" s="79"/>
      <c r="O767" s="85"/>
      <c r="P767" s="85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</row>
    <row r="768" spans="1:28" ht="15.75" customHeight="1">
      <c r="A768" s="86"/>
      <c r="B768" s="79"/>
      <c r="C768" s="82"/>
      <c r="D768" s="81"/>
      <c r="E768" s="82"/>
      <c r="F768" s="81"/>
      <c r="G768" s="79"/>
      <c r="H768" s="83"/>
      <c r="I768" s="79"/>
      <c r="J768" s="79"/>
      <c r="K768" s="79"/>
      <c r="L768" s="84"/>
      <c r="M768" s="84"/>
      <c r="N768" s="79"/>
      <c r="O768" s="85"/>
      <c r="P768" s="85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</row>
    <row r="769" spans="1:28" ht="15.75" customHeight="1">
      <c r="A769" s="86"/>
      <c r="B769" s="79"/>
      <c r="C769" s="82"/>
      <c r="D769" s="81"/>
      <c r="E769" s="82"/>
      <c r="F769" s="81"/>
      <c r="G769" s="79"/>
      <c r="H769" s="83"/>
      <c r="I769" s="79"/>
      <c r="J769" s="79"/>
      <c r="K769" s="79"/>
      <c r="L769" s="84"/>
      <c r="M769" s="84"/>
      <c r="N769" s="79"/>
      <c r="O769" s="85"/>
      <c r="P769" s="85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</row>
    <row r="770" spans="1:28" ht="15.75" customHeight="1">
      <c r="A770" s="86"/>
      <c r="B770" s="79"/>
      <c r="C770" s="82"/>
      <c r="D770" s="81"/>
      <c r="E770" s="82"/>
      <c r="F770" s="81"/>
      <c r="G770" s="79"/>
      <c r="H770" s="83"/>
      <c r="I770" s="79"/>
      <c r="J770" s="79"/>
      <c r="K770" s="79"/>
      <c r="L770" s="84"/>
      <c r="M770" s="84"/>
      <c r="N770" s="79"/>
      <c r="O770" s="85"/>
      <c r="P770" s="85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</row>
    <row r="771" spans="1:28" ht="15.75" customHeight="1">
      <c r="A771" s="86"/>
      <c r="B771" s="79"/>
      <c r="C771" s="82"/>
      <c r="D771" s="81"/>
      <c r="E771" s="82"/>
      <c r="F771" s="81"/>
      <c r="G771" s="79"/>
      <c r="H771" s="83"/>
      <c r="I771" s="79"/>
      <c r="J771" s="79"/>
      <c r="K771" s="79"/>
      <c r="L771" s="84"/>
      <c r="M771" s="84"/>
      <c r="N771" s="79"/>
      <c r="O771" s="85"/>
      <c r="P771" s="85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</row>
    <row r="772" spans="1:28" ht="15.75" customHeight="1">
      <c r="A772" s="86"/>
      <c r="B772" s="79"/>
      <c r="C772" s="82"/>
      <c r="D772" s="81"/>
      <c r="E772" s="82"/>
      <c r="F772" s="81"/>
      <c r="G772" s="79"/>
      <c r="H772" s="83"/>
      <c r="I772" s="79"/>
      <c r="J772" s="79"/>
      <c r="K772" s="79"/>
      <c r="L772" s="84"/>
      <c r="M772" s="84"/>
      <c r="N772" s="79"/>
      <c r="O772" s="85"/>
      <c r="P772" s="85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</row>
    <row r="773" spans="1:28" ht="15.75" customHeight="1">
      <c r="A773" s="86"/>
      <c r="B773" s="79"/>
      <c r="C773" s="82"/>
      <c r="D773" s="81"/>
      <c r="E773" s="82"/>
      <c r="F773" s="81"/>
      <c r="G773" s="79"/>
      <c r="H773" s="83"/>
      <c r="I773" s="79"/>
      <c r="J773" s="79"/>
      <c r="K773" s="79"/>
      <c r="L773" s="84"/>
      <c r="M773" s="84"/>
      <c r="N773" s="79"/>
      <c r="O773" s="85"/>
      <c r="P773" s="85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</row>
    <row r="774" spans="1:28" ht="15.75" customHeight="1">
      <c r="A774" s="86"/>
      <c r="B774" s="79"/>
      <c r="C774" s="82"/>
      <c r="D774" s="81"/>
      <c r="E774" s="82"/>
      <c r="F774" s="81"/>
      <c r="G774" s="79"/>
      <c r="H774" s="83"/>
      <c r="I774" s="79"/>
      <c r="J774" s="79"/>
      <c r="K774" s="79"/>
      <c r="L774" s="84"/>
      <c r="M774" s="84"/>
      <c r="N774" s="79"/>
      <c r="O774" s="85"/>
      <c r="P774" s="85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</row>
    <row r="775" spans="1:28" ht="15.75" customHeight="1">
      <c r="A775" s="86"/>
      <c r="B775" s="79"/>
      <c r="C775" s="82"/>
      <c r="D775" s="81"/>
      <c r="E775" s="82"/>
      <c r="F775" s="81"/>
      <c r="G775" s="79"/>
      <c r="H775" s="83"/>
      <c r="I775" s="79"/>
      <c r="J775" s="79"/>
      <c r="K775" s="79"/>
      <c r="L775" s="84"/>
      <c r="M775" s="84"/>
      <c r="N775" s="79"/>
      <c r="O775" s="85"/>
      <c r="P775" s="85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</row>
    <row r="776" spans="1:28" ht="15.75" customHeight="1">
      <c r="A776" s="86"/>
      <c r="B776" s="79"/>
      <c r="C776" s="82"/>
      <c r="D776" s="81"/>
      <c r="E776" s="82"/>
      <c r="F776" s="81"/>
      <c r="G776" s="79"/>
      <c r="H776" s="83"/>
      <c r="I776" s="79"/>
      <c r="J776" s="79"/>
      <c r="K776" s="79"/>
      <c r="L776" s="84"/>
      <c r="M776" s="84"/>
      <c r="N776" s="79"/>
      <c r="O776" s="85"/>
      <c r="P776" s="85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</row>
    <row r="777" spans="1:28" ht="15.75" customHeight="1">
      <c r="A777" s="86"/>
      <c r="B777" s="79"/>
      <c r="C777" s="82"/>
      <c r="D777" s="81"/>
      <c r="E777" s="82"/>
      <c r="F777" s="81"/>
      <c r="G777" s="79"/>
      <c r="H777" s="83"/>
      <c r="I777" s="79"/>
      <c r="J777" s="79"/>
      <c r="K777" s="79"/>
      <c r="L777" s="84"/>
      <c r="M777" s="84"/>
      <c r="N777" s="79"/>
      <c r="O777" s="85"/>
      <c r="P777" s="85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</row>
    <row r="778" spans="1:28" ht="15.75" customHeight="1">
      <c r="A778" s="86"/>
      <c r="B778" s="79"/>
      <c r="C778" s="82"/>
      <c r="D778" s="81"/>
      <c r="E778" s="82"/>
      <c r="F778" s="81"/>
      <c r="G778" s="79"/>
      <c r="H778" s="83"/>
      <c r="I778" s="79"/>
      <c r="J778" s="79"/>
      <c r="K778" s="79"/>
      <c r="L778" s="84"/>
      <c r="M778" s="84"/>
      <c r="N778" s="79"/>
      <c r="O778" s="85"/>
      <c r="P778" s="85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</row>
    <row r="779" spans="1:28" ht="15.75" customHeight="1">
      <c r="A779" s="86"/>
      <c r="B779" s="79"/>
      <c r="C779" s="82"/>
      <c r="D779" s="81"/>
      <c r="E779" s="82"/>
      <c r="F779" s="81"/>
      <c r="G779" s="79"/>
      <c r="H779" s="83"/>
      <c r="I779" s="79"/>
      <c r="J779" s="79"/>
      <c r="K779" s="79"/>
      <c r="L779" s="84"/>
      <c r="M779" s="84"/>
      <c r="N779" s="79"/>
      <c r="O779" s="85"/>
      <c r="P779" s="85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</row>
    <row r="780" spans="1:28" ht="15.75" customHeight="1">
      <c r="A780" s="86"/>
      <c r="B780" s="79"/>
      <c r="C780" s="82"/>
      <c r="D780" s="81"/>
      <c r="E780" s="82"/>
      <c r="F780" s="81"/>
      <c r="G780" s="79"/>
      <c r="H780" s="83"/>
      <c r="I780" s="79"/>
      <c r="J780" s="79"/>
      <c r="K780" s="79"/>
      <c r="L780" s="84"/>
      <c r="M780" s="84"/>
      <c r="N780" s="79"/>
      <c r="O780" s="85"/>
      <c r="P780" s="85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</row>
    <row r="781" spans="1:28" ht="15.75" customHeight="1">
      <c r="A781" s="86"/>
      <c r="B781" s="79"/>
      <c r="C781" s="82"/>
      <c r="D781" s="81"/>
      <c r="E781" s="82"/>
      <c r="F781" s="81"/>
      <c r="G781" s="79"/>
      <c r="H781" s="83"/>
      <c r="I781" s="79"/>
      <c r="J781" s="79"/>
      <c r="K781" s="79"/>
      <c r="L781" s="84"/>
      <c r="M781" s="84"/>
      <c r="N781" s="79"/>
      <c r="O781" s="85"/>
      <c r="P781" s="85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</row>
    <row r="782" spans="1:28" ht="15.75" customHeight="1">
      <c r="A782" s="86"/>
      <c r="B782" s="79"/>
      <c r="C782" s="82"/>
      <c r="D782" s="81"/>
      <c r="E782" s="82"/>
      <c r="F782" s="81"/>
      <c r="G782" s="79"/>
      <c r="H782" s="83"/>
      <c r="I782" s="79"/>
      <c r="J782" s="79"/>
      <c r="K782" s="79"/>
      <c r="L782" s="84"/>
      <c r="M782" s="84"/>
      <c r="N782" s="79"/>
      <c r="O782" s="85"/>
      <c r="P782" s="85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</row>
    <row r="783" spans="1:28" ht="15.75" customHeight="1">
      <c r="A783" s="86"/>
      <c r="B783" s="79"/>
      <c r="C783" s="82"/>
      <c r="D783" s="81"/>
      <c r="E783" s="82"/>
      <c r="F783" s="81"/>
      <c r="G783" s="79"/>
      <c r="H783" s="83"/>
      <c r="I783" s="79"/>
      <c r="J783" s="79"/>
      <c r="K783" s="79"/>
      <c r="L783" s="84"/>
      <c r="M783" s="84"/>
      <c r="N783" s="79"/>
      <c r="O783" s="85"/>
      <c r="P783" s="85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</row>
    <row r="784" spans="1:28" ht="15.75" customHeight="1">
      <c r="A784" s="86"/>
      <c r="B784" s="79"/>
      <c r="C784" s="82"/>
      <c r="D784" s="81"/>
      <c r="E784" s="82"/>
      <c r="F784" s="81"/>
      <c r="G784" s="79"/>
      <c r="H784" s="83"/>
      <c r="I784" s="79"/>
      <c r="J784" s="79"/>
      <c r="K784" s="79"/>
      <c r="L784" s="84"/>
      <c r="M784" s="84"/>
      <c r="N784" s="79"/>
      <c r="O784" s="85"/>
      <c r="P784" s="85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</row>
    <row r="785" spans="1:28" ht="15.75" customHeight="1">
      <c r="A785" s="86"/>
      <c r="B785" s="79"/>
      <c r="C785" s="82"/>
      <c r="D785" s="81"/>
      <c r="E785" s="82"/>
      <c r="F785" s="81"/>
      <c r="G785" s="79"/>
      <c r="H785" s="83"/>
      <c r="I785" s="79"/>
      <c r="J785" s="79"/>
      <c r="K785" s="79"/>
      <c r="L785" s="84"/>
      <c r="M785" s="84"/>
      <c r="N785" s="79"/>
      <c r="O785" s="85"/>
      <c r="P785" s="85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</row>
    <row r="786" spans="1:28" ht="15.75" customHeight="1">
      <c r="A786" s="86"/>
      <c r="B786" s="79"/>
      <c r="C786" s="82"/>
      <c r="D786" s="81"/>
      <c r="E786" s="82"/>
      <c r="F786" s="81"/>
      <c r="G786" s="79"/>
      <c r="H786" s="83"/>
      <c r="I786" s="79"/>
      <c r="J786" s="79"/>
      <c r="K786" s="79"/>
      <c r="L786" s="84"/>
      <c r="M786" s="84"/>
      <c r="N786" s="79"/>
      <c r="O786" s="85"/>
      <c r="P786" s="85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</row>
    <row r="787" spans="1:28" ht="15.75" customHeight="1">
      <c r="A787" s="86"/>
      <c r="B787" s="79"/>
      <c r="C787" s="82"/>
      <c r="D787" s="81"/>
      <c r="E787" s="82"/>
      <c r="F787" s="81"/>
      <c r="G787" s="79"/>
      <c r="H787" s="83"/>
      <c r="I787" s="79"/>
      <c r="J787" s="79"/>
      <c r="K787" s="79"/>
      <c r="L787" s="84"/>
      <c r="M787" s="84"/>
      <c r="N787" s="79"/>
      <c r="O787" s="85"/>
      <c r="P787" s="85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</row>
    <row r="788" spans="1:28" ht="15.75" customHeight="1">
      <c r="A788" s="86"/>
      <c r="B788" s="79"/>
      <c r="C788" s="82"/>
      <c r="D788" s="81"/>
      <c r="E788" s="82"/>
      <c r="F788" s="81"/>
      <c r="G788" s="79"/>
      <c r="H788" s="83"/>
      <c r="I788" s="79"/>
      <c r="J788" s="79"/>
      <c r="K788" s="79"/>
      <c r="L788" s="84"/>
      <c r="M788" s="84"/>
      <c r="N788" s="79"/>
      <c r="O788" s="85"/>
      <c r="P788" s="85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</row>
    <row r="789" spans="1:28" ht="15.75" customHeight="1">
      <c r="A789" s="86"/>
      <c r="B789" s="79"/>
      <c r="C789" s="82"/>
      <c r="D789" s="81"/>
      <c r="E789" s="82"/>
      <c r="F789" s="81"/>
      <c r="G789" s="79"/>
      <c r="H789" s="83"/>
      <c r="I789" s="79"/>
      <c r="J789" s="79"/>
      <c r="K789" s="79"/>
      <c r="L789" s="84"/>
      <c r="M789" s="84"/>
      <c r="N789" s="79"/>
      <c r="O789" s="85"/>
      <c r="P789" s="85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</row>
    <row r="790" spans="1:28" ht="15.75" customHeight="1">
      <c r="A790" s="86"/>
      <c r="B790" s="79"/>
      <c r="C790" s="82"/>
      <c r="D790" s="81"/>
      <c r="E790" s="82"/>
      <c r="F790" s="81"/>
      <c r="G790" s="79"/>
      <c r="H790" s="83"/>
      <c r="I790" s="79"/>
      <c r="J790" s="79"/>
      <c r="K790" s="79"/>
      <c r="L790" s="84"/>
      <c r="M790" s="84"/>
      <c r="N790" s="79"/>
      <c r="O790" s="85"/>
      <c r="P790" s="85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</row>
    <row r="791" spans="1:28" ht="15.75" customHeight="1">
      <c r="A791" s="86"/>
      <c r="B791" s="79"/>
      <c r="C791" s="82"/>
      <c r="D791" s="81"/>
      <c r="E791" s="82"/>
      <c r="F791" s="81"/>
      <c r="G791" s="79"/>
      <c r="H791" s="83"/>
      <c r="I791" s="79"/>
      <c r="J791" s="79"/>
      <c r="K791" s="79"/>
      <c r="L791" s="84"/>
      <c r="M791" s="84"/>
      <c r="N791" s="79"/>
      <c r="O791" s="85"/>
      <c r="P791" s="85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</row>
    <row r="792" spans="1:28" ht="15.75" customHeight="1">
      <c r="A792" s="86"/>
      <c r="B792" s="79"/>
      <c r="C792" s="82"/>
      <c r="D792" s="81"/>
      <c r="E792" s="82"/>
      <c r="F792" s="81"/>
      <c r="G792" s="79"/>
      <c r="H792" s="83"/>
      <c r="I792" s="79"/>
      <c r="J792" s="79"/>
      <c r="K792" s="79"/>
      <c r="L792" s="84"/>
      <c r="M792" s="84"/>
      <c r="N792" s="79"/>
      <c r="O792" s="85"/>
      <c r="P792" s="85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</row>
    <row r="793" spans="1:28" ht="15.75" customHeight="1">
      <c r="A793" s="86"/>
      <c r="B793" s="79"/>
      <c r="C793" s="82"/>
      <c r="D793" s="81"/>
      <c r="E793" s="82"/>
      <c r="F793" s="81"/>
      <c r="G793" s="79"/>
      <c r="H793" s="83"/>
      <c r="I793" s="79"/>
      <c r="J793" s="79"/>
      <c r="K793" s="79"/>
      <c r="L793" s="84"/>
      <c r="M793" s="84"/>
      <c r="N793" s="79"/>
      <c r="O793" s="85"/>
      <c r="P793" s="85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</row>
    <row r="794" spans="1:28" ht="15.75" customHeight="1">
      <c r="A794" s="86"/>
      <c r="B794" s="79"/>
      <c r="C794" s="82"/>
      <c r="D794" s="81"/>
      <c r="E794" s="82"/>
      <c r="F794" s="81"/>
      <c r="G794" s="79"/>
      <c r="H794" s="83"/>
      <c r="I794" s="79"/>
      <c r="J794" s="79"/>
      <c r="K794" s="79"/>
      <c r="L794" s="84"/>
      <c r="M794" s="84"/>
      <c r="N794" s="79"/>
      <c r="O794" s="85"/>
      <c r="P794" s="85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</row>
    <row r="795" spans="1:28" ht="15.75" customHeight="1">
      <c r="A795" s="86"/>
      <c r="B795" s="79"/>
      <c r="C795" s="82"/>
      <c r="D795" s="81"/>
      <c r="E795" s="82"/>
      <c r="F795" s="81"/>
      <c r="G795" s="79"/>
      <c r="H795" s="83"/>
      <c r="I795" s="79"/>
      <c r="J795" s="79"/>
      <c r="K795" s="79"/>
      <c r="L795" s="84"/>
      <c r="M795" s="84"/>
      <c r="N795" s="79"/>
      <c r="O795" s="85"/>
      <c r="P795" s="85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</row>
    <row r="796" spans="1:28" ht="15.75" customHeight="1">
      <c r="A796" s="86"/>
      <c r="B796" s="79"/>
      <c r="C796" s="82"/>
      <c r="D796" s="81"/>
      <c r="E796" s="82"/>
      <c r="F796" s="81"/>
      <c r="G796" s="79"/>
      <c r="H796" s="83"/>
      <c r="I796" s="79"/>
      <c r="J796" s="79"/>
      <c r="K796" s="79"/>
      <c r="L796" s="84"/>
      <c r="M796" s="84"/>
      <c r="N796" s="79"/>
      <c r="O796" s="85"/>
      <c r="P796" s="85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</row>
    <row r="797" spans="1:28" ht="15.75" customHeight="1">
      <c r="A797" s="86"/>
      <c r="B797" s="79"/>
      <c r="C797" s="82"/>
      <c r="D797" s="81"/>
      <c r="E797" s="82"/>
      <c r="F797" s="81"/>
      <c r="G797" s="79"/>
      <c r="H797" s="83"/>
      <c r="I797" s="79"/>
      <c r="J797" s="79"/>
      <c r="K797" s="79"/>
      <c r="L797" s="84"/>
      <c r="M797" s="84"/>
      <c r="N797" s="79"/>
      <c r="O797" s="85"/>
      <c r="P797" s="85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</row>
    <row r="798" spans="1:28" ht="15.75" customHeight="1">
      <c r="A798" s="86"/>
      <c r="B798" s="79"/>
      <c r="C798" s="82"/>
      <c r="D798" s="81"/>
      <c r="E798" s="82"/>
      <c r="F798" s="81"/>
      <c r="G798" s="79"/>
      <c r="H798" s="83"/>
      <c r="I798" s="79"/>
      <c r="J798" s="79"/>
      <c r="K798" s="79"/>
      <c r="L798" s="84"/>
      <c r="M798" s="84"/>
      <c r="N798" s="79"/>
      <c r="O798" s="85"/>
      <c r="P798" s="85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</row>
    <row r="799" spans="1:28" ht="15.75" customHeight="1">
      <c r="A799" s="86"/>
      <c r="B799" s="79"/>
      <c r="C799" s="82"/>
      <c r="D799" s="81"/>
      <c r="E799" s="82"/>
      <c r="F799" s="81"/>
      <c r="G799" s="79"/>
      <c r="H799" s="83"/>
      <c r="I799" s="79"/>
      <c r="J799" s="79"/>
      <c r="K799" s="79"/>
      <c r="L799" s="84"/>
      <c r="M799" s="84"/>
      <c r="N799" s="79"/>
      <c r="O799" s="85"/>
      <c r="P799" s="85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</row>
    <row r="800" spans="1:28" ht="15.75" customHeight="1">
      <c r="A800" s="86"/>
      <c r="B800" s="79"/>
      <c r="C800" s="82"/>
      <c r="D800" s="81"/>
      <c r="E800" s="82"/>
      <c r="F800" s="81"/>
      <c r="G800" s="79"/>
      <c r="H800" s="83"/>
      <c r="I800" s="79"/>
      <c r="J800" s="79"/>
      <c r="K800" s="79"/>
      <c r="L800" s="84"/>
      <c r="M800" s="84"/>
      <c r="N800" s="79"/>
      <c r="O800" s="85"/>
      <c r="P800" s="85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</row>
    <row r="801" spans="1:28" ht="15.75" customHeight="1">
      <c r="A801" s="86"/>
      <c r="B801" s="79"/>
      <c r="C801" s="82"/>
      <c r="D801" s="81"/>
      <c r="E801" s="82"/>
      <c r="F801" s="81"/>
      <c r="G801" s="79"/>
      <c r="H801" s="83"/>
      <c r="I801" s="79"/>
      <c r="J801" s="79"/>
      <c r="K801" s="79"/>
      <c r="L801" s="84"/>
      <c r="M801" s="84"/>
      <c r="N801" s="79"/>
      <c r="O801" s="85"/>
      <c r="P801" s="85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</row>
    <row r="802" spans="1:28" ht="15.75" customHeight="1">
      <c r="A802" s="86"/>
      <c r="B802" s="79"/>
      <c r="C802" s="82"/>
      <c r="D802" s="81"/>
      <c r="E802" s="82"/>
      <c r="F802" s="81"/>
      <c r="G802" s="79"/>
      <c r="H802" s="83"/>
      <c r="I802" s="79"/>
      <c r="J802" s="79"/>
      <c r="K802" s="79"/>
      <c r="L802" s="84"/>
      <c r="M802" s="84"/>
      <c r="N802" s="79"/>
      <c r="O802" s="85"/>
      <c r="P802" s="85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</row>
    <row r="803" spans="1:28" ht="15.75" customHeight="1">
      <c r="A803" s="86"/>
      <c r="B803" s="79"/>
      <c r="C803" s="82"/>
      <c r="D803" s="81"/>
      <c r="E803" s="82"/>
      <c r="F803" s="81"/>
      <c r="G803" s="79"/>
      <c r="H803" s="83"/>
      <c r="I803" s="79"/>
      <c r="J803" s="79"/>
      <c r="K803" s="79"/>
      <c r="L803" s="84"/>
      <c r="M803" s="84"/>
      <c r="N803" s="79"/>
      <c r="O803" s="85"/>
      <c r="P803" s="85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</row>
    <row r="804" spans="1:28" ht="15.75" customHeight="1">
      <c r="A804" s="86"/>
      <c r="B804" s="79"/>
      <c r="C804" s="82"/>
      <c r="D804" s="81"/>
      <c r="E804" s="82"/>
      <c r="F804" s="81"/>
      <c r="G804" s="79"/>
      <c r="H804" s="83"/>
      <c r="I804" s="79"/>
      <c r="J804" s="79"/>
      <c r="K804" s="79"/>
      <c r="L804" s="84"/>
      <c r="M804" s="84"/>
      <c r="N804" s="79"/>
      <c r="O804" s="85"/>
      <c r="P804" s="85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</row>
    <row r="805" spans="1:28" ht="15.75" customHeight="1">
      <c r="A805" s="86"/>
      <c r="B805" s="79"/>
      <c r="C805" s="82"/>
      <c r="D805" s="81"/>
      <c r="E805" s="82"/>
      <c r="F805" s="81"/>
      <c r="G805" s="79"/>
      <c r="H805" s="83"/>
      <c r="I805" s="79"/>
      <c r="J805" s="79"/>
      <c r="K805" s="79"/>
      <c r="L805" s="84"/>
      <c r="M805" s="84"/>
      <c r="N805" s="79"/>
      <c r="O805" s="85"/>
      <c r="P805" s="85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</row>
    <row r="806" spans="1:28" ht="15.75" customHeight="1">
      <c r="A806" s="86"/>
      <c r="B806" s="79"/>
      <c r="C806" s="82"/>
      <c r="D806" s="81"/>
      <c r="E806" s="82"/>
      <c r="F806" s="81"/>
      <c r="G806" s="79"/>
      <c r="H806" s="83"/>
      <c r="I806" s="79"/>
      <c r="J806" s="79"/>
      <c r="K806" s="79"/>
      <c r="L806" s="84"/>
      <c r="M806" s="84"/>
      <c r="N806" s="79"/>
      <c r="O806" s="85"/>
      <c r="P806" s="85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</row>
    <row r="807" spans="1:28" ht="15.75" customHeight="1">
      <c r="A807" s="86"/>
      <c r="B807" s="79"/>
      <c r="C807" s="82"/>
      <c r="D807" s="81"/>
      <c r="E807" s="82"/>
      <c r="F807" s="81"/>
      <c r="G807" s="79"/>
      <c r="H807" s="83"/>
      <c r="I807" s="79"/>
      <c r="J807" s="79"/>
      <c r="K807" s="79"/>
      <c r="L807" s="84"/>
      <c r="M807" s="84"/>
      <c r="N807" s="79"/>
      <c r="O807" s="85"/>
      <c r="P807" s="85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</row>
    <row r="808" spans="1:28" ht="15.75" customHeight="1">
      <c r="A808" s="86"/>
      <c r="B808" s="79"/>
      <c r="C808" s="82"/>
      <c r="D808" s="81"/>
      <c r="E808" s="82"/>
      <c r="F808" s="81"/>
      <c r="G808" s="79"/>
      <c r="H808" s="83"/>
      <c r="I808" s="79"/>
      <c r="J808" s="79"/>
      <c r="K808" s="79"/>
      <c r="L808" s="84"/>
      <c r="M808" s="84"/>
      <c r="N808" s="79"/>
      <c r="O808" s="85"/>
      <c r="P808" s="85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</row>
    <row r="809" spans="1:28" ht="15.75" customHeight="1">
      <c r="A809" s="86"/>
      <c r="B809" s="79"/>
      <c r="C809" s="82"/>
      <c r="D809" s="81"/>
      <c r="E809" s="82"/>
      <c r="F809" s="81"/>
      <c r="G809" s="79"/>
      <c r="H809" s="83"/>
      <c r="I809" s="79"/>
      <c r="J809" s="79"/>
      <c r="K809" s="79"/>
      <c r="L809" s="84"/>
      <c r="M809" s="84"/>
      <c r="N809" s="79"/>
      <c r="O809" s="85"/>
      <c r="P809" s="85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</row>
    <row r="810" spans="1:28" ht="15.75" customHeight="1">
      <c r="A810" s="86"/>
      <c r="B810" s="79"/>
      <c r="C810" s="82"/>
      <c r="D810" s="81"/>
      <c r="E810" s="82"/>
      <c r="F810" s="81"/>
      <c r="G810" s="79"/>
      <c r="H810" s="83"/>
      <c r="I810" s="79"/>
      <c r="J810" s="79"/>
      <c r="K810" s="79"/>
      <c r="L810" s="84"/>
      <c r="M810" s="84"/>
      <c r="N810" s="79"/>
      <c r="O810" s="85"/>
      <c r="P810" s="85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</row>
    <row r="811" spans="1:28" ht="15.75" customHeight="1">
      <c r="A811" s="86"/>
      <c r="B811" s="79"/>
      <c r="C811" s="82"/>
      <c r="D811" s="81"/>
      <c r="E811" s="82"/>
      <c r="F811" s="81"/>
      <c r="G811" s="79"/>
      <c r="H811" s="83"/>
      <c r="I811" s="79"/>
      <c r="J811" s="79"/>
      <c r="K811" s="79"/>
      <c r="L811" s="84"/>
      <c r="M811" s="84"/>
      <c r="N811" s="79"/>
      <c r="O811" s="85"/>
      <c r="P811" s="85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</row>
    <row r="812" spans="1:28" ht="15.75" customHeight="1">
      <c r="A812" s="86"/>
      <c r="B812" s="79"/>
      <c r="C812" s="82"/>
      <c r="D812" s="81"/>
      <c r="E812" s="82"/>
      <c r="F812" s="81"/>
      <c r="G812" s="79"/>
      <c r="H812" s="83"/>
      <c r="I812" s="79"/>
      <c r="J812" s="79"/>
      <c r="K812" s="79"/>
      <c r="L812" s="84"/>
      <c r="M812" s="84"/>
      <c r="N812" s="79"/>
      <c r="O812" s="85"/>
      <c r="P812" s="85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</row>
    <row r="813" spans="1:28" ht="15.75" customHeight="1">
      <c r="A813" s="86"/>
      <c r="B813" s="79"/>
      <c r="C813" s="82"/>
      <c r="D813" s="81"/>
      <c r="E813" s="82"/>
      <c r="F813" s="81"/>
      <c r="G813" s="79"/>
      <c r="H813" s="83"/>
      <c r="I813" s="79"/>
      <c r="J813" s="79"/>
      <c r="K813" s="79"/>
      <c r="L813" s="84"/>
      <c r="M813" s="84"/>
      <c r="N813" s="79"/>
      <c r="O813" s="85"/>
      <c r="P813" s="85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</row>
    <row r="814" spans="1:28" ht="15.75" customHeight="1">
      <c r="A814" s="86"/>
      <c r="B814" s="79"/>
      <c r="C814" s="82"/>
      <c r="D814" s="81"/>
      <c r="E814" s="82"/>
      <c r="F814" s="81"/>
      <c r="G814" s="79"/>
      <c r="H814" s="83"/>
      <c r="I814" s="79"/>
      <c r="J814" s="79"/>
      <c r="K814" s="79"/>
      <c r="L814" s="84"/>
      <c r="M814" s="84"/>
      <c r="N814" s="79"/>
      <c r="O814" s="85"/>
      <c r="P814" s="85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</row>
    <row r="815" spans="1:28" ht="15.75" customHeight="1">
      <c r="A815" s="86"/>
      <c r="B815" s="79"/>
      <c r="C815" s="82"/>
      <c r="D815" s="81"/>
      <c r="E815" s="82"/>
      <c r="F815" s="81"/>
      <c r="G815" s="79"/>
      <c r="H815" s="83"/>
      <c r="I815" s="79"/>
      <c r="J815" s="79"/>
      <c r="K815" s="79"/>
      <c r="L815" s="84"/>
      <c r="M815" s="84"/>
      <c r="N815" s="79"/>
      <c r="O815" s="85"/>
      <c r="P815" s="85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</row>
    <row r="816" spans="1:28" ht="15.75" customHeight="1">
      <c r="A816" s="86"/>
      <c r="B816" s="79"/>
      <c r="C816" s="82"/>
      <c r="D816" s="81"/>
      <c r="E816" s="82"/>
      <c r="F816" s="81"/>
      <c r="G816" s="79"/>
      <c r="H816" s="83"/>
      <c r="I816" s="79"/>
      <c r="J816" s="79"/>
      <c r="K816" s="79"/>
      <c r="L816" s="84"/>
      <c r="M816" s="84"/>
      <c r="N816" s="79"/>
      <c r="O816" s="85"/>
      <c r="P816" s="85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</row>
    <row r="817" spans="1:28" ht="15.75" customHeight="1">
      <c r="A817" s="86"/>
      <c r="B817" s="79"/>
      <c r="C817" s="82"/>
      <c r="D817" s="81"/>
      <c r="E817" s="82"/>
      <c r="F817" s="81"/>
      <c r="G817" s="79"/>
      <c r="H817" s="83"/>
      <c r="I817" s="79"/>
      <c r="J817" s="79"/>
      <c r="K817" s="79"/>
      <c r="L817" s="84"/>
      <c r="M817" s="84"/>
      <c r="N817" s="79"/>
      <c r="O817" s="85"/>
      <c r="P817" s="85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</row>
    <row r="818" spans="1:28" ht="15.75" customHeight="1">
      <c r="A818" s="86"/>
      <c r="B818" s="79"/>
      <c r="C818" s="82"/>
      <c r="D818" s="81"/>
      <c r="E818" s="82"/>
      <c r="F818" s="81"/>
      <c r="G818" s="79"/>
      <c r="H818" s="83"/>
      <c r="I818" s="79"/>
      <c r="J818" s="79"/>
      <c r="K818" s="79"/>
      <c r="L818" s="84"/>
      <c r="M818" s="84"/>
      <c r="N818" s="79"/>
      <c r="O818" s="85"/>
      <c r="P818" s="85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</row>
    <row r="819" spans="1:28" ht="15.75" customHeight="1">
      <c r="A819" s="86"/>
      <c r="B819" s="79"/>
      <c r="C819" s="82"/>
      <c r="D819" s="81"/>
      <c r="E819" s="82"/>
      <c r="F819" s="81"/>
      <c r="G819" s="79"/>
      <c r="H819" s="83"/>
      <c r="I819" s="79"/>
      <c r="J819" s="79"/>
      <c r="K819" s="79"/>
      <c r="L819" s="84"/>
      <c r="M819" s="84"/>
      <c r="N819" s="79"/>
      <c r="O819" s="85"/>
      <c r="P819" s="85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</row>
    <row r="820" spans="1:28" ht="15.75" customHeight="1">
      <c r="A820" s="86"/>
      <c r="B820" s="79"/>
      <c r="C820" s="82"/>
      <c r="D820" s="81"/>
      <c r="E820" s="82"/>
      <c r="F820" s="81"/>
      <c r="G820" s="79"/>
      <c r="H820" s="83"/>
      <c r="I820" s="79"/>
      <c r="J820" s="79"/>
      <c r="K820" s="79"/>
      <c r="L820" s="84"/>
      <c r="M820" s="84"/>
      <c r="N820" s="79"/>
      <c r="O820" s="85"/>
      <c r="P820" s="85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</row>
    <row r="821" spans="1:28" ht="15.75" customHeight="1">
      <c r="A821" s="86"/>
      <c r="B821" s="79"/>
      <c r="C821" s="82"/>
      <c r="D821" s="81"/>
      <c r="E821" s="82"/>
      <c r="F821" s="81"/>
      <c r="G821" s="79"/>
      <c r="H821" s="83"/>
      <c r="I821" s="79"/>
      <c r="J821" s="79"/>
      <c r="K821" s="79"/>
      <c r="L821" s="84"/>
      <c r="M821" s="84"/>
      <c r="N821" s="79"/>
      <c r="O821" s="85"/>
      <c r="P821" s="85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</row>
    <row r="822" spans="1:28" ht="15.75" customHeight="1">
      <c r="A822" s="86"/>
      <c r="B822" s="79"/>
      <c r="C822" s="82"/>
      <c r="D822" s="81"/>
      <c r="E822" s="82"/>
      <c r="F822" s="81"/>
      <c r="G822" s="79"/>
      <c r="H822" s="83"/>
      <c r="I822" s="79"/>
      <c r="J822" s="79"/>
      <c r="K822" s="79"/>
      <c r="L822" s="84"/>
      <c r="M822" s="84"/>
      <c r="N822" s="79"/>
      <c r="O822" s="85"/>
      <c r="P822" s="85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</row>
    <row r="823" spans="1:28" ht="15.75" customHeight="1">
      <c r="A823" s="86"/>
      <c r="B823" s="79"/>
      <c r="C823" s="82"/>
      <c r="D823" s="81"/>
      <c r="E823" s="82"/>
      <c r="F823" s="81"/>
      <c r="G823" s="79"/>
      <c r="H823" s="83"/>
      <c r="I823" s="79"/>
      <c r="J823" s="79"/>
      <c r="K823" s="79"/>
      <c r="L823" s="84"/>
      <c r="M823" s="84"/>
      <c r="N823" s="79"/>
      <c r="O823" s="85"/>
      <c r="P823" s="85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</row>
    <row r="824" spans="1:28" ht="15.75" customHeight="1">
      <c r="A824" s="86"/>
      <c r="B824" s="79"/>
      <c r="C824" s="82"/>
      <c r="D824" s="81"/>
      <c r="E824" s="82"/>
      <c r="F824" s="81"/>
      <c r="G824" s="79"/>
      <c r="H824" s="83"/>
      <c r="I824" s="79"/>
      <c r="J824" s="79"/>
      <c r="K824" s="79"/>
      <c r="L824" s="84"/>
      <c r="M824" s="84"/>
      <c r="N824" s="79"/>
      <c r="O824" s="85"/>
      <c r="P824" s="85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</row>
    <row r="825" spans="1:28" ht="15.75" customHeight="1">
      <c r="A825" s="86"/>
      <c r="B825" s="79"/>
      <c r="C825" s="82"/>
      <c r="D825" s="81"/>
      <c r="E825" s="82"/>
      <c r="F825" s="81"/>
      <c r="G825" s="79"/>
      <c r="H825" s="83"/>
      <c r="I825" s="79"/>
      <c r="J825" s="79"/>
      <c r="K825" s="79"/>
      <c r="L825" s="84"/>
      <c r="M825" s="84"/>
      <c r="N825" s="79"/>
      <c r="O825" s="85"/>
      <c r="P825" s="85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</row>
    <row r="826" spans="1:28" ht="15.75" customHeight="1">
      <c r="A826" s="86"/>
      <c r="B826" s="79"/>
      <c r="C826" s="82"/>
      <c r="D826" s="81"/>
      <c r="E826" s="82"/>
      <c r="F826" s="81"/>
      <c r="G826" s="79"/>
      <c r="H826" s="83"/>
      <c r="I826" s="79"/>
      <c r="J826" s="79"/>
      <c r="K826" s="79"/>
      <c r="L826" s="84"/>
      <c r="M826" s="84"/>
      <c r="N826" s="79"/>
      <c r="O826" s="85"/>
      <c r="P826" s="85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</row>
    <row r="827" spans="1:28" ht="15.75" customHeight="1">
      <c r="A827" s="86"/>
      <c r="B827" s="79"/>
      <c r="C827" s="82"/>
      <c r="D827" s="81"/>
      <c r="E827" s="82"/>
      <c r="F827" s="81"/>
      <c r="G827" s="79"/>
      <c r="H827" s="83"/>
      <c r="I827" s="79"/>
      <c r="J827" s="79"/>
      <c r="K827" s="79"/>
      <c r="L827" s="84"/>
      <c r="M827" s="84"/>
      <c r="N827" s="79"/>
      <c r="O827" s="85"/>
      <c r="P827" s="85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</row>
    <row r="828" spans="1:28" ht="15.75" customHeight="1">
      <c r="A828" s="86"/>
      <c r="B828" s="79"/>
      <c r="C828" s="82"/>
      <c r="D828" s="81"/>
      <c r="E828" s="82"/>
      <c r="F828" s="81"/>
      <c r="G828" s="79"/>
      <c r="H828" s="83"/>
      <c r="I828" s="79"/>
      <c r="J828" s="79"/>
      <c r="K828" s="79"/>
      <c r="L828" s="84"/>
      <c r="M828" s="84"/>
      <c r="N828" s="79"/>
      <c r="O828" s="85"/>
      <c r="P828" s="85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</row>
    <row r="829" spans="1:28" ht="15.75" customHeight="1">
      <c r="A829" s="86"/>
      <c r="B829" s="79"/>
      <c r="C829" s="82"/>
      <c r="D829" s="81"/>
      <c r="E829" s="82"/>
      <c r="F829" s="81"/>
      <c r="G829" s="79"/>
      <c r="H829" s="83"/>
      <c r="I829" s="79"/>
      <c r="J829" s="79"/>
      <c r="K829" s="79"/>
      <c r="L829" s="84"/>
      <c r="M829" s="84"/>
      <c r="N829" s="79"/>
      <c r="O829" s="85"/>
      <c r="P829" s="85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</row>
    <row r="830" spans="1:28" ht="15.75" customHeight="1">
      <c r="A830" s="86"/>
      <c r="B830" s="79"/>
      <c r="C830" s="82"/>
      <c r="D830" s="81"/>
      <c r="E830" s="82"/>
      <c r="F830" s="81"/>
      <c r="G830" s="79"/>
      <c r="H830" s="83"/>
      <c r="I830" s="79"/>
      <c r="J830" s="79"/>
      <c r="K830" s="79"/>
      <c r="L830" s="84"/>
      <c r="M830" s="84"/>
      <c r="N830" s="79"/>
      <c r="O830" s="85"/>
      <c r="P830" s="85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</row>
    <row r="831" spans="1:28" ht="15.75" customHeight="1">
      <c r="A831" s="86"/>
      <c r="B831" s="79"/>
      <c r="C831" s="82"/>
      <c r="D831" s="81"/>
      <c r="E831" s="82"/>
      <c r="F831" s="81"/>
      <c r="G831" s="79"/>
      <c r="H831" s="83"/>
      <c r="I831" s="79"/>
      <c r="J831" s="79"/>
      <c r="K831" s="79"/>
      <c r="L831" s="84"/>
      <c r="M831" s="84"/>
      <c r="N831" s="79"/>
      <c r="O831" s="85"/>
      <c r="P831" s="85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</row>
    <row r="832" spans="1:28" ht="15.75" customHeight="1">
      <c r="A832" s="86"/>
      <c r="B832" s="79"/>
      <c r="C832" s="82"/>
      <c r="D832" s="81"/>
      <c r="E832" s="82"/>
      <c r="F832" s="81"/>
      <c r="G832" s="79"/>
      <c r="H832" s="83"/>
      <c r="I832" s="79"/>
      <c r="J832" s="79"/>
      <c r="K832" s="79"/>
      <c r="L832" s="84"/>
      <c r="M832" s="84"/>
      <c r="N832" s="79"/>
      <c r="O832" s="85"/>
      <c r="P832" s="85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</row>
    <row r="833" spans="1:28" ht="15.75" customHeight="1">
      <c r="A833" s="86"/>
      <c r="B833" s="79"/>
      <c r="C833" s="82"/>
      <c r="D833" s="81"/>
      <c r="E833" s="82"/>
      <c r="F833" s="81"/>
      <c r="G833" s="79"/>
      <c r="H833" s="83"/>
      <c r="I833" s="79"/>
      <c r="J833" s="79"/>
      <c r="K833" s="79"/>
      <c r="L833" s="84"/>
      <c r="M833" s="84"/>
      <c r="N833" s="79"/>
      <c r="O833" s="85"/>
      <c r="P833" s="85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</row>
    <row r="834" spans="1:28" ht="15.75" customHeight="1">
      <c r="A834" s="86"/>
      <c r="B834" s="79"/>
      <c r="C834" s="82"/>
      <c r="D834" s="81"/>
      <c r="E834" s="82"/>
      <c r="F834" s="81"/>
      <c r="G834" s="79"/>
      <c r="H834" s="83"/>
      <c r="I834" s="79"/>
      <c r="J834" s="79"/>
      <c r="K834" s="79"/>
      <c r="L834" s="84"/>
      <c r="M834" s="84"/>
      <c r="N834" s="79"/>
      <c r="O834" s="85"/>
      <c r="P834" s="85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</row>
    <row r="835" spans="1:28" ht="15.75" customHeight="1">
      <c r="A835" s="86"/>
      <c r="B835" s="79"/>
      <c r="C835" s="82"/>
      <c r="D835" s="81"/>
      <c r="E835" s="82"/>
      <c r="F835" s="81"/>
      <c r="G835" s="79"/>
      <c r="H835" s="83"/>
      <c r="I835" s="79"/>
      <c r="J835" s="79"/>
      <c r="K835" s="79"/>
      <c r="L835" s="84"/>
      <c r="M835" s="84"/>
      <c r="N835" s="79"/>
      <c r="O835" s="85"/>
      <c r="P835" s="85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</row>
    <row r="836" spans="1:28" ht="15.75" customHeight="1">
      <c r="A836" s="86"/>
      <c r="B836" s="79"/>
      <c r="C836" s="82"/>
      <c r="D836" s="81"/>
      <c r="E836" s="82"/>
      <c r="F836" s="81"/>
      <c r="G836" s="79"/>
      <c r="H836" s="83"/>
      <c r="I836" s="79"/>
      <c r="J836" s="79"/>
      <c r="K836" s="79"/>
      <c r="L836" s="84"/>
      <c r="M836" s="84"/>
      <c r="N836" s="79"/>
      <c r="O836" s="85"/>
      <c r="P836" s="85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</row>
    <row r="837" spans="1:28" ht="15.75" customHeight="1">
      <c r="A837" s="86"/>
      <c r="B837" s="79"/>
      <c r="C837" s="82"/>
      <c r="D837" s="81"/>
      <c r="E837" s="82"/>
      <c r="F837" s="81"/>
      <c r="G837" s="79"/>
      <c r="H837" s="83"/>
      <c r="I837" s="79"/>
      <c r="J837" s="79"/>
      <c r="K837" s="79"/>
      <c r="L837" s="84"/>
      <c r="M837" s="84"/>
      <c r="N837" s="79"/>
      <c r="O837" s="85"/>
      <c r="P837" s="85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</row>
    <row r="838" spans="1:28" ht="15.75" customHeight="1">
      <c r="A838" s="86"/>
      <c r="B838" s="79"/>
      <c r="C838" s="82"/>
      <c r="D838" s="81"/>
      <c r="E838" s="82"/>
      <c r="F838" s="81"/>
      <c r="G838" s="79"/>
      <c r="H838" s="83"/>
      <c r="I838" s="79"/>
      <c r="J838" s="79"/>
      <c r="K838" s="79"/>
      <c r="L838" s="84"/>
      <c r="M838" s="84"/>
      <c r="N838" s="79"/>
      <c r="O838" s="85"/>
      <c r="P838" s="85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</row>
    <row r="839" spans="1:28" ht="15.75" customHeight="1">
      <c r="A839" s="86"/>
      <c r="B839" s="79"/>
      <c r="C839" s="82"/>
      <c r="D839" s="81"/>
      <c r="E839" s="82"/>
      <c r="F839" s="81"/>
      <c r="G839" s="79"/>
      <c r="H839" s="83"/>
      <c r="I839" s="79"/>
      <c r="J839" s="79"/>
      <c r="K839" s="79"/>
      <c r="L839" s="84"/>
      <c r="M839" s="84"/>
      <c r="N839" s="79"/>
      <c r="O839" s="85"/>
      <c r="P839" s="85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</row>
    <row r="840" spans="1:28" ht="15.75" customHeight="1">
      <c r="A840" s="86"/>
      <c r="B840" s="79"/>
      <c r="C840" s="82"/>
      <c r="D840" s="81"/>
      <c r="E840" s="82"/>
      <c r="F840" s="81"/>
      <c r="G840" s="79"/>
      <c r="H840" s="83"/>
      <c r="I840" s="79"/>
      <c r="J840" s="79"/>
      <c r="K840" s="79"/>
      <c r="L840" s="84"/>
      <c r="M840" s="84"/>
      <c r="N840" s="79"/>
      <c r="O840" s="85"/>
      <c r="P840" s="85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</row>
    <row r="841" spans="1:28" ht="15.75" customHeight="1">
      <c r="A841" s="86"/>
      <c r="B841" s="79"/>
      <c r="C841" s="82"/>
      <c r="D841" s="81"/>
      <c r="E841" s="82"/>
      <c r="F841" s="81"/>
      <c r="G841" s="79"/>
      <c r="H841" s="83"/>
      <c r="I841" s="79"/>
      <c r="J841" s="79"/>
      <c r="K841" s="79"/>
      <c r="L841" s="84"/>
      <c r="M841" s="84"/>
      <c r="N841" s="79"/>
      <c r="O841" s="85"/>
      <c r="P841" s="85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</row>
    <row r="842" spans="1:28" ht="15.75" customHeight="1">
      <c r="A842" s="86"/>
      <c r="B842" s="79"/>
      <c r="C842" s="82"/>
      <c r="D842" s="81"/>
      <c r="E842" s="82"/>
      <c r="F842" s="81"/>
      <c r="G842" s="79"/>
      <c r="H842" s="83"/>
      <c r="I842" s="79"/>
      <c r="J842" s="79"/>
      <c r="K842" s="79"/>
      <c r="L842" s="84"/>
      <c r="M842" s="84"/>
      <c r="N842" s="79"/>
      <c r="O842" s="85"/>
      <c r="P842" s="85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</row>
    <row r="843" spans="1:28" ht="15.75" customHeight="1">
      <c r="A843" s="86"/>
      <c r="B843" s="79"/>
      <c r="C843" s="82"/>
      <c r="D843" s="81"/>
      <c r="E843" s="82"/>
      <c r="F843" s="81"/>
      <c r="G843" s="79"/>
      <c r="H843" s="83"/>
      <c r="I843" s="79"/>
      <c r="J843" s="79"/>
      <c r="K843" s="79"/>
      <c r="L843" s="84"/>
      <c r="M843" s="84"/>
      <c r="N843" s="79"/>
      <c r="O843" s="85"/>
      <c r="P843" s="85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</row>
    <row r="844" spans="1:28" ht="15.75" customHeight="1">
      <c r="A844" s="86"/>
      <c r="B844" s="79"/>
      <c r="C844" s="82"/>
      <c r="D844" s="81"/>
      <c r="E844" s="82"/>
      <c r="F844" s="81"/>
      <c r="G844" s="79"/>
      <c r="H844" s="83"/>
      <c r="I844" s="79"/>
      <c r="J844" s="79"/>
      <c r="K844" s="79"/>
      <c r="L844" s="84"/>
      <c r="M844" s="84"/>
      <c r="N844" s="79"/>
      <c r="O844" s="85"/>
      <c r="P844" s="85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</row>
    <row r="845" spans="1:28" ht="15.75" customHeight="1">
      <c r="A845" s="86"/>
      <c r="B845" s="79"/>
      <c r="C845" s="82"/>
      <c r="D845" s="81"/>
      <c r="E845" s="82"/>
      <c r="F845" s="81"/>
      <c r="G845" s="79"/>
      <c r="H845" s="83"/>
      <c r="I845" s="79"/>
      <c r="J845" s="79"/>
      <c r="K845" s="79"/>
      <c r="L845" s="84"/>
      <c r="M845" s="84"/>
      <c r="N845" s="79"/>
      <c r="O845" s="85"/>
      <c r="P845" s="85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</row>
    <row r="846" spans="1:28" ht="15.75" customHeight="1">
      <c r="A846" s="86"/>
      <c r="B846" s="79"/>
      <c r="C846" s="82"/>
      <c r="D846" s="81"/>
      <c r="E846" s="82"/>
      <c r="F846" s="81"/>
      <c r="G846" s="79"/>
      <c r="H846" s="83"/>
      <c r="I846" s="79"/>
      <c r="J846" s="79"/>
      <c r="K846" s="79"/>
      <c r="L846" s="84"/>
      <c r="M846" s="84"/>
      <c r="N846" s="79"/>
      <c r="O846" s="85"/>
      <c r="P846" s="85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</row>
    <row r="847" spans="1:28" ht="15.75" customHeight="1">
      <c r="A847" s="86"/>
      <c r="B847" s="79"/>
      <c r="C847" s="82"/>
      <c r="D847" s="81"/>
      <c r="E847" s="82"/>
      <c r="F847" s="81"/>
      <c r="G847" s="79"/>
      <c r="H847" s="83"/>
      <c r="I847" s="79"/>
      <c r="J847" s="79"/>
      <c r="K847" s="79"/>
      <c r="L847" s="84"/>
      <c r="M847" s="84"/>
      <c r="N847" s="79"/>
      <c r="O847" s="85"/>
      <c r="P847" s="85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</row>
    <row r="848" spans="1:28" ht="15.75" customHeight="1">
      <c r="A848" s="86"/>
      <c r="B848" s="79"/>
      <c r="C848" s="82"/>
      <c r="D848" s="81"/>
      <c r="E848" s="82"/>
      <c r="F848" s="81"/>
      <c r="G848" s="79"/>
      <c r="H848" s="83"/>
      <c r="I848" s="79"/>
      <c r="J848" s="79"/>
      <c r="K848" s="79"/>
      <c r="L848" s="84"/>
      <c r="M848" s="84"/>
      <c r="N848" s="79"/>
      <c r="O848" s="85"/>
      <c r="P848" s="85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</row>
    <row r="849" spans="1:28" ht="15.75" customHeight="1">
      <c r="A849" s="86"/>
      <c r="B849" s="79"/>
      <c r="C849" s="82"/>
      <c r="D849" s="81"/>
      <c r="E849" s="82"/>
      <c r="F849" s="81"/>
      <c r="G849" s="79"/>
      <c r="H849" s="83"/>
      <c r="I849" s="79"/>
      <c r="J849" s="79"/>
      <c r="K849" s="79"/>
      <c r="L849" s="84"/>
      <c r="M849" s="84"/>
      <c r="N849" s="79"/>
      <c r="O849" s="85"/>
      <c r="P849" s="85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</row>
    <row r="850" spans="1:28" ht="15.75" customHeight="1">
      <c r="A850" s="86"/>
      <c r="B850" s="79"/>
      <c r="C850" s="82"/>
      <c r="D850" s="81"/>
      <c r="E850" s="82"/>
      <c r="F850" s="81"/>
      <c r="G850" s="79"/>
      <c r="H850" s="83"/>
      <c r="I850" s="79"/>
      <c r="J850" s="79"/>
      <c r="K850" s="79"/>
      <c r="L850" s="84"/>
      <c r="M850" s="84"/>
      <c r="N850" s="79"/>
      <c r="O850" s="85"/>
      <c r="P850" s="85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</row>
    <row r="851" spans="1:28" ht="15.75" customHeight="1">
      <c r="A851" s="86"/>
      <c r="B851" s="79"/>
      <c r="C851" s="82"/>
      <c r="D851" s="81"/>
      <c r="E851" s="82"/>
      <c r="F851" s="81"/>
      <c r="G851" s="79"/>
      <c r="H851" s="83"/>
      <c r="I851" s="79"/>
      <c r="J851" s="79"/>
      <c r="K851" s="79"/>
      <c r="L851" s="84"/>
      <c r="M851" s="84"/>
      <c r="N851" s="79"/>
      <c r="O851" s="85"/>
      <c r="P851" s="85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</row>
    <row r="852" spans="1:28" ht="15.75" customHeight="1">
      <c r="A852" s="86"/>
      <c r="B852" s="79"/>
      <c r="C852" s="82"/>
      <c r="D852" s="81"/>
      <c r="E852" s="82"/>
      <c r="F852" s="81"/>
      <c r="G852" s="79"/>
      <c r="H852" s="83"/>
      <c r="I852" s="79"/>
      <c r="J852" s="79"/>
      <c r="K852" s="79"/>
      <c r="L852" s="84"/>
      <c r="M852" s="84"/>
      <c r="N852" s="79"/>
      <c r="O852" s="85"/>
      <c r="P852" s="85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</row>
    <row r="853" spans="1:28" ht="15.75" customHeight="1">
      <c r="A853" s="86"/>
      <c r="B853" s="79"/>
      <c r="C853" s="82"/>
      <c r="D853" s="81"/>
      <c r="E853" s="82"/>
      <c r="F853" s="81"/>
      <c r="G853" s="79"/>
      <c r="H853" s="83"/>
      <c r="I853" s="79"/>
      <c r="J853" s="79"/>
      <c r="K853" s="79"/>
      <c r="L853" s="84"/>
      <c r="M853" s="84"/>
      <c r="N853" s="79"/>
      <c r="O853" s="85"/>
      <c r="P853" s="85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</row>
    <row r="854" spans="1:28" ht="15.75" customHeight="1">
      <c r="A854" s="86"/>
      <c r="B854" s="79"/>
      <c r="C854" s="82"/>
      <c r="D854" s="81"/>
      <c r="E854" s="82"/>
      <c r="F854" s="81"/>
      <c r="G854" s="79"/>
      <c r="H854" s="83"/>
      <c r="I854" s="79"/>
      <c r="J854" s="79"/>
      <c r="K854" s="79"/>
      <c r="L854" s="84"/>
      <c r="M854" s="84"/>
      <c r="N854" s="79"/>
      <c r="O854" s="85"/>
      <c r="P854" s="85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</row>
    <row r="855" spans="1:28" ht="15.75" customHeight="1">
      <c r="A855" s="86"/>
      <c r="B855" s="79"/>
      <c r="C855" s="82"/>
      <c r="D855" s="81"/>
      <c r="E855" s="82"/>
      <c r="F855" s="81"/>
      <c r="G855" s="79"/>
      <c r="H855" s="83"/>
      <c r="I855" s="79"/>
      <c r="J855" s="79"/>
      <c r="K855" s="79"/>
      <c r="L855" s="84"/>
      <c r="M855" s="84"/>
      <c r="N855" s="79"/>
      <c r="O855" s="85"/>
      <c r="P855" s="85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</row>
    <row r="856" spans="1:28" ht="15.75" customHeight="1">
      <c r="A856" s="86"/>
      <c r="B856" s="79"/>
      <c r="C856" s="82"/>
      <c r="D856" s="81"/>
      <c r="E856" s="82"/>
      <c r="F856" s="81"/>
      <c r="G856" s="79"/>
      <c r="H856" s="83"/>
      <c r="I856" s="79"/>
      <c r="J856" s="79"/>
      <c r="K856" s="79"/>
      <c r="L856" s="84"/>
      <c r="M856" s="84"/>
      <c r="N856" s="79"/>
      <c r="O856" s="85"/>
      <c r="P856" s="85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</row>
    <row r="857" spans="1:28" ht="15.75" customHeight="1">
      <c r="A857" s="86"/>
      <c r="B857" s="79"/>
      <c r="C857" s="82"/>
      <c r="D857" s="81"/>
      <c r="E857" s="82"/>
      <c r="F857" s="81"/>
      <c r="G857" s="79"/>
      <c r="H857" s="83"/>
      <c r="I857" s="79"/>
      <c r="J857" s="79"/>
      <c r="K857" s="79"/>
      <c r="L857" s="84"/>
      <c r="M857" s="84"/>
      <c r="N857" s="79"/>
      <c r="O857" s="85"/>
      <c r="P857" s="85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</row>
    <row r="858" spans="1:28" ht="15.75" customHeight="1">
      <c r="A858" s="86"/>
      <c r="B858" s="79"/>
      <c r="C858" s="82"/>
      <c r="D858" s="81"/>
      <c r="E858" s="82"/>
      <c r="F858" s="81"/>
      <c r="G858" s="79"/>
      <c r="H858" s="83"/>
      <c r="I858" s="79"/>
      <c r="J858" s="79"/>
      <c r="K858" s="79"/>
      <c r="L858" s="84"/>
      <c r="M858" s="84"/>
      <c r="N858" s="79"/>
      <c r="O858" s="85"/>
      <c r="P858" s="85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</row>
    <row r="859" spans="1:28" ht="15.75" customHeight="1">
      <c r="A859" s="86"/>
      <c r="B859" s="79"/>
      <c r="C859" s="82"/>
      <c r="D859" s="81"/>
      <c r="E859" s="82"/>
      <c r="F859" s="81"/>
      <c r="G859" s="79"/>
      <c r="H859" s="83"/>
      <c r="I859" s="79"/>
      <c r="J859" s="79"/>
      <c r="K859" s="79"/>
      <c r="L859" s="84"/>
      <c r="M859" s="84"/>
      <c r="N859" s="79"/>
      <c r="O859" s="85"/>
      <c r="P859" s="85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</row>
    <row r="860" spans="1:28" ht="15.75" customHeight="1">
      <c r="A860" s="86"/>
      <c r="B860" s="79"/>
      <c r="C860" s="82"/>
      <c r="D860" s="81"/>
      <c r="E860" s="82"/>
      <c r="F860" s="81"/>
      <c r="G860" s="79"/>
      <c r="H860" s="83"/>
      <c r="I860" s="79"/>
      <c r="J860" s="79"/>
      <c r="K860" s="79"/>
      <c r="L860" s="84"/>
      <c r="M860" s="84"/>
      <c r="N860" s="79"/>
      <c r="O860" s="85"/>
      <c r="P860" s="85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</row>
    <row r="861" spans="1:28" ht="15.75" customHeight="1">
      <c r="A861" s="86"/>
      <c r="B861" s="79"/>
      <c r="C861" s="82"/>
      <c r="D861" s="81"/>
      <c r="E861" s="82"/>
      <c r="F861" s="81"/>
      <c r="G861" s="79"/>
      <c r="H861" s="83"/>
      <c r="I861" s="79"/>
      <c r="J861" s="79"/>
      <c r="K861" s="79"/>
      <c r="L861" s="84"/>
      <c r="M861" s="84"/>
      <c r="N861" s="79"/>
      <c r="O861" s="85"/>
      <c r="P861" s="85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</row>
    <row r="862" spans="1:28" ht="15.75" customHeight="1">
      <c r="A862" s="86"/>
      <c r="B862" s="79"/>
      <c r="C862" s="82"/>
      <c r="D862" s="81"/>
      <c r="E862" s="82"/>
      <c r="F862" s="81"/>
      <c r="G862" s="79"/>
      <c r="H862" s="83"/>
      <c r="I862" s="79"/>
      <c r="J862" s="79"/>
      <c r="K862" s="79"/>
      <c r="L862" s="84"/>
      <c r="M862" s="84"/>
      <c r="N862" s="79"/>
      <c r="O862" s="85"/>
      <c r="P862" s="85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</row>
    <row r="863" spans="1:28" ht="15.75" customHeight="1">
      <c r="A863" s="86"/>
      <c r="B863" s="79"/>
      <c r="C863" s="82"/>
      <c r="D863" s="81"/>
      <c r="E863" s="82"/>
      <c r="F863" s="81"/>
      <c r="G863" s="79"/>
      <c r="H863" s="83"/>
      <c r="I863" s="79"/>
      <c r="J863" s="79"/>
      <c r="K863" s="79"/>
      <c r="L863" s="84"/>
      <c r="M863" s="84"/>
      <c r="N863" s="79"/>
      <c r="O863" s="85"/>
      <c r="P863" s="85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</row>
    <row r="864" spans="1:28" ht="15.75" customHeight="1">
      <c r="A864" s="86"/>
      <c r="B864" s="79"/>
      <c r="C864" s="82"/>
      <c r="D864" s="81"/>
      <c r="E864" s="82"/>
      <c r="F864" s="81"/>
      <c r="G864" s="79"/>
      <c r="H864" s="83"/>
      <c r="I864" s="79"/>
      <c r="J864" s="79"/>
      <c r="K864" s="79"/>
      <c r="L864" s="84"/>
      <c r="M864" s="84"/>
      <c r="N864" s="79"/>
      <c r="O864" s="85"/>
      <c r="P864" s="85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</row>
    <row r="865" spans="1:28" ht="15.75" customHeight="1">
      <c r="A865" s="86"/>
      <c r="B865" s="79"/>
      <c r="C865" s="82"/>
      <c r="D865" s="81"/>
      <c r="E865" s="82"/>
      <c r="F865" s="81"/>
      <c r="G865" s="79"/>
      <c r="H865" s="83"/>
      <c r="I865" s="79"/>
      <c r="J865" s="79"/>
      <c r="K865" s="79"/>
      <c r="L865" s="84"/>
      <c r="M865" s="84"/>
      <c r="N865" s="79"/>
      <c r="O865" s="85"/>
      <c r="P865" s="85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</row>
    <row r="866" spans="1:28" ht="15.75" customHeight="1">
      <c r="A866" s="86"/>
      <c r="B866" s="79"/>
      <c r="C866" s="82"/>
      <c r="D866" s="81"/>
      <c r="E866" s="82"/>
      <c r="F866" s="81"/>
      <c r="G866" s="79"/>
      <c r="H866" s="83"/>
      <c r="I866" s="79"/>
      <c r="J866" s="79"/>
      <c r="K866" s="79"/>
      <c r="L866" s="84"/>
      <c r="M866" s="84"/>
      <c r="N866" s="79"/>
      <c r="O866" s="85"/>
      <c r="P866" s="85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</row>
    <row r="867" spans="1:28" ht="15.75" customHeight="1">
      <c r="A867" s="86"/>
      <c r="B867" s="79"/>
      <c r="C867" s="82"/>
      <c r="D867" s="81"/>
      <c r="E867" s="82"/>
      <c r="F867" s="81"/>
      <c r="G867" s="79"/>
      <c r="H867" s="83"/>
      <c r="I867" s="79"/>
      <c r="J867" s="79"/>
      <c r="K867" s="79"/>
      <c r="L867" s="84"/>
      <c r="M867" s="84"/>
      <c r="N867" s="79"/>
      <c r="O867" s="85"/>
      <c r="P867" s="85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</row>
    <row r="868" spans="1:28" ht="15.75" customHeight="1">
      <c r="A868" s="86"/>
      <c r="B868" s="79"/>
      <c r="C868" s="82"/>
      <c r="D868" s="81"/>
      <c r="E868" s="82"/>
      <c r="F868" s="81"/>
      <c r="G868" s="79"/>
      <c r="H868" s="83"/>
      <c r="I868" s="79"/>
      <c r="J868" s="79"/>
      <c r="K868" s="79"/>
      <c r="L868" s="84"/>
      <c r="M868" s="84"/>
      <c r="N868" s="79"/>
      <c r="O868" s="85"/>
      <c r="P868" s="85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</row>
    <row r="869" spans="1:28" ht="15.75" customHeight="1">
      <c r="A869" s="86"/>
      <c r="B869" s="79"/>
      <c r="C869" s="82"/>
      <c r="D869" s="81"/>
      <c r="E869" s="82"/>
      <c r="F869" s="81"/>
      <c r="G869" s="79"/>
      <c r="H869" s="83"/>
      <c r="I869" s="79"/>
      <c r="J869" s="79"/>
      <c r="K869" s="79"/>
      <c r="L869" s="84"/>
      <c r="M869" s="84"/>
      <c r="N869" s="79"/>
      <c r="O869" s="85"/>
      <c r="P869" s="85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</row>
    <row r="870" spans="1:28" ht="15.75" customHeight="1">
      <c r="A870" s="86"/>
      <c r="B870" s="79"/>
      <c r="C870" s="82"/>
      <c r="D870" s="81"/>
      <c r="E870" s="82"/>
      <c r="F870" s="81"/>
      <c r="G870" s="79"/>
      <c r="H870" s="83"/>
      <c r="I870" s="79"/>
      <c r="J870" s="79"/>
      <c r="K870" s="79"/>
      <c r="L870" s="84"/>
      <c r="M870" s="84"/>
      <c r="N870" s="79"/>
      <c r="O870" s="85"/>
      <c r="P870" s="85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</row>
    <row r="871" spans="1:28" ht="15.75" customHeight="1">
      <c r="A871" s="86"/>
      <c r="B871" s="79"/>
      <c r="C871" s="82"/>
      <c r="D871" s="81"/>
      <c r="E871" s="82"/>
      <c r="F871" s="81"/>
      <c r="G871" s="79"/>
      <c r="H871" s="83"/>
      <c r="I871" s="79"/>
      <c r="J871" s="79"/>
      <c r="K871" s="79"/>
      <c r="L871" s="84"/>
      <c r="M871" s="84"/>
      <c r="N871" s="79"/>
      <c r="O871" s="85"/>
      <c r="P871" s="85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</row>
    <row r="872" spans="1:28" ht="15.75" customHeight="1">
      <c r="A872" s="86"/>
      <c r="B872" s="79"/>
      <c r="C872" s="82"/>
      <c r="D872" s="81"/>
      <c r="E872" s="82"/>
      <c r="F872" s="81"/>
      <c r="G872" s="79"/>
      <c r="H872" s="83"/>
      <c r="I872" s="79"/>
      <c r="J872" s="79"/>
      <c r="K872" s="79"/>
      <c r="L872" s="84"/>
      <c r="M872" s="84"/>
      <c r="N872" s="79"/>
      <c r="O872" s="85"/>
      <c r="P872" s="85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</row>
    <row r="873" spans="1:28" ht="15.75" customHeight="1">
      <c r="A873" s="86"/>
      <c r="B873" s="79"/>
      <c r="C873" s="82"/>
      <c r="D873" s="81"/>
      <c r="E873" s="82"/>
      <c r="F873" s="81"/>
      <c r="G873" s="79"/>
      <c r="H873" s="83"/>
      <c r="I873" s="79"/>
      <c r="J873" s="79"/>
      <c r="K873" s="79"/>
      <c r="L873" s="84"/>
      <c r="M873" s="84"/>
      <c r="N873" s="79"/>
      <c r="O873" s="85"/>
      <c r="P873" s="85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</row>
    <row r="874" spans="1:28" ht="15.75" customHeight="1">
      <c r="A874" s="86"/>
      <c r="B874" s="79"/>
      <c r="C874" s="82"/>
      <c r="D874" s="81"/>
      <c r="E874" s="82"/>
      <c r="F874" s="81"/>
      <c r="G874" s="79"/>
      <c r="H874" s="83"/>
      <c r="I874" s="79"/>
      <c r="J874" s="79"/>
      <c r="K874" s="79"/>
      <c r="L874" s="84"/>
      <c r="M874" s="84"/>
      <c r="N874" s="79"/>
      <c r="O874" s="85"/>
      <c r="P874" s="85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</row>
    <row r="875" spans="1:28" ht="15.75" customHeight="1">
      <c r="A875" s="86"/>
      <c r="B875" s="79"/>
      <c r="C875" s="82"/>
      <c r="D875" s="81"/>
      <c r="E875" s="82"/>
      <c r="F875" s="81"/>
      <c r="G875" s="79"/>
      <c r="H875" s="83"/>
      <c r="I875" s="79"/>
      <c r="J875" s="79"/>
      <c r="K875" s="79"/>
      <c r="L875" s="84"/>
      <c r="M875" s="84"/>
      <c r="N875" s="79"/>
      <c r="O875" s="85"/>
      <c r="P875" s="85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</row>
    <row r="876" spans="1:28" ht="15.75" customHeight="1">
      <c r="A876" s="86"/>
      <c r="B876" s="79"/>
      <c r="C876" s="82"/>
      <c r="D876" s="81"/>
      <c r="E876" s="82"/>
      <c r="F876" s="81"/>
      <c r="G876" s="79"/>
      <c r="H876" s="83"/>
      <c r="I876" s="79"/>
      <c r="J876" s="79"/>
      <c r="K876" s="79"/>
      <c r="L876" s="84"/>
      <c r="M876" s="84"/>
      <c r="N876" s="79"/>
      <c r="O876" s="85"/>
      <c r="P876" s="85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</row>
    <row r="877" spans="1:28" ht="15.75" customHeight="1">
      <c r="A877" s="86"/>
      <c r="B877" s="79"/>
      <c r="C877" s="82"/>
      <c r="D877" s="81"/>
      <c r="E877" s="82"/>
      <c r="F877" s="81"/>
      <c r="G877" s="79"/>
      <c r="H877" s="83"/>
      <c r="I877" s="79"/>
      <c r="J877" s="79"/>
      <c r="K877" s="79"/>
      <c r="L877" s="84"/>
      <c r="M877" s="84"/>
      <c r="N877" s="79"/>
      <c r="O877" s="85"/>
      <c r="P877" s="85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</row>
    <row r="878" spans="1:28" ht="15.75" customHeight="1">
      <c r="A878" s="86"/>
      <c r="B878" s="79"/>
      <c r="C878" s="82"/>
      <c r="D878" s="81"/>
      <c r="E878" s="82"/>
      <c r="F878" s="81"/>
      <c r="G878" s="79"/>
      <c r="H878" s="83"/>
      <c r="I878" s="79"/>
      <c r="J878" s="79"/>
      <c r="K878" s="79"/>
      <c r="L878" s="84"/>
      <c r="M878" s="84"/>
      <c r="N878" s="79"/>
      <c r="O878" s="85"/>
      <c r="P878" s="85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</row>
    <row r="879" spans="1:28" ht="15.75" customHeight="1">
      <c r="A879" s="86"/>
      <c r="B879" s="79"/>
      <c r="C879" s="82"/>
      <c r="D879" s="81"/>
      <c r="E879" s="82"/>
      <c r="F879" s="81"/>
      <c r="G879" s="79"/>
      <c r="H879" s="83"/>
      <c r="I879" s="79"/>
      <c r="J879" s="79"/>
      <c r="K879" s="79"/>
      <c r="L879" s="84"/>
      <c r="M879" s="84"/>
      <c r="N879" s="79"/>
      <c r="O879" s="85"/>
      <c r="P879" s="85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</row>
    <row r="880" spans="1:28" ht="15.75" customHeight="1">
      <c r="A880" s="86"/>
      <c r="B880" s="79"/>
      <c r="C880" s="82"/>
      <c r="D880" s="81"/>
      <c r="E880" s="82"/>
      <c r="F880" s="81"/>
      <c r="G880" s="79"/>
      <c r="H880" s="83"/>
      <c r="I880" s="79"/>
      <c r="J880" s="79"/>
      <c r="K880" s="79"/>
      <c r="L880" s="84"/>
      <c r="M880" s="84"/>
      <c r="N880" s="79"/>
      <c r="O880" s="85"/>
      <c r="P880" s="85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</row>
    <row r="881" spans="1:28" ht="15.75" customHeight="1">
      <c r="A881" s="86"/>
      <c r="B881" s="79"/>
      <c r="C881" s="82"/>
      <c r="D881" s="81"/>
      <c r="E881" s="82"/>
      <c r="F881" s="81"/>
      <c r="G881" s="79"/>
      <c r="H881" s="83"/>
      <c r="I881" s="79"/>
      <c r="J881" s="79"/>
      <c r="K881" s="79"/>
      <c r="L881" s="84"/>
      <c r="M881" s="84"/>
      <c r="N881" s="79"/>
      <c r="O881" s="85"/>
      <c r="P881" s="85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</row>
    <row r="882" spans="1:28" ht="15.75" customHeight="1">
      <c r="A882" s="86"/>
      <c r="B882" s="79"/>
      <c r="C882" s="82"/>
      <c r="D882" s="81"/>
      <c r="E882" s="82"/>
      <c r="F882" s="81"/>
      <c r="G882" s="79"/>
      <c r="H882" s="83"/>
      <c r="I882" s="79"/>
      <c r="J882" s="79"/>
      <c r="K882" s="79"/>
      <c r="L882" s="84"/>
      <c r="M882" s="84"/>
      <c r="N882" s="79"/>
      <c r="O882" s="85"/>
      <c r="P882" s="85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</row>
    <row r="883" spans="1:28" ht="15.75" customHeight="1">
      <c r="A883" s="86"/>
      <c r="B883" s="79"/>
      <c r="C883" s="82"/>
      <c r="D883" s="81"/>
      <c r="E883" s="82"/>
      <c r="F883" s="81"/>
      <c r="G883" s="79"/>
      <c r="H883" s="83"/>
      <c r="I883" s="79"/>
      <c r="J883" s="79"/>
      <c r="K883" s="79"/>
      <c r="L883" s="84"/>
      <c r="M883" s="84"/>
      <c r="N883" s="79"/>
      <c r="O883" s="85"/>
      <c r="P883" s="85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</row>
    <row r="884" spans="1:28" ht="15.75" customHeight="1">
      <c r="A884" s="86"/>
      <c r="B884" s="79"/>
      <c r="C884" s="82"/>
      <c r="D884" s="81"/>
      <c r="E884" s="82"/>
      <c r="F884" s="81"/>
      <c r="G884" s="79"/>
      <c r="H884" s="83"/>
      <c r="I884" s="79"/>
      <c r="J884" s="79"/>
      <c r="K884" s="79"/>
      <c r="L884" s="84"/>
      <c r="M884" s="84"/>
      <c r="N884" s="79"/>
      <c r="O884" s="85"/>
      <c r="P884" s="85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</row>
    <row r="885" spans="1:28" ht="15.75" customHeight="1">
      <c r="A885" s="86"/>
      <c r="B885" s="79"/>
      <c r="C885" s="82"/>
      <c r="D885" s="81"/>
      <c r="E885" s="82"/>
      <c r="F885" s="81"/>
      <c r="G885" s="79"/>
      <c r="H885" s="83"/>
      <c r="I885" s="79"/>
      <c r="J885" s="79"/>
      <c r="K885" s="79"/>
      <c r="L885" s="84"/>
      <c r="M885" s="84"/>
      <c r="N885" s="79"/>
      <c r="O885" s="85"/>
      <c r="P885" s="85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</row>
    <row r="886" spans="1:28" ht="15.75" customHeight="1">
      <c r="A886" s="86"/>
      <c r="B886" s="79"/>
      <c r="C886" s="82"/>
      <c r="D886" s="81"/>
      <c r="E886" s="82"/>
      <c r="F886" s="81"/>
      <c r="G886" s="79"/>
      <c r="H886" s="83"/>
      <c r="I886" s="79"/>
      <c r="J886" s="79"/>
      <c r="K886" s="79"/>
      <c r="L886" s="84"/>
      <c r="M886" s="84"/>
      <c r="N886" s="79"/>
      <c r="O886" s="85"/>
      <c r="P886" s="85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</row>
    <row r="887" spans="1:28" ht="15.75" customHeight="1">
      <c r="A887" s="86"/>
      <c r="B887" s="79"/>
      <c r="C887" s="82"/>
      <c r="D887" s="81"/>
      <c r="E887" s="82"/>
      <c r="F887" s="81"/>
      <c r="G887" s="79"/>
      <c r="H887" s="83"/>
      <c r="I887" s="79"/>
      <c r="J887" s="79"/>
      <c r="K887" s="79"/>
      <c r="L887" s="84"/>
      <c r="M887" s="84"/>
      <c r="N887" s="79"/>
      <c r="O887" s="85"/>
      <c r="P887" s="85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</row>
    <row r="888" spans="1:28" ht="15.75" customHeight="1">
      <c r="A888" s="86"/>
      <c r="B888" s="79"/>
      <c r="C888" s="82"/>
      <c r="D888" s="81"/>
      <c r="E888" s="82"/>
      <c r="F888" s="81"/>
      <c r="G888" s="79"/>
      <c r="H888" s="83"/>
      <c r="I888" s="79"/>
      <c r="J888" s="79"/>
      <c r="K888" s="79"/>
      <c r="L888" s="84"/>
      <c r="M888" s="84"/>
      <c r="N888" s="79"/>
      <c r="O888" s="85"/>
      <c r="P888" s="85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</row>
    <row r="889" spans="1:28" ht="15.75" customHeight="1">
      <c r="A889" s="86"/>
      <c r="B889" s="79"/>
      <c r="C889" s="82"/>
      <c r="D889" s="81"/>
      <c r="E889" s="82"/>
      <c r="F889" s="81"/>
      <c r="G889" s="79"/>
      <c r="H889" s="83"/>
      <c r="I889" s="79"/>
      <c r="J889" s="79"/>
      <c r="K889" s="79"/>
      <c r="L889" s="84"/>
      <c r="M889" s="84"/>
      <c r="N889" s="79"/>
      <c r="O889" s="85"/>
      <c r="P889" s="85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</row>
    <row r="890" spans="1:28" ht="15.75" customHeight="1">
      <c r="A890" s="86"/>
      <c r="B890" s="79"/>
      <c r="C890" s="82"/>
      <c r="D890" s="81"/>
      <c r="E890" s="82"/>
      <c r="F890" s="81"/>
      <c r="G890" s="79"/>
      <c r="H890" s="83"/>
      <c r="I890" s="79"/>
      <c r="J890" s="79"/>
      <c r="K890" s="79"/>
      <c r="L890" s="84"/>
      <c r="M890" s="84"/>
      <c r="N890" s="79"/>
      <c r="O890" s="85"/>
      <c r="P890" s="85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</row>
    <row r="891" spans="1:28" ht="15.75" customHeight="1">
      <c r="A891" s="86"/>
      <c r="B891" s="79"/>
      <c r="C891" s="82"/>
      <c r="D891" s="81"/>
      <c r="E891" s="82"/>
      <c r="F891" s="81"/>
      <c r="G891" s="79"/>
      <c r="H891" s="83"/>
      <c r="I891" s="79"/>
      <c r="J891" s="79"/>
      <c r="K891" s="79"/>
      <c r="L891" s="84"/>
      <c r="M891" s="84"/>
      <c r="N891" s="79"/>
      <c r="O891" s="85"/>
      <c r="P891" s="85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</row>
    <row r="892" spans="1:28" ht="15.75" customHeight="1">
      <c r="A892" s="86"/>
      <c r="B892" s="79"/>
      <c r="C892" s="82"/>
      <c r="D892" s="81"/>
      <c r="E892" s="82"/>
      <c r="F892" s="81"/>
      <c r="G892" s="79"/>
      <c r="H892" s="83"/>
      <c r="I892" s="79"/>
      <c r="J892" s="79"/>
      <c r="K892" s="79"/>
      <c r="L892" s="84"/>
      <c r="M892" s="84"/>
      <c r="N892" s="79"/>
      <c r="O892" s="85"/>
      <c r="P892" s="85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</row>
    <row r="893" spans="1:28" ht="15.75" customHeight="1">
      <c r="A893" s="86"/>
      <c r="B893" s="79"/>
      <c r="C893" s="82"/>
      <c r="D893" s="81"/>
      <c r="E893" s="82"/>
      <c r="F893" s="81"/>
      <c r="G893" s="79"/>
      <c r="H893" s="83"/>
      <c r="I893" s="79"/>
      <c r="J893" s="79"/>
      <c r="K893" s="79"/>
      <c r="L893" s="84"/>
      <c r="M893" s="84"/>
      <c r="N893" s="79"/>
      <c r="O893" s="85"/>
      <c r="P893" s="85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</row>
    <row r="894" spans="1:28" ht="15.75" customHeight="1">
      <c r="A894" s="86"/>
      <c r="B894" s="79"/>
      <c r="C894" s="82"/>
      <c r="D894" s="81"/>
      <c r="E894" s="82"/>
      <c r="F894" s="81"/>
      <c r="G894" s="79"/>
      <c r="H894" s="83"/>
      <c r="I894" s="79"/>
      <c r="J894" s="79"/>
      <c r="K894" s="79"/>
      <c r="L894" s="84"/>
      <c r="M894" s="84"/>
      <c r="N894" s="79"/>
      <c r="O894" s="85"/>
      <c r="P894" s="85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</row>
    <row r="895" spans="1:28" ht="15.75" customHeight="1">
      <c r="A895" s="86"/>
      <c r="B895" s="79"/>
      <c r="C895" s="82"/>
      <c r="D895" s="81"/>
      <c r="E895" s="82"/>
      <c r="F895" s="81"/>
      <c r="G895" s="79"/>
      <c r="H895" s="83"/>
      <c r="I895" s="79"/>
      <c r="J895" s="79"/>
      <c r="K895" s="79"/>
      <c r="L895" s="84"/>
      <c r="M895" s="84"/>
      <c r="N895" s="79"/>
      <c r="O895" s="85"/>
      <c r="P895" s="85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</row>
    <row r="896" spans="1:28" ht="15.75" customHeight="1">
      <c r="A896" s="86"/>
      <c r="B896" s="79"/>
      <c r="C896" s="82"/>
      <c r="D896" s="81"/>
      <c r="E896" s="82"/>
      <c r="F896" s="81"/>
      <c r="G896" s="79"/>
      <c r="H896" s="83"/>
      <c r="I896" s="79"/>
      <c r="J896" s="79"/>
      <c r="K896" s="79"/>
      <c r="L896" s="84"/>
      <c r="M896" s="84"/>
      <c r="N896" s="79"/>
      <c r="O896" s="85"/>
      <c r="P896" s="85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</row>
    <row r="897" spans="1:28" ht="15.75" customHeight="1">
      <c r="A897" s="86"/>
      <c r="B897" s="79"/>
      <c r="C897" s="82"/>
      <c r="D897" s="81"/>
      <c r="E897" s="82"/>
      <c r="F897" s="81"/>
      <c r="G897" s="79"/>
      <c r="H897" s="83"/>
      <c r="I897" s="79"/>
      <c r="J897" s="79"/>
      <c r="K897" s="79"/>
      <c r="L897" s="84"/>
      <c r="M897" s="84"/>
      <c r="N897" s="79"/>
      <c r="O897" s="85"/>
      <c r="P897" s="85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</row>
    <row r="898" spans="1:28" ht="15.75" customHeight="1">
      <c r="A898" s="86"/>
      <c r="B898" s="79"/>
      <c r="C898" s="82"/>
      <c r="D898" s="81"/>
      <c r="E898" s="82"/>
      <c r="F898" s="81"/>
      <c r="G898" s="79"/>
      <c r="H898" s="83"/>
      <c r="I898" s="79"/>
      <c r="J898" s="79"/>
      <c r="K898" s="79"/>
      <c r="L898" s="84"/>
      <c r="M898" s="84"/>
      <c r="N898" s="79"/>
      <c r="O898" s="85"/>
      <c r="P898" s="85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</row>
    <row r="899" spans="1:28" ht="15.75" customHeight="1">
      <c r="A899" s="86"/>
      <c r="B899" s="79"/>
      <c r="C899" s="82"/>
      <c r="D899" s="81"/>
      <c r="E899" s="82"/>
      <c r="F899" s="81"/>
      <c r="G899" s="79"/>
      <c r="H899" s="83"/>
      <c r="I899" s="79"/>
      <c r="J899" s="79"/>
      <c r="K899" s="79"/>
      <c r="L899" s="84"/>
      <c r="M899" s="84"/>
      <c r="N899" s="79"/>
      <c r="O899" s="85"/>
      <c r="P899" s="85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</row>
    <row r="900" spans="1:28" ht="15.75" customHeight="1">
      <c r="A900" s="86"/>
      <c r="B900" s="79"/>
      <c r="C900" s="82"/>
      <c r="D900" s="81"/>
      <c r="E900" s="82"/>
      <c r="F900" s="81"/>
      <c r="G900" s="79"/>
      <c r="H900" s="83"/>
      <c r="I900" s="79"/>
      <c r="J900" s="79"/>
      <c r="K900" s="79"/>
      <c r="L900" s="84"/>
      <c r="M900" s="84"/>
      <c r="N900" s="79"/>
      <c r="O900" s="85"/>
      <c r="P900" s="85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</row>
    <row r="901" spans="1:28" ht="15.75" customHeight="1">
      <c r="A901" s="86"/>
      <c r="B901" s="79"/>
      <c r="C901" s="82"/>
      <c r="D901" s="81"/>
      <c r="E901" s="82"/>
      <c r="F901" s="81"/>
      <c r="G901" s="79"/>
      <c r="H901" s="83"/>
      <c r="I901" s="79"/>
      <c r="J901" s="79"/>
      <c r="K901" s="79"/>
      <c r="L901" s="84"/>
      <c r="M901" s="84"/>
      <c r="N901" s="79"/>
      <c r="O901" s="85"/>
      <c r="P901" s="85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</row>
    <row r="902" spans="1:28" ht="15.75" customHeight="1">
      <c r="A902" s="86"/>
      <c r="B902" s="79"/>
      <c r="C902" s="82"/>
      <c r="D902" s="81"/>
      <c r="E902" s="82"/>
      <c r="F902" s="81"/>
      <c r="G902" s="79"/>
      <c r="H902" s="83"/>
      <c r="I902" s="79"/>
      <c r="J902" s="79"/>
      <c r="K902" s="79"/>
      <c r="L902" s="84"/>
      <c r="M902" s="84"/>
      <c r="N902" s="79"/>
      <c r="O902" s="85"/>
      <c r="P902" s="85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</row>
    <row r="903" spans="1:28" ht="15.75" customHeight="1">
      <c r="A903" s="86"/>
      <c r="B903" s="79"/>
      <c r="C903" s="82"/>
      <c r="D903" s="81"/>
      <c r="E903" s="82"/>
      <c r="F903" s="81"/>
      <c r="G903" s="79"/>
      <c r="H903" s="83"/>
      <c r="I903" s="79"/>
      <c r="J903" s="79"/>
      <c r="K903" s="79"/>
      <c r="L903" s="84"/>
      <c r="M903" s="84"/>
      <c r="N903" s="79"/>
      <c r="O903" s="85"/>
      <c r="P903" s="85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</row>
    <row r="904" spans="1:28" ht="15.75" customHeight="1">
      <c r="A904" s="86"/>
      <c r="B904" s="79"/>
      <c r="C904" s="82"/>
      <c r="D904" s="81"/>
      <c r="E904" s="82"/>
      <c r="F904" s="81"/>
      <c r="G904" s="79"/>
      <c r="H904" s="83"/>
      <c r="I904" s="79"/>
      <c r="J904" s="79"/>
      <c r="K904" s="79"/>
      <c r="L904" s="84"/>
      <c r="M904" s="84"/>
      <c r="N904" s="79"/>
      <c r="O904" s="85"/>
      <c r="P904" s="85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</row>
    <row r="905" spans="1:28" ht="15.75" customHeight="1">
      <c r="A905" s="86"/>
      <c r="B905" s="79"/>
      <c r="C905" s="82"/>
      <c r="D905" s="81"/>
      <c r="E905" s="82"/>
      <c r="F905" s="81"/>
      <c r="G905" s="79"/>
      <c r="H905" s="83"/>
      <c r="I905" s="79"/>
      <c r="J905" s="79"/>
      <c r="K905" s="79"/>
      <c r="L905" s="84"/>
      <c r="M905" s="84"/>
      <c r="N905" s="79"/>
      <c r="O905" s="85"/>
      <c r="P905" s="85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</row>
    <row r="906" spans="1:28" ht="15.75" customHeight="1">
      <c r="A906" s="86"/>
      <c r="B906" s="79"/>
      <c r="C906" s="82"/>
      <c r="D906" s="81"/>
      <c r="E906" s="82"/>
      <c r="F906" s="81"/>
      <c r="G906" s="79"/>
      <c r="H906" s="83"/>
      <c r="I906" s="79"/>
      <c r="J906" s="79"/>
      <c r="K906" s="79"/>
      <c r="L906" s="84"/>
      <c r="M906" s="84"/>
      <c r="N906" s="79"/>
      <c r="O906" s="85"/>
      <c r="P906" s="85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</row>
    <row r="907" spans="1:28" ht="15.75" customHeight="1">
      <c r="A907" s="86"/>
      <c r="B907" s="79"/>
      <c r="C907" s="82"/>
      <c r="D907" s="81"/>
      <c r="E907" s="82"/>
      <c r="F907" s="81"/>
      <c r="G907" s="79"/>
      <c r="H907" s="83"/>
      <c r="I907" s="79"/>
      <c r="J907" s="79"/>
      <c r="K907" s="79"/>
      <c r="L907" s="84"/>
      <c r="M907" s="84"/>
      <c r="N907" s="79"/>
      <c r="O907" s="85"/>
      <c r="P907" s="85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</row>
    <row r="908" spans="1:28" ht="15.75" customHeight="1">
      <c r="A908" s="86"/>
      <c r="B908" s="79"/>
      <c r="C908" s="82"/>
      <c r="D908" s="81"/>
      <c r="E908" s="82"/>
      <c r="F908" s="81"/>
      <c r="G908" s="79"/>
      <c r="H908" s="83"/>
      <c r="I908" s="79"/>
      <c r="J908" s="79"/>
      <c r="K908" s="79"/>
      <c r="L908" s="84"/>
      <c r="M908" s="84"/>
      <c r="N908" s="79"/>
      <c r="O908" s="85"/>
      <c r="P908" s="85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</row>
    <row r="909" spans="1:28" ht="15.75" customHeight="1">
      <c r="A909" s="86"/>
      <c r="B909" s="79"/>
      <c r="C909" s="82"/>
      <c r="D909" s="81"/>
      <c r="E909" s="82"/>
      <c r="F909" s="81"/>
      <c r="G909" s="79"/>
      <c r="H909" s="83"/>
      <c r="I909" s="79"/>
      <c r="J909" s="79"/>
      <c r="K909" s="79"/>
      <c r="L909" s="84"/>
      <c r="M909" s="84"/>
      <c r="N909" s="79"/>
      <c r="O909" s="85"/>
      <c r="P909" s="85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</row>
    <row r="910" spans="1:28" ht="15.75" customHeight="1">
      <c r="A910" s="86"/>
      <c r="B910" s="79"/>
      <c r="C910" s="82"/>
      <c r="D910" s="81"/>
      <c r="E910" s="82"/>
      <c r="F910" s="81"/>
      <c r="G910" s="79"/>
      <c r="H910" s="83"/>
      <c r="I910" s="79"/>
      <c r="J910" s="79"/>
      <c r="K910" s="79"/>
      <c r="L910" s="84"/>
      <c r="M910" s="84"/>
      <c r="N910" s="79"/>
      <c r="O910" s="85"/>
      <c r="P910" s="85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</row>
    <row r="911" spans="1:28" ht="15.75" customHeight="1">
      <c r="A911" s="86"/>
      <c r="B911" s="79"/>
      <c r="C911" s="82"/>
      <c r="D911" s="81"/>
      <c r="E911" s="82"/>
      <c r="F911" s="81"/>
      <c r="G911" s="79"/>
      <c r="H911" s="83"/>
      <c r="I911" s="79"/>
      <c r="J911" s="79"/>
      <c r="K911" s="79"/>
      <c r="L911" s="84"/>
      <c r="M911" s="84"/>
      <c r="N911" s="79"/>
      <c r="O911" s="85"/>
      <c r="P911" s="85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</row>
    <row r="912" spans="1:28" ht="15.75" customHeight="1">
      <c r="A912" s="86"/>
      <c r="B912" s="79"/>
      <c r="C912" s="82"/>
      <c r="D912" s="81"/>
      <c r="E912" s="82"/>
      <c r="F912" s="81"/>
      <c r="G912" s="79"/>
      <c r="H912" s="83"/>
      <c r="I912" s="79"/>
      <c r="J912" s="79"/>
      <c r="K912" s="79"/>
      <c r="L912" s="84"/>
      <c r="M912" s="84"/>
      <c r="N912" s="79"/>
      <c r="O912" s="85"/>
      <c r="P912" s="85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</row>
    <row r="913" spans="1:28" ht="15.75" customHeight="1">
      <c r="A913" s="86"/>
      <c r="B913" s="79"/>
      <c r="C913" s="82"/>
      <c r="D913" s="81"/>
      <c r="E913" s="82"/>
      <c r="F913" s="81"/>
      <c r="G913" s="79"/>
      <c r="H913" s="83"/>
      <c r="I913" s="79"/>
      <c r="J913" s="79"/>
      <c r="K913" s="79"/>
      <c r="L913" s="84"/>
      <c r="M913" s="84"/>
      <c r="N913" s="79"/>
      <c r="O913" s="85"/>
      <c r="P913" s="85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</row>
    <row r="914" spans="1:28" ht="15.75" customHeight="1">
      <c r="A914" s="86"/>
      <c r="B914" s="79"/>
      <c r="C914" s="82"/>
      <c r="D914" s="81"/>
      <c r="E914" s="82"/>
      <c r="F914" s="81"/>
      <c r="G914" s="79"/>
      <c r="H914" s="83"/>
      <c r="I914" s="79"/>
      <c r="J914" s="79"/>
      <c r="K914" s="79"/>
      <c r="L914" s="84"/>
      <c r="M914" s="84"/>
      <c r="N914" s="79"/>
      <c r="O914" s="85"/>
      <c r="P914" s="85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</row>
    <row r="915" spans="1:28" ht="15.75" customHeight="1">
      <c r="A915" s="86"/>
      <c r="B915" s="79"/>
      <c r="C915" s="82"/>
      <c r="D915" s="81"/>
      <c r="E915" s="82"/>
      <c r="F915" s="81"/>
      <c r="G915" s="79"/>
      <c r="H915" s="83"/>
      <c r="I915" s="79"/>
      <c r="J915" s="79"/>
      <c r="K915" s="79"/>
      <c r="L915" s="84"/>
      <c r="M915" s="84"/>
      <c r="N915" s="79"/>
      <c r="O915" s="85"/>
      <c r="P915" s="85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</row>
    <row r="916" spans="1:28" ht="15.75" customHeight="1">
      <c r="A916" s="86"/>
      <c r="B916" s="79"/>
      <c r="C916" s="82"/>
      <c r="D916" s="81"/>
      <c r="E916" s="82"/>
      <c r="F916" s="81"/>
      <c r="G916" s="79"/>
      <c r="H916" s="83"/>
      <c r="I916" s="79"/>
      <c r="J916" s="79"/>
      <c r="K916" s="79"/>
      <c r="L916" s="84"/>
      <c r="M916" s="84"/>
      <c r="N916" s="79"/>
      <c r="O916" s="85"/>
      <c r="P916" s="85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</row>
    <row r="917" spans="1:28" ht="15.75" customHeight="1">
      <c r="A917" s="86"/>
      <c r="B917" s="79"/>
      <c r="C917" s="82"/>
      <c r="D917" s="81"/>
      <c r="E917" s="82"/>
      <c r="F917" s="81"/>
      <c r="G917" s="79"/>
      <c r="H917" s="83"/>
      <c r="I917" s="79"/>
      <c r="J917" s="79"/>
      <c r="K917" s="79"/>
      <c r="L917" s="84"/>
      <c r="M917" s="84"/>
      <c r="N917" s="79"/>
      <c r="O917" s="85"/>
      <c r="P917" s="85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</row>
    <row r="918" spans="1:28" ht="15.75" customHeight="1">
      <c r="A918" s="86"/>
      <c r="B918" s="79"/>
      <c r="C918" s="82"/>
      <c r="D918" s="81"/>
      <c r="E918" s="82"/>
      <c r="F918" s="81"/>
      <c r="G918" s="79"/>
      <c r="H918" s="83"/>
      <c r="I918" s="79"/>
      <c r="J918" s="79"/>
      <c r="K918" s="79"/>
      <c r="L918" s="84"/>
      <c r="M918" s="84"/>
      <c r="N918" s="79"/>
      <c r="O918" s="85"/>
      <c r="P918" s="85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</row>
    <row r="919" spans="1:28" ht="15.75" customHeight="1">
      <c r="A919" s="86"/>
      <c r="B919" s="79"/>
      <c r="C919" s="82"/>
      <c r="D919" s="81"/>
      <c r="E919" s="82"/>
      <c r="F919" s="81"/>
      <c r="G919" s="79"/>
      <c r="H919" s="83"/>
      <c r="I919" s="79"/>
      <c r="J919" s="79"/>
      <c r="K919" s="79"/>
      <c r="L919" s="84"/>
      <c r="M919" s="84"/>
      <c r="N919" s="79"/>
      <c r="O919" s="85"/>
      <c r="P919" s="85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</row>
    <row r="920" spans="1:28" ht="15.75" customHeight="1">
      <c r="A920" s="86"/>
      <c r="B920" s="79"/>
      <c r="C920" s="82"/>
      <c r="D920" s="81"/>
      <c r="E920" s="82"/>
      <c r="F920" s="81"/>
      <c r="G920" s="79"/>
      <c r="H920" s="83"/>
      <c r="I920" s="79"/>
      <c r="J920" s="79"/>
      <c r="K920" s="79"/>
      <c r="L920" s="84"/>
      <c r="M920" s="84"/>
      <c r="N920" s="79"/>
      <c r="O920" s="85"/>
      <c r="P920" s="85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</row>
    <row r="921" spans="1:28" ht="15.75" customHeight="1">
      <c r="A921" s="86"/>
      <c r="B921" s="79"/>
      <c r="C921" s="82"/>
      <c r="D921" s="81"/>
      <c r="E921" s="82"/>
      <c r="F921" s="81"/>
      <c r="G921" s="79"/>
      <c r="H921" s="83"/>
      <c r="I921" s="79"/>
      <c r="J921" s="79"/>
      <c r="K921" s="79"/>
      <c r="L921" s="84"/>
      <c r="M921" s="84"/>
      <c r="N921" s="79"/>
      <c r="O921" s="85"/>
      <c r="P921" s="85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</row>
    <row r="922" spans="1:28" ht="15.75" customHeight="1">
      <c r="A922" s="86"/>
      <c r="B922" s="79"/>
      <c r="C922" s="82"/>
      <c r="D922" s="81"/>
      <c r="E922" s="82"/>
      <c r="F922" s="81"/>
      <c r="G922" s="79"/>
      <c r="H922" s="83"/>
      <c r="I922" s="79"/>
      <c r="J922" s="79"/>
      <c r="K922" s="79"/>
      <c r="L922" s="84"/>
      <c r="M922" s="84"/>
      <c r="N922" s="79"/>
      <c r="O922" s="85"/>
      <c r="P922" s="85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</row>
    <row r="923" spans="1:28" ht="15.75" customHeight="1">
      <c r="A923" s="86"/>
      <c r="B923" s="79"/>
      <c r="C923" s="82"/>
      <c r="D923" s="81"/>
      <c r="E923" s="82"/>
      <c r="F923" s="81"/>
      <c r="G923" s="79"/>
      <c r="H923" s="83"/>
      <c r="I923" s="79"/>
      <c r="J923" s="79"/>
      <c r="K923" s="79"/>
      <c r="L923" s="84"/>
      <c r="M923" s="84"/>
      <c r="N923" s="79"/>
      <c r="O923" s="85"/>
      <c r="P923" s="85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</row>
    <row r="924" spans="1:28" ht="15.75" customHeight="1">
      <c r="A924" s="86"/>
      <c r="B924" s="79"/>
      <c r="C924" s="82"/>
      <c r="D924" s="81"/>
      <c r="E924" s="82"/>
      <c r="F924" s="81"/>
      <c r="G924" s="79"/>
      <c r="H924" s="83"/>
      <c r="I924" s="79"/>
      <c r="J924" s="79"/>
      <c r="K924" s="79"/>
      <c r="L924" s="84"/>
      <c r="M924" s="84"/>
      <c r="N924" s="79"/>
      <c r="O924" s="85"/>
      <c r="P924" s="85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</row>
    <row r="925" spans="1:28" ht="15.75" customHeight="1">
      <c r="A925" s="86"/>
      <c r="B925" s="79"/>
      <c r="C925" s="82"/>
      <c r="D925" s="81"/>
      <c r="E925" s="82"/>
      <c r="F925" s="81"/>
      <c r="G925" s="79"/>
      <c r="H925" s="83"/>
      <c r="I925" s="79"/>
      <c r="J925" s="79"/>
      <c r="K925" s="79"/>
      <c r="L925" s="84"/>
      <c r="M925" s="84"/>
      <c r="N925" s="79"/>
      <c r="O925" s="85"/>
      <c r="P925" s="85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</row>
    <row r="926" spans="1:28" ht="15.75" customHeight="1">
      <c r="A926" s="86"/>
      <c r="B926" s="79"/>
      <c r="C926" s="82"/>
      <c r="D926" s="81"/>
      <c r="E926" s="82"/>
      <c r="F926" s="81"/>
      <c r="G926" s="79"/>
      <c r="H926" s="83"/>
      <c r="I926" s="79"/>
      <c r="J926" s="79"/>
      <c r="K926" s="79"/>
      <c r="L926" s="84"/>
      <c r="M926" s="84"/>
      <c r="N926" s="79"/>
      <c r="O926" s="85"/>
      <c r="P926" s="85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</row>
    <row r="927" spans="1:28" ht="15.75" customHeight="1">
      <c r="A927" s="86"/>
      <c r="B927" s="79"/>
      <c r="C927" s="82"/>
      <c r="D927" s="81"/>
      <c r="E927" s="82"/>
      <c r="F927" s="81"/>
      <c r="G927" s="79"/>
      <c r="H927" s="83"/>
      <c r="I927" s="79"/>
      <c r="J927" s="79"/>
      <c r="K927" s="79"/>
      <c r="L927" s="84"/>
      <c r="M927" s="84"/>
      <c r="N927" s="79"/>
      <c r="O927" s="85"/>
      <c r="P927" s="85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</row>
    <row r="928" spans="1:28" ht="15.75" customHeight="1">
      <c r="A928" s="86"/>
      <c r="B928" s="79"/>
      <c r="C928" s="82"/>
      <c r="D928" s="81"/>
      <c r="E928" s="82"/>
      <c r="F928" s="81"/>
      <c r="G928" s="79"/>
      <c r="H928" s="83"/>
      <c r="I928" s="79"/>
      <c r="J928" s="79"/>
      <c r="K928" s="79"/>
      <c r="L928" s="84"/>
      <c r="M928" s="84"/>
      <c r="N928" s="79"/>
      <c r="O928" s="85"/>
      <c r="P928" s="85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</row>
    <row r="929" spans="1:28" ht="15.75" customHeight="1">
      <c r="A929" s="86"/>
      <c r="B929" s="79"/>
      <c r="C929" s="82"/>
      <c r="D929" s="81"/>
      <c r="E929" s="82"/>
      <c r="F929" s="81"/>
      <c r="G929" s="79"/>
      <c r="H929" s="83"/>
      <c r="I929" s="79"/>
      <c r="J929" s="79"/>
      <c r="K929" s="79"/>
      <c r="L929" s="84"/>
      <c r="M929" s="84"/>
      <c r="N929" s="79"/>
      <c r="O929" s="85"/>
      <c r="P929" s="85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</row>
    <row r="930" spans="1:28" ht="15.75" customHeight="1">
      <c r="A930" s="86"/>
      <c r="B930" s="79"/>
      <c r="C930" s="82"/>
      <c r="D930" s="81"/>
      <c r="E930" s="82"/>
      <c r="F930" s="81"/>
      <c r="G930" s="79"/>
      <c r="H930" s="83"/>
      <c r="I930" s="79"/>
      <c r="J930" s="79"/>
      <c r="K930" s="79"/>
      <c r="L930" s="84"/>
      <c r="M930" s="84"/>
      <c r="N930" s="79"/>
      <c r="O930" s="85"/>
      <c r="P930" s="85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</row>
    <row r="931" spans="1:28" ht="15.75" customHeight="1">
      <c r="A931" s="86"/>
      <c r="B931" s="79"/>
      <c r="C931" s="82"/>
      <c r="D931" s="81"/>
      <c r="E931" s="82"/>
      <c r="F931" s="81"/>
      <c r="G931" s="79"/>
      <c r="H931" s="83"/>
      <c r="I931" s="79"/>
      <c r="J931" s="79"/>
      <c r="K931" s="79"/>
      <c r="L931" s="84"/>
      <c r="M931" s="84"/>
      <c r="N931" s="79"/>
      <c r="O931" s="85"/>
      <c r="P931" s="85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</row>
    <row r="932" spans="1:28" ht="15.75" customHeight="1">
      <c r="A932" s="86"/>
      <c r="B932" s="79"/>
      <c r="C932" s="82"/>
      <c r="D932" s="81"/>
      <c r="E932" s="82"/>
      <c r="F932" s="81"/>
      <c r="G932" s="79"/>
      <c r="H932" s="83"/>
      <c r="I932" s="79"/>
      <c r="J932" s="79"/>
      <c r="K932" s="79"/>
      <c r="L932" s="84"/>
      <c r="M932" s="84"/>
      <c r="N932" s="79"/>
      <c r="O932" s="85"/>
      <c r="P932" s="85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</row>
    <row r="933" spans="1:28" ht="15.75" customHeight="1">
      <c r="A933" s="86"/>
      <c r="B933" s="79"/>
      <c r="C933" s="82"/>
      <c r="D933" s="81"/>
      <c r="E933" s="82"/>
      <c r="F933" s="81"/>
      <c r="G933" s="79"/>
      <c r="H933" s="83"/>
      <c r="I933" s="79"/>
      <c r="J933" s="79"/>
      <c r="K933" s="79"/>
      <c r="L933" s="84"/>
      <c r="M933" s="84"/>
      <c r="N933" s="79"/>
      <c r="O933" s="85"/>
      <c r="P933" s="85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</row>
    <row r="934" spans="1:28" ht="15.75" customHeight="1">
      <c r="A934" s="86"/>
      <c r="B934" s="79"/>
      <c r="C934" s="82"/>
      <c r="D934" s="81"/>
      <c r="E934" s="82"/>
      <c r="F934" s="81"/>
      <c r="G934" s="79"/>
      <c r="H934" s="83"/>
      <c r="I934" s="79"/>
      <c r="J934" s="79"/>
      <c r="K934" s="79"/>
      <c r="L934" s="84"/>
      <c r="M934" s="84"/>
      <c r="N934" s="79"/>
      <c r="O934" s="85"/>
      <c r="P934" s="85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</row>
    <row r="935" spans="1:28" ht="15.75" customHeight="1">
      <c r="A935" s="86"/>
      <c r="B935" s="79"/>
      <c r="C935" s="82"/>
      <c r="D935" s="81"/>
      <c r="E935" s="82"/>
      <c r="F935" s="81"/>
      <c r="G935" s="79"/>
      <c r="H935" s="83"/>
      <c r="I935" s="79"/>
      <c r="J935" s="79"/>
      <c r="K935" s="79"/>
      <c r="L935" s="84"/>
      <c r="M935" s="84"/>
      <c r="N935" s="79"/>
      <c r="O935" s="85"/>
      <c r="P935" s="85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</row>
    <row r="936" spans="1:28" ht="15.75" customHeight="1">
      <c r="A936" s="86"/>
      <c r="B936" s="79"/>
      <c r="C936" s="82"/>
      <c r="D936" s="81"/>
      <c r="E936" s="82"/>
      <c r="F936" s="81"/>
      <c r="G936" s="79"/>
      <c r="H936" s="83"/>
      <c r="I936" s="79"/>
      <c r="J936" s="79"/>
      <c r="K936" s="79"/>
      <c r="L936" s="84"/>
      <c r="M936" s="84"/>
      <c r="N936" s="79"/>
      <c r="O936" s="85"/>
      <c r="P936" s="85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</row>
    <row r="937" spans="1:28" ht="15.75" customHeight="1">
      <c r="A937" s="86"/>
      <c r="B937" s="79"/>
      <c r="C937" s="82"/>
      <c r="D937" s="81"/>
      <c r="E937" s="82"/>
      <c r="F937" s="81"/>
      <c r="G937" s="79"/>
      <c r="H937" s="83"/>
      <c r="I937" s="79"/>
      <c r="J937" s="79"/>
      <c r="K937" s="79"/>
      <c r="L937" s="84"/>
      <c r="M937" s="84"/>
      <c r="N937" s="79"/>
      <c r="O937" s="85"/>
      <c r="P937" s="85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</row>
    <row r="938" spans="1:28" ht="15.75" customHeight="1">
      <c r="A938" s="86"/>
      <c r="B938" s="79"/>
      <c r="C938" s="82"/>
      <c r="D938" s="81"/>
      <c r="E938" s="82"/>
      <c r="F938" s="81"/>
      <c r="G938" s="79"/>
      <c r="H938" s="83"/>
      <c r="I938" s="79"/>
      <c r="J938" s="79"/>
      <c r="K938" s="79"/>
      <c r="L938" s="84"/>
      <c r="M938" s="84"/>
      <c r="N938" s="79"/>
      <c r="O938" s="85"/>
      <c r="P938" s="85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</row>
    <row r="939" spans="1:28" ht="15.75" customHeight="1">
      <c r="A939" s="86"/>
      <c r="B939" s="79"/>
      <c r="C939" s="82"/>
      <c r="D939" s="81"/>
      <c r="E939" s="82"/>
      <c r="F939" s="81"/>
      <c r="G939" s="79"/>
      <c r="H939" s="83"/>
      <c r="I939" s="79"/>
      <c r="J939" s="79"/>
      <c r="K939" s="79"/>
      <c r="L939" s="84"/>
      <c r="M939" s="84"/>
      <c r="N939" s="79"/>
      <c r="O939" s="85"/>
      <c r="P939" s="85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</row>
    <row r="940" spans="1:28" ht="15.75" customHeight="1">
      <c r="A940" s="86"/>
      <c r="B940" s="79"/>
      <c r="C940" s="82"/>
      <c r="D940" s="81"/>
      <c r="E940" s="82"/>
      <c r="F940" s="81"/>
      <c r="G940" s="79"/>
      <c r="H940" s="83"/>
      <c r="I940" s="79"/>
      <c r="J940" s="79"/>
      <c r="K940" s="79"/>
      <c r="L940" s="84"/>
      <c r="M940" s="84"/>
      <c r="N940" s="79"/>
      <c r="O940" s="85"/>
      <c r="P940" s="85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</row>
    <row r="941" spans="1:28" ht="15.75" customHeight="1">
      <c r="A941" s="86"/>
      <c r="B941" s="79"/>
      <c r="C941" s="82"/>
      <c r="D941" s="81"/>
      <c r="E941" s="82"/>
      <c r="F941" s="81"/>
      <c r="G941" s="79"/>
      <c r="H941" s="83"/>
      <c r="I941" s="79"/>
      <c r="J941" s="79"/>
      <c r="K941" s="79"/>
      <c r="L941" s="84"/>
      <c r="M941" s="84"/>
      <c r="N941" s="79"/>
      <c r="O941" s="85"/>
      <c r="P941" s="85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</row>
    <row r="942" spans="1:28" ht="15.75" customHeight="1">
      <c r="A942" s="86"/>
      <c r="B942" s="79"/>
      <c r="C942" s="82"/>
      <c r="D942" s="81"/>
      <c r="E942" s="82"/>
      <c r="F942" s="81"/>
      <c r="G942" s="79"/>
      <c r="H942" s="83"/>
      <c r="I942" s="79"/>
      <c r="J942" s="79"/>
      <c r="K942" s="79"/>
      <c r="L942" s="84"/>
      <c r="M942" s="84"/>
      <c r="N942" s="79"/>
      <c r="O942" s="85"/>
      <c r="P942" s="85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</row>
    <row r="943" spans="1:28" ht="15.75" customHeight="1">
      <c r="A943" s="86"/>
      <c r="B943" s="79"/>
      <c r="C943" s="82"/>
      <c r="D943" s="81"/>
      <c r="E943" s="82"/>
      <c r="F943" s="81"/>
      <c r="G943" s="79"/>
      <c r="H943" s="83"/>
      <c r="I943" s="79"/>
      <c r="J943" s="79"/>
      <c r="K943" s="79"/>
      <c r="L943" s="84"/>
      <c r="M943" s="84"/>
      <c r="N943" s="79"/>
      <c r="O943" s="85"/>
      <c r="P943" s="85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</row>
    <row r="944" spans="1:28" ht="15.75" customHeight="1">
      <c r="A944" s="86"/>
      <c r="B944" s="79"/>
      <c r="C944" s="82"/>
      <c r="D944" s="81"/>
      <c r="E944" s="82"/>
      <c r="F944" s="81"/>
      <c r="G944" s="79"/>
      <c r="H944" s="83"/>
      <c r="I944" s="79"/>
      <c r="J944" s="79"/>
      <c r="K944" s="79"/>
      <c r="L944" s="84"/>
      <c r="M944" s="84"/>
      <c r="N944" s="79"/>
      <c r="O944" s="85"/>
      <c r="P944" s="85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</row>
    <row r="945" spans="1:28" ht="15.75" customHeight="1">
      <c r="A945" s="86"/>
      <c r="B945" s="79"/>
      <c r="C945" s="82"/>
      <c r="D945" s="81"/>
      <c r="E945" s="82"/>
      <c r="F945" s="81"/>
      <c r="G945" s="79"/>
      <c r="H945" s="83"/>
      <c r="I945" s="79"/>
      <c r="J945" s="79"/>
      <c r="K945" s="79"/>
      <c r="L945" s="84"/>
      <c r="M945" s="84"/>
      <c r="N945" s="79"/>
      <c r="O945" s="85"/>
      <c r="P945" s="85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</row>
    <row r="946" spans="1:28" ht="15.75" customHeight="1">
      <c r="A946" s="86"/>
      <c r="B946" s="79"/>
      <c r="C946" s="82"/>
      <c r="D946" s="81"/>
      <c r="E946" s="82"/>
      <c r="F946" s="81"/>
      <c r="G946" s="79"/>
      <c r="H946" s="83"/>
      <c r="I946" s="79"/>
      <c r="J946" s="79"/>
      <c r="K946" s="79"/>
      <c r="L946" s="84"/>
      <c r="M946" s="84"/>
      <c r="N946" s="79"/>
      <c r="O946" s="85"/>
      <c r="P946" s="85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</row>
    <row r="947" spans="1:28" ht="15.75" customHeight="1">
      <c r="A947" s="86"/>
      <c r="B947" s="79"/>
      <c r="C947" s="82"/>
      <c r="D947" s="81"/>
      <c r="E947" s="82"/>
      <c r="F947" s="81"/>
      <c r="G947" s="79"/>
      <c r="H947" s="83"/>
      <c r="I947" s="79"/>
      <c r="J947" s="79"/>
      <c r="K947" s="79"/>
      <c r="L947" s="84"/>
      <c r="M947" s="84"/>
      <c r="N947" s="79"/>
      <c r="O947" s="85"/>
      <c r="P947" s="85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</row>
    <row r="948" spans="1:28" ht="15.75" customHeight="1">
      <c r="A948" s="86"/>
      <c r="B948" s="79"/>
      <c r="C948" s="82"/>
      <c r="D948" s="81"/>
      <c r="E948" s="82"/>
      <c r="F948" s="81"/>
      <c r="G948" s="79"/>
      <c r="H948" s="83"/>
      <c r="I948" s="79"/>
      <c r="J948" s="79"/>
      <c r="K948" s="79"/>
      <c r="L948" s="84"/>
      <c r="M948" s="84"/>
      <c r="N948" s="79"/>
      <c r="O948" s="85"/>
      <c r="P948" s="85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</row>
    <row r="949" spans="1:28" ht="15.75" customHeight="1">
      <c r="A949" s="86"/>
      <c r="B949" s="79"/>
      <c r="C949" s="82"/>
      <c r="D949" s="81"/>
      <c r="E949" s="82"/>
      <c r="F949" s="81"/>
      <c r="G949" s="79"/>
      <c r="H949" s="83"/>
      <c r="I949" s="79"/>
      <c r="J949" s="79"/>
      <c r="K949" s="79"/>
      <c r="L949" s="84"/>
      <c r="M949" s="84"/>
      <c r="N949" s="79"/>
      <c r="O949" s="85"/>
      <c r="P949" s="85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</row>
    <row r="950" spans="1:28" ht="15.75" customHeight="1">
      <c r="A950" s="86"/>
      <c r="B950" s="79"/>
      <c r="C950" s="82"/>
      <c r="D950" s="81"/>
      <c r="E950" s="82"/>
      <c r="F950" s="81"/>
      <c r="G950" s="79"/>
      <c r="H950" s="83"/>
      <c r="I950" s="79"/>
      <c r="J950" s="79"/>
      <c r="K950" s="79"/>
      <c r="L950" s="84"/>
      <c r="M950" s="84"/>
      <c r="N950" s="79"/>
      <c r="O950" s="85"/>
      <c r="P950" s="85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</row>
    <row r="951" spans="1:28" ht="15.75" customHeight="1">
      <c r="A951" s="86"/>
      <c r="B951" s="79"/>
      <c r="C951" s="82"/>
      <c r="D951" s="81"/>
      <c r="E951" s="82"/>
      <c r="F951" s="81"/>
      <c r="G951" s="79"/>
      <c r="H951" s="83"/>
      <c r="I951" s="79"/>
      <c r="J951" s="79"/>
      <c r="K951" s="79"/>
      <c r="L951" s="84"/>
      <c r="M951" s="84"/>
      <c r="N951" s="79"/>
      <c r="O951" s="85"/>
      <c r="P951" s="85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</row>
    <row r="952" spans="1:28" ht="15.75" customHeight="1">
      <c r="A952" s="86"/>
      <c r="B952" s="79"/>
      <c r="C952" s="82"/>
      <c r="D952" s="81"/>
      <c r="E952" s="82"/>
      <c r="F952" s="81"/>
      <c r="G952" s="79"/>
      <c r="H952" s="83"/>
      <c r="I952" s="79"/>
      <c r="J952" s="79"/>
      <c r="K952" s="79"/>
      <c r="L952" s="84"/>
      <c r="M952" s="84"/>
      <c r="N952" s="79"/>
      <c r="O952" s="85"/>
      <c r="P952" s="85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</row>
    <row r="953" spans="1:28" ht="15.75" customHeight="1">
      <c r="A953" s="86"/>
      <c r="B953" s="79"/>
      <c r="C953" s="82"/>
      <c r="D953" s="81"/>
      <c r="E953" s="82"/>
      <c r="F953" s="81"/>
      <c r="G953" s="79"/>
      <c r="H953" s="83"/>
      <c r="I953" s="79"/>
      <c r="J953" s="79"/>
      <c r="K953" s="79"/>
      <c r="L953" s="84"/>
      <c r="M953" s="84"/>
      <c r="N953" s="79"/>
      <c r="O953" s="85"/>
      <c r="P953" s="85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</row>
    <row r="954" spans="1:28" ht="15.75" customHeight="1">
      <c r="A954" s="86"/>
      <c r="B954" s="79"/>
      <c r="C954" s="82"/>
      <c r="D954" s="81"/>
      <c r="E954" s="82"/>
      <c r="F954" s="81"/>
      <c r="G954" s="79"/>
      <c r="H954" s="83"/>
      <c r="I954" s="79"/>
      <c r="J954" s="79"/>
      <c r="K954" s="79"/>
      <c r="L954" s="84"/>
      <c r="M954" s="84"/>
      <c r="N954" s="79"/>
      <c r="O954" s="85"/>
      <c r="P954" s="85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</row>
    <row r="955" spans="1:28" ht="15.75" customHeight="1">
      <c r="A955" s="86"/>
      <c r="B955" s="79"/>
      <c r="C955" s="82"/>
      <c r="D955" s="81"/>
      <c r="E955" s="82"/>
      <c r="F955" s="81"/>
      <c r="G955" s="79"/>
      <c r="H955" s="83"/>
      <c r="I955" s="79"/>
      <c r="J955" s="79"/>
      <c r="K955" s="79"/>
      <c r="L955" s="84"/>
      <c r="M955" s="84"/>
      <c r="N955" s="79"/>
      <c r="O955" s="85"/>
      <c r="P955" s="85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</row>
    <row r="956" spans="1:28" ht="15.75" customHeight="1">
      <c r="A956" s="86"/>
      <c r="B956" s="79"/>
      <c r="C956" s="82"/>
      <c r="D956" s="81"/>
      <c r="E956" s="82"/>
      <c r="F956" s="81"/>
      <c r="G956" s="79"/>
      <c r="H956" s="83"/>
      <c r="I956" s="79"/>
      <c r="J956" s="79"/>
      <c r="K956" s="79"/>
      <c r="L956" s="84"/>
      <c r="M956" s="84"/>
      <c r="N956" s="79"/>
      <c r="O956" s="85"/>
      <c r="P956" s="85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</row>
    <row r="957" spans="1:28" ht="15.75" customHeight="1">
      <c r="A957" s="86"/>
      <c r="B957" s="79"/>
      <c r="C957" s="82"/>
      <c r="D957" s="81"/>
      <c r="E957" s="82"/>
      <c r="F957" s="81"/>
      <c r="G957" s="79"/>
      <c r="H957" s="83"/>
      <c r="I957" s="79"/>
      <c r="J957" s="79"/>
      <c r="K957" s="79"/>
      <c r="L957" s="84"/>
      <c r="M957" s="84"/>
      <c r="N957" s="79"/>
      <c r="O957" s="85"/>
      <c r="P957" s="85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</row>
    <row r="958" spans="1:28" ht="15.75" customHeight="1">
      <c r="A958" s="86"/>
      <c r="B958" s="79"/>
      <c r="C958" s="82"/>
      <c r="D958" s="81"/>
      <c r="E958" s="82"/>
      <c r="F958" s="81"/>
      <c r="G958" s="79"/>
      <c r="H958" s="83"/>
      <c r="I958" s="79"/>
      <c r="J958" s="79"/>
      <c r="K958" s="79"/>
      <c r="L958" s="84"/>
      <c r="M958" s="84"/>
      <c r="N958" s="79"/>
      <c r="O958" s="85"/>
      <c r="P958" s="85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</row>
    <row r="959" spans="1:28" ht="15.75" customHeight="1">
      <c r="A959" s="86"/>
      <c r="B959" s="79"/>
      <c r="C959" s="82"/>
      <c r="D959" s="81"/>
      <c r="E959" s="82"/>
      <c r="F959" s="81"/>
      <c r="G959" s="79"/>
      <c r="H959" s="83"/>
      <c r="I959" s="79"/>
      <c r="J959" s="79"/>
      <c r="K959" s="79"/>
      <c r="L959" s="84"/>
      <c r="M959" s="84"/>
      <c r="N959" s="79"/>
      <c r="O959" s="85"/>
      <c r="P959" s="85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</row>
    <row r="960" spans="1:28" ht="15.75" customHeight="1">
      <c r="A960" s="86"/>
      <c r="B960" s="79"/>
      <c r="C960" s="82"/>
      <c r="D960" s="81"/>
      <c r="E960" s="82"/>
      <c r="F960" s="81"/>
      <c r="G960" s="79"/>
      <c r="H960" s="83"/>
      <c r="I960" s="79"/>
      <c r="J960" s="79"/>
      <c r="K960" s="79"/>
      <c r="L960" s="84"/>
      <c r="M960" s="84"/>
      <c r="N960" s="79"/>
      <c r="O960" s="85"/>
      <c r="P960" s="85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</row>
    <row r="961" spans="1:28" ht="15.75" customHeight="1">
      <c r="A961" s="86"/>
      <c r="B961" s="79"/>
      <c r="C961" s="82"/>
      <c r="D961" s="81"/>
      <c r="E961" s="82"/>
      <c r="F961" s="81"/>
      <c r="G961" s="79"/>
      <c r="H961" s="83"/>
      <c r="I961" s="79"/>
      <c r="J961" s="79"/>
      <c r="K961" s="79"/>
      <c r="L961" s="84"/>
      <c r="M961" s="84"/>
      <c r="N961" s="79"/>
      <c r="O961" s="85"/>
      <c r="P961" s="85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</row>
    <row r="962" spans="1:28" ht="15.75" customHeight="1">
      <c r="A962" s="86"/>
      <c r="B962" s="79"/>
      <c r="C962" s="82"/>
      <c r="D962" s="81"/>
      <c r="E962" s="82"/>
      <c r="F962" s="81"/>
      <c r="G962" s="79"/>
      <c r="H962" s="83"/>
      <c r="I962" s="79"/>
      <c r="J962" s="79"/>
      <c r="K962" s="79"/>
      <c r="L962" s="84"/>
      <c r="M962" s="84"/>
      <c r="N962" s="79"/>
      <c r="O962" s="85"/>
      <c r="P962" s="85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</row>
    <row r="963" spans="1:28" ht="15.75" customHeight="1">
      <c r="A963" s="86"/>
      <c r="B963" s="79"/>
      <c r="C963" s="82"/>
      <c r="D963" s="81"/>
      <c r="E963" s="82"/>
      <c r="F963" s="81"/>
      <c r="G963" s="79"/>
      <c r="H963" s="83"/>
      <c r="I963" s="79"/>
      <c r="J963" s="79"/>
      <c r="K963" s="79"/>
      <c r="L963" s="84"/>
      <c r="M963" s="84"/>
      <c r="N963" s="79"/>
      <c r="O963" s="85"/>
      <c r="P963" s="85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</row>
    <row r="964" spans="1:28" ht="15.75" customHeight="1">
      <c r="A964" s="86"/>
      <c r="B964" s="79"/>
      <c r="C964" s="82"/>
      <c r="D964" s="81"/>
      <c r="E964" s="82"/>
      <c r="F964" s="81"/>
      <c r="G964" s="79"/>
      <c r="H964" s="83"/>
      <c r="I964" s="79"/>
      <c r="J964" s="79"/>
      <c r="K964" s="79"/>
      <c r="L964" s="84"/>
      <c r="M964" s="84"/>
      <c r="N964" s="79"/>
      <c r="O964" s="85"/>
      <c r="P964" s="85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</row>
    <row r="965" spans="1:28" ht="15.75" customHeight="1">
      <c r="A965" s="86"/>
      <c r="B965" s="79"/>
      <c r="C965" s="82"/>
      <c r="D965" s="81"/>
      <c r="E965" s="82"/>
      <c r="F965" s="81"/>
      <c r="G965" s="79"/>
      <c r="H965" s="83"/>
      <c r="I965" s="79"/>
      <c r="J965" s="79"/>
      <c r="K965" s="79"/>
      <c r="L965" s="84"/>
      <c r="M965" s="84"/>
      <c r="N965" s="79"/>
      <c r="O965" s="85"/>
      <c r="P965" s="85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</row>
    <row r="966" spans="1:28" ht="15.75" customHeight="1">
      <c r="A966" s="86"/>
      <c r="B966" s="79"/>
      <c r="C966" s="82"/>
      <c r="D966" s="81"/>
      <c r="E966" s="82"/>
      <c r="F966" s="81"/>
      <c r="G966" s="79"/>
      <c r="H966" s="83"/>
      <c r="I966" s="79"/>
      <c r="J966" s="79"/>
      <c r="K966" s="79"/>
      <c r="L966" s="84"/>
      <c r="M966" s="84"/>
      <c r="N966" s="79"/>
      <c r="O966" s="85"/>
      <c r="P966" s="85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</row>
    <row r="967" spans="1:28" ht="15.75" customHeight="1">
      <c r="A967" s="86"/>
      <c r="B967" s="79"/>
      <c r="C967" s="82"/>
      <c r="D967" s="81"/>
      <c r="E967" s="82"/>
      <c r="F967" s="81"/>
      <c r="G967" s="79"/>
      <c r="H967" s="83"/>
      <c r="I967" s="79"/>
      <c r="J967" s="79"/>
      <c r="K967" s="79"/>
      <c r="L967" s="84"/>
      <c r="M967" s="84"/>
      <c r="N967" s="79"/>
      <c r="O967" s="85"/>
      <c r="P967" s="85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</row>
    <row r="968" spans="1:28" ht="15.75" customHeight="1">
      <c r="A968" s="86"/>
      <c r="B968" s="79"/>
      <c r="C968" s="82"/>
      <c r="D968" s="81"/>
      <c r="E968" s="82"/>
      <c r="F968" s="81"/>
      <c r="G968" s="79"/>
      <c r="H968" s="83"/>
      <c r="I968" s="79"/>
      <c r="J968" s="79"/>
      <c r="K968" s="79"/>
      <c r="L968" s="84"/>
      <c r="M968" s="84"/>
      <c r="N968" s="79"/>
      <c r="O968" s="85"/>
      <c r="P968" s="85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</row>
    <row r="969" spans="1:28" ht="15.75" customHeight="1">
      <c r="A969" s="86"/>
      <c r="B969" s="79"/>
      <c r="C969" s="82"/>
      <c r="D969" s="81"/>
      <c r="E969" s="82"/>
      <c r="F969" s="81"/>
      <c r="G969" s="79"/>
      <c r="H969" s="83"/>
      <c r="I969" s="79"/>
      <c r="J969" s="79"/>
      <c r="K969" s="79"/>
      <c r="L969" s="84"/>
      <c r="M969" s="84"/>
      <c r="N969" s="79"/>
      <c r="O969" s="85"/>
      <c r="P969" s="85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</row>
    <row r="970" spans="1:28" ht="15.75" customHeight="1">
      <c r="A970" s="86"/>
      <c r="B970" s="79"/>
      <c r="C970" s="82"/>
      <c r="D970" s="81"/>
      <c r="E970" s="82"/>
      <c r="F970" s="81"/>
      <c r="G970" s="79"/>
      <c r="H970" s="83"/>
      <c r="I970" s="79"/>
      <c r="J970" s="79"/>
      <c r="K970" s="79"/>
      <c r="L970" s="84"/>
      <c r="M970" s="84"/>
      <c r="N970" s="79"/>
      <c r="O970" s="85"/>
      <c r="P970" s="85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</row>
    <row r="971" spans="1:28" ht="15.75" customHeight="1">
      <c r="A971" s="86"/>
      <c r="B971" s="79"/>
      <c r="C971" s="82"/>
      <c r="D971" s="81"/>
      <c r="E971" s="82"/>
      <c r="F971" s="81"/>
      <c r="G971" s="79"/>
      <c r="H971" s="83"/>
      <c r="I971" s="79"/>
      <c r="J971" s="79"/>
      <c r="K971" s="79"/>
      <c r="L971" s="84"/>
      <c r="M971" s="84"/>
      <c r="N971" s="79"/>
      <c r="O971" s="85"/>
      <c r="P971" s="85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</row>
    <row r="972" spans="1:28" ht="15.75" customHeight="1">
      <c r="A972" s="86"/>
      <c r="B972" s="79"/>
      <c r="C972" s="82"/>
      <c r="D972" s="81"/>
      <c r="E972" s="82"/>
      <c r="F972" s="81"/>
      <c r="G972" s="79"/>
      <c r="H972" s="83"/>
      <c r="I972" s="79"/>
      <c r="J972" s="79"/>
      <c r="K972" s="79"/>
      <c r="L972" s="84"/>
      <c r="M972" s="84"/>
      <c r="N972" s="79"/>
      <c r="O972" s="85"/>
      <c r="P972" s="85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</row>
    <row r="973" spans="1:28" ht="15.75" customHeight="1">
      <c r="A973" s="86"/>
      <c r="B973" s="79"/>
      <c r="C973" s="82"/>
      <c r="D973" s="81"/>
      <c r="E973" s="82"/>
      <c r="F973" s="81"/>
      <c r="G973" s="79"/>
      <c r="H973" s="83"/>
      <c r="I973" s="79"/>
      <c r="J973" s="79"/>
      <c r="K973" s="79"/>
      <c r="L973" s="84"/>
      <c r="M973" s="84"/>
      <c r="N973" s="79"/>
      <c r="O973" s="85"/>
      <c r="P973" s="85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</row>
    <row r="974" spans="1:28" ht="15.75" customHeight="1">
      <c r="A974" s="86"/>
      <c r="B974" s="79"/>
      <c r="C974" s="82"/>
      <c r="D974" s="81"/>
      <c r="E974" s="82"/>
      <c r="F974" s="81"/>
      <c r="G974" s="79"/>
      <c r="H974" s="83"/>
      <c r="I974" s="79"/>
      <c r="J974" s="79"/>
      <c r="K974" s="79"/>
      <c r="L974" s="84"/>
      <c r="M974" s="84"/>
      <c r="N974" s="79"/>
      <c r="O974" s="85"/>
      <c r="P974" s="85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</row>
    <row r="975" spans="1:28" ht="15.75" customHeight="1">
      <c r="A975" s="86"/>
      <c r="B975" s="79"/>
      <c r="C975" s="82"/>
      <c r="D975" s="81"/>
      <c r="E975" s="82"/>
      <c r="F975" s="81"/>
      <c r="G975" s="79"/>
      <c r="H975" s="83"/>
      <c r="I975" s="79"/>
      <c r="J975" s="79"/>
      <c r="K975" s="79"/>
      <c r="L975" s="84"/>
      <c r="M975" s="84"/>
      <c r="N975" s="79"/>
      <c r="O975" s="85"/>
      <c r="P975" s="85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</row>
    <row r="976" spans="1:28" ht="15.75" customHeight="1">
      <c r="A976" s="86"/>
      <c r="B976" s="79"/>
      <c r="C976" s="82"/>
      <c r="D976" s="81"/>
      <c r="E976" s="82"/>
      <c r="F976" s="81"/>
      <c r="G976" s="79"/>
      <c r="H976" s="83"/>
      <c r="I976" s="79"/>
      <c r="J976" s="79"/>
      <c r="K976" s="79"/>
      <c r="L976" s="84"/>
      <c r="M976" s="84"/>
      <c r="N976" s="79"/>
      <c r="O976" s="85"/>
      <c r="P976" s="85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</row>
    <row r="977" spans="1:28" ht="15.75" customHeight="1">
      <c r="A977" s="86"/>
      <c r="B977" s="79"/>
      <c r="C977" s="82"/>
      <c r="D977" s="81"/>
      <c r="E977" s="82"/>
      <c r="F977" s="81"/>
      <c r="G977" s="79"/>
      <c r="H977" s="83"/>
      <c r="I977" s="79"/>
      <c r="J977" s="79"/>
      <c r="K977" s="79"/>
      <c r="L977" s="84"/>
      <c r="M977" s="84"/>
      <c r="N977" s="79"/>
      <c r="O977" s="85"/>
      <c r="P977" s="85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</row>
    <row r="978" spans="1:28" ht="15.75" customHeight="1">
      <c r="A978" s="86"/>
      <c r="B978" s="79"/>
      <c r="C978" s="82"/>
      <c r="D978" s="81"/>
      <c r="E978" s="82"/>
      <c r="F978" s="81"/>
      <c r="G978" s="79"/>
      <c r="H978" s="83"/>
      <c r="I978" s="79"/>
      <c r="J978" s="79"/>
      <c r="K978" s="79"/>
      <c r="L978" s="84"/>
      <c r="M978" s="84"/>
      <c r="N978" s="79"/>
      <c r="O978" s="85"/>
      <c r="P978" s="85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</row>
    <row r="979" spans="1:28" ht="15.75" customHeight="1">
      <c r="A979" s="86"/>
      <c r="B979" s="79"/>
      <c r="C979" s="82"/>
      <c r="D979" s="81"/>
      <c r="E979" s="82"/>
      <c r="F979" s="81"/>
      <c r="G979" s="79"/>
      <c r="H979" s="83"/>
      <c r="I979" s="79"/>
      <c r="J979" s="79"/>
      <c r="K979" s="79"/>
      <c r="L979" s="84"/>
      <c r="M979" s="84"/>
      <c r="N979" s="79"/>
      <c r="O979" s="85"/>
      <c r="P979" s="85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</row>
    <row r="980" spans="1:28" ht="15.75" customHeight="1">
      <c r="A980" s="86"/>
      <c r="B980" s="79"/>
      <c r="C980" s="82"/>
      <c r="D980" s="81"/>
      <c r="E980" s="82"/>
      <c r="F980" s="81"/>
      <c r="G980" s="79"/>
      <c r="H980" s="83"/>
      <c r="I980" s="79"/>
      <c r="J980" s="79"/>
      <c r="K980" s="79"/>
      <c r="L980" s="84"/>
      <c r="M980" s="84"/>
      <c r="N980" s="79"/>
      <c r="O980" s="85"/>
      <c r="P980" s="85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</row>
    <row r="981" spans="1:28" ht="15.75" customHeight="1">
      <c r="A981" s="86"/>
      <c r="B981" s="79"/>
      <c r="C981" s="82"/>
      <c r="D981" s="81"/>
      <c r="E981" s="82"/>
      <c r="F981" s="81"/>
      <c r="G981" s="79"/>
      <c r="H981" s="83"/>
      <c r="I981" s="79"/>
      <c r="J981" s="79"/>
      <c r="K981" s="79"/>
      <c r="L981" s="84"/>
      <c r="M981" s="84"/>
      <c r="N981" s="79"/>
      <c r="O981" s="85"/>
      <c r="P981" s="85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</row>
  </sheetData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993"/>
  <sheetViews>
    <sheetView workbookViewId="0"/>
  </sheetViews>
  <sheetFormatPr defaultColWidth="11.25" defaultRowHeight="15" customHeight="1"/>
  <cols>
    <col min="1" max="1" width="12.75" customWidth="1"/>
    <col min="2" max="5" width="10.75" customWidth="1"/>
    <col min="6" max="6" width="11.125" customWidth="1"/>
    <col min="7" max="9" width="10.75" customWidth="1"/>
    <col min="10" max="10" width="42.375" customWidth="1"/>
    <col min="11" max="27" width="10.5" customWidth="1"/>
  </cols>
  <sheetData>
    <row r="1" spans="1:27" ht="15.75" customHeight="1">
      <c r="A1" s="91" t="s">
        <v>0</v>
      </c>
      <c r="B1" s="92" t="s">
        <v>132</v>
      </c>
      <c r="C1" s="93" t="s">
        <v>3</v>
      </c>
      <c r="D1" s="92" t="s">
        <v>133</v>
      </c>
      <c r="E1" s="93" t="s">
        <v>134</v>
      </c>
      <c r="F1" s="93" t="s">
        <v>135</v>
      </c>
      <c r="G1" s="6" t="s">
        <v>136</v>
      </c>
      <c r="H1" s="6" t="s">
        <v>14</v>
      </c>
      <c r="I1" s="6" t="s">
        <v>12</v>
      </c>
      <c r="J1" s="94" t="s">
        <v>15</v>
      </c>
    </row>
    <row r="2" spans="1:27" ht="15.75" customHeight="1">
      <c r="A2" s="29" t="s">
        <v>137</v>
      </c>
      <c r="B2" s="14">
        <v>45313</v>
      </c>
      <c r="C2" s="13">
        <v>0.40625</v>
      </c>
      <c r="D2" s="14">
        <v>45313</v>
      </c>
      <c r="E2" s="95">
        <v>0.55555555555555558</v>
      </c>
      <c r="F2" s="95">
        <v>0.59722222222222221</v>
      </c>
      <c r="G2" s="75" t="s">
        <v>138</v>
      </c>
      <c r="H2" s="16" t="s">
        <v>21</v>
      </c>
      <c r="I2" s="16" t="s">
        <v>20</v>
      </c>
      <c r="J2" s="96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</row>
    <row r="3" spans="1:27" ht="15.75" customHeight="1">
      <c r="A3" s="29" t="s">
        <v>139</v>
      </c>
      <c r="B3" s="14">
        <v>45313</v>
      </c>
      <c r="C3" s="13">
        <v>0.4513888888888889</v>
      </c>
      <c r="D3" s="14">
        <v>45313</v>
      </c>
      <c r="E3" s="95">
        <v>0.55555555555555558</v>
      </c>
      <c r="F3" s="95">
        <v>0.59722222222222221</v>
      </c>
      <c r="G3" s="75" t="s">
        <v>138</v>
      </c>
      <c r="H3" s="16" t="s">
        <v>21</v>
      </c>
      <c r="I3" s="16" t="s">
        <v>20</v>
      </c>
      <c r="J3" s="96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.75" customHeight="1">
      <c r="A4" s="29" t="s">
        <v>140</v>
      </c>
      <c r="B4" s="14">
        <v>45314</v>
      </c>
      <c r="C4" s="13">
        <v>0.3347222222222222</v>
      </c>
      <c r="D4" s="14">
        <v>45314</v>
      </c>
      <c r="E4" s="95">
        <v>0.60416666666666663</v>
      </c>
      <c r="F4" s="95">
        <v>0.64583333333333337</v>
      </c>
      <c r="G4" s="75" t="s">
        <v>138</v>
      </c>
      <c r="H4" s="16" t="s">
        <v>21</v>
      </c>
      <c r="I4" s="16" t="s">
        <v>20</v>
      </c>
      <c r="J4" s="96"/>
    </row>
    <row r="5" spans="1:27" ht="15.75" customHeight="1">
      <c r="A5" s="29" t="s">
        <v>141</v>
      </c>
      <c r="B5" s="14">
        <v>45314</v>
      </c>
      <c r="C5" s="13">
        <v>0.37777777777777777</v>
      </c>
      <c r="D5" s="14">
        <v>45314</v>
      </c>
      <c r="E5" s="95">
        <v>0.60486111111111107</v>
      </c>
      <c r="F5" s="95">
        <v>0.64652777777777781</v>
      </c>
      <c r="G5" s="75" t="s">
        <v>138</v>
      </c>
      <c r="H5" s="16" t="s">
        <v>21</v>
      </c>
      <c r="I5" s="16" t="s">
        <v>20</v>
      </c>
      <c r="J5" s="96"/>
    </row>
    <row r="6" spans="1:27" ht="15.75" customHeight="1">
      <c r="A6" s="97" t="s">
        <v>142</v>
      </c>
      <c r="B6" s="14">
        <v>45314</v>
      </c>
      <c r="C6" s="13">
        <v>0.40902777777777777</v>
      </c>
      <c r="D6" s="14">
        <v>45314</v>
      </c>
      <c r="E6" s="95">
        <v>0.60555555555555551</v>
      </c>
      <c r="F6" s="95">
        <v>0.64722222222222225</v>
      </c>
      <c r="G6" s="75" t="s">
        <v>138</v>
      </c>
      <c r="H6" s="16" t="s">
        <v>21</v>
      </c>
      <c r="I6" s="16" t="s">
        <v>20</v>
      </c>
      <c r="J6" s="96"/>
    </row>
    <row r="7" spans="1:27" ht="15.75" customHeight="1">
      <c r="A7" s="98" t="s">
        <v>143</v>
      </c>
      <c r="B7" s="14">
        <v>45314</v>
      </c>
      <c r="C7" s="13">
        <v>0.44722222222222224</v>
      </c>
      <c r="D7" s="14">
        <v>45314</v>
      </c>
      <c r="E7" s="95">
        <v>0.60624999999999996</v>
      </c>
      <c r="F7" s="95">
        <v>0.6479166666666667</v>
      </c>
      <c r="G7" s="75" t="s">
        <v>138</v>
      </c>
      <c r="H7" s="16" t="s">
        <v>21</v>
      </c>
      <c r="I7" s="16" t="s">
        <v>20</v>
      </c>
      <c r="J7" s="96"/>
    </row>
    <row r="8" spans="1:27" ht="15.75" customHeight="1">
      <c r="A8" s="98" t="s">
        <v>144</v>
      </c>
      <c r="B8" s="14">
        <v>45314</v>
      </c>
      <c r="C8" s="13">
        <v>0.47291666666666665</v>
      </c>
      <c r="D8" s="14">
        <v>45314</v>
      </c>
      <c r="E8" s="95">
        <v>0.6069444444444444</v>
      </c>
      <c r="F8" s="95">
        <v>0.64861111111111114</v>
      </c>
      <c r="G8" s="75" t="s">
        <v>138</v>
      </c>
      <c r="H8" s="16" t="s">
        <v>21</v>
      </c>
      <c r="I8" s="16" t="s">
        <v>20</v>
      </c>
      <c r="J8" s="96"/>
    </row>
    <row r="9" spans="1:27" ht="15.75" customHeight="1">
      <c r="A9" s="29" t="s">
        <v>145</v>
      </c>
      <c r="B9" s="14">
        <v>45316</v>
      </c>
      <c r="C9" s="13">
        <v>0.33333333333333331</v>
      </c>
      <c r="D9" s="14">
        <v>45316</v>
      </c>
      <c r="E9" s="95">
        <v>0.51388888888888884</v>
      </c>
      <c r="F9" s="95">
        <v>0.55555555555555558</v>
      </c>
      <c r="G9" s="75" t="s">
        <v>138</v>
      </c>
      <c r="H9" s="16" t="s">
        <v>21</v>
      </c>
      <c r="I9" s="16" t="s">
        <v>20</v>
      </c>
      <c r="J9" s="96"/>
    </row>
    <row r="10" spans="1:27" ht="15.75" customHeight="1">
      <c r="A10" s="29" t="s">
        <v>146</v>
      </c>
      <c r="B10" s="14">
        <v>45316</v>
      </c>
      <c r="C10" s="13">
        <v>0.35833333333333334</v>
      </c>
      <c r="D10" s="14">
        <v>45316</v>
      </c>
      <c r="E10" s="95">
        <v>0.51458333333333328</v>
      </c>
      <c r="F10" s="95">
        <v>0.55625000000000002</v>
      </c>
      <c r="G10" s="75" t="s">
        <v>138</v>
      </c>
      <c r="H10" s="16" t="s">
        <v>21</v>
      </c>
      <c r="I10" s="16" t="s">
        <v>20</v>
      </c>
      <c r="J10" s="96"/>
    </row>
    <row r="11" spans="1:27" ht="15.75" customHeight="1">
      <c r="A11" s="29" t="s">
        <v>147</v>
      </c>
      <c r="B11" s="14">
        <v>45316</v>
      </c>
      <c r="C11" s="13">
        <v>0.38194444444444442</v>
      </c>
      <c r="D11" s="14">
        <v>45316</v>
      </c>
      <c r="E11" s="95">
        <v>0.51527777777777772</v>
      </c>
      <c r="F11" s="95">
        <v>0.55694444444444446</v>
      </c>
      <c r="G11" s="75" t="s">
        <v>138</v>
      </c>
      <c r="H11" s="16" t="s">
        <v>21</v>
      </c>
      <c r="I11" s="16" t="s">
        <v>20</v>
      </c>
      <c r="J11" s="96"/>
    </row>
    <row r="12" spans="1:27" ht="15.75" customHeight="1">
      <c r="A12" s="29" t="s">
        <v>148</v>
      </c>
      <c r="B12" s="14">
        <v>45316</v>
      </c>
      <c r="C12" s="13">
        <v>0.40625</v>
      </c>
      <c r="D12" s="14">
        <v>45316</v>
      </c>
      <c r="E12" s="95">
        <v>0.51597222222222228</v>
      </c>
      <c r="F12" s="95">
        <v>0.55763888888888891</v>
      </c>
      <c r="G12" s="75" t="s">
        <v>138</v>
      </c>
      <c r="H12" s="16" t="s">
        <v>21</v>
      </c>
      <c r="I12" s="16" t="s">
        <v>20</v>
      </c>
      <c r="J12" s="96"/>
    </row>
    <row r="13" spans="1:27" ht="15.75" customHeight="1">
      <c r="A13" s="29" t="s">
        <v>149</v>
      </c>
      <c r="B13" s="14">
        <v>45320</v>
      </c>
      <c r="C13" s="26">
        <v>0.31597222222222221</v>
      </c>
      <c r="D13" s="14">
        <v>45320</v>
      </c>
      <c r="E13" s="95">
        <v>0.5</v>
      </c>
      <c r="F13" s="95">
        <v>0.54166666666666663</v>
      </c>
      <c r="G13" s="75" t="s">
        <v>138</v>
      </c>
      <c r="H13" s="16" t="s">
        <v>21</v>
      </c>
      <c r="I13" s="16" t="s">
        <v>20</v>
      </c>
      <c r="J13" s="96"/>
    </row>
    <row r="14" spans="1:27" ht="15.75" customHeight="1">
      <c r="A14" s="29" t="s">
        <v>150</v>
      </c>
      <c r="B14" s="14">
        <v>45320</v>
      </c>
      <c r="C14" s="13">
        <v>0.36180555555555555</v>
      </c>
      <c r="D14" s="14">
        <v>45320</v>
      </c>
      <c r="E14" s="95">
        <v>0.50069444444444444</v>
      </c>
      <c r="F14" s="95">
        <v>0.54236111111111107</v>
      </c>
      <c r="G14" s="75" t="s">
        <v>138</v>
      </c>
      <c r="H14" s="16" t="s">
        <v>21</v>
      </c>
      <c r="I14" s="16" t="s">
        <v>20</v>
      </c>
      <c r="J14" s="96"/>
    </row>
    <row r="15" spans="1:27" ht="15.75" customHeight="1">
      <c r="A15" s="29" t="s">
        <v>151</v>
      </c>
      <c r="B15" s="14">
        <v>45320</v>
      </c>
      <c r="C15" s="13">
        <v>0.39374999999999999</v>
      </c>
      <c r="D15" s="14">
        <v>45320</v>
      </c>
      <c r="E15" s="95">
        <v>0.50138888888888888</v>
      </c>
      <c r="F15" s="95">
        <v>0.54305555555555551</v>
      </c>
      <c r="G15" s="75" t="s">
        <v>138</v>
      </c>
      <c r="H15" s="16" t="s">
        <v>21</v>
      </c>
      <c r="I15" s="16" t="s">
        <v>20</v>
      </c>
      <c r="J15" s="96"/>
    </row>
    <row r="16" spans="1:27" ht="15.75" customHeight="1">
      <c r="A16" s="29" t="s">
        <v>152</v>
      </c>
      <c r="B16" s="14">
        <v>45320</v>
      </c>
      <c r="C16" s="13">
        <v>0.4201388888888889</v>
      </c>
      <c r="D16" s="14">
        <v>45320</v>
      </c>
      <c r="E16" s="95">
        <v>0.50208333333333333</v>
      </c>
      <c r="F16" s="95">
        <v>0.54374999999999996</v>
      </c>
      <c r="G16" s="75" t="s">
        <v>138</v>
      </c>
      <c r="H16" s="16" t="s">
        <v>21</v>
      </c>
      <c r="I16" s="16" t="s">
        <v>20</v>
      </c>
      <c r="J16" s="96"/>
    </row>
    <row r="17" spans="1:27" ht="15.75" customHeight="1">
      <c r="A17" s="59" t="s">
        <v>153</v>
      </c>
      <c r="B17" s="14">
        <v>45321</v>
      </c>
      <c r="C17" s="30">
        <v>0.3215277777777778</v>
      </c>
      <c r="D17" s="14">
        <v>45321</v>
      </c>
      <c r="E17" s="99">
        <v>0.66666666666666663</v>
      </c>
      <c r="F17" s="99">
        <v>0.70833333333333337</v>
      </c>
      <c r="G17" s="75" t="s">
        <v>138</v>
      </c>
      <c r="H17" s="16" t="s">
        <v>21</v>
      </c>
      <c r="I17" s="16" t="s">
        <v>20</v>
      </c>
      <c r="J17" s="96"/>
    </row>
    <row r="18" spans="1:27" ht="15.75" customHeight="1">
      <c r="A18" s="59" t="s">
        <v>154</v>
      </c>
      <c r="B18" s="14">
        <v>45321</v>
      </c>
      <c r="C18" s="30">
        <v>0.39444444444444443</v>
      </c>
      <c r="D18" s="14">
        <v>45321</v>
      </c>
      <c r="E18" s="99">
        <v>0.66805555555555551</v>
      </c>
      <c r="F18" s="99">
        <v>0.70972222222222225</v>
      </c>
      <c r="G18" s="75" t="s">
        <v>138</v>
      </c>
      <c r="H18" s="16" t="s">
        <v>21</v>
      </c>
      <c r="I18" s="16" t="s">
        <v>20</v>
      </c>
      <c r="J18" s="96"/>
    </row>
    <row r="19" spans="1:27" ht="15.75" customHeight="1">
      <c r="A19" s="59" t="s">
        <v>155</v>
      </c>
      <c r="B19" s="14">
        <v>45321</v>
      </c>
      <c r="C19" s="30">
        <v>0.41388888888888886</v>
      </c>
      <c r="D19" s="14">
        <v>45321</v>
      </c>
      <c r="E19" s="99">
        <v>0.66805555555555551</v>
      </c>
      <c r="F19" s="99">
        <v>0.70972222222222225</v>
      </c>
      <c r="G19" s="75" t="s">
        <v>138</v>
      </c>
      <c r="H19" s="16" t="s">
        <v>21</v>
      </c>
      <c r="I19" s="16" t="s">
        <v>20</v>
      </c>
      <c r="J19" s="96"/>
    </row>
    <row r="20" spans="1:27" ht="15.75" customHeight="1">
      <c r="A20" s="59" t="s">
        <v>156</v>
      </c>
      <c r="B20" s="14">
        <v>45321</v>
      </c>
      <c r="C20" s="30">
        <v>0.45208333333333334</v>
      </c>
      <c r="D20" s="14">
        <v>45321</v>
      </c>
      <c r="E20" s="99">
        <v>0.67013888888888884</v>
      </c>
      <c r="F20" s="99">
        <v>0.71180555555555558</v>
      </c>
      <c r="G20" s="75" t="s">
        <v>138</v>
      </c>
      <c r="H20" s="16" t="s">
        <v>21</v>
      </c>
      <c r="I20" s="16" t="s">
        <v>20</v>
      </c>
      <c r="J20" s="96"/>
    </row>
    <row r="21" spans="1:27" ht="15.75" customHeight="1">
      <c r="A21" s="29" t="s">
        <v>157</v>
      </c>
      <c r="B21" s="14">
        <v>45322</v>
      </c>
      <c r="C21" s="36">
        <v>0.2951388888888889</v>
      </c>
      <c r="D21" s="35">
        <v>45323</v>
      </c>
      <c r="E21" s="99">
        <v>0.58888888888888891</v>
      </c>
      <c r="F21" s="99">
        <v>0.63055555555555554</v>
      </c>
      <c r="G21" s="75" t="s">
        <v>138</v>
      </c>
      <c r="H21" s="16" t="s">
        <v>21</v>
      </c>
      <c r="I21" s="16" t="s">
        <v>20</v>
      </c>
      <c r="J21" s="96"/>
    </row>
    <row r="22" spans="1:27" ht="15.75" customHeight="1">
      <c r="A22" s="29" t="s">
        <v>158</v>
      </c>
      <c r="B22" s="14">
        <v>45322</v>
      </c>
      <c r="C22" s="13">
        <v>0.34305555555555556</v>
      </c>
      <c r="D22" s="35">
        <v>45323</v>
      </c>
      <c r="E22" s="99">
        <v>0.58958333333333335</v>
      </c>
      <c r="F22" s="99">
        <v>0.63124999999999998</v>
      </c>
      <c r="G22" s="75" t="s">
        <v>138</v>
      </c>
      <c r="H22" s="16" t="s">
        <v>21</v>
      </c>
      <c r="I22" s="16" t="s">
        <v>20</v>
      </c>
      <c r="J22" s="96"/>
    </row>
    <row r="23" spans="1:27" ht="15.75" customHeight="1">
      <c r="A23" s="29" t="s">
        <v>159</v>
      </c>
      <c r="B23" s="14">
        <v>45322</v>
      </c>
      <c r="C23" s="26">
        <v>0.38611111111111113</v>
      </c>
      <c r="D23" s="35">
        <v>45323</v>
      </c>
      <c r="E23" s="99">
        <v>0.59027777777777779</v>
      </c>
      <c r="F23" s="99">
        <v>0.63194444444444442</v>
      </c>
      <c r="G23" s="75" t="s">
        <v>138</v>
      </c>
      <c r="H23" s="16" t="s">
        <v>21</v>
      </c>
      <c r="I23" s="16" t="s">
        <v>20</v>
      </c>
      <c r="J23" s="96"/>
    </row>
    <row r="24" spans="1:27" ht="15.75">
      <c r="A24" s="29" t="s">
        <v>160</v>
      </c>
      <c r="B24" s="14">
        <v>45322</v>
      </c>
      <c r="C24" s="30">
        <v>0.42499999999999999</v>
      </c>
      <c r="D24" s="35">
        <v>45323</v>
      </c>
      <c r="E24" s="99">
        <v>0.59097222222222223</v>
      </c>
      <c r="F24" s="99">
        <v>0.63263888888888886</v>
      </c>
      <c r="G24" s="75" t="s">
        <v>138</v>
      </c>
      <c r="H24" s="16" t="s">
        <v>21</v>
      </c>
      <c r="I24" s="16" t="s">
        <v>20</v>
      </c>
      <c r="J24" s="96"/>
    </row>
    <row r="25" spans="1:27" ht="15.75" customHeight="1">
      <c r="A25" s="59" t="s">
        <v>161</v>
      </c>
      <c r="B25" s="35">
        <v>45323</v>
      </c>
      <c r="C25" s="13">
        <v>0.30763888888888891</v>
      </c>
      <c r="D25" s="35">
        <v>45324</v>
      </c>
      <c r="E25" s="99">
        <v>0.58333333333333337</v>
      </c>
      <c r="F25" s="99">
        <v>0.625</v>
      </c>
      <c r="G25" s="75" t="s">
        <v>138</v>
      </c>
      <c r="H25" s="16" t="s">
        <v>21</v>
      </c>
      <c r="I25" s="16" t="s">
        <v>20</v>
      </c>
      <c r="J25" s="96"/>
    </row>
    <row r="26" spans="1:27" ht="15.75" customHeight="1">
      <c r="A26" s="59" t="s">
        <v>162</v>
      </c>
      <c r="B26" s="35">
        <v>45323</v>
      </c>
      <c r="C26" s="30">
        <v>0.35347222222222224</v>
      </c>
      <c r="D26" s="35">
        <v>45324</v>
      </c>
      <c r="E26" s="99">
        <v>0.58402777777777781</v>
      </c>
      <c r="F26" s="99">
        <v>0.62569444444444444</v>
      </c>
      <c r="G26" s="75" t="s">
        <v>138</v>
      </c>
      <c r="H26" s="16" t="s">
        <v>21</v>
      </c>
      <c r="I26" s="16" t="s">
        <v>20</v>
      </c>
      <c r="J26" s="96"/>
    </row>
    <row r="27" spans="1:27" ht="15.75" customHeight="1">
      <c r="A27" s="59" t="s">
        <v>163</v>
      </c>
      <c r="B27" s="35">
        <v>45323</v>
      </c>
      <c r="C27" s="30">
        <v>0.3840277777777778</v>
      </c>
      <c r="D27" s="35">
        <v>45324</v>
      </c>
      <c r="E27" s="99">
        <v>0.58472222222222225</v>
      </c>
      <c r="F27" s="99">
        <v>0.62638888888888888</v>
      </c>
      <c r="G27" s="75" t="s">
        <v>138</v>
      </c>
      <c r="H27" s="16" t="s">
        <v>21</v>
      </c>
      <c r="I27" s="16" t="s">
        <v>20</v>
      </c>
      <c r="J27" s="96"/>
    </row>
    <row r="28" spans="1:27" ht="15.75" customHeight="1">
      <c r="A28" s="100" t="s">
        <v>164</v>
      </c>
      <c r="B28" s="101">
        <v>45324</v>
      </c>
      <c r="C28" s="102">
        <v>0.37013888888888891</v>
      </c>
      <c r="D28" s="101">
        <v>45324</v>
      </c>
      <c r="E28" s="103">
        <v>0.625</v>
      </c>
      <c r="F28" s="103">
        <v>0.66666666666666663</v>
      </c>
      <c r="G28" s="104" t="s">
        <v>138</v>
      </c>
      <c r="H28" s="105" t="s">
        <v>21</v>
      </c>
      <c r="I28" s="105" t="s">
        <v>20</v>
      </c>
      <c r="J28" s="106" t="s">
        <v>165</v>
      </c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</row>
    <row r="29" spans="1:27" ht="15.75" customHeight="1">
      <c r="A29" s="108" t="s">
        <v>166</v>
      </c>
      <c r="B29" s="109">
        <v>45324</v>
      </c>
      <c r="C29" s="110">
        <v>0.40208333333333335</v>
      </c>
      <c r="D29" s="109">
        <v>45324</v>
      </c>
      <c r="E29" s="111">
        <v>0.62569444444444444</v>
      </c>
      <c r="F29" s="111">
        <v>0.66736111111111107</v>
      </c>
      <c r="G29" s="112" t="s">
        <v>138</v>
      </c>
      <c r="H29" s="113" t="s">
        <v>21</v>
      </c>
      <c r="I29" s="113" t="s">
        <v>20</v>
      </c>
      <c r="J29" s="114" t="s">
        <v>165</v>
      </c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</row>
    <row r="30" spans="1:27" ht="15.75" customHeight="1">
      <c r="A30" s="108" t="s">
        <v>167</v>
      </c>
      <c r="B30" s="109">
        <v>45324</v>
      </c>
      <c r="C30" s="110">
        <v>0.43888888888888888</v>
      </c>
      <c r="D30" s="109">
        <v>45324</v>
      </c>
      <c r="E30" s="111">
        <v>0.62638888888888888</v>
      </c>
      <c r="F30" s="111">
        <v>0.66805555555555551</v>
      </c>
      <c r="G30" s="112" t="s">
        <v>138</v>
      </c>
      <c r="H30" s="113" t="s">
        <v>21</v>
      </c>
      <c r="I30" s="113" t="s">
        <v>20</v>
      </c>
      <c r="J30" s="114" t="s">
        <v>165</v>
      </c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</row>
    <row r="31" spans="1:27" ht="15.75" customHeight="1">
      <c r="A31" s="116" t="s">
        <v>168</v>
      </c>
      <c r="B31" s="109">
        <v>45324</v>
      </c>
      <c r="C31" s="110">
        <v>0.46944444444444444</v>
      </c>
      <c r="D31" s="109">
        <v>45324</v>
      </c>
      <c r="E31" s="117">
        <v>0.62708333333333333</v>
      </c>
      <c r="F31" s="117">
        <v>0.66874999999999996</v>
      </c>
      <c r="G31" s="112" t="s">
        <v>138</v>
      </c>
      <c r="H31" s="113" t="s">
        <v>21</v>
      </c>
      <c r="I31" s="113" t="s">
        <v>20</v>
      </c>
      <c r="J31" s="114" t="s">
        <v>165</v>
      </c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</row>
    <row r="32" spans="1:27" ht="15.75" customHeight="1">
      <c r="A32" s="29" t="s">
        <v>169</v>
      </c>
      <c r="B32" s="14">
        <v>45336</v>
      </c>
      <c r="C32" s="99">
        <v>0.3298611111111111</v>
      </c>
      <c r="D32" s="14">
        <v>45336</v>
      </c>
      <c r="E32" s="99">
        <v>0.58680555555555558</v>
      </c>
      <c r="F32" s="99">
        <v>0.62847222222222221</v>
      </c>
      <c r="G32" s="75" t="s">
        <v>138</v>
      </c>
      <c r="H32" s="16" t="s">
        <v>21</v>
      </c>
      <c r="I32" s="16" t="s">
        <v>110</v>
      </c>
      <c r="J32" s="96"/>
    </row>
    <row r="33" spans="1:10" ht="15.75" customHeight="1">
      <c r="A33" s="29" t="s">
        <v>170</v>
      </c>
      <c r="B33" s="14">
        <v>45336</v>
      </c>
      <c r="C33" s="99">
        <v>0.35138888888888886</v>
      </c>
      <c r="D33" s="14">
        <v>45336</v>
      </c>
      <c r="E33" s="99">
        <v>0.58750000000000002</v>
      </c>
      <c r="F33" s="99">
        <v>0.62916666666666665</v>
      </c>
      <c r="G33" s="75" t="s">
        <v>138</v>
      </c>
      <c r="H33" s="16" t="s">
        <v>21</v>
      </c>
      <c r="I33" s="16" t="s">
        <v>110</v>
      </c>
      <c r="J33" s="96"/>
    </row>
    <row r="34" spans="1:10" ht="15.75" customHeight="1">
      <c r="A34" s="29" t="s">
        <v>171</v>
      </c>
      <c r="B34" s="14">
        <v>45336</v>
      </c>
      <c r="C34" s="99">
        <v>0.40625</v>
      </c>
      <c r="D34" s="14">
        <v>45336</v>
      </c>
      <c r="E34" s="99">
        <v>0.58819444444444446</v>
      </c>
      <c r="F34" s="99">
        <v>0.62986111111111109</v>
      </c>
      <c r="G34" s="75" t="s">
        <v>138</v>
      </c>
      <c r="H34" s="16" t="s">
        <v>21</v>
      </c>
      <c r="I34" s="16" t="s">
        <v>110</v>
      </c>
      <c r="J34" s="96"/>
    </row>
    <row r="35" spans="1:10" ht="15.75" customHeight="1">
      <c r="A35" s="29" t="s">
        <v>172</v>
      </c>
      <c r="B35" s="14">
        <v>45336</v>
      </c>
      <c r="C35" s="99">
        <v>0.4548611111111111</v>
      </c>
      <c r="D35" s="14">
        <v>45336</v>
      </c>
      <c r="E35" s="118">
        <v>0.58888888888888891</v>
      </c>
      <c r="F35" s="118">
        <v>0.63055555555555554</v>
      </c>
      <c r="G35" s="75" t="s">
        <v>138</v>
      </c>
      <c r="H35" s="16" t="s">
        <v>21</v>
      </c>
      <c r="I35" s="16" t="s">
        <v>110</v>
      </c>
      <c r="J35" s="96"/>
    </row>
    <row r="36" spans="1:10" ht="15.75" customHeight="1">
      <c r="A36" s="29" t="s">
        <v>173</v>
      </c>
      <c r="B36" s="14">
        <v>45337</v>
      </c>
      <c r="C36" s="99">
        <v>0.29305555555555557</v>
      </c>
      <c r="D36" s="119">
        <v>45338</v>
      </c>
      <c r="E36" s="120">
        <v>0.55555555555555558</v>
      </c>
      <c r="F36" s="120">
        <v>0.59722222222222221</v>
      </c>
      <c r="G36" s="75" t="s">
        <v>138</v>
      </c>
      <c r="H36" s="16" t="s">
        <v>21</v>
      </c>
      <c r="I36" s="16" t="s">
        <v>174</v>
      </c>
      <c r="J36" s="96"/>
    </row>
    <row r="37" spans="1:10" ht="15.75" customHeight="1">
      <c r="A37" s="29" t="s">
        <v>175</v>
      </c>
      <c r="B37" s="14">
        <v>45337</v>
      </c>
      <c r="C37" s="99">
        <v>0.3972222222222222</v>
      </c>
      <c r="D37" s="119">
        <v>45338</v>
      </c>
      <c r="E37" s="120">
        <v>0.55625000000000002</v>
      </c>
      <c r="F37" s="120">
        <v>0.59791666666666665</v>
      </c>
      <c r="G37" s="75" t="s">
        <v>138</v>
      </c>
      <c r="H37" s="16" t="s">
        <v>21</v>
      </c>
      <c r="I37" s="16" t="s">
        <v>174</v>
      </c>
      <c r="J37" s="96"/>
    </row>
    <row r="38" spans="1:10" ht="15.75" customHeight="1">
      <c r="A38" s="29" t="s">
        <v>176</v>
      </c>
      <c r="B38" s="14">
        <v>45337</v>
      </c>
      <c r="C38" s="99">
        <v>0.4152777777777778</v>
      </c>
      <c r="D38" s="119">
        <v>45338</v>
      </c>
      <c r="E38" s="120">
        <v>0.55694444444444446</v>
      </c>
      <c r="F38" s="120">
        <v>0.59861111111111109</v>
      </c>
      <c r="G38" s="75" t="s">
        <v>138</v>
      </c>
      <c r="H38" s="16" t="s">
        <v>21</v>
      </c>
      <c r="I38" s="16" t="s">
        <v>174</v>
      </c>
      <c r="J38" s="96"/>
    </row>
    <row r="39" spans="1:10" ht="15.75" customHeight="1">
      <c r="A39" s="29" t="s">
        <v>177</v>
      </c>
      <c r="B39" s="14">
        <v>45338</v>
      </c>
      <c r="C39" s="121">
        <v>0.33055555555555555</v>
      </c>
      <c r="D39" s="119">
        <v>45338</v>
      </c>
      <c r="E39" s="120">
        <v>0.61041666666666672</v>
      </c>
      <c r="F39" s="120">
        <v>0.65208333333333335</v>
      </c>
      <c r="G39" s="75" t="s">
        <v>138</v>
      </c>
      <c r="H39" s="16" t="s">
        <v>21</v>
      </c>
      <c r="I39" s="16" t="s">
        <v>110</v>
      </c>
      <c r="J39" s="96"/>
    </row>
    <row r="40" spans="1:10" ht="15.75" customHeight="1">
      <c r="A40" s="29" t="s">
        <v>178</v>
      </c>
      <c r="B40" s="14">
        <v>45338</v>
      </c>
      <c r="C40" s="121">
        <v>0.37013888888888891</v>
      </c>
      <c r="D40" s="119">
        <v>45338</v>
      </c>
      <c r="E40" s="118">
        <v>0.61111111111111116</v>
      </c>
      <c r="F40" s="118">
        <v>0.65277777777777779</v>
      </c>
      <c r="G40" s="75" t="s">
        <v>138</v>
      </c>
      <c r="H40" s="16" t="s">
        <v>21</v>
      </c>
      <c r="I40" s="16" t="s">
        <v>110</v>
      </c>
      <c r="J40" s="96"/>
    </row>
    <row r="41" spans="1:10" ht="15.75" customHeight="1">
      <c r="A41" s="29" t="s">
        <v>179</v>
      </c>
      <c r="B41" s="14">
        <v>45338</v>
      </c>
      <c r="C41" s="121">
        <v>0.39583333333333331</v>
      </c>
      <c r="D41" s="119">
        <v>45338</v>
      </c>
      <c r="E41" s="118">
        <v>0.6118055555555556</v>
      </c>
      <c r="F41" s="118">
        <v>0.65347222222222223</v>
      </c>
      <c r="G41" s="75" t="s">
        <v>138</v>
      </c>
      <c r="H41" s="16" t="s">
        <v>21</v>
      </c>
      <c r="I41" s="16" t="s">
        <v>110</v>
      </c>
      <c r="J41" s="96"/>
    </row>
    <row r="42" spans="1:10" ht="15.75" customHeight="1">
      <c r="A42" s="29" t="s">
        <v>180</v>
      </c>
      <c r="B42" s="14">
        <v>45338</v>
      </c>
      <c r="C42" s="95">
        <v>0.41805555555555557</v>
      </c>
      <c r="D42" s="119">
        <v>45338</v>
      </c>
      <c r="E42" s="118">
        <v>0.61250000000000004</v>
      </c>
      <c r="F42" s="118">
        <v>0.65416666666666667</v>
      </c>
      <c r="G42" s="75" t="s">
        <v>138</v>
      </c>
      <c r="H42" s="16" t="s">
        <v>21</v>
      </c>
      <c r="I42" s="16" t="s">
        <v>110</v>
      </c>
      <c r="J42" s="96"/>
    </row>
    <row r="43" spans="1:10" ht="15.75" customHeight="1">
      <c r="A43" s="29" t="s">
        <v>181</v>
      </c>
      <c r="B43" s="122">
        <v>45343</v>
      </c>
      <c r="C43" s="74">
        <v>0.38055555555555554</v>
      </c>
      <c r="D43" s="122">
        <v>45343</v>
      </c>
      <c r="E43" s="120">
        <v>0.58472222222222225</v>
      </c>
      <c r="F43" s="120">
        <v>0.62638888888888888</v>
      </c>
      <c r="G43" s="75" t="s">
        <v>138</v>
      </c>
      <c r="H43" s="16" t="s">
        <v>21</v>
      </c>
      <c r="I43" s="16" t="s">
        <v>182</v>
      </c>
      <c r="J43" s="96"/>
    </row>
    <row r="44" spans="1:10" ht="15.75" customHeight="1">
      <c r="A44" s="29" t="s">
        <v>183</v>
      </c>
      <c r="B44" s="122">
        <v>45343</v>
      </c>
      <c r="C44" s="74">
        <v>0.40138888888888891</v>
      </c>
      <c r="D44" s="122">
        <v>45343</v>
      </c>
      <c r="E44" s="120">
        <v>0.5854166666666667</v>
      </c>
      <c r="F44" s="120">
        <v>0.62708333333333333</v>
      </c>
      <c r="G44" s="75" t="s">
        <v>138</v>
      </c>
      <c r="H44" s="16" t="s">
        <v>21</v>
      </c>
      <c r="I44" s="16" t="s">
        <v>182</v>
      </c>
      <c r="J44" s="96"/>
    </row>
    <row r="45" spans="1:10" ht="15.75" customHeight="1">
      <c r="A45" s="59" t="s">
        <v>184</v>
      </c>
      <c r="B45" s="122">
        <v>45343</v>
      </c>
      <c r="C45" s="74">
        <v>0.42708333333333331</v>
      </c>
      <c r="D45" s="122">
        <v>45343</v>
      </c>
      <c r="E45" s="118">
        <v>0.58611111111111114</v>
      </c>
      <c r="F45" s="118">
        <v>0.62777777777777777</v>
      </c>
      <c r="G45" s="75" t="s">
        <v>138</v>
      </c>
      <c r="H45" s="16" t="s">
        <v>21</v>
      </c>
      <c r="I45" s="16" t="s">
        <v>182</v>
      </c>
      <c r="J45" s="96"/>
    </row>
    <row r="46" spans="1:10" ht="15.75" customHeight="1">
      <c r="A46" s="59" t="s">
        <v>185</v>
      </c>
      <c r="B46" s="122">
        <v>45343</v>
      </c>
      <c r="C46" s="74">
        <v>0.4909722222222222</v>
      </c>
      <c r="D46" s="122">
        <v>45343</v>
      </c>
      <c r="E46" s="118">
        <v>0.65763888888888888</v>
      </c>
      <c r="F46" s="118">
        <v>0.69930555555555551</v>
      </c>
      <c r="G46" s="75" t="s">
        <v>138</v>
      </c>
      <c r="H46" s="16" t="s">
        <v>21</v>
      </c>
      <c r="I46" s="16" t="s">
        <v>182</v>
      </c>
      <c r="J46" s="96"/>
    </row>
    <row r="47" spans="1:10" ht="15.75" customHeight="1">
      <c r="A47" s="59" t="s">
        <v>186</v>
      </c>
      <c r="B47" s="122">
        <v>45343</v>
      </c>
      <c r="C47" s="76">
        <v>0.51180555555555551</v>
      </c>
      <c r="D47" s="122">
        <v>45343</v>
      </c>
      <c r="E47" s="118">
        <v>0.65833333333333333</v>
      </c>
      <c r="F47" s="118">
        <v>0.7</v>
      </c>
      <c r="G47" s="75" t="s">
        <v>138</v>
      </c>
      <c r="H47" s="16" t="s">
        <v>21</v>
      </c>
      <c r="I47" s="16" t="s">
        <v>182</v>
      </c>
      <c r="J47" s="96"/>
    </row>
    <row r="48" spans="1:10" ht="15.75" customHeight="1">
      <c r="A48" s="59" t="s">
        <v>187</v>
      </c>
      <c r="B48" s="122">
        <v>45343</v>
      </c>
      <c r="C48" s="77">
        <v>0.53402777777777777</v>
      </c>
      <c r="D48" s="122">
        <v>45343</v>
      </c>
      <c r="E48" s="118">
        <v>0.65902777777777777</v>
      </c>
      <c r="F48" s="118">
        <v>0.7006944444444444</v>
      </c>
      <c r="G48" s="75" t="s">
        <v>138</v>
      </c>
      <c r="H48" s="16" t="s">
        <v>21</v>
      </c>
      <c r="I48" s="16" t="s">
        <v>182</v>
      </c>
      <c r="J48" s="96"/>
    </row>
    <row r="49" spans="2:10" ht="15.75" customHeight="1">
      <c r="B49" s="123"/>
      <c r="C49" s="124"/>
      <c r="D49" s="125"/>
      <c r="E49" s="126"/>
      <c r="F49" s="126"/>
      <c r="G49" s="127"/>
      <c r="H49" s="127"/>
      <c r="I49" s="127"/>
      <c r="J49" s="128"/>
    </row>
    <row r="50" spans="2:10" ht="15.75" customHeight="1">
      <c r="B50" s="123"/>
      <c r="C50" s="124"/>
      <c r="D50" s="125"/>
      <c r="E50" s="126"/>
      <c r="F50" s="126"/>
      <c r="G50" s="127"/>
      <c r="H50" s="127"/>
      <c r="I50" s="127"/>
      <c r="J50" s="128"/>
    </row>
    <row r="51" spans="2:10" ht="15.75" customHeight="1">
      <c r="B51" s="123"/>
      <c r="C51" s="124"/>
      <c r="D51" s="125"/>
      <c r="E51" s="126"/>
      <c r="F51" s="126"/>
      <c r="G51" s="127"/>
      <c r="H51" s="127"/>
      <c r="I51" s="127"/>
      <c r="J51" s="128"/>
    </row>
    <row r="52" spans="2:10" ht="15.75" customHeight="1">
      <c r="B52" s="123"/>
      <c r="C52" s="124"/>
      <c r="D52" s="125"/>
      <c r="E52" s="126"/>
      <c r="F52" s="126"/>
      <c r="G52" s="127"/>
      <c r="H52" s="127"/>
      <c r="I52" s="127"/>
      <c r="J52" s="25"/>
    </row>
    <row r="53" spans="2:10" ht="15.75" customHeight="1">
      <c r="B53" s="123"/>
      <c r="C53" s="124"/>
      <c r="D53" s="125"/>
      <c r="E53" s="126"/>
      <c r="F53" s="126"/>
      <c r="G53" s="127"/>
      <c r="H53" s="127"/>
      <c r="I53" s="127"/>
      <c r="J53" s="25"/>
    </row>
    <row r="54" spans="2:10" ht="15.75" customHeight="1">
      <c r="B54" s="123"/>
      <c r="C54" s="124"/>
      <c r="D54" s="125"/>
      <c r="E54" s="126"/>
      <c r="F54" s="126"/>
      <c r="G54" s="127"/>
      <c r="H54" s="127"/>
      <c r="I54" s="127"/>
      <c r="J54" s="25"/>
    </row>
    <row r="55" spans="2:10" ht="15.75" customHeight="1">
      <c r="B55" s="123"/>
      <c r="C55" s="124"/>
      <c r="D55" s="125"/>
      <c r="E55" s="126"/>
      <c r="F55" s="126"/>
      <c r="G55" s="127"/>
      <c r="H55" s="127"/>
      <c r="I55" s="127"/>
      <c r="J55" s="25"/>
    </row>
    <row r="56" spans="2:10" ht="15.75" customHeight="1">
      <c r="B56" s="123"/>
      <c r="C56" s="124"/>
      <c r="D56" s="125"/>
      <c r="E56" s="126"/>
      <c r="F56" s="126"/>
      <c r="G56" s="127"/>
      <c r="H56" s="127"/>
      <c r="I56" s="127"/>
      <c r="J56" s="25"/>
    </row>
    <row r="57" spans="2:10" ht="15.75" customHeight="1">
      <c r="B57" s="123"/>
      <c r="C57" s="124"/>
      <c r="D57" s="125"/>
      <c r="E57" s="126"/>
      <c r="F57" s="126"/>
      <c r="G57" s="127"/>
      <c r="H57" s="127"/>
      <c r="I57" s="127"/>
      <c r="J57" s="25"/>
    </row>
    <row r="58" spans="2:10" ht="15.75" customHeight="1">
      <c r="B58" s="123"/>
      <c r="C58" s="124"/>
      <c r="D58" s="125"/>
      <c r="E58" s="126"/>
      <c r="F58" s="126"/>
      <c r="G58" s="127"/>
      <c r="H58" s="127"/>
      <c r="I58" s="127"/>
      <c r="J58" s="25"/>
    </row>
    <row r="59" spans="2:10" ht="15.75" customHeight="1">
      <c r="B59" s="123"/>
      <c r="C59" s="124"/>
      <c r="D59" s="125"/>
      <c r="E59" s="126"/>
      <c r="F59" s="126"/>
      <c r="G59" s="127"/>
      <c r="H59" s="127"/>
      <c r="I59" s="127"/>
      <c r="J59" s="25"/>
    </row>
    <row r="60" spans="2:10" ht="15.75" customHeight="1">
      <c r="B60" s="123"/>
      <c r="C60" s="124"/>
      <c r="D60" s="125"/>
      <c r="E60" s="126"/>
      <c r="F60" s="126"/>
      <c r="G60" s="127"/>
      <c r="H60" s="127"/>
      <c r="I60" s="127"/>
      <c r="J60" s="25"/>
    </row>
    <row r="61" spans="2:10" ht="15.75" customHeight="1">
      <c r="B61" s="123"/>
      <c r="C61" s="124"/>
      <c r="D61" s="125"/>
      <c r="E61" s="126"/>
      <c r="F61" s="126"/>
      <c r="G61" s="127"/>
      <c r="H61" s="127"/>
      <c r="I61" s="127"/>
      <c r="J61" s="25"/>
    </row>
    <row r="62" spans="2:10" ht="15.75" customHeight="1">
      <c r="B62" s="123"/>
      <c r="C62" s="124"/>
      <c r="D62" s="125"/>
      <c r="E62" s="126"/>
      <c r="F62" s="126"/>
      <c r="G62" s="127"/>
      <c r="H62" s="127"/>
      <c r="I62" s="127"/>
      <c r="J62" s="25"/>
    </row>
    <row r="63" spans="2:10" ht="15.75" customHeight="1">
      <c r="B63" s="123"/>
      <c r="C63" s="124"/>
      <c r="D63" s="125"/>
      <c r="E63" s="126"/>
      <c r="F63" s="126"/>
      <c r="G63" s="127"/>
      <c r="H63" s="127"/>
      <c r="I63" s="127"/>
      <c r="J63" s="25"/>
    </row>
    <row r="64" spans="2:10" ht="15.75" customHeight="1">
      <c r="B64" s="123"/>
      <c r="C64" s="124"/>
      <c r="D64" s="125"/>
      <c r="E64" s="126"/>
      <c r="F64" s="126"/>
      <c r="G64" s="127"/>
      <c r="H64" s="127"/>
      <c r="I64" s="127"/>
      <c r="J64" s="25"/>
    </row>
    <row r="65" spans="2:10" ht="15.75" customHeight="1">
      <c r="B65" s="123"/>
      <c r="C65" s="124"/>
      <c r="D65" s="125"/>
      <c r="E65" s="126"/>
      <c r="F65" s="126"/>
      <c r="G65" s="127"/>
      <c r="H65" s="127"/>
      <c r="I65" s="127"/>
      <c r="J65" s="25"/>
    </row>
    <row r="66" spans="2:10" ht="15.75" customHeight="1">
      <c r="B66" s="123"/>
      <c r="C66" s="124"/>
      <c r="D66" s="125"/>
      <c r="E66" s="126"/>
      <c r="F66" s="126"/>
      <c r="G66" s="127"/>
      <c r="H66" s="127"/>
      <c r="I66" s="127"/>
      <c r="J66" s="25"/>
    </row>
    <row r="67" spans="2:10" ht="15.75" customHeight="1">
      <c r="B67" s="123"/>
      <c r="C67" s="124"/>
      <c r="D67" s="125"/>
      <c r="E67" s="126"/>
      <c r="F67" s="126"/>
      <c r="G67" s="127"/>
      <c r="H67" s="127"/>
      <c r="I67" s="127"/>
      <c r="J67" s="25"/>
    </row>
    <row r="68" spans="2:10" ht="15.75" customHeight="1">
      <c r="B68" s="123"/>
      <c r="C68" s="124"/>
      <c r="D68" s="125"/>
      <c r="E68" s="126"/>
      <c r="F68" s="126"/>
      <c r="G68" s="127"/>
      <c r="H68" s="127"/>
      <c r="I68" s="127"/>
      <c r="J68" s="25"/>
    </row>
    <row r="69" spans="2:10" ht="15.75" customHeight="1">
      <c r="B69" s="123"/>
      <c r="C69" s="124"/>
      <c r="D69" s="125"/>
      <c r="E69" s="126"/>
      <c r="F69" s="126"/>
      <c r="G69" s="127"/>
      <c r="H69" s="127"/>
      <c r="I69" s="127"/>
      <c r="J69" s="25"/>
    </row>
    <row r="70" spans="2:10" ht="15.75" customHeight="1">
      <c r="B70" s="123"/>
      <c r="C70" s="124"/>
      <c r="D70" s="125"/>
      <c r="E70" s="126"/>
      <c r="F70" s="126"/>
      <c r="G70" s="127"/>
      <c r="H70" s="127"/>
      <c r="I70" s="127"/>
      <c r="J70" s="25"/>
    </row>
    <row r="71" spans="2:10" ht="15.75" customHeight="1">
      <c r="B71" s="123"/>
      <c r="C71" s="124"/>
      <c r="D71" s="125"/>
      <c r="E71" s="126"/>
      <c r="F71" s="126"/>
      <c r="G71" s="127"/>
      <c r="H71" s="127"/>
      <c r="I71" s="127"/>
      <c r="J71" s="25"/>
    </row>
    <row r="72" spans="2:10" ht="15.75" customHeight="1">
      <c r="B72" s="123"/>
      <c r="C72" s="124"/>
      <c r="D72" s="125"/>
      <c r="E72" s="126"/>
      <c r="F72" s="126"/>
      <c r="G72" s="127"/>
      <c r="H72" s="127"/>
      <c r="I72" s="127"/>
      <c r="J72" s="25"/>
    </row>
    <row r="73" spans="2:10" ht="15.75" customHeight="1">
      <c r="B73" s="123"/>
      <c r="C73" s="124"/>
      <c r="D73" s="125"/>
      <c r="E73" s="126"/>
      <c r="F73" s="126"/>
      <c r="G73" s="127"/>
      <c r="H73" s="127"/>
      <c r="I73" s="127"/>
      <c r="J73" s="25"/>
    </row>
    <row r="74" spans="2:10" ht="15.75" customHeight="1">
      <c r="B74" s="123"/>
      <c r="C74" s="124"/>
      <c r="D74" s="125"/>
      <c r="E74" s="126"/>
      <c r="F74" s="126"/>
      <c r="G74" s="127"/>
      <c r="H74" s="127"/>
      <c r="I74" s="127"/>
      <c r="J74" s="25"/>
    </row>
    <row r="75" spans="2:10" ht="15.75" customHeight="1">
      <c r="B75" s="123"/>
      <c r="C75" s="124"/>
      <c r="D75" s="125"/>
      <c r="E75" s="126"/>
      <c r="F75" s="126"/>
      <c r="G75" s="127"/>
      <c r="H75" s="127"/>
      <c r="I75" s="127"/>
      <c r="J75" s="25"/>
    </row>
    <row r="76" spans="2:10" ht="15.75" customHeight="1">
      <c r="B76" s="123"/>
      <c r="C76" s="124"/>
      <c r="D76" s="125"/>
      <c r="E76" s="126"/>
      <c r="F76" s="126"/>
      <c r="G76" s="127"/>
      <c r="H76" s="127"/>
      <c r="I76" s="127"/>
      <c r="J76" s="25"/>
    </row>
    <row r="77" spans="2:10" ht="15.75" customHeight="1">
      <c r="B77" s="123"/>
      <c r="C77" s="124"/>
      <c r="D77" s="125"/>
      <c r="E77" s="126"/>
      <c r="F77" s="126"/>
      <c r="G77" s="127"/>
      <c r="H77" s="127"/>
      <c r="I77" s="127"/>
      <c r="J77" s="25"/>
    </row>
    <row r="78" spans="2:10" ht="15.75" customHeight="1">
      <c r="B78" s="123"/>
      <c r="C78" s="124"/>
      <c r="D78" s="125"/>
      <c r="E78" s="126"/>
      <c r="F78" s="126"/>
      <c r="G78" s="127"/>
      <c r="H78" s="127"/>
      <c r="I78" s="127"/>
      <c r="J78" s="25"/>
    </row>
    <row r="79" spans="2:10" ht="15.75" customHeight="1">
      <c r="B79" s="123"/>
      <c r="C79" s="124"/>
      <c r="D79" s="125"/>
      <c r="E79" s="126"/>
      <c r="F79" s="126"/>
      <c r="G79" s="127"/>
      <c r="H79" s="127"/>
      <c r="I79" s="127"/>
      <c r="J79" s="25"/>
    </row>
    <row r="80" spans="2:10" ht="15.75" customHeight="1">
      <c r="B80" s="123"/>
      <c r="C80" s="124"/>
      <c r="D80" s="125"/>
      <c r="E80" s="126"/>
      <c r="F80" s="126"/>
      <c r="G80" s="127"/>
      <c r="H80" s="127"/>
      <c r="I80" s="127"/>
      <c r="J80" s="25"/>
    </row>
    <row r="81" spans="2:10" ht="15.75" customHeight="1">
      <c r="B81" s="123"/>
      <c r="C81" s="124"/>
      <c r="D81" s="125"/>
      <c r="E81" s="126"/>
      <c r="F81" s="126"/>
      <c r="G81" s="127"/>
      <c r="H81" s="127"/>
      <c r="I81" s="127"/>
      <c r="J81" s="25"/>
    </row>
    <row r="82" spans="2:10" ht="15.75" customHeight="1">
      <c r="B82" s="123"/>
      <c r="C82" s="124"/>
      <c r="D82" s="125"/>
      <c r="E82" s="126"/>
      <c r="F82" s="126"/>
      <c r="G82" s="127"/>
      <c r="H82" s="127"/>
      <c r="I82" s="127"/>
      <c r="J82" s="25"/>
    </row>
    <row r="83" spans="2:10" ht="15.75" customHeight="1">
      <c r="B83" s="123"/>
      <c r="C83" s="124"/>
      <c r="D83" s="125"/>
      <c r="E83" s="126"/>
      <c r="F83" s="126"/>
      <c r="G83" s="127"/>
      <c r="H83" s="127"/>
      <c r="I83" s="127"/>
      <c r="J83" s="25"/>
    </row>
    <row r="84" spans="2:10" ht="15.75" customHeight="1">
      <c r="B84" s="123"/>
      <c r="C84" s="124"/>
      <c r="D84" s="125"/>
      <c r="E84" s="126"/>
      <c r="F84" s="126"/>
      <c r="G84" s="127"/>
      <c r="H84" s="127"/>
      <c r="I84" s="127"/>
      <c r="J84" s="25"/>
    </row>
    <row r="85" spans="2:10" ht="15.75" customHeight="1">
      <c r="B85" s="123"/>
      <c r="C85" s="124"/>
      <c r="D85" s="125"/>
      <c r="E85" s="126"/>
      <c r="F85" s="126"/>
      <c r="G85" s="127"/>
      <c r="H85" s="127"/>
      <c r="I85" s="127"/>
      <c r="J85" s="25"/>
    </row>
    <row r="86" spans="2:10" ht="15.75" customHeight="1">
      <c r="B86" s="123"/>
      <c r="C86" s="124"/>
      <c r="D86" s="125"/>
      <c r="E86" s="126"/>
      <c r="F86" s="126"/>
      <c r="G86" s="127"/>
      <c r="H86" s="127"/>
      <c r="I86" s="127"/>
      <c r="J86" s="25"/>
    </row>
    <row r="87" spans="2:10" ht="15.75" customHeight="1">
      <c r="B87" s="123"/>
      <c r="C87" s="124"/>
      <c r="D87" s="125"/>
      <c r="E87" s="126"/>
      <c r="F87" s="126"/>
      <c r="G87" s="127"/>
      <c r="H87" s="127"/>
      <c r="I87" s="127"/>
      <c r="J87" s="25"/>
    </row>
    <row r="88" spans="2:10" ht="15.75" customHeight="1">
      <c r="B88" s="123"/>
      <c r="C88" s="124"/>
      <c r="D88" s="125"/>
      <c r="E88" s="126"/>
      <c r="F88" s="126"/>
      <c r="G88" s="127"/>
      <c r="H88" s="127"/>
      <c r="I88" s="127"/>
      <c r="J88" s="25"/>
    </row>
    <row r="89" spans="2:10" ht="15.75" customHeight="1">
      <c r="B89" s="123"/>
      <c r="C89" s="124"/>
      <c r="D89" s="125"/>
      <c r="E89" s="126"/>
      <c r="F89" s="126"/>
      <c r="G89" s="127"/>
      <c r="H89" s="127"/>
      <c r="I89" s="127"/>
      <c r="J89" s="25"/>
    </row>
    <row r="90" spans="2:10" ht="15.75" customHeight="1">
      <c r="B90" s="123"/>
      <c r="C90" s="124"/>
      <c r="D90" s="125"/>
      <c r="E90" s="126"/>
      <c r="F90" s="126"/>
      <c r="G90" s="127"/>
      <c r="H90" s="127"/>
      <c r="I90" s="127"/>
      <c r="J90" s="25"/>
    </row>
    <row r="91" spans="2:10" ht="15.75" customHeight="1">
      <c r="B91" s="123"/>
      <c r="C91" s="124"/>
      <c r="D91" s="125"/>
      <c r="E91" s="126"/>
      <c r="F91" s="126"/>
      <c r="G91" s="127"/>
      <c r="H91" s="127"/>
      <c r="I91" s="127"/>
      <c r="J91" s="25"/>
    </row>
    <row r="92" spans="2:10" ht="15.75" customHeight="1">
      <c r="B92" s="123"/>
      <c r="C92" s="124"/>
      <c r="D92" s="125"/>
      <c r="E92" s="126"/>
      <c r="F92" s="126"/>
      <c r="G92" s="127"/>
      <c r="H92" s="127"/>
      <c r="I92" s="127"/>
      <c r="J92" s="25"/>
    </row>
    <row r="93" spans="2:10" ht="15.75" customHeight="1">
      <c r="B93" s="123"/>
      <c r="C93" s="124"/>
      <c r="D93" s="125"/>
      <c r="E93" s="126"/>
      <c r="F93" s="126"/>
      <c r="G93" s="127"/>
      <c r="H93" s="127"/>
      <c r="I93" s="127"/>
      <c r="J93" s="25"/>
    </row>
    <row r="94" spans="2:10" ht="15.75" customHeight="1">
      <c r="B94" s="123"/>
      <c r="C94" s="124"/>
      <c r="D94" s="125"/>
      <c r="E94" s="126"/>
      <c r="F94" s="126"/>
      <c r="G94" s="127"/>
      <c r="H94" s="127"/>
      <c r="I94" s="127"/>
      <c r="J94" s="25"/>
    </row>
    <row r="95" spans="2:10" ht="15.75" customHeight="1">
      <c r="B95" s="123"/>
      <c r="C95" s="124"/>
      <c r="D95" s="125"/>
      <c r="E95" s="126"/>
      <c r="F95" s="126"/>
      <c r="G95" s="127"/>
      <c r="H95" s="127"/>
      <c r="I95" s="127"/>
      <c r="J95" s="25"/>
    </row>
    <row r="96" spans="2:10" ht="15.75" customHeight="1">
      <c r="B96" s="123"/>
      <c r="C96" s="124"/>
      <c r="D96" s="125"/>
      <c r="E96" s="126"/>
      <c r="F96" s="126"/>
      <c r="G96" s="127"/>
      <c r="H96" s="127"/>
      <c r="I96" s="127"/>
      <c r="J96" s="25"/>
    </row>
    <row r="97" spans="2:10" ht="15.75" customHeight="1">
      <c r="B97" s="123"/>
      <c r="C97" s="124"/>
      <c r="D97" s="125"/>
      <c r="E97" s="126"/>
      <c r="F97" s="126"/>
      <c r="G97" s="127"/>
      <c r="H97" s="127"/>
      <c r="I97" s="127"/>
      <c r="J97" s="25"/>
    </row>
    <row r="98" spans="2:10" ht="15.75" customHeight="1">
      <c r="B98" s="123"/>
      <c r="C98" s="124"/>
      <c r="D98" s="125"/>
      <c r="E98" s="126"/>
      <c r="F98" s="126"/>
      <c r="G98" s="127"/>
      <c r="H98" s="127"/>
      <c r="I98" s="127"/>
      <c r="J98" s="25"/>
    </row>
    <row r="99" spans="2:10" ht="15.75" customHeight="1">
      <c r="B99" s="123"/>
      <c r="C99" s="124"/>
      <c r="D99" s="125"/>
      <c r="E99" s="126"/>
      <c r="F99" s="126"/>
      <c r="G99" s="127"/>
      <c r="H99" s="127"/>
      <c r="I99" s="127"/>
      <c r="J99" s="25"/>
    </row>
    <row r="100" spans="2:10" ht="15.75" customHeight="1">
      <c r="B100" s="123"/>
      <c r="C100" s="124"/>
      <c r="D100" s="125"/>
      <c r="E100" s="126"/>
      <c r="F100" s="126"/>
      <c r="G100" s="127"/>
      <c r="H100" s="127"/>
      <c r="I100" s="127"/>
      <c r="J100" s="25"/>
    </row>
    <row r="101" spans="2:10" ht="15.75" customHeight="1">
      <c r="B101" s="123"/>
      <c r="C101" s="124"/>
      <c r="D101" s="125"/>
      <c r="E101" s="126"/>
      <c r="F101" s="126"/>
      <c r="G101" s="127"/>
      <c r="H101" s="127"/>
      <c r="I101" s="127"/>
      <c r="J101" s="25"/>
    </row>
    <row r="102" spans="2:10" ht="15.75" customHeight="1">
      <c r="B102" s="123"/>
      <c r="C102" s="124"/>
      <c r="D102" s="125"/>
      <c r="E102" s="126"/>
      <c r="F102" s="126"/>
      <c r="G102" s="127"/>
      <c r="H102" s="127"/>
      <c r="I102" s="127"/>
      <c r="J102" s="25"/>
    </row>
    <row r="103" spans="2:10" ht="15.75" customHeight="1">
      <c r="B103" s="123"/>
      <c r="C103" s="124"/>
      <c r="D103" s="125"/>
      <c r="E103" s="126"/>
      <c r="F103" s="126"/>
      <c r="G103" s="127"/>
      <c r="H103" s="127"/>
      <c r="I103" s="127"/>
      <c r="J103" s="25"/>
    </row>
    <row r="104" spans="2:10" ht="15.75" customHeight="1">
      <c r="B104" s="123"/>
      <c r="C104" s="124"/>
      <c r="D104" s="125"/>
      <c r="E104" s="126"/>
      <c r="F104" s="126"/>
      <c r="G104" s="127"/>
      <c r="H104" s="127"/>
      <c r="I104" s="127"/>
      <c r="J104" s="25"/>
    </row>
    <row r="105" spans="2:10" ht="15.75" customHeight="1">
      <c r="B105" s="123"/>
      <c r="C105" s="124"/>
      <c r="D105" s="125"/>
      <c r="E105" s="126"/>
      <c r="F105" s="126"/>
      <c r="G105" s="127"/>
      <c r="H105" s="127"/>
      <c r="I105" s="127"/>
      <c r="J105" s="25"/>
    </row>
    <row r="106" spans="2:10" ht="15.75" customHeight="1">
      <c r="B106" s="123"/>
      <c r="C106" s="124"/>
      <c r="D106" s="125"/>
      <c r="E106" s="126"/>
      <c r="F106" s="126"/>
      <c r="G106" s="127"/>
      <c r="H106" s="127"/>
      <c r="I106" s="127"/>
      <c r="J106" s="25"/>
    </row>
    <row r="107" spans="2:10" ht="15.75" customHeight="1">
      <c r="B107" s="123"/>
      <c r="C107" s="124"/>
      <c r="D107" s="125"/>
      <c r="E107" s="126"/>
      <c r="F107" s="126"/>
      <c r="G107" s="127"/>
      <c r="H107" s="127"/>
      <c r="I107" s="127"/>
      <c r="J107" s="25"/>
    </row>
    <row r="108" spans="2:10" ht="15.75" customHeight="1">
      <c r="B108" s="123"/>
      <c r="C108" s="124"/>
      <c r="D108" s="125"/>
      <c r="E108" s="126"/>
      <c r="F108" s="126"/>
      <c r="G108" s="127"/>
      <c r="H108" s="127"/>
      <c r="I108" s="127"/>
      <c r="J108" s="25"/>
    </row>
    <row r="109" spans="2:10" ht="15.75" customHeight="1">
      <c r="B109" s="123"/>
      <c r="C109" s="124"/>
      <c r="D109" s="125"/>
      <c r="E109" s="126"/>
      <c r="F109" s="126"/>
      <c r="G109" s="127"/>
      <c r="H109" s="127"/>
      <c r="I109" s="127"/>
      <c r="J109" s="25"/>
    </row>
    <row r="110" spans="2:10" ht="15.75" customHeight="1">
      <c r="B110" s="123"/>
      <c r="C110" s="124"/>
      <c r="D110" s="125"/>
      <c r="E110" s="126"/>
      <c r="F110" s="126"/>
      <c r="G110" s="127"/>
      <c r="H110" s="127"/>
      <c r="I110" s="127"/>
      <c r="J110" s="25"/>
    </row>
    <row r="111" spans="2:10" ht="15.75" customHeight="1">
      <c r="B111" s="123"/>
      <c r="C111" s="124"/>
      <c r="D111" s="125"/>
      <c r="E111" s="126"/>
      <c r="F111" s="126"/>
      <c r="G111" s="127"/>
      <c r="H111" s="127"/>
      <c r="I111" s="127"/>
      <c r="J111" s="25"/>
    </row>
    <row r="112" spans="2:10" ht="15.75" customHeight="1">
      <c r="B112" s="123"/>
      <c r="C112" s="124"/>
      <c r="D112" s="125"/>
      <c r="E112" s="126"/>
      <c r="F112" s="126"/>
      <c r="G112" s="127"/>
      <c r="H112" s="127"/>
      <c r="I112" s="127"/>
      <c r="J112" s="25"/>
    </row>
    <row r="113" spans="2:10" ht="15.75" customHeight="1">
      <c r="B113" s="123"/>
      <c r="C113" s="124"/>
      <c r="D113" s="125"/>
      <c r="E113" s="126"/>
      <c r="F113" s="126"/>
      <c r="G113" s="127"/>
      <c r="H113" s="127"/>
      <c r="I113" s="127"/>
      <c r="J113" s="25"/>
    </row>
    <row r="114" spans="2:10" ht="15.75" customHeight="1">
      <c r="B114" s="123"/>
      <c r="C114" s="124"/>
      <c r="D114" s="125"/>
      <c r="E114" s="126"/>
      <c r="F114" s="126"/>
      <c r="G114" s="127"/>
      <c r="H114" s="127"/>
      <c r="I114" s="127"/>
      <c r="J114" s="25"/>
    </row>
    <row r="115" spans="2:10" ht="15.75" customHeight="1">
      <c r="B115" s="123"/>
      <c r="C115" s="124"/>
      <c r="D115" s="125"/>
      <c r="E115" s="126"/>
      <c r="F115" s="126"/>
      <c r="G115" s="127"/>
      <c r="H115" s="127"/>
      <c r="I115" s="127"/>
      <c r="J115" s="25"/>
    </row>
    <row r="116" spans="2:10" ht="15.75" customHeight="1">
      <c r="B116" s="123"/>
      <c r="C116" s="124"/>
      <c r="D116" s="125"/>
      <c r="E116" s="126"/>
      <c r="F116" s="126"/>
      <c r="G116" s="127"/>
      <c r="H116" s="127"/>
      <c r="I116" s="127"/>
      <c r="J116" s="25"/>
    </row>
    <row r="117" spans="2:10" ht="15.75" customHeight="1">
      <c r="B117" s="123"/>
      <c r="C117" s="124"/>
      <c r="D117" s="125"/>
      <c r="E117" s="126"/>
      <c r="F117" s="126"/>
      <c r="G117" s="127"/>
      <c r="H117" s="127"/>
      <c r="I117" s="127"/>
      <c r="J117" s="25"/>
    </row>
    <row r="118" spans="2:10" ht="15.75" customHeight="1">
      <c r="B118" s="123"/>
      <c r="C118" s="124"/>
      <c r="D118" s="125"/>
      <c r="E118" s="126"/>
      <c r="F118" s="126"/>
      <c r="G118" s="127"/>
      <c r="H118" s="127"/>
      <c r="I118" s="127"/>
      <c r="J118" s="25"/>
    </row>
    <row r="119" spans="2:10" ht="15.75" customHeight="1">
      <c r="B119" s="123"/>
      <c r="C119" s="124"/>
      <c r="D119" s="125"/>
      <c r="E119" s="126"/>
      <c r="F119" s="126"/>
      <c r="G119" s="127"/>
      <c r="H119" s="127"/>
      <c r="I119" s="127"/>
      <c r="J119" s="25"/>
    </row>
    <row r="120" spans="2:10" ht="15.75" customHeight="1">
      <c r="B120" s="123"/>
      <c r="C120" s="124"/>
      <c r="D120" s="125"/>
      <c r="E120" s="126"/>
      <c r="F120" s="126"/>
      <c r="G120" s="127"/>
      <c r="H120" s="127"/>
      <c r="I120" s="127"/>
      <c r="J120" s="25"/>
    </row>
    <row r="121" spans="2:10" ht="15.75" customHeight="1">
      <c r="B121" s="123"/>
      <c r="C121" s="124"/>
      <c r="D121" s="125"/>
      <c r="E121" s="126"/>
      <c r="F121" s="126"/>
      <c r="G121" s="127"/>
      <c r="H121" s="127"/>
      <c r="I121" s="127"/>
      <c r="J121" s="25"/>
    </row>
    <row r="122" spans="2:10" ht="15.75" customHeight="1">
      <c r="B122" s="123"/>
      <c r="C122" s="124"/>
      <c r="D122" s="125"/>
      <c r="E122" s="126"/>
      <c r="F122" s="126"/>
      <c r="G122" s="127"/>
      <c r="H122" s="127"/>
      <c r="I122" s="127"/>
      <c r="J122" s="25"/>
    </row>
    <row r="123" spans="2:10" ht="15.75" customHeight="1">
      <c r="B123" s="123"/>
      <c r="C123" s="124"/>
      <c r="D123" s="125"/>
      <c r="E123" s="126"/>
      <c r="F123" s="126"/>
      <c r="G123" s="127"/>
      <c r="H123" s="127"/>
      <c r="I123" s="127"/>
      <c r="J123" s="25"/>
    </row>
    <row r="124" spans="2:10" ht="15.75" customHeight="1">
      <c r="B124" s="123"/>
      <c r="C124" s="124"/>
      <c r="D124" s="125"/>
      <c r="E124" s="126"/>
      <c r="F124" s="126"/>
      <c r="G124" s="127"/>
      <c r="H124" s="127"/>
      <c r="I124" s="127"/>
      <c r="J124" s="25"/>
    </row>
    <row r="125" spans="2:10" ht="15.75" customHeight="1">
      <c r="B125" s="123"/>
      <c r="C125" s="124"/>
      <c r="D125" s="125"/>
      <c r="E125" s="126"/>
      <c r="F125" s="126"/>
      <c r="G125" s="127"/>
      <c r="H125" s="127"/>
      <c r="I125" s="127"/>
      <c r="J125" s="25"/>
    </row>
    <row r="126" spans="2:10" ht="15.75" customHeight="1">
      <c r="B126" s="123"/>
      <c r="C126" s="124"/>
      <c r="D126" s="125"/>
      <c r="E126" s="126"/>
      <c r="F126" s="126"/>
      <c r="G126" s="127"/>
      <c r="H126" s="127"/>
      <c r="I126" s="127"/>
      <c r="J126" s="25"/>
    </row>
    <row r="127" spans="2:10" ht="15.75" customHeight="1">
      <c r="B127" s="123"/>
      <c r="C127" s="124"/>
      <c r="D127" s="125"/>
      <c r="E127" s="126"/>
      <c r="F127" s="126"/>
      <c r="G127" s="127"/>
      <c r="H127" s="127"/>
      <c r="I127" s="127"/>
      <c r="J127" s="25"/>
    </row>
    <row r="128" spans="2:10" ht="15.75" customHeight="1">
      <c r="B128" s="123"/>
      <c r="C128" s="124"/>
      <c r="D128" s="125"/>
      <c r="E128" s="126"/>
      <c r="F128" s="126"/>
      <c r="G128" s="127"/>
      <c r="H128" s="127"/>
      <c r="I128" s="127"/>
      <c r="J128" s="25"/>
    </row>
    <row r="129" spans="2:10" ht="15.75" customHeight="1">
      <c r="B129" s="123"/>
      <c r="C129" s="124"/>
      <c r="D129" s="125"/>
      <c r="E129" s="126"/>
      <c r="F129" s="126"/>
      <c r="G129" s="127"/>
      <c r="H129" s="127"/>
      <c r="I129" s="127"/>
      <c r="J129" s="25"/>
    </row>
    <row r="130" spans="2:10" ht="15.75" customHeight="1">
      <c r="B130" s="123"/>
      <c r="C130" s="124"/>
      <c r="D130" s="125"/>
      <c r="E130" s="126"/>
      <c r="F130" s="126"/>
      <c r="G130" s="127"/>
      <c r="H130" s="127"/>
      <c r="I130" s="127"/>
      <c r="J130" s="25"/>
    </row>
    <row r="131" spans="2:10" ht="15.75" customHeight="1">
      <c r="B131" s="123"/>
      <c r="C131" s="124"/>
      <c r="D131" s="125"/>
      <c r="E131" s="126"/>
      <c r="F131" s="126"/>
      <c r="G131" s="127"/>
      <c r="H131" s="127"/>
      <c r="I131" s="127"/>
      <c r="J131" s="25"/>
    </row>
    <row r="132" spans="2:10" ht="15.75" customHeight="1">
      <c r="B132" s="123"/>
      <c r="C132" s="124"/>
      <c r="D132" s="125"/>
      <c r="E132" s="126"/>
      <c r="F132" s="126"/>
      <c r="G132" s="127"/>
      <c r="H132" s="127"/>
      <c r="I132" s="127"/>
      <c r="J132" s="25"/>
    </row>
    <row r="133" spans="2:10" ht="15.75" customHeight="1">
      <c r="B133" s="123"/>
      <c r="C133" s="124"/>
      <c r="D133" s="125"/>
      <c r="E133" s="126"/>
      <c r="F133" s="126"/>
      <c r="G133" s="127"/>
      <c r="H133" s="127"/>
      <c r="I133" s="127"/>
      <c r="J133" s="25"/>
    </row>
    <row r="134" spans="2:10" ht="15.75" customHeight="1">
      <c r="B134" s="123"/>
      <c r="C134" s="124"/>
      <c r="D134" s="125"/>
      <c r="E134" s="126"/>
      <c r="F134" s="126"/>
      <c r="G134" s="127"/>
      <c r="H134" s="127"/>
      <c r="I134" s="127"/>
      <c r="J134" s="25"/>
    </row>
    <row r="135" spans="2:10" ht="15.75" customHeight="1">
      <c r="B135" s="123"/>
      <c r="C135" s="124"/>
      <c r="D135" s="125"/>
      <c r="E135" s="126"/>
      <c r="F135" s="126"/>
      <c r="G135" s="127"/>
      <c r="H135" s="127"/>
      <c r="I135" s="127"/>
      <c r="J135" s="25"/>
    </row>
    <row r="136" spans="2:10" ht="15.75" customHeight="1">
      <c r="B136" s="123"/>
      <c r="C136" s="124"/>
      <c r="D136" s="125"/>
      <c r="E136" s="126"/>
      <c r="F136" s="126"/>
      <c r="G136" s="127"/>
      <c r="H136" s="127"/>
      <c r="I136" s="127"/>
      <c r="J136" s="25"/>
    </row>
    <row r="137" spans="2:10" ht="15.75" customHeight="1">
      <c r="B137" s="123"/>
      <c r="C137" s="124"/>
      <c r="D137" s="125"/>
      <c r="E137" s="126"/>
      <c r="F137" s="126"/>
      <c r="G137" s="127"/>
      <c r="H137" s="127"/>
      <c r="I137" s="127"/>
      <c r="J137" s="25"/>
    </row>
    <row r="138" spans="2:10" ht="15.75" customHeight="1">
      <c r="B138" s="123"/>
      <c r="C138" s="124"/>
      <c r="D138" s="125"/>
      <c r="E138" s="126"/>
      <c r="F138" s="126"/>
      <c r="G138" s="127"/>
      <c r="H138" s="127"/>
      <c r="I138" s="127"/>
      <c r="J138" s="25"/>
    </row>
    <row r="139" spans="2:10" ht="15.75" customHeight="1">
      <c r="B139" s="123"/>
      <c r="C139" s="124"/>
      <c r="D139" s="125"/>
      <c r="E139" s="126"/>
      <c r="F139" s="126"/>
      <c r="G139" s="127"/>
      <c r="H139" s="127"/>
      <c r="I139" s="127"/>
      <c r="J139" s="25"/>
    </row>
    <row r="140" spans="2:10" ht="15.75" customHeight="1">
      <c r="B140" s="123"/>
      <c r="C140" s="124"/>
      <c r="D140" s="125"/>
      <c r="E140" s="126"/>
      <c r="F140" s="126"/>
      <c r="G140" s="127"/>
      <c r="H140" s="127"/>
      <c r="I140" s="127"/>
      <c r="J140" s="25"/>
    </row>
    <row r="141" spans="2:10" ht="15.75" customHeight="1">
      <c r="B141" s="123"/>
      <c r="C141" s="124"/>
      <c r="D141" s="125"/>
      <c r="E141" s="126"/>
      <c r="F141" s="126"/>
      <c r="G141" s="127"/>
      <c r="H141" s="127"/>
      <c r="I141" s="127"/>
      <c r="J141" s="25"/>
    </row>
    <row r="142" spans="2:10" ht="15.75" customHeight="1">
      <c r="B142" s="123"/>
      <c r="C142" s="124"/>
      <c r="D142" s="125"/>
      <c r="E142" s="126"/>
      <c r="F142" s="126"/>
      <c r="G142" s="127"/>
      <c r="H142" s="127"/>
      <c r="I142" s="127"/>
      <c r="J142" s="25"/>
    </row>
    <row r="143" spans="2:10" ht="15.75" customHeight="1">
      <c r="B143" s="123"/>
      <c r="C143" s="124"/>
      <c r="D143" s="125"/>
      <c r="E143" s="126"/>
      <c r="F143" s="126"/>
      <c r="G143" s="127"/>
      <c r="H143" s="127"/>
      <c r="I143" s="127"/>
      <c r="J143" s="25"/>
    </row>
    <row r="144" spans="2:10" ht="15.75" customHeight="1">
      <c r="B144" s="123"/>
      <c r="C144" s="124"/>
      <c r="D144" s="125"/>
      <c r="E144" s="126"/>
      <c r="F144" s="126"/>
      <c r="G144" s="127"/>
      <c r="H144" s="127"/>
      <c r="I144" s="127"/>
      <c r="J144" s="25"/>
    </row>
    <row r="145" spans="2:10" ht="15.75" customHeight="1">
      <c r="B145" s="123"/>
      <c r="C145" s="124"/>
      <c r="D145" s="125"/>
      <c r="E145" s="126"/>
      <c r="F145" s="126"/>
      <c r="G145" s="127"/>
      <c r="H145" s="127"/>
      <c r="I145" s="127"/>
      <c r="J145" s="25"/>
    </row>
    <row r="146" spans="2:10" ht="15.75" customHeight="1">
      <c r="B146" s="123"/>
      <c r="C146" s="124"/>
      <c r="D146" s="125"/>
      <c r="E146" s="126"/>
      <c r="F146" s="126"/>
      <c r="G146" s="127"/>
      <c r="H146" s="127"/>
      <c r="I146" s="127"/>
      <c r="J146" s="25"/>
    </row>
    <row r="147" spans="2:10" ht="15.75" customHeight="1">
      <c r="B147" s="123"/>
      <c r="C147" s="124"/>
      <c r="D147" s="125"/>
      <c r="E147" s="126"/>
      <c r="F147" s="126"/>
      <c r="G147" s="127"/>
      <c r="H147" s="127"/>
      <c r="I147" s="127"/>
      <c r="J147" s="25"/>
    </row>
    <row r="148" spans="2:10" ht="15.75" customHeight="1">
      <c r="B148" s="123"/>
      <c r="C148" s="124"/>
      <c r="D148" s="125"/>
      <c r="E148" s="126"/>
      <c r="F148" s="126"/>
      <c r="G148" s="127"/>
      <c r="H148" s="127"/>
      <c r="I148" s="127"/>
      <c r="J148" s="25"/>
    </row>
    <row r="149" spans="2:10" ht="15.75" customHeight="1">
      <c r="B149" s="123"/>
      <c r="C149" s="124"/>
      <c r="D149" s="125"/>
      <c r="E149" s="126"/>
      <c r="F149" s="126"/>
      <c r="G149" s="127"/>
      <c r="H149" s="127"/>
      <c r="I149" s="127"/>
      <c r="J149" s="25"/>
    </row>
    <row r="150" spans="2:10" ht="15.75" customHeight="1">
      <c r="B150" s="123"/>
      <c r="C150" s="124"/>
      <c r="D150" s="125"/>
      <c r="E150" s="126"/>
      <c r="F150" s="126"/>
      <c r="G150" s="127"/>
      <c r="H150" s="127"/>
      <c r="I150" s="127"/>
      <c r="J150" s="25"/>
    </row>
    <row r="151" spans="2:10" ht="15.75" customHeight="1">
      <c r="B151" s="123"/>
      <c r="C151" s="124"/>
      <c r="D151" s="125"/>
      <c r="E151" s="126"/>
      <c r="F151" s="126"/>
      <c r="G151" s="127"/>
      <c r="H151" s="127"/>
      <c r="I151" s="127"/>
      <c r="J151" s="25"/>
    </row>
    <row r="152" spans="2:10" ht="15.75" customHeight="1">
      <c r="B152" s="123"/>
      <c r="C152" s="124"/>
      <c r="D152" s="125"/>
      <c r="E152" s="126"/>
      <c r="F152" s="126"/>
      <c r="G152" s="127"/>
      <c r="H152" s="127"/>
      <c r="I152" s="127"/>
      <c r="J152" s="25"/>
    </row>
    <row r="153" spans="2:10" ht="15.75" customHeight="1">
      <c r="B153" s="123"/>
      <c r="C153" s="124"/>
      <c r="D153" s="125"/>
      <c r="E153" s="126"/>
      <c r="F153" s="126"/>
      <c r="G153" s="127"/>
      <c r="H153" s="127"/>
      <c r="I153" s="127"/>
      <c r="J153" s="25"/>
    </row>
    <row r="154" spans="2:10" ht="15.75" customHeight="1">
      <c r="B154" s="123"/>
      <c r="C154" s="124"/>
      <c r="D154" s="125"/>
      <c r="E154" s="126"/>
      <c r="F154" s="126"/>
      <c r="G154" s="127"/>
      <c r="H154" s="127"/>
      <c r="I154" s="127"/>
      <c r="J154" s="25"/>
    </row>
    <row r="155" spans="2:10" ht="15.75" customHeight="1">
      <c r="B155" s="123"/>
      <c r="C155" s="124"/>
      <c r="D155" s="125"/>
      <c r="E155" s="126"/>
      <c r="F155" s="126"/>
      <c r="G155" s="127"/>
      <c r="H155" s="127"/>
      <c r="I155" s="127"/>
      <c r="J155" s="25"/>
    </row>
    <row r="156" spans="2:10" ht="15.75" customHeight="1">
      <c r="B156" s="123"/>
      <c r="C156" s="124"/>
      <c r="D156" s="125"/>
      <c r="E156" s="126"/>
      <c r="F156" s="126"/>
      <c r="G156" s="127"/>
      <c r="H156" s="127"/>
      <c r="I156" s="127"/>
      <c r="J156" s="25"/>
    </row>
    <row r="157" spans="2:10" ht="15.75" customHeight="1">
      <c r="B157" s="123"/>
      <c r="C157" s="124"/>
      <c r="D157" s="125"/>
      <c r="E157" s="126"/>
      <c r="F157" s="126"/>
      <c r="G157" s="127"/>
      <c r="H157" s="127"/>
      <c r="I157" s="127"/>
      <c r="J157" s="25"/>
    </row>
    <row r="158" spans="2:10" ht="15.75" customHeight="1">
      <c r="B158" s="123"/>
      <c r="C158" s="124"/>
      <c r="D158" s="125"/>
      <c r="E158" s="126"/>
      <c r="F158" s="126"/>
      <c r="G158" s="127"/>
      <c r="H158" s="127"/>
      <c r="I158" s="127"/>
      <c r="J158" s="25"/>
    </row>
    <row r="159" spans="2:10" ht="15.75" customHeight="1">
      <c r="B159" s="123"/>
      <c r="C159" s="124"/>
      <c r="D159" s="125"/>
      <c r="E159" s="126"/>
      <c r="F159" s="126"/>
      <c r="G159" s="127"/>
      <c r="H159" s="127"/>
      <c r="I159" s="127"/>
      <c r="J159" s="25"/>
    </row>
    <row r="160" spans="2:10" ht="15.75" customHeight="1">
      <c r="B160" s="123"/>
      <c r="C160" s="124"/>
      <c r="D160" s="125"/>
      <c r="E160" s="126"/>
      <c r="F160" s="126"/>
      <c r="G160" s="127"/>
      <c r="H160" s="127"/>
      <c r="I160" s="127"/>
      <c r="J160" s="25"/>
    </row>
    <row r="161" spans="2:10" ht="15.75" customHeight="1">
      <c r="B161" s="123"/>
      <c r="C161" s="124"/>
      <c r="D161" s="125"/>
      <c r="E161" s="126"/>
      <c r="F161" s="126"/>
      <c r="G161" s="127"/>
      <c r="H161" s="127"/>
      <c r="I161" s="127"/>
      <c r="J161" s="25"/>
    </row>
    <row r="162" spans="2:10" ht="15.75" customHeight="1">
      <c r="B162" s="123"/>
      <c r="C162" s="124"/>
      <c r="D162" s="125"/>
      <c r="E162" s="126"/>
      <c r="F162" s="126"/>
      <c r="G162" s="127"/>
      <c r="H162" s="127"/>
      <c r="I162" s="127"/>
      <c r="J162" s="25"/>
    </row>
    <row r="163" spans="2:10" ht="15.75" customHeight="1">
      <c r="B163" s="123"/>
      <c r="C163" s="124"/>
      <c r="D163" s="125"/>
      <c r="E163" s="126"/>
      <c r="F163" s="126"/>
      <c r="G163" s="127"/>
      <c r="H163" s="127"/>
      <c r="I163" s="127"/>
      <c r="J163" s="25"/>
    </row>
    <row r="164" spans="2:10" ht="15.75" customHeight="1">
      <c r="B164" s="123"/>
      <c r="C164" s="124"/>
      <c r="D164" s="125"/>
      <c r="E164" s="126"/>
      <c r="F164" s="126"/>
      <c r="G164" s="127"/>
      <c r="H164" s="127"/>
      <c r="I164" s="127"/>
      <c r="J164" s="25"/>
    </row>
    <row r="165" spans="2:10" ht="15.75" customHeight="1">
      <c r="B165" s="123"/>
      <c r="C165" s="124"/>
      <c r="D165" s="125"/>
      <c r="E165" s="126"/>
      <c r="F165" s="126"/>
      <c r="G165" s="127"/>
      <c r="H165" s="127"/>
      <c r="I165" s="127"/>
      <c r="J165" s="25"/>
    </row>
    <row r="166" spans="2:10" ht="15.75" customHeight="1">
      <c r="B166" s="123"/>
      <c r="C166" s="124"/>
      <c r="D166" s="125"/>
      <c r="E166" s="126"/>
      <c r="F166" s="126"/>
      <c r="G166" s="127"/>
      <c r="H166" s="127"/>
      <c r="I166" s="127"/>
      <c r="J166" s="25"/>
    </row>
    <row r="167" spans="2:10" ht="15.75" customHeight="1">
      <c r="B167" s="123"/>
      <c r="C167" s="124"/>
      <c r="D167" s="125"/>
      <c r="E167" s="126"/>
      <c r="F167" s="126"/>
      <c r="G167" s="127"/>
      <c r="H167" s="127"/>
      <c r="I167" s="127"/>
      <c r="J167" s="25"/>
    </row>
    <row r="168" spans="2:10" ht="15.75" customHeight="1">
      <c r="B168" s="123"/>
      <c r="C168" s="124"/>
      <c r="D168" s="125"/>
      <c r="E168" s="126"/>
      <c r="F168" s="126"/>
      <c r="G168" s="127"/>
      <c r="H168" s="127"/>
      <c r="I168" s="127"/>
      <c r="J168" s="25"/>
    </row>
    <row r="169" spans="2:10" ht="15.75" customHeight="1">
      <c r="B169" s="123"/>
      <c r="C169" s="124"/>
      <c r="D169" s="125"/>
      <c r="E169" s="126"/>
      <c r="F169" s="126"/>
      <c r="G169" s="127"/>
      <c r="H169" s="127"/>
      <c r="I169" s="127"/>
      <c r="J169" s="25"/>
    </row>
    <row r="170" spans="2:10" ht="15.75" customHeight="1">
      <c r="B170" s="123"/>
      <c r="C170" s="124"/>
      <c r="D170" s="125"/>
      <c r="E170" s="126"/>
      <c r="F170" s="126"/>
      <c r="G170" s="127"/>
      <c r="H170" s="127"/>
      <c r="I170" s="127"/>
      <c r="J170" s="25"/>
    </row>
    <row r="171" spans="2:10" ht="15.75" customHeight="1">
      <c r="B171" s="123"/>
      <c r="C171" s="124"/>
      <c r="D171" s="125"/>
      <c r="E171" s="126"/>
      <c r="F171" s="126"/>
      <c r="G171" s="127"/>
      <c r="H171" s="127"/>
      <c r="I171" s="127"/>
      <c r="J171" s="25"/>
    </row>
    <row r="172" spans="2:10" ht="15.75" customHeight="1">
      <c r="B172" s="123"/>
      <c r="C172" s="124"/>
      <c r="D172" s="125"/>
      <c r="E172" s="126"/>
      <c r="F172" s="126"/>
      <c r="G172" s="127"/>
      <c r="H172" s="127"/>
      <c r="I172" s="127"/>
      <c r="J172" s="25"/>
    </row>
    <row r="173" spans="2:10" ht="15.75" customHeight="1">
      <c r="B173" s="123"/>
      <c r="C173" s="124"/>
      <c r="D173" s="125"/>
      <c r="E173" s="126"/>
      <c r="F173" s="126"/>
      <c r="G173" s="127"/>
      <c r="H173" s="127"/>
      <c r="I173" s="127"/>
      <c r="J173" s="25"/>
    </row>
    <row r="174" spans="2:10" ht="15.75" customHeight="1">
      <c r="B174" s="123"/>
      <c r="C174" s="124"/>
      <c r="D174" s="125"/>
      <c r="E174" s="126"/>
      <c r="F174" s="126"/>
      <c r="G174" s="127"/>
      <c r="H174" s="127"/>
      <c r="I174" s="127"/>
      <c r="J174" s="25"/>
    </row>
    <row r="175" spans="2:10" ht="15.75" customHeight="1">
      <c r="B175" s="123"/>
      <c r="C175" s="124"/>
      <c r="D175" s="125"/>
      <c r="E175" s="126"/>
      <c r="F175" s="126"/>
      <c r="G175" s="127"/>
      <c r="H175" s="127"/>
      <c r="I175" s="127"/>
      <c r="J175" s="25"/>
    </row>
    <row r="176" spans="2:10" ht="15.75" customHeight="1">
      <c r="B176" s="123"/>
      <c r="C176" s="124"/>
      <c r="D176" s="125"/>
      <c r="E176" s="126"/>
      <c r="F176" s="126"/>
      <c r="G176" s="127"/>
      <c r="H176" s="127"/>
      <c r="I176" s="127"/>
      <c r="J176" s="25"/>
    </row>
    <row r="177" spans="2:10" ht="15.75" customHeight="1">
      <c r="B177" s="123"/>
      <c r="C177" s="124"/>
      <c r="D177" s="125"/>
      <c r="E177" s="126"/>
      <c r="F177" s="126"/>
      <c r="G177" s="127"/>
      <c r="H177" s="127"/>
      <c r="I177" s="127"/>
      <c r="J177" s="25"/>
    </row>
    <row r="178" spans="2:10" ht="15.75" customHeight="1">
      <c r="B178" s="123"/>
      <c r="C178" s="124"/>
      <c r="D178" s="125"/>
      <c r="E178" s="126"/>
      <c r="F178" s="126"/>
      <c r="G178" s="127"/>
      <c r="H178" s="127"/>
      <c r="I178" s="127"/>
      <c r="J178" s="25"/>
    </row>
    <row r="179" spans="2:10" ht="15.75" customHeight="1">
      <c r="B179" s="123"/>
      <c r="C179" s="124"/>
      <c r="D179" s="125"/>
      <c r="E179" s="126"/>
      <c r="F179" s="126"/>
      <c r="G179" s="127"/>
      <c r="H179" s="127"/>
      <c r="I179" s="127"/>
      <c r="J179" s="25"/>
    </row>
    <row r="180" spans="2:10" ht="15.75" customHeight="1">
      <c r="B180" s="123"/>
      <c r="C180" s="124"/>
      <c r="D180" s="125"/>
      <c r="E180" s="126"/>
      <c r="F180" s="126"/>
      <c r="G180" s="127"/>
      <c r="H180" s="127"/>
      <c r="I180" s="127"/>
      <c r="J180" s="25"/>
    </row>
    <row r="181" spans="2:10" ht="15.75" customHeight="1">
      <c r="B181" s="123"/>
      <c r="C181" s="124"/>
      <c r="D181" s="125"/>
      <c r="E181" s="126"/>
      <c r="F181" s="126"/>
      <c r="G181" s="127"/>
      <c r="H181" s="127"/>
      <c r="I181" s="127"/>
      <c r="J181" s="25"/>
    </row>
    <row r="182" spans="2:10" ht="15.75" customHeight="1">
      <c r="B182" s="123"/>
      <c r="C182" s="124"/>
      <c r="D182" s="125"/>
      <c r="E182" s="126"/>
      <c r="F182" s="126"/>
      <c r="G182" s="127"/>
      <c r="H182" s="127"/>
      <c r="I182" s="127"/>
      <c r="J182" s="25"/>
    </row>
    <row r="183" spans="2:10" ht="15.75" customHeight="1">
      <c r="B183" s="123"/>
      <c r="C183" s="124"/>
      <c r="D183" s="125"/>
      <c r="E183" s="126"/>
      <c r="F183" s="126"/>
      <c r="G183" s="127"/>
      <c r="H183" s="127"/>
      <c r="I183" s="127"/>
      <c r="J183" s="25"/>
    </row>
    <row r="184" spans="2:10" ht="15.75" customHeight="1">
      <c r="B184" s="123"/>
      <c r="C184" s="124"/>
      <c r="D184" s="125"/>
      <c r="E184" s="126"/>
      <c r="F184" s="126"/>
      <c r="G184" s="127"/>
      <c r="H184" s="127"/>
      <c r="I184" s="127"/>
      <c r="J184" s="25"/>
    </row>
    <row r="185" spans="2:10" ht="15.75" customHeight="1">
      <c r="B185" s="123"/>
      <c r="C185" s="124"/>
      <c r="D185" s="125"/>
      <c r="E185" s="126"/>
      <c r="F185" s="126"/>
      <c r="G185" s="127"/>
      <c r="H185" s="127"/>
      <c r="I185" s="127"/>
      <c r="J185" s="25"/>
    </row>
    <row r="186" spans="2:10" ht="15.75" customHeight="1">
      <c r="B186" s="123"/>
      <c r="C186" s="124"/>
      <c r="D186" s="125"/>
      <c r="E186" s="126"/>
      <c r="F186" s="126"/>
      <c r="G186" s="127"/>
      <c r="H186" s="127"/>
      <c r="I186" s="127"/>
      <c r="J186" s="25"/>
    </row>
    <row r="187" spans="2:10" ht="15.75" customHeight="1">
      <c r="B187" s="123"/>
      <c r="C187" s="124"/>
      <c r="D187" s="125"/>
      <c r="E187" s="126"/>
      <c r="F187" s="126"/>
      <c r="G187" s="127"/>
      <c r="H187" s="127"/>
      <c r="I187" s="127"/>
      <c r="J187" s="25"/>
    </row>
    <row r="188" spans="2:10" ht="15.75" customHeight="1">
      <c r="B188" s="123"/>
      <c r="C188" s="124"/>
      <c r="D188" s="125"/>
      <c r="E188" s="126"/>
      <c r="F188" s="126"/>
      <c r="G188" s="127"/>
      <c r="H188" s="127"/>
      <c r="I188" s="127"/>
      <c r="J188" s="25"/>
    </row>
    <row r="189" spans="2:10" ht="15.75" customHeight="1">
      <c r="B189" s="123"/>
      <c r="C189" s="124"/>
      <c r="D189" s="125"/>
      <c r="E189" s="126"/>
      <c r="F189" s="126"/>
      <c r="G189" s="127"/>
      <c r="H189" s="127"/>
      <c r="I189" s="127"/>
      <c r="J189" s="25"/>
    </row>
    <row r="190" spans="2:10" ht="15.75" customHeight="1">
      <c r="B190" s="123"/>
      <c r="C190" s="124"/>
      <c r="D190" s="125"/>
      <c r="E190" s="126"/>
      <c r="F190" s="126"/>
      <c r="G190" s="127"/>
      <c r="H190" s="127"/>
      <c r="I190" s="127"/>
      <c r="J190" s="25"/>
    </row>
    <row r="191" spans="2:10" ht="15.75" customHeight="1">
      <c r="B191" s="123"/>
      <c r="C191" s="124"/>
      <c r="D191" s="125"/>
      <c r="E191" s="126"/>
      <c r="F191" s="126"/>
      <c r="G191" s="127"/>
      <c r="H191" s="127"/>
      <c r="I191" s="127"/>
      <c r="J191" s="25"/>
    </row>
    <row r="192" spans="2:10" ht="15.75" customHeight="1">
      <c r="B192" s="123"/>
      <c r="C192" s="124"/>
      <c r="D192" s="125"/>
      <c r="E192" s="126"/>
      <c r="F192" s="126"/>
      <c r="G192" s="127"/>
      <c r="H192" s="127"/>
      <c r="I192" s="127"/>
      <c r="J192" s="25"/>
    </row>
    <row r="193" spans="2:10" ht="15.75" customHeight="1">
      <c r="B193" s="123"/>
      <c r="C193" s="124"/>
      <c r="D193" s="125"/>
      <c r="E193" s="126"/>
      <c r="F193" s="126"/>
      <c r="G193" s="127"/>
      <c r="H193" s="127"/>
      <c r="I193" s="127"/>
      <c r="J193" s="25"/>
    </row>
    <row r="194" spans="2:10" ht="15.75" customHeight="1">
      <c r="B194" s="123"/>
      <c r="C194" s="124"/>
      <c r="D194" s="125"/>
      <c r="E194" s="126"/>
      <c r="F194" s="126"/>
      <c r="G194" s="127"/>
      <c r="H194" s="127"/>
      <c r="I194" s="127"/>
      <c r="J194" s="25"/>
    </row>
    <row r="195" spans="2:10" ht="15.75" customHeight="1">
      <c r="B195" s="123"/>
      <c r="C195" s="124"/>
      <c r="D195" s="125"/>
      <c r="E195" s="126"/>
      <c r="F195" s="126"/>
      <c r="G195" s="127"/>
      <c r="H195" s="127"/>
      <c r="I195" s="127"/>
      <c r="J195" s="25"/>
    </row>
    <row r="196" spans="2:10" ht="15.75" customHeight="1">
      <c r="B196" s="123"/>
      <c r="C196" s="124"/>
      <c r="D196" s="125"/>
      <c r="E196" s="126"/>
      <c r="F196" s="126"/>
      <c r="G196" s="127"/>
      <c r="H196" s="127"/>
      <c r="I196" s="127"/>
      <c r="J196" s="25"/>
    </row>
    <row r="197" spans="2:10" ht="15.75" customHeight="1">
      <c r="B197" s="123"/>
      <c r="C197" s="124"/>
      <c r="D197" s="125"/>
      <c r="E197" s="126"/>
      <c r="F197" s="126"/>
      <c r="G197" s="127"/>
      <c r="H197" s="127"/>
      <c r="I197" s="127"/>
      <c r="J197" s="25"/>
    </row>
    <row r="198" spans="2:10" ht="15.75" customHeight="1">
      <c r="B198" s="123"/>
      <c r="C198" s="124"/>
      <c r="D198" s="125"/>
      <c r="E198" s="126"/>
      <c r="F198" s="126"/>
      <c r="G198" s="127"/>
      <c r="H198" s="127"/>
      <c r="I198" s="127"/>
      <c r="J198" s="25"/>
    </row>
    <row r="199" spans="2:10" ht="15.75" customHeight="1">
      <c r="B199" s="123"/>
      <c r="C199" s="124"/>
      <c r="D199" s="125"/>
      <c r="E199" s="126"/>
      <c r="F199" s="126"/>
      <c r="G199" s="127"/>
      <c r="H199" s="127"/>
      <c r="I199" s="127"/>
      <c r="J199" s="25"/>
    </row>
    <row r="200" spans="2:10" ht="15.75" customHeight="1">
      <c r="B200" s="123"/>
      <c r="C200" s="124"/>
      <c r="D200" s="125"/>
      <c r="E200" s="126"/>
      <c r="F200" s="126"/>
      <c r="G200" s="127"/>
      <c r="H200" s="127"/>
      <c r="I200" s="127"/>
      <c r="J200" s="25"/>
    </row>
    <row r="201" spans="2:10" ht="15.75" customHeight="1">
      <c r="B201" s="123"/>
      <c r="C201" s="124"/>
      <c r="D201" s="125"/>
      <c r="E201" s="126"/>
      <c r="F201" s="126"/>
      <c r="G201" s="127"/>
      <c r="H201" s="127"/>
      <c r="I201" s="127"/>
      <c r="J201" s="25"/>
    </row>
    <row r="202" spans="2:10" ht="15.75" customHeight="1">
      <c r="B202" s="123"/>
      <c r="C202" s="124"/>
      <c r="D202" s="125"/>
      <c r="E202" s="126"/>
      <c r="F202" s="126"/>
      <c r="G202" s="127"/>
      <c r="H202" s="127"/>
      <c r="I202" s="127"/>
      <c r="J202" s="25"/>
    </row>
    <row r="203" spans="2:10" ht="15.75" customHeight="1">
      <c r="B203" s="123"/>
      <c r="C203" s="124"/>
      <c r="D203" s="125"/>
      <c r="E203" s="126"/>
      <c r="F203" s="126"/>
      <c r="G203" s="127"/>
      <c r="H203" s="127"/>
      <c r="I203" s="127"/>
      <c r="J203" s="25"/>
    </row>
    <row r="204" spans="2:10" ht="15.75" customHeight="1">
      <c r="B204" s="123"/>
      <c r="C204" s="124"/>
      <c r="D204" s="125"/>
      <c r="E204" s="126"/>
      <c r="F204" s="126"/>
      <c r="G204" s="127"/>
      <c r="H204" s="127"/>
      <c r="I204" s="127"/>
      <c r="J204" s="25"/>
    </row>
    <row r="205" spans="2:10" ht="15.75" customHeight="1">
      <c r="B205" s="123"/>
      <c r="C205" s="124"/>
      <c r="D205" s="125"/>
      <c r="E205" s="126"/>
      <c r="F205" s="126"/>
      <c r="G205" s="127"/>
      <c r="H205" s="127"/>
      <c r="I205" s="127"/>
      <c r="J205" s="25"/>
    </row>
    <row r="206" spans="2:10" ht="15.75" customHeight="1">
      <c r="B206" s="123"/>
      <c r="C206" s="124"/>
      <c r="D206" s="125"/>
      <c r="E206" s="126"/>
      <c r="F206" s="126"/>
      <c r="G206" s="127"/>
      <c r="H206" s="127"/>
      <c r="I206" s="127"/>
      <c r="J206" s="25"/>
    </row>
    <row r="207" spans="2:10" ht="15.75" customHeight="1">
      <c r="B207" s="123"/>
      <c r="C207" s="124"/>
      <c r="D207" s="125"/>
      <c r="E207" s="126"/>
      <c r="F207" s="126"/>
      <c r="G207" s="127"/>
      <c r="H207" s="127"/>
      <c r="I207" s="127"/>
      <c r="J207" s="25"/>
    </row>
    <row r="208" spans="2:10" ht="15.75" customHeight="1">
      <c r="B208" s="123"/>
      <c r="C208" s="124"/>
      <c r="D208" s="125"/>
      <c r="E208" s="126"/>
      <c r="F208" s="126"/>
      <c r="G208" s="127"/>
      <c r="H208" s="127"/>
      <c r="I208" s="127"/>
      <c r="J208" s="25"/>
    </row>
    <row r="209" spans="2:10" ht="15.75" customHeight="1">
      <c r="B209" s="123"/>
      <c r="C209" s="124"/>
      <c r="D209" s="125"/>
      <c r="E209" s="126"/>
      <c r="F209" s="126"/>
      <c r="G209" s="127"/>
      <c r="H209" s="127"/>
      <c r="I209" s="127"/>
      <c r="J209" s="25"/>
    </row>
    <row r="210" spans="2:10" ht="15.75" customHeight="1">
      <c r="B210" s="123"/>
      <c r="C210" s="124"/>
      <c r="D210" s="125"/>
      <c r="E210" s="126"/>
      <c r="F210" s="126"/>
      <c r="G210" s="127"/>
      <c r="H210" s="127"/>
      <c r="I210" s="127"/>
      <c r="J210" s="25"/>
    </row>
    <row r="211" spans="2:10" ht="15.75" customHeight="1">
      <c r="B211" s="123"/>
      <c r="C211" s="124"/>
      <c r="D211" s="125"/>
      <c r="E211" s="126"/>
      <c r="F211" s="126"/>
      <c r="G211" s="127"/>
      <c r="H211" s="127"/>
      <c r="I211" s="127"/>
      <c r="J211" s="25"/>
    </row>
    <row r="212" spans="2:10" ht="15.75" customHeight="1">
      <c r="B212" s="123"/>
      <c r="C212" s="124"/>
      <c r="D212" s="125"/>
      <c r="E212" s="126"/>
      <c r="F212" s="126"/>
      <c r="G212" s="127"/>
      <c r="H212" s="127"/>
      <c r="I212" s="127"/>
      <c r="J212" s="25"/>
    </row>
    <row r="213" spans="2:10" ht="15.75" customHeight="1">
      <c r="B213" s="123"/>
      <c r="C213" s="124"/>
      <c r="D213" s="125"/>
      <c r="E213" s="126"/>
      <c r="F213" s="126"/>
      <c r="G213" s="127"/>
      <c r="H213" s="127"/>
      <c r="I213" s="127"/>
      <c r="J213" s="25"/>
    </row>
    <row r="214" spans="2:10" ht="15.75" customHeight="1">
      <c r="B214" s="123"/>
      <c r="C214" s="124"/>
      <c r="D214" s="125"/>
      <c r="E214" s="126"/>
      <c r="F214" s="126"/>
      <c r="G214" s="127"/>
      <c r="H214" s="127"/>
      <c r="I214" s="127"/>
      <c r="J214" s="25"/>
    </row>
    <row r="215" spans="2:10" ht="15.75" customHeight="1">
      <c r="B215" s="123"/>
      <c r="C215" s="124"/>
      <c r="D215" s="125"/>
      <c r="E215" s="126"/>
      <c r="F215" s="126"/>
      <c r="G215" s="127"/>
      <c r="H215" s="127"/>
      <c r="I215" s="127"/>
      <c r="J215" s="25"/>
    </row>
    <row r="216" spans="2:10" ht="15.75" customHeight="1">
      <c r="B216" s="123"/>
      <c r="C216" s="124"/>
      <c r="D216" s="125"/>
      <c r="E216" s="126"/>
      <c r="F216" s="126"/>
      <c r="G216" s="127"/>
      <c r="H216" s="127"/>
      <c r="I216" s="127"/>
      <c r="J216" s="25"/>
    </row>
    <row r="217" spans="2:10" ht="15.75" customHeight="1">
      <c r="B217" s="123"/>
      <c r="C217" s="124"/>
      <c r="D217" s="125"/>
      <c r="E217" s="126"/>
      <c r="F217" s="126"/>
      <c r="G217" s="127"/>
      <c r="H217" s="127"/>
      <c r="I217" s="127"/>
      <c r="J217" s="25"/>
    </row>
    <row r="218" spans="2:10" ht="15.75" customHeight="1">
      <c r="B218" s="123"/>
      <c r="C218" s="124"/>
      <c r="D218" s="125"/>
      <c r="E218" s="126"/>
      <c r="F218" s="126"/>
      <c r="G218" s="127"/>
      <c r="H218" s="127"/>
      <c r="I218" s="127"/>
      <c r="J218" s="25"/>
    </row>
    <row r="219" spans="2:10" ht="15.75" customHeight="1">
      <c r="B219" s="123"/>
      <c r="C219" s="124"/>
      <c r="D219" s="125"/>
      <c r="E219" s="126"/>
      <c r="F219" s="126"/>
      <c r="G219" s="127"/>
      <c r="H219" s="127"/>
      <c r="I219" s="127"/>
      <c r="J219" s="25"/>
    </row>
    <row r="220" spans="2:10" ht="15.75" customHeight="1">
      <c r="B220" s="123"/>
      <c r="C220" s="124"/>
      <c r="D220" s="125"/>
      <c r="E220" s="126"/>
      <c r="F220" s="126"/>
      <c r="G220" s="127"/>
      <c r="H220" s="127"/>
      <c r="I220" s="127"/>
      <c r="J220" s="25"/>
    </row>
    <row r="221" spans="2:10" ht="15.75" customHeight="1">
      <c r="B221" s="123"/>
      <c r="C221" s="124"/>
      <c r="D221" s="125"/>
      <c r="E221" s="126"/>
      <c r="F221" s="126"/>
      <c r="G221" s="127"/>
      <c r="H221" s="127"/>
      <c r="I221" s="127"/>
      <c r="J221" s="25"/>
    </row>
    <row r="222" spans="2:10" ht="15.75" customHeight="1">
      <c r="B222" s="123"/>
      <c r="C222" s="124"/>
      <c r="D222" s="125"/>
      <c r="E222" s="126"/>
      <c r="F222" s="126"/>
      <c r="G222" s="127"/>
      <c r="H222" s="127"/>
      <c r="I222" s="127"/>
      <c r="J222" s="25"/>
    </row>
    <row r="223" spans="2:10" ht="15.75" customHeight="1">
      <c r="B223" s="123"/>
      <c r="C223" s="124"/>
      <c r="D223" s="125"/>
      <c r="E223" s="126"/>
      <c r="F223" s="126"/>
      <c r="G223" s="127"/>
      <c r="H223" s="127"/>
      <c r="I223" s="127"/>
      <c r="J223" s="25"/>
    </row>
    <row r="224" spans="2:10" ht="15.75" customHeight="1">
      <c r="B224" s="123"/>
      <c r="C224" s="124"/>
      <c r="D224" s="125"/>
      <c r="E224" s="126"/>
      <c r="F224" s="126"/>
      <c r="G224" s="127"/>
      <c r="H224" s="127"/>
      <c r="I224" s="127"/>
      <c r="J224" s="25"/>
    </row>
    <row r="225" spans="2:10" ht="15.75" customHeight="1">
      <c r="B225" s="123"/>
      <c r="C225" s="124"/>
      <c r="D225" s="125"/>
      <c r="E225" s="126"/>
      <c r="F225" s="126"/>
      <c r="G225" s="127"/>
      <c r="H225" s="127"/>
      <c r="I225" s="127"/>
      <c r="J225" s="25"/>
    </row>
    <row r="226" spans="2:10" ht="15.75" customHeight="1">
      <c r="B226" s="123"/>
      <c r="C226" s="124"/>
      <c r="D226" s="125"/>
      <c r="E226" s="126"/>
      <c r="F226" s="126"/>
      <c r="G226" s="127"/>
      <c r="H226" s="127"/>
      <c r="I226" s="127"/>
      <c r="J226" s="25"/>
    </row>
    <row r="227" spans="2:10" ht="15.75" customHeight="1">
      <c r="B227" s="123"/>
      <c r="C227" s="124"/>
      <c r="D227" s="125"/>
      <c r="E227" s="126"/>
      <c r="F227" s="126"/>
      <c r="G227" s="127"/>
      <c r="H227" s="127"/>
      <c r="I227" s="127"/>
      <c r="J227" s="25"/>
    </row>
    <row r="228" spans="2:10" ht="15.75" customHeight="1">
      <c r="B228" s="123"/>
      <c r="C228" s="124"/>
      <c r="D228" s="125"/>
      <c r="E228" s="126"/>
      <c r="F228" s="126"/>
      <c r="G228" s="127"/>
      <c r="H228" s="127"/>
      <c r="I228" s="127"/>
      <c r="J228" s="25"/>
    </row>
    <row r="229" spans="2:10" ht="15.75" customHeight="1">
      <c r="B229" s="123"/>
      <c r="C229" s="124"/>
      <c r="D229" s="125"/>
      <c r="E229" s="126"/>
      <c r="F229" s="126"/>
      <c r="G229" s="127"/>
      <c r="H229" s="127"/>
      <c r="I229" s="127"/>
      <c r="J229" s="25"/>
    </row>
    <row r="230" spans="2:10" ht="15.75" customHeight="1">
      <c r="B230" s="123"/>
      <c r="C230" s="124"/>
      <c r="D230" s="125"/>
      <c r="E230" s="126"/>
      <c r="F230" s="126"/>
      <c r="G230" s="127"/>
      <c r="H230" s="127"/>
      <c r="I230" s="127"/>
      <c r="J230" s="25"/>
    </row>
    <row r="231" spans="2:10" ht="15.75" customHeight="1">
      <c r="B231" s="123"/>
      <c r="C231" s="124"/>
      <c r="D231" s="125"/>
      <c r="E231" s="126"/>
      <c r="F231" s="126"/>
      <c r="G231" s="127"/>
      <c r="H231" s="127"/>
      <c r="I231" s="127"/>
      <c r="J231" s="25"/>
    </row>
    <row r="232" spans="2:10" ht="15.75" customHeight="1">
      <c r="B232" s="123"/>
      <c r="C232" s="124"/>
      <c r="D232" s="125"/>
      <c r="E232" s="126"/>
      <c r="F232" s="126"/>
      <c r="G232" s="127"/>
      <c r="H232" s="127"/>
      <c r="I232" s="127"/>
      <c r="J232" s="25"/>
    </row>
    <row r="233" spans="2:10" ht="15.75" customHeight="1">
      <c r="B233" s="123"/>
      <c r="C233" s="124"/>
      <c r="D233" s="125"/>
      <c r="E233" s="126"/>
      <c r="F233" s="126"/>
      <c r="G233" s="127"/>
      <c r="H233" s="127"/>
      <c r="I233" s="127"/>
      <c r="J233" s="25"/>
    </row>
    <row r="234" spans="2:10" ht="15.75" customHeight="1">
      <c r="B234" s="123"/>
      <c r="C234" s="124"/>
      <c r="D234" s="125"/>
      <c r="E234" s="126"/>
      <c r="F234" s="126"/>
      <c r="G234" s="127"/>
      <c r="H234" s="127"/>
      <c r="I234" s="127"/>
      <c r="J234" s="25"/>
    </row>
    <row r="235" spans="2:10" ht="15.75" customHeight="1">
      <c r="B235" s="123"/>
      <c r="C235" s="124"/>
      <c r="D235" s="125"/>
      <c r="E235" s="126"/>
      <c r="F235" s="126"/>
      <c r="G235" s="127"/>
      <c r="H235" s="127"/>
      <c r="I235" s="127"/>
      <c r="J235" s="25"/>
    </row>
    <row r="236" spans="2:10" ht="15.75" customHeight="1">
      <c r="B236" s="123"/>
      <c r="C236" s="124"/>
      <c r="D236" s="125"/>
      <c r="E236" s="126"/>
      <c r="F236" s="126"/>
      <c r="G236" s="127"/>
      <c r="H236" s="127"/>
      <c r="I236" s="127"/>
      <c r="J236" s="25"/>
    </row>
    <row r="237" spans="2:10" ht="15.75" customHeight="1">
      <c r="B237" s="123"/>
      <c r="C237" s="124"/>
      <c r="D237" s="125"/>
      <c r="E237" s="126"/>
      <c r="F237" s="126"/>
      <c r="G237" s="127"/>
      <c r="H237" s="127"/>
      <c r="I237" s="127"/>
      <c r="J237" s="25"/>
    </row>
    <row r="238" spans="2:10" ht="15.75" customHeight="1">
      <c r="B238" s="123"/>
      <c r="C238" s="124"/>
      <c r="D238" s="125"/>
      <c r="E238" s="126"/>
      <c r="F238" s="126"/>
      <c r="G238" s="127"/>
      <c r="H238" s="127"/>
      <c r="I238" s="127"/>
      <c r="J238" s="25"/>
    </row>
    <row r="239" spans="2:10" ht="15.75" customHeight="1">
      <c r="B239" s="123"/>
      <c r="C239" s="124"/>
      <c r="D239" s="125"/>
      <c r="E239" s="126"/>
      <c r="F239" s="126"/>
      <c r="G239" s="127"/>
      <c r="H239" s="127"/>
      <c r="I239" s="127"/>
      <c r="J239" s="25"/>
    </row>
    <row r="240" spans="2:10" ht="15.75" customHeight="1">
      <c r="B240" s="123"/>
      <c r="C240" s="124"/>
      <c r="D240" s="125"/>
      <c r="E240" s="126"/>
      <c r="F240" s="126"/>
      <c r="G240" s="127"/>
      <c r="H240" s="127"/>
      <c r="I240" s="127"/>
      <c r="J240" s="25"/>
    </row>
    <row r="241" spans="2:10" ht="15.75" customHeight="1">
      <c r="B241" s="123"/>
      <c r="C241" s="124"/>
      <c r="D241" s="125"/>
      <c r="E241" s="126"/>
      <c r="F241" s="126"/>
      <c r="G241" s="127"/>
      <c r="H241" s="127"/>
      <c r="I241" s="127"/>
      <c r="J241" s="25"/>
    </row>
    <row r="242" spans="2:10" ht="15.75" customHeight="1">
      <c r="B242" s="123"/>
      <c r="C242" s="124"/>
      <c r="D242" s="125"/>
      <c r="E242" s="126"/>
      <c r="F242" s="126"/>
      <c r="G242" s="127"/>
      <c r="H242" s="127"/>
      <c r="I242" s="127"/>
      <c r="J242" s="25"/>
    </row>
    <row r="243" spans="2:10" ht="15.75" customHeight="1">
      <c r="B243" s="123"/>
      <c r="C243" s="124"/>
      <c r="D243" s="125"/>
      <c r="E243" s="126"/>
      <c r="F243" s="126"/>
      <c r="G243" s="127"/>
      <c r="H243" s="127"/>
      <c r="I243" s="127"/>
      <c r="J243" s="25"/>
    </row>
    <row r="244" spans="2:10" ht="15.75" customHeight="1">
      <c r="B244" s="123"/>
      <c r="C244" s="124"/>
      <c r="D244" s="125"/>
      <c r="E244" s="126"/>
      <c r="F244" s="126"/>
      <c r="G244" s="127"/>
      <c r="H244" s="127"/>
      <c r="I244" s="127"/>
      <c r="J244" s="25"/>
    </row>
    <row r="245" spans="2:10" ht="15.75" customHeight="1">
      <c r="B245" s="123"/>
      <c r="C245" s="124"/>
      <c r="D245" s="125"/>
      <c r="E245" s="126"/>
      <c r="F245" s="126"/>
      <c r="G245" s="127"/>
      <c r="H245" s="127"/>
      <c r="I245" s="127"/>
      <c r="J245" s="25"/>
    </row>
    <row r="246" spans="2:10" ht="15.75" customHeight="1">
      <c r="B246" s="123"/>
      <c r="C246" s="124"/>
      <c r="D246" s="125"/>
      <c r="E246" s="126"/>
      <c r="F246" s="126"/>
      <c r="G246" s="127"/>
      <c r="H246" s="127"/>
      <c r="I246" s="127"/>
      <c r="J246" s="25"/>
    </row>
    <row r="247" spans="2:10" ht="15.75" customHeight="1">
      <c r="B247" s="123"/>
      <c r="C247" s="124"/>
      <c r="D247" s="125"/>
      <c r="E247" s="126"/>
      <c r="F247" s="126"/>
      <c r="G247" s="127"/>
      <c r="H247" s="127"/>
      <c r="I247" s="127"/>
      <c r="J247" s="25"/>
    </row>
    <row r="248" spans="2:10" ht="15.75" customHeight="1">
      <c r="B248" s="123"/>
      <c r="C248" s="124"/>
      <c r="D248" s="125"/>
      <c r="E248" s="126"/>
      <c r="F248" s="126"/>
      <c r="G248" s="127"/>
      <c r="H248" s="127"/>
      <c r="I248" s="127"/>
      <c r="J248" s="25"/>
    </row>
    <row r="249" spans="2:10" ht="15.75" customHeight="1">
      <c r="B249" s="123"/>
      <c r="C249" s="124"/>
      <c r="D249" s="125"/>
      <c r="E249" s="126"/>
      <c r="F249" s="126"/>
      <c r="G249" s="127"/>
      <c r="H249" s="127"/>
      <c r="I249" s="127"/>
      <c r="J249" s="25"/>
    </row>
    <row r="250" spans="2:10" ht="15.75" customHeight="1">
      <c r="B250" s="123"/>
      <c r="C250" s="124"/>
      <c r="D250" s="125"/>
      <c r="E250" s="126"/>
      <c r="F250" s="126"/>
      <c r="G250" s="127"/>
      <c r="H250" s="127"/>
      <c r="I250" s="127"/>
      <c r="J250" s="25"/>
    </row>
    <row r="251" spans="2:10" ht="15.75" customHeight="1">
      <c r="B251" s="123"/>
      <c r="C251" s="124"/>
      <c r="D251" s="125"/>
      <c r="E251" s="126"/>
      <c r="F251" s="126"/>
      <c r="G251" s="127"/>
      <c r="H251" s="127"/>
      <c r="I251" s="127"/>
      <c r="J251" s="25"/>
    </row>
    <row r="252" spans="2:10" ht="15.75" customHeight="1">
      <c r="B252" s="123"/>
      <c r="C252" s="124"/>
      <c r="D252" s="125"/>
      <c r="E252" s="126"/>
      <c r="F252" s="126"/>
      <c r="G252" s="127"/>
      <c r="H252" s="127"/>
      <c r="I252" s="127"/>
      <c r="J252" s="25"/>
    </row>
    <row r="253" spans="2:10" ht="15.75" customHeight="1">
      <c r="B253" s="123"/>
      <c r="C253" s="124"/>
      <c r="D253" s="125"/>
      <c r="E253" s="126"/>
      <c r="F253" s="126"/>
      <c r="G253" s="127"/>
      <c r="H253" s="127"/>
      <c r="I253" s="127"/>
      <c r="J253" s="25"/>
    </row>
    <row r="254" spans="2:10" ht="15.75" customHeight="1">
      <c r="B254" s="123"/>
      <c r="C254" s="124"/>
      <c r="D254" s="125"/>
      <c r="E254" s="126"/>
      <c r="F254" s="126"/>
      <c r="G254" s="127"/>
      <c r="H254" s="127"/>
      <c r="I254" s="127"/>
      <c r="J254" s="25"/>
    </row>
    <row r="255" spans="2:10" ht="15.75" customHeight="1">
      <c r="B255" s="123"/>
      <c r="C255" s="124"/>
      <c r="D255" s="125"/>
      <c r="E255" s="126"/>
      <c r="F255" s="126"/>
      <c r="G255" s="127"/>
      <c r="H255" s="127"/>
      <c r="I255" s="127"/>
      <c r="J255" s="25"/>
    </row>
    <row r="256" spans="2:10" ht="15.75" customHeight="1">
      <c r="B256" s="123"/>
      <c r="C256" s="124"/>
      <c r="D256" s="125"/>
      <c r="E256" s="126"/>
      <c r="F256" s="126"/>
      <c r="G256" s="127"/>
      <c r="H256" s="127"/>
      <c r="I256" s="127"/>
      <c r="J256" s="25"/>
    </row>
    <row r="257" spans="2:10" ht="15.75" customHeight="1">
      <c r="B257" s="123"/>
      <c r="C257" s="124"/>
      <c r="D257" s="125"/>
      <c r="E257" s="126"/>
      <c r="F257" s="126"/>
      <c r="G257" s="127"/>
      <c r="H257" s="127"/>
      <c r="I257" s="127"/>
      <c r="J257" s="25"/>
    </row>
    <row r="258" spans="2:10" ht="15.75" customHeight="1">
      <c r="B258" s="123"/>
      <c r="C258" s="124"/>
      <c r="D258" s="125"/>
      <c r="E258" s="126"/>
      <c r="F258" s="126"/>
      <c r="G258" s="127"/>
      <c r="H258" s="127"/>
      <c r="I258" s="127"/>
      <c r="J258" s="25"/>
    </row>
    <row r="259" spans="2:10" ht="15.75" customHeight="1">
      <c r="B259" s="123"/>
      <c r="C259" s="124"/>
      <c r="D259" s="125"/>
      <c r="E259" s="126"/>
      <c r="F259" s="126"/>
      <c r="G259" s="127"/>
      <c r="H259" s="127"/>
      <c r="I259" s="127"/>
      <c r="J259" s="25"/>
    </row>
    <row r="260" spans="2:10" ht="15.75" customHeight="1">
      <c r="B260" s="123"/>
      <c r="C260" s="124"/>
      <c r="D260" s="125"/>
      <c r="E260" s="126"/>
      <c r="F260" s="126"/>
      <c r="G260" s="127"/>
      <c r="H260" s="127"/>
      <c r="I260" s="127"/>
      <c r="J260" s="25"/>
    </row>
    <row r="261" spans="2:10" ht="15.75" customHeight="1">
      <c r="B261" s="123"/>
      <c r="C261" s="124"/>
      <c r="D261" s="125"/>
      <c r="E261" s="126"/>
      <c r="F261" s="126"/>
      <c r="G261" s="127"/>
      <c r="H261" s="127"/>
      <c r="I261" s="127"/>
      <c r="J261" s="25"/>
    </row>
    <row r="262" spans="2:10" ht="15.75" customHeight="1">
      <c r="B262" s="123"/>
      <c r="C262" s="124"/>
      <c r="D262" s="125"/>
      <c r="E262" s="126"/>
      <c r="F262" s="126"/>
      <c r="G262" s="127"/>
      <c r="H262" s="127"/>
      <c r="I262" s="127"/>
      <c r="J262" s="25"/>
    </row>
    <row r="263" spans="2:10" ht="15.75" customHeight="1">
      <c r="B263" s="123"/>
      <c r="C263" s="124"/>
      <c r="D263" s="125"/>
      <c r="E263" s="126"/>
      <c r="F263" s="126"/>
      <c r="G263" s="127"/>
      <c r="H263" s="127"/>
      <c r="I263" s="127"/>
      <c r="J263" s="25"/>
    </row>
    <row r="264" spans="2:10" ht="15.75" customHeight="1">
      <c r="B264" s="123"/>
      <c r="C264" s="124"/>
      <c r="D264" s="125"/>
      <c r="E264" s="126"/>
      <c r="F264" s="126"/>
      <c r="G264" s="127"/>
      <c r="H264" s="127"/>
      <c r="I264" s="127"/>
      <c r="J264" s="25"/>
    </row>
    <row r="265" spans="2:10" ht="15.75" customHeight="1">
      <c r="B265" s="123"/>
      <c r="C265" s="124"/>
      <c r="D265" s="125"/>
      <c r="E265" s="126"/>
      <c r="F265" s="126"/>
      <c r="G265" s="127"/>
      <c r="H265" s="127"/>
      <c r="I265" s="127"/>
      <c r="J265" s="25"/>
    </row>
    <row r="266" spans="2:10" ht="15.75" customHeight="1">
      <c r="B266" s="123"/>
      <c r="C266" s="124"/>
      <c r="D266" s="125"/>
      <c r="E266" s="126"/>
      <c r="F266" s="126"/>
      <c r="G266" s="127"/>
      <c r="H266" s="127"/>
      <c r="I266" s="127"/>
      <c r="J266" s="25"/>
    </row>
    <row r="267" spans="2:10" ht="15.75" customHeight="1">
      <c r="B267" s="123"/>
      <c r="C267" s="124"/>
      <c r="D267" s="125"/>
      <c r="E267" s="126"/>
      <c r="F267" s="126"/>
      <c r="G267" s="127"/>
      <c r="H267" s="127"/>
      <c r="I267" s="127"/>
      <c r="J267" s="25"/>
    </row>
    <row r="268" spans="2:10" ht="15.75" customHeight="1">
      <c r="B268" s="123"/>
      <c r="C268" s="124"/>
      <c r="D268" s="125"/>
      <c r="E268" s="126"/>
      <c r="F268" s="126"/>
      <c r="G268" s="127"/>
      <c r="H268" s="127"/>
      <c r="I268" s="127"/>
      <c r="J268" s="25"/>
    </row>
    <row r="269" spans="2:10" ht="15.75" customHeight="1">
      <c r="B269" s="123"/>
      <c r="C269" s="124"/>
      <c r="D269" s="125"/>
      <c r="E269" s="126"/>
      <c r="F269" s="126"/>
      <c r="G269" s="127"/>
      <c r="H269" s="127"/>
      <c r="I269" s="127"/>
      <c r="J269" s="25"/>
    </row>
    <row r="270" spans="2:10" ht="15.75" customHeight="1">
      <c r="B270" s="123"/>
      <c r="C270" s="124"/>
      <c r="D270" s="125"/>
      <c r="E270" s="126"/>
      <c r="F270" s="126"/>
      <c r="G270" s="127"/>
      <c r="H270" s="127"/>
      <c r="I270" s="127"/>
      <c r="J270" s="25"/>
    </row>
    <row r="271" spans="2:10" ht="15.75" customHeight="1">
      <c r="B271" s="123"/>
      <c r="C271" s="124"/>
      <c r="D271" s="125"/>
      <c r="E271" s="126"/>
      <c r="F271" s="126"/>
      <c r="G271" s="127"/>
      <c r="H271" s="127"/>
      <c r="I271" s="127"/>
      <c r="J271" s="25"/>
    </row>
    <row r="272" spans="2:10" ht="15.75" customHeight="1">
      <c r="B272" s="123"/>
      <c r="C272" s="124"/>
      <c r="D272" s="125"/>
      <c r="E272" s="126"/>
      <c r="F272" s="126"/>
      <c r="G272" s="127"/>
      <c r="H272" s="127"/>
      <c r="I272" s="127"/>
      <c r="J272" s="25"/>
    </row>
    <row r="273" spans="2:10" ht="15.75" customHeight="1">
      <c r="B273" s="123"/>
      <c r="C273" s="124"/>
      <c r="D273" s="125"/>
      <c r="E273" s="126"/>
      <c r="F273" s="126"/>
      <c r="G273" s="127"/>
      <c r="H273" s="127"/>
      <c r="I273" s="127"/>
      <c r="J273" s="25"/>
    </row>
    <row r="274" spans="2:10" ht="15.75" customHeight="1">
      <c r="B274" s="123"/>
      <c r="C274" s="124"/>
      <c r="D274" s="125"/>
      <c r="E274" s="126"/>
      <c r="F274" s="126"/>
      <c r="G274" s="127"/>
      <c r="H274" s="127"/>
      <c r="I274" s="127"/>
      <c r="J274" s="25"/>
    </row>
    <row r="275" spans="2:10" ht="15.75" customHeight="1">
      <c r="B275" s="123"/>
      <c r="C275" s="124"/>
      <c r="D275" s="125"/>
      <c r="E275" s="126"/>
      <c r="F275" s="126"/>
      <c r="G275" s="127"/>
      <c r="H275" s="127"/>
      <c r="I275" s="127"/>
      <c r="J275" s="25"/>
    </row>
    <row r="276" spans="2:10" ht="15.75" customHeight="1">
      <c r="B276" s="123"/>
      <c r="C276" s="124"/>
      <c r="D276" s="125"/>
      <c r="E276" s="126"/>
      <c r="F276" s="126"/>
      <c r="G276" s="127"/>
      <c r="H276" s="127"/>
      <c r="I276" s="127"/>
      <c r="J276" s="25"/>
    </row>
    <row r="277" spans="2:10" ht="15.75" customHeight="1">
      <c r="B277" s="123"/>
      <c r="C277" s="124"/>
      <c r="D277" s="125"/>
      <c r="E277" s="126"/>
      <c r="F277" s="126"/>
      <c r="G277" s="127"/>
      <c r="H277" s="127"/>
      <c r="I277" s="127"/>
      <c r="J277" s="25"/>
    </row>
    <row r="278" spans="2:10" ht="15.75" customHeight="1">
      <c r="B278" s="123"/>
      <c r="C278" s="124"/>
      <c r="D278" s="125"/>
      <c r="E278" s="126"/>
      <c r="F278" s="126"/>
      <c r="G278" s="127"/>
      <c r="H278" s="127"/>
      <c r="I278" s="127"/>
      <c r="J278" s="25"/>
    </row>
    <row r="279" spans="2:10" ht="15.75" customHeight="1">
      <c r="B279" s="123"/>
      <c r="C279" s="124"/>
      <c r="D279" s="125"/>
      <c r="E279" s="126"/>
      <c r="F279" s="126"/>
      <c r="G279" s="127"/>
      <c r="H279" s="127"/>
      <c r="I279" s="127"/>
      <c r="J279" s="25"/>
    </row>
    <row r="280" spans="2:10" ht="15.75" customHeight="1">
      <c r="B280" s="123"/>
      <c r="C280" s="124"/>
      <c r="D280" s="125"/>
      <c r="E280" s="126"/>
      <c r="F280" s="126"/>
      <c r="G280" s="127"/>
      <c r="H280" s="127"/>
      <c r="I280" s="127"/>
      <c r="J280" s="25"/>
    </row>
    <row r="281" spans="2:10" ht="15.75" customHeight="1">
      <c r="B281" s="123"/>
      <c r="C281" s="124"/>
      <c r="D281" s="125"/>
      <c r="E281" s="126"/>
      <c r="F281" s="126"/>
      <c r="G281" s="127"/>
      <c r="H281" s="127"/>
      <c r="I281" s="127"/>
      <c r="J281" s="25"/>
    </row>
    <row r="282" spans="2:10" ht="15.75" customHeight="1">
      <c r="B282" s="123"/>
      <c r="C282" s="124"/>
      <c r="D282" s="125"/>
      <c r="E282" s="126"/>
      <c r="F282" s="126"/>
      <c r="G282" s="127"/>
      <c r="H282" s="127"/>
      <c r="I282" s="127"/>
      <c r="J282" s="25"/>
    </row>
    <row r="283" spans="2:10" ht="15.75" customHeight="1">
      <c r="B283" s="123"/>
      <c r="C283" s="124"/>
      <c r="D283" s="125"/>
      <c r="E283" s="126"/>
      <c r="F283" s="126"/>
      <c r="G283" s="127"/>
      <c r="H283" s="127"/>
      <c r="I283" s="127"/>
      <c r="J283" s="25"/>
    </row>
    <row r="284" spans="2:10" ht="15.75" customHeight="1">
      <c r="B284" s="123"/>
      <c r="C284" s="124"/>
      <c r="D284" s="125"/>
      <c r="E284" s="126"/>
      <c r="F284" s="126"/>
      <c r="G284" s="127"/>
      <c r="H284" s="127"/>
      <c r="I284" s="127"/>
      <c r="J284" s="25"/>
    </row>
    <row r="285" spans="2:10" ht="15.75" customHeight="1">
      <c r="B285" s="123"/>
      <c r="C285" s="124"/>
      <c r="D285" s="125"/>
      <c r="E285" s="126"/>
      <c r="F285" s="126"/>
      <c r="G285" s="127"/>
      <c r="H285" s="127"/>
      <c r="I285" s="127"/>
      <c r="J285" s="25"/>
    </row>
    <row r="286" spans="2:10" ht="15.75" customHeight="1">
      <c r="B286" s="123"/>
      <c r="C286" s="124"/>
      <c r="D286" s="125"/>
      <c r="E286" s="126"/>
      <c r="F286" s="126"/>
      <c r="G286" s="127"/>
      <c r="H286" s="127"/>
      <c r="I286" s="127"/>
      <c r="J286" s="25"/>
    </row>
    <row r="287" spans="2:10" ht="15.75" customHeight="1">
      <c r="B287" s="123"/>
      <c r="C287" s="124"/>
      <c r="D287" s="125"/>
      <c r="E287" s="126"/>
      <c r="F287" s="126"/>
      <c r="G287" s="127"/>
      <c r="H287" s="127"/>
      <c r="I287" s="127"/>
      <c r="J287" s="25"/>
    </row>
    <row r="288" spans="2:10" ht="15.75" customHeight="1">
      <c r="B288" s="123"/>
      <c r="C288" s="124"/>
      <c r="D288" s="125"/>
      <c r="E288" s="126"/>
      <c r="F288" s="126"/>
      <c r="G288" s="127"/>
      <c r="H288" s="127"/>
      <c r="I288" s="127"/>
      <c r="J288" s="25"/>
    </row>
    <row r="289" spans="2:10" ht="15.75" customHeight="1">
      <c r="B289" s="123"/>
      <c r="C289" s="124"/>
      <c r="D289" s="125"/>
      <c r="E289" s="126"/>
      <c r="F289" s="126"/>
      <c r="G289" s="127"/>
      <c r="H289" s="127"/>
      <c r="I289" s="127"/>
      <c r="J289" s="25"/>
    </row>
    <row r="290" spans="2:10" ht="15.75" customHeight="1">
      <c r="B290" s="123"/>
      <c r="C290" s="124"/>
      <c r="D290" s="125"/>
      <c r="E290" s="126"/>
      <c r="F290" s="126"/>
      <c r="G290" s="127"/>
      <c r="H290" s="127"/>
      <c r="I290" s="127"/>
      <c r="J290" s="25"/>
    </row>
    <row r="291" spans="2:10" ht="15.75" customHeight="1">
      <c r="B291" s="123"/>
      <c r="C291" s="124"/>
      <c r="D291" s="125"/>
      <c r="E291" s="126"/>
      <c r="F291" s="126"/>
      <c r="G291" s="127"/>
      <c r="H291" s="127"/>
      <c r="I291" s="127"/>
      <c r="J291" s="25"/>
    </row>
    <row r="292" spans="2:10" ht="15.75" customHeight="1">
      <c r="B292" s="123"/>
      <c r="C292" s="124"/>
      <c r="D292" s="125"/>
      <c r="E292" s="126"/>
      <c r="F292" s="126"/>
      <c r="G292" s="127"/>
      <c r="H292" s="127"/>
      <c r="I292" s="127"/>
      <c r="J292" s="25"/>
    </row>
    <row r="293" spans="2:10" ht="15.75" customHeight="1">
      <c r="B293" s="123"/>
      <c r="C293" s="124"/>
      <c r="D293" s="125"/>
      <c r="E293" s="126"/>
      <c r="F293" s="126"/>
      <c r="G293" s="127"/>
      <c r="H293" s="127"/>
      <c r="I293" s="127"/>
      <c r="J293" s="25"/>
    </row>
    <row r="294" spans="2:10" ht="15.75" customHeight="1">
      <c r="B294" s="123"/>
      <c r="C294" s="124"/>
      <c r="D294" s="125"/>
      <c r="E294" s="126"/>
      <c r="F294" s="126"/>
      <c r="G294" s="127"/>
      <c r="H294" s="127"/>
      <c r="I294" s="127"/>
      <c r="J294" s="25"/>
    </row>
    <row r="295" spans="2:10" ht="15.75" customHeight="1">
      <c r="B295" s="123"/>
      <c r="C295" s="124"/>
      <c r="D295" s="125"/>
      <c r="E295" s="126"/>
      <c r="F295" s="126"/>
      <c r="G295" s="127"/>
      <c r="H295" s="127"/>
      <c r="I295" s="127"/>
      <c r="J295" s="25"/>
    </row>
    <row r="296" spans="2:10" ht="15.75" customHeight="1">
      <c r="B296" s="123"/>
      <c r="C296" s="124"/>
      <c r="D296" s="125"/>
      <c r="E296" s="126"/>
      <c r="F296" s="126"/>
      <c r="G296" s="127"/>
      <c r="H296" s="127"/>
      <c r="I296" s="127"/>
      <c r="J296" s="25"/>
    </row>
    <row r="297" spans="2:10" ht="15.75" customHeight="1">
      <c r="B297" s="123"/>
      <c r="C297" s="124"/>
      <c r="D297" s="125"/>
      <c r="E297" s="126"/>
      <c r="F297" s="126"/>
      <c r="G297" s="127"/>
      <c r="H297" s="127"/>
      <c r="I297" s="127"/>
      <c r="J297" s="25"/>
    </row>
    <row r="298" spans="2:10" ht="15.75" customHeight="1">
      <c r="B298" s="123"/>
      <c r="C298" s="124"/>
      <c r="D298" s="125"/>
      <c r="E298" s="126"/>
      <c r="F298" s="126"/>
      <c r="G298" s="127"/>
      <c r="H298" s="127"/>
      <c r="I298" s="127"/>
      <c r="J298" s="25"/>
    </row>
    <row r="299" spans="2:10" ht="15.75" customHeight="1">
      <c r="B299" s="123"/>
      <c r="C299" s="124"/>
      <c r="D299" s="125"/>
      <c r="E299" s="126"/>
      <c r="F299" s="126"/>
      <c r="G299" s="127"/>
      <c r="H299" s="127"/>
      <c r="I299" s="127"/>
      <c r="J299" s="25"/>
    </row>
    <row r="300" spans="2:10" ht="15.75" customHeight="1">
      <c r="B300" s="123"/>
      <c r="C300" s="124"/>
      <c r="D300" s="125"/>
      <c r="E300" s="126"/>
      <c r="F300" s="126"/>
      <c r="G300" s="127"/>
      <c r="H300" s="127"/>
      <c r="I300" s="127"/>
      <c r="J300" s="25"/>
    </row>
    <row r="301" spans="2:10" ht="15.75" customHeight="1">
      <c r="B301" s="123"/>
      <c r="C301" s="124"/>
      <c r="D301" s="125"/>
      <c r="E301" s="126"/>
      <c r="F301" s="126"/>
      <c r="G301" s="127"/>
      <c r="H301" s="127"/>
      <c r="I301" s="127"/>
      <c r="J301" s="25"/>
    </row>
    <row r="302" spans="2:10" ht="15.75" customHeight="1">
      <c r="B302" s="123"/>
      <c r="C302" s="124"/>
      <c r="D302" s="125"/>
      <c r="E302" s="126"/>
      <c r="F302" s="126"/>
      <c r="G302" s="127"/>
      <c r="H302" s="127"/>
      <c r="I302" s="127"/>
      <c r="J302" s="25"/>
    </row>
    <row r="303" spans="2:10" ht="15.75" customHeight="1">
      <c r="B303" s="123"/>
      <c r="C303" s="124"/>
      <c r="D303" s="125"/>
      <c r="E303" s="126"/>
      <c r="F303" s="126"/>
      <c r="G303" s="127"/>
      <c r="H303" s="127"/>
      <c r="I303" s="127"/>
      <c r="J303" s="25"/>
    </row>
    <row r="304" spans="2:10" ht="15.75" customHeight="1">
      <c r="B304" s="123"/>
      <c r="C304" s="124"/>
      <c r="D304" s="125"/>
      <c r="E304" s="126"/>
      <c r="F304" s="126"/>
      <c r="G304" s="127"/>
      <c r="H304" s="127"/>
      <c r="I304" s="127"/>
      <c r="J304" s="25"/>
    </row>
    <row r="305" spans="2:10" ht="15.75" customHeight="1">
      <c r="B305" s="123"/>
      <c r="C305" s="124"/>
      <c r="D305" s="125"/>
      <c r="E305" s="126"/>
      <c r="F305" s="126"/>
      <c r="G305" s="127"/>
      <c r="H305" s="127"/>
      <c r="I305" s="127"/>
      <c r="J305" s="25"/>
    </row>
    <row r="306" spans="2:10" ht="15.75" customHeight="1">
      <c r="B306" s="123"/>
      <c r="C306" s="124"/>
      <c r="D306" s="125"/>
      <c r="E306" s="126"/>
      <c r="F306" s="126"/>
      <c r="G306" s="127"/>
      <c r="H306" s="127"/>
      <c r="I306" s="127"/>
      <c r="J306" s="25"/>
    </row>
    <row r="307" spans="2:10" ht="15.75" customHeight="1">
      <c r="B307" s="123"/>
      <c r="C307" s="124"/>
      <c r="D307" s="125"/>
      <c r="E307" s="126"/>
      <c r="F307" s="126"/>
      <c r="G307" s="127"/>
      <c r="H307" s="127"/>
      <c r="I307" s="127"/>
      <c r="J307" s="25"/>
    </row>
    <row r="308" spans="2:10" ht="15.75" customHeight="1">
      <c r="B308" s="123"/>
      <c r="C308" s="124"/>
      <c r="D308" s="125"/>
      <c r="E308" s="126"/>
      <c r="F308" s="126"/>
      <c r="G308" s="127"/>
      <c r="H308" s="127"/>
      <c r="I308" s="127"/>
      <c r="J308" s="25"/>
    </row>
    <row r="309" spans="2:10" ht="15.75" customHeight="1">
      <c r="B309" s="123"/>
      <c r="C309" s="124"/>
      <c r="D309" s="125"/>
      <c r="E309" s="126"/>
      <c r="F309" s="126"/>
      <c r="G309" s="127"/>
      <c r="H309" s="127"/>
      <c r="I309" s="127"/>
      <c r="J309" s="25"/>
    </row>
    <row r="310" spans="2:10" ht="15.75" customHeight="1">
      <c r="B310" s="123"/>
      <c r="C310" s="124"/>
      <c r="D310" s="125"/>
      <c r="E310" s="126"/>
      <c r="F310" s="126"/>
      <c r="G310" s="127"/>
      <c r="H310" s="127"/>
      <c r="I310" s="127"/>
      <c r="J310" s="25"/>
    </row>
    <row r="311" spans="2:10" ht="15.75" customHeight="1">
      <c r="B311" s="123"/>
      <c r="C311" s="124"/>
      <c r="D311" s="125"/>
      <c r="E311" s="126"/>
      <c r="F311" s="126"/>
      <c r="G311" s="127"/>
      <c r="H311" s="127"/>
      <c r="I311" s="127"/>
      <c r="J311" s="25"/>
    </row>
    <row r="312" spans="2:10" ht="15.75" customHeight="1">
      <c r="B312" s="123"/>
      <c r="C312" s="124"/>
      <c r="D312" s="125"/>
      <c r="E312" s="126"/>
      <c r="F312" s="126"/>
      <c r="G312" s="127"/>
      <c r="H312" s="127"/>
      <c r="I312" s="127"/>
      <c r="J312" s="25"/>
    </row>
    <row r="313" spans="2:10" ht="15.75" customHeight="1">
      <c r="B313" s="123"/>
      <c r="C313" s="124"/>
      <c r="D313" s="125"/>
      <c r="E313" s="126"/>
      <c r="F313" s="126"/>
      <c r="G313" s="127"/>
      <c r="H313" s="127"/>
      <c r="I313" s="127"/>
      <c r="J313" s="25"/>
    </row>
    <row r="314" spans="2:10" ht="15.75" customHeight="1">
      <c r="B314" s="123"/>
      <c r="C314" s="124"/>
      <c r="D314" s="125"/>
      <c r="E314" s="126"/>
      <c r="F314" s="126"/>
      <c r="G314" s="127"/>
      <c r="H314" s="127"/>
      <c r="I314" s="127"/>
      <c r="J314" s="25"/>
    </row>
    <row r="315" spans="2:10" ht="15.75" customHeight="1">
      <c r="B315" s="123"/>
      <c r="C315" s="124"/>
      <c r="D315" s="125"/>
      <c r="E315" s="126"/>
      <c r="F315" s="126"/>
      <c r="G315" s="127"/>
      <c r="H315" s="127"/>
      <c r="I315" s="127"/>
      <c r="J315" s="25"/>
    </row>
    <row r="316" spans="2:10" ht="15.75" customHeight="1">
      <c r="B316" s="123"/>
      <c r="C316" s="124"/>
      <c r="D316" s="125"/>
      <c r="E316" s="126"/>
      <c r="F316" s="126"/>
      <c r="G316" s="127"/>
      <c r="H316" s="127"/>
      <c r="I316" s="127"/>
      <c r="J316" s="25"/>
    </row>
    <row r="317" spans="2:10" ht="15.75" customHeight="1">
      <c r="B317" s="123"/>
      <c r="C317" s="124"/>
      <c r="D317" s="125"/>
      <c r="E317" s="126"/>
      <c r="F317" s="126"/>
      <c r="G317" s="127"/>
      <c r="H317" s="127"/>
      <c r="I317" s="127"/>
      <c r="J317" s="25"/>
    </row>
    <row r="318" spans="2:10" ht="15.75" customHeight="1">
      <c r="B318" s="123"/>
      <c r="C318" s="124"/>
      <c r="D318" s="125"/>
      <c r="E318" s="126"/>
      <c r="F318" s="126"/>
      <c r="G318" s="127"/>
      <c r="H318" s="127"/>
      <c r="I318" s="127"/>
      <c r="J318" s="25"/>
    </row>
    <row r="319" spans="2:10" ht="15.75" customHeight="1">
      <c r="B319" s="123"/>
      <c r="C319" s="124"/>
      <c r="D319" s="125"/>
      <c r="E319" s="126"/>
      <c r="F319" s="126"/>
      <c r="G319" s="127"/>
      <c r="H319" s="127"/>
      <c r="I319" s="127"/>
      <c r="J319" s="25"/>
    </row>
    <row r="320" spans="2:10" ht="15.75" customHeight="1">
      <c r="B320" s="123"/>
      <c r="C320" s="124"/>
      <c r="D320" s="125"/>
      <c r="E320" s="126"/>
      <c r="F320" s="126"/>
      <c r="G320" s="127"/>
      <c r="H320" s="127"/>
      <c r="I320" s="127"/>
      <c r="J320" s="25"/>
    </row>
    <row r="321" spans="2:10" ht="15.75" customHeight="1">
      <c r="B321" s="123"/>
      <c r="C321" s="124"/>
      <c r="D321" s="125"/>
      <c r="E321" s="126"/>
      <c r="F321" s="126"/>
      <c r="G321" s="127"/>
      <c r="H321" s="127"/>
      <c r="I321" s="127"/>
      <c r="J321" s="25"/>
    </row>
    <row r="322" spans="2:10" ht="15.75" customHeight="1">
      <c r="B322" s="123"/>
      <c r="C322" s="124"/>
      <c r="D322" s="125"/>
      <c r="E322" s="126"/>
      <c r="F322" s="126"/>
      <c r="G322" s="127"/>
      <c r="H322" s="127"/>
      <c r="I322" s="127"/>
      <c r="J322" s="25"/>
    </row>
    <row r="323" spans="2:10" ht="15.75" customHeight="1">
      <c r="B323" s="123"/>
      <c r="C323" s="124"/>
      <c r="D323" s="125"/>
      <c r="E323" s="126"/>
      <c r="F323" s="126"/>
      <c r="G323" s="127"/>
      <c r="H323" s="127"/>
      <c r="I323" s="127"/>
      <c r="J323" s="25"/>
    </row>
    <row r="324" spans="2:10" ht="15.75" customHeight="1">
      <c r="B324" s="123"/>
      <c r="C324" s="124"/>
      <c r="D324" s="125"/>
      <c r="E324" s="126"/>
      <c r="F324" s="126"/>
      <c r="G324" s="127"/>
      <c r="H324" s="127"/>
      <c r="I324" s="127"/>
      <c r="J324" s="25"/>
    </row>
    <row r="325" spans="2:10" ht="15.75" customHeight="1">
      <c r="B325" s="123"/>
      <c r="C325" s="124"/>
      <c r="D325" s="125"/>
      <c r="E325" s="126"/>
      <c r="F325" s="126"/>
      <c r="G325" s="127"/>
      <c r="H325" s="127"/>
      <c r="I325" s="127"/>
      <c r="J325" s="25"/>
    </row>
    <row r="326" spans="2:10" ht="15.75" customHeight="1">
      <c r="B326" s="123"/>
      <c r="C326" s="124"/>
      <c r="D326" s="125"/>
      <c r="E326" s="126"/>
      <c r="F326" s="126"/>
      <c r="G326" s="127"/>
      <c r="H326" s="127"/>
      <c r="I326" s="127"/>
      <c r="J326" s="25"/>
    </row>
    <row r="327" spans="2:10" ht="15.75" customHeight="1">
      <c r="B327" s="123"/>
      <c r="C327" s="124"/>
      <c r="D327" s="125"/>
      <c r="E327" s="126"/>
      <c r="F327" s="126"/>
      <c r="G327" s="127"/>
      <c r="H327" s="127"/>
      <c r="I327" s="127"/>
      <c r="J327" s="25"/>
    </row>
    <row r="328" spans="2:10" ht="15.75" customHeight="1">
      <c r="B328" s="123"/>
      <c r="C328" s="124"/>
      <c r="D328" s="125"/>
      <c r="E328" s="126"/>
      <c r="F328" s="126"/>
      <c r="G328" s="127"/>
      <c r="H328" s="127"/>
      <c r="I328" s="127"/>
      <c r="J328" s="25"/>
    </row>
    <row r="329" spans="2:10" ht="15.75" customHeight="1">
      <c r="B329" s="123"/>
      <c r="C329" s="124"/>
      <c r="D329" s="125"/>
      <c r="E329" s="126"/>
      <c r="F329" s="126"/>
      <c r="G329" s="127"/>
      <c r="H329" s="127"/>
      <c r="I329" s="127"/>
      <c r="J329" s="25"/>
    </row>
    <row r="330" spans="2:10" ht="15.75" customHeight="1">
      <c r="B330" s="123"/>
      <c r="C330" s="124"/>
      <c r="D330" s="125"/>
      <c r="E330" s="126"/>
      <c r="F330" s="126"/>
      <c r="G330" s="127"/>
      <c r="H330" s="127"/>
      <c r="I330" s="127"/>
      <c r="J330" s="25"/>
    </row>
    <row r="331" spans="2:10" ht="15.75" customHeight="1">
      <c r="B331" s="123"/>
      <c r="C331" s="124"/>
      <c r="D331" s="125"/>
      <c r="E331" s="126"/>
      <c r="F331" s="126"/>
      <c r="G331" s="127"/>
      <c r="H331" s="127"/>
      <c r="I331" s="127"/>
      <c r="J331" s="25"/>
    </row>
    <row r="332" spans="2:10" ht="15.75" customHeight="1">
      <c r="B332" s="123"/>
      <c r="C332" s="124"/>
      <c r="D332" s="125"/>
      <c r="E332" s="126"/>
      <c r="F332" s="126"/>
      <c r="G332" s="127"/>
      <c r="H332" s="127"/>
      <c r="I332" s="127"/>
      <c r="J332" s="25"/>
    </row>
    <row r="333" spans="2:10" ht="15.75" customHeight="1">
      <c r="B333" s="123"/>
      <c r="C333" s="124"/>
      <c r="D333" s="125"/>
      <c r="E333" s="126"/>
      <c r="F333" s="126"/>
      <c r="G333" s="127"/>
      <c r="H333" s="127"/>
      <c r="I333" s="127"/>
      <c r="J333" s="25"/>
    </row>
    <row r="334" spans="2:10" ht="15.75" customHeight="1">
      <c r="B334" s="123"/>
      <c r="C334" s="124"/>
      <c r="D334" s="125"/>
      <c r="E334" s="126"/>
      <c r="F334" s="126"/>
      <c r="G334" s="127"/>
      <c r="H334" s="127"/>
      <c r="I334" s="127"/>
      <c r="J334" s="25"/>
    </row>
    <row r="335" spans="2:10" ht="15.75" customHeight="1">
      <c r="B335" s="123"/>
      <c r="C335" s="124"/>
      <c r="D335" s="125"/>
      <c r="E335" s="126"/>
      <c r="F335" s="126"/>
      <c r="G335" s="127"/>
      <c r="H335" s="127"/>
      <c r="I335" s="127"/>
      <c r="J335" s="25"/>
    </row>
    <row r="336" spans="2:10" ht="15.75" customHeight="1">
      <c r="B336" s="123"/>
      <c r="C336" s="124"/>
      <c r="D336" s="125"/>
      <c r="E336" s="126"/>
      <c r="F336" s="126"/>
      <c r="G336" s="127"/>
      <c r="H336" s="127"/>
      <c r="I336" s="127"/>
      <c r="J336" s="25"/>
    </row>
    <row r="337" spans="2:10" ht="15.75" customHeight="1">
      <c r="B337" s="123"/>
      <c r="C337" s="124"/>
      <c r="D337" s="125"/>
      <c r="E337" s="126"/>
      <c r="F337" s="126"/>
      <c r="G337" s="127"/>
      <c r="H337" s="127"/>
      <c r="I337" s="127"/>
      <c r="J337" s="25"/>
    </row>
    <row r="338" spans="2:10" ht="15.75" customHeight="1">
      <c r="B338" s="123"/>
      <c r="C338" s="124"/>
      <c r="D338" s="125"/>
      <c r="E338" s="126"/>
      <c r="F338" s="126"/>
      <c r="G338" s="127"/>
      <c r="H338" s="127"/>
      <c r="I338" s="127"/>
      <c r="J338" s="25"/>
    </row>
    <row r="339" spans="2:10" ht="15.75" customHeight="1">
      <c r="B339" s="123"/>
      <c r="C339" s="124"/>
      <c r="D339" s="125"/>
      <c r="E339" s="126"/>
      <c r="F339" s="126"/>
      <c r="G339" s="127"/>
      <c r="H339" s="127"/>
      <c r="I339" s="127"/>
      <c r="J339" s="25"/>
    </row>
    <row r="340" spans="2:10" ht="15.75" customHeight="1">
      <c r="B340" s="123"/>
      <c r="C340" s="124"/>
      <c r="D340" s="125"/>
      <c r="E340" s="126"/>
      <c r="F340" s="126"/>
      <c r="G340" s="127"/>
      <c r="H340" s="127"/>
      <c r="I340" s="127"/>
      <c r="J340" s="25"/>
    </row>
    <row r="341" spans="2:10" ht="15.75" customHeight="1">
      <c r="B341" s="123"/>
      <c r="C341" s="124"/>
      <c r="D341" s="125"/>
      <c r="E341" s="126"/>
      <c r="F341" s="126"/>
      <c r="G341" s="127"/>
      <c r="H341" s="127"/>
      <c r="I341" s="127"/>
      <c r="J341" s="25"/>
    </row>
    <row r="342" spans="2:10" ht="15.75" customHeight="1">
      <c r="B342" s="123"/>
      <c r="C342" s="124"/>
      <c r="D342" s="125"/>
      <c r="E342" s="126"/>
      <c r="F342" s="126"/>
      <c r="G342" s="127"/>
      <c r="H342" s="127"/>
      <c r="I342" s="127"/>
      <c r="J342" s="25"/>
    </row>
    <row r="343" spans="2:10" ht="15.75" customHeight="1">
      <c r="B343" s="123"/>
      <c r="C343" s="124"/>
      <c r="D343" s="125"/>
      <c r="E343" s="126"/>
      <c r="F343" s="126"/>
      <c r="G343" s="127"/>
      <c r="H343" s="127"/>
      <c r="I343" s="127"/>
      <c r="J343" s="25"/>
    </row>
    <row r="344" spans="2:10" ht="15.75" customHeight="1">
      <c r="B344" s="123"/>
      <c r="C344" s="124"/>
      <c r="D344" s="125"/>
      <c r="E344" s="126"/>
      <c r="F344" s="126"/>
      <c r="G344" s="127"/>
      <c r="H344" s="127"/>
      <c r="I344" s="127"/>
      <c r="J344" s="25"/>
    </row>
    <row r="345" spans="2:10" ht="15.75" customHeight="1">
      <c r="B345" s="123"/>
      <c r="C345" s="124"/>
      <c r="D345" s="125"/>
      <c r="E345" s="126"/>
      <c r="F345" s="126"/>
      <c r="G345" s="127"/>
      <c r="H345" s="127"/>
      <c r="I345" s="127"/>
      <c r="J345" s="25"/>
    </row>
    <row r="346" spans="2:10" ht="15.75" customHeight="1">
      <c r="B346" s="123"/>
      <c r="C346" s="124"/>
      <c r="D346" s="125"/>
      <c r="E346" s="126"/>
      <c r="F346" s="126"/>
      <c r="G346" s="127"/>
      <c r="H346" s="127"/>
      <c r="I346" s="127"/>
      <c r="J346" s="25"/>
    </row>
    <row r="347" spans="2:10" ht="15.75" customHeight="1">
      <c r="B347" s="123"/>
      <c r="C347" s="124"/>
      <c r="D347" s="125"/>
      <c r="E347" s="126"/>
      <c r="F347" s="126"/>
      <c r="G347" s="127"/>
      <c r="H347" s="127"/>
      <c r="I347" s="127"/>
      <c r="J347" s="25"/>
    </row>
    <row r="348" spans="2:10" ht="15.75" customHeight="1">
      <c r="B348" s="123"/>
      <c r="C348" s="124"/>
      <c r="D348" s="125"/>
      <c r="E348" s="126"/>
      <c r="F348" s="126"/>
      <c r="G348" s="127"/>
      <c r="H348" s="127"/>
      <c r="I348" s="127"/>
      <c r="J348" s="25"/>
    </row>
    <row r="349" spans="2:10" ht="15.75" customHeight="1">
      <c r="B349" s="123"/>
      <c r="C349" s="124"/>
      <c r="D349" s="125"/>
      <c r="E349" s="126"/>
      <c r="F349" s="126"/>
      <c r="G349" s="127"/>
      <c r="H349" s="127"/>
      <c r="I349" s="127"/>
      <c r="J349" s="25"/>
    </row>
    <row r="350" spans="2:10" ht="15.75" customHeight="1">
      <c r="B350" s="123"/>
      <c r="C350" s="124"/>
      <c r="D350" s="125"/>
      <c r="E350" s="126"/>
      <c r="F350" s="126"/>
      <c r="G350" s="127"/>
      <c r="H350" s="127"/>
      <c r="I350" s="127"/>
      <c r="J350" s="25"/>
    </row>
    <row r="351" spans="2:10" ht="15.75" customHeight="1">
      <c r="B351" s="123"/>
      <c r="C351" s="124"/>
      <c r="D351" s="125"/>
      <c r="E351" s="126"/>
      <c r="F351" s="126"/>
      <c r="G351" s="127"/>
      <c r="H351" s="127"/>
      <c r="I351" s="127"/>
      <c r="J351" s="25"/>
    </row>
    <row r="352" spans="2:10" ht="15.75" customHeight="1">
      <c r="B352" s="123"/>
      <c r="C352" s="124"/>
      <c r="D352" s="125"/>
      <c r="E352" s="126"/>
      <c r="F352" s="126"/>
      <c r="G352" s="127"/>
      <c r="H352" s="127"/>
      <c r="I352" s="127"/>
      <c r="J352" s="25"/>
    </row>
    <row r="353" spans="2:10" ht="15.75" customHeight="1">
      <c r="B353" s="123"/>
      <c r="C353" s="124"/>
      <c r="D353" s="125"/>
      <c r="E353" s="126"/>
      <c r="F353" s="126"/>
      <c r="G353" s="127"/>
      <c r="H353" s="127"/>
      <c r="I353" s="127"/>
      <c r="J353" s="25"/>
    </row>
    <row r="354" spans="2:10" ht="15.75" customHeight="1">
      <c r="B354" s="123"/>
      <c r="C354" s="124"/>
      <c r="D354" s="125"/>
      <c r="E354" s="126"/>
      <c r="F354" s="126"/>
      <c r="G354" s="127"/>
      <c r="H354" s="127"/>
      <c r="I354" s="127"/>
      <c r="J354" s="25"/>
    </row>
    <row r="355" spans="2:10" ht="15.75" customHeight="1">
      <c r="B355" s="123"/>
      <c r="C355" s="124"/>
      <c r="D355" s="125"/>
      <c r="E355" s="126"/>
      <c r="F355" s="126"/>
      <c r="G355" s="127"/>
      <c r="H355" s="127"/>
      <c r="I355" s="127"/>
      <c r="J355" s="25"/>
    </row>
    <row r="356" spans="2:10" ht="15.75" customHeight="1">
      <c r="B356" s="123"/>
      <c r="C356" s="124"/>
      <c r="D356" s="125"/>
      <c r="E356" s="126"/>
      <c r="F356" s="126"/>
      <c r="G356" s="127"/>
      <c r="H356" s="127"/>
      <c r="I356" s="127"/>
      <c r="J356" s="25"/>
    </row>
    <row r="357" spans="2:10" ht="15.75" customHeight="1">
      <c r="B357" s="123"/>
      <c r="C357" s="124"/>
      <c r="D357" s="125"/>
      <c r="E357" s="126"/>
      <c r="F357" s="126"/>
      <c r="G357" s="127"/>
      <c r="H357" s="127"/>
      <c r="I357" s="127"/>
      <c r="J357" s="25"/>
    </row>
    <row r="358" spans="2:10" ht="15.75" customHeight="1">
      <c r="B358" s="123"/>
      <c r="C358" s="124"/>
      <c r="D358" s="125"/>
      <c r="E358" s="126"/>
      <c r="F358" s="126"/>
      <c r="G358" s="127"/>
      <c r="H358" s="127"/>
      <c r="I358" s="127"/>
      <c r="J358" s="25"/>
    </row>
    <row r="359" spans="2:10" ht="15.75" customHeight="1">
      <c r="B359" s="123"/>
      <c r="C359" s="124"/>
      <c r="D359" s="125"/>
      <c r="E359" s="126"/>
      <c r="F359" s="126"/>
      <c r="G359" s="127"/>
      <c r="H359" s="127"/>
      <c r="I359" s="127"/>
      <c r="J359" s="25"/>
    </row>
    <row r="360" spans="2:10" ht="15.75" customHeight="1">
      <c r="B360" s="123"/>
      <c r="C360" s="124"/>
      <c r="D360" s="125"/>
      <c r="E360" s="126"/>
      <c r="F360" s="126"/>
      <c r="G360" s="127"/>
      <c r="H360" s="127"/>
      <c r="I360" s="127"/>
      <c r="J360" s="25"/>
    </row>
    <row r="361" spans="2:10" ht="15.75" customHeight="1">
      <c r="B361" s="123"/>
      <c r="C361" s="124"/>
      <c r="D361" s="125"/>
      <c r="E361" s="126"/>
      <c r="F361" s="126"/>
      <c r="G361" s="127"/>
      <c r="H361" s="127"/>
      <c r="I361" s="127"/>
      <c r="J361" s="25"/>
    </row>
    <row r="362" spans="2:10" ht="15.75" customHeight="1">
      <c r="B362" s="123"/>
      <c r="C362" s="124"/>
      <c r="D362" s="125"/>
      <c r="E362" s="126"/>
      <c r="F362" s="126"/>
      <c r="G362" s="127"/>
      <c r="H362" s="127"/>
      <c r="I362" s="127"/>
      <c r="J362" s="25"/>
    </row>
    <row r="363" spans="2:10" ht="15.75" customHeight="1">
      <c r="B363" s="123"/>
      <c r="C363" s="124"/>
      <c r="D363" s="125"/>
      <c r="E363" s="126"/>
      <c r="F363" s="126"/>
      <c r="G363" s="127"/>
      <c r="H363" s="127"/>
      <c r="I363" s="127"/>
      <c r="J363" s="25"/>
    </row>
    <row r="364" spans="2:10" ht="15.75" customHeight="1">
      <c r="B364" s="123"/>
      <c r="C364" s="124"/>
      <c r="D364" s="125"/>
      <c r="E364" s="126"/>
      <c r="F364" s="126"/>
      <c r="G364" s="127"/>
      <c r="H364" s="127"/>
      <c r="I364" s="127"/>
      <c r="J364" s="25"/>
    </row>
    <row r="365" spans="2:10" ht="15.75" customHeight="1">
      <c r="B365" s="123"/>
      <c r="C365" s="124"/>
      <c r="D365" s="125"/>
      <c r="E365" s="126"/>
      <c r="F365" s="126"/>
      <c r="G365" s="127"/>
      <c r="H365" s="127"/>
      <c r="I365" s="127"/>
      <c r="J365" s="25"/>
    </row>
    <row r="366" spans="2:10" ht="15.75" customHeight="1">
      <c r="B366" s="123"/>
      <c r="C366" s="124"/>
      <c r="D366" s="125"/>
      <c r="E366" s="126"/>
      <c r="F366" s="126"/>
      <c r="G366" s="127"/>
      <c r="H366" s="127"/>
      <c r="I366" s="127"/>
      <c r="J366" s="25"/>
    </row>
    <row r="367" spans="2:10" ht="15.75" customHeight="1">
      <c r="B367" s="123"/>
      <c r="C367" s="124"/>
      <c r="D367" s="125"/>
      <c r="E367" s="126"/>
      <c r="F367" s="126"/>
      <c r="G367" s="127"/>
      <c r="H367" s="127"/>
      <c r="I367" s="127"/>
      <c r="J367" s="25"/>
    </row>
    <row r="368" spans="2:10" ht="15.75" customHeight="1">
      <c r="B368" s="123"/>
      <c r="C368" s="124"/>
      <c r="D368" s="125"/>
      <c r="E368" s="126"/>
      <c r="F368" s="126"/>
      <c r="G368" s="127"/>
      <c r="H368" s="127"/>
      <c r="I368" s="127"/>
      <c r="J368" s="25"/>
    </row>
    <row r="369" spans="2:10" ht="15.75" customHeight="1">
      <c r="B369" s="123"/>
      <c r="C369" s="124"/>
      <c r="D369" s="125"/>
      <c r="E369" s="126"/>
      <c r="F369" s="126"/>
      <c r="G369" s="127"/>
      <c r="H369" s="127"/>
      <c r="I369" s="127"/>
      <c r="J369" s="25"/>
    </row>
    <row r="370" spans="2:10" ht="15.75" customHeight="1">
      <c r="B370" s="123"/>
      <c r="C370" s="124"/>
      <c r="D370" s="125"/>
      <c r="E370" s="126"/>
      <c r="F370" s="126"/>
      <c r="G370" s="127"/>
      <c r="H370" s="127"/>
      <c r="I370" s="127"/>
      <c r="J370" s="25"/>
    </row>
    <row r="371" spans="2:10" ht="15.75" customHeight="1">
      <c r="B371" s="123"/>
      <c r="C371" s="124"/>
      <c r="D371" s="125"/>
      <c r="E371" s="126"/>
      <c r="F371" s="126"/>
      <c r="G371" s="127"/>
      <c r="H371" s="127"/>
      <c r="I371" s="127"/>
      <c r="J371" s="25"/>
    </row>
    <row r="372" spans="2:10" ht="15.75" customHeight="1">
      <c r="B372" s="123"/>
      <c r="C372" s="124"/>
      <c r="D372" s="125"/>
      <c r="E372" s="126"/>
      <c r="F372" s="126"/>
      <c r="G372" s="127"/>
      <c r="H372" s="127"/>
      <c r="I372" s="127"/>
      <c r="J372" s="25"/>
    </row>
    <row r="373" spans="2:10" ht="15.75" customHeight="1">
      <c r="B373" s="123"/>
      <c r="C373" s="124"/>
      <c r="D373" s="125"/>
      <c r="E373" s="126"/>
      <c r="F373" s="126"/>
      <c r="G373" s="127"/>
      <c r="H373" s="127"/>
      <c r="I373" s="127"/>
      <c r="J373" s="25"/>
    </row>
    <row r="374" spans="2:10" ht="15.75" customHeight="1">
      <c r="B374" s="123"/>
      <c r="C374" s="124"/>
      <c r="D374" s="125"/>
      <c r="E374" s="126"/>
      <c r="F374" s="126"/>
      <c r="G374" s="127"/>
      <c r="H374" s="127"/>
      <c r="I374" s="127"/>
      <c r="J374" s="25"/>
    </row>
    <row r="375" spans="2:10" ht="15.75" customHeight="1">
      <c r="B375" s="123"/>
      <c r="C375" s="124"/>
      <c r="D375" s="125"/>
      <c r="E375" s="126"/>
      <c r="F375" s="126"/>
      <c r="G375" s="127"/>
      <c r="H375" s="127"/>
      <c r="I375" s="127"/>
      <c r="J375" s="25"/>
    </row>
    <row r="376" spans="2:10" ht="15.75" customHeight="1">
      <c r="B376" s="123"/>
      <c r="C376" s="124"/>
      <c r="D376" s="125"/>
      <c r="E376" s="126"/>
      <c r="F376" s="126"/>
      <c r="G376" s="127"/>
      <c r="H376" s="127"/>
      <c r="I376" s="127"/>
      <c r="J376" s="25"/>
    </row>
    <row r="377" spans="2:10" ht="15.75" customHeight="1">
      <c r="B377" s="123"/>
      <c r="C377" s="124"/>
      <c r="D377" s="125"/>
      <c r="E377" s="126"/>
      <c r="F377" s="126"/>
      <c r="G377" s="127"/>
      <c r="H377" s="127"/>
      <c r="I377" s="127"/>
      <c r="J377" s="25"/>
    </row>
    <row r="378" spans="2:10" ht="15.75" customHeight="1">
      <c r="B378" s="123"/>
      <c r="C378" s="124"/>
      <c r="D378" s="125"/>
      <c r="E378" s="126"/>
      <c r="F378" s="126"/>
      <c r="G378" s="127"/>
      <c r="H378" s="127"/>
      <c r="I378" s="127"/>
      <c r="J378" s="25"/>
    </row>
    <row r="379" spans="2:10" ht="15.75" customHeight="1">
      <c r="B379" s="123"/>
      <c r="C379" s="124"/>
      <c r="D379" s="125"/>
      <c r="E379" s="126"/>
      <c r="F379" s="126"/>
      <c r="G379" s="127"/>
      <c r="H379" s="127"/>
      <c r="I379" s="127"/>
      <c r="J379" s="25"/>
    </row>
    <row r="380" spans="2:10" ht="15.75" customHeight="1">
      <c r="B380" s="123"/>
      <c r="C380" s="124"/>
      <c r="D380" s="125"/>
      <c r="E380" s="126"/>
      <c r="F380" s="126"/>
      <c r="G380" s="127"/>
      <c r="H380" s="127"/>
      <c r="I380" s="127"/>
      <c r="J380" s="25"/>
    </row>
    <row r="381" spans="2:10" ht="15.75" customHeight="1">
      <c r="B381" s="123"/>
      <c r="C381" s="124"/>
      <c r="D381" s="125"/>
      <c r="E381" s="126"/>
      <c r="F381" s="126"/>
      <c r="G381" s="127"/>
      <c r="H381" s="127"/>
      <c r="I381" s="127"/>
      <c r="J381" s="25"/>
    </row>
    <row r="382" spans="2:10" ht="15.75" customHeight="1">
      <c r="B382" s="123"/>
      <c r="C382" s="124"/>
      <c r="D382" s="125"/>
      <c r="E382" s="126"/>
      <c r="F382" s="126"/>
      <c r="G382" s="127"/>
      <c r="H382" s="127"/>
      <c r="I382" s="127"/>
      <c r="J382" s="25"/>
    </row>
    <row r="383" spans="2:10" ht="15.75" customHeight="1">
      <c r="B383" s="123"/>
      <c r="C383" s="124"/>
      <c r="D383" s="125"/>
      <c r="E383" s="126"/>
      <c r="F383" s="126"/>
      <c r="G383" s="127"/>
      <c r="H383" s="127"/>
      <c r="I383" s="127"/>
      <c r="J383" s="25"/>
    </row>
    <row r="384" spans="2:10" ht="15.75" customHeight="1">
      <c r="B384" s="123"/>
      <c r="C384" s="124"/>
      <c r="D384" s="125"/>
      <c r="E384" s="126"/>
      <c r="F384" s="126"/>
      <c r="G384" s="127"/>
      <c r="H384" s="127"/>
      <c r="I384" s="127"/>
      <c r="J384" s="25"/>
    </row>
    <row r="385" spans="2:10" ht="15.75" customHeight="1">
      <c r="B385" s="123"/>
      <c r="C385" s="124"/>
      <c r="D385" s="125"/>
      <c r="E385" s="126"/>
      <c r="F385" s="126"/>
      <c r="G385" s="127"/>
      <c r="H385" s="127"/>
      <c r="I385" s="127"/>
      <c r="J385" s="25"/>
    </row>
    <row r="386" spans="2:10" ht="15.75" customHeight="1">
      <c r="B386" s="123"/>
      <c r="C386" s="124"/>
      <c r="D386" s="125"/>
      <c r="E386" s="126"/>
      <c r="F386" s="126"/>
      <c r="G386" s="127"/>
      <c r="H386" s="127"/>
      <c r="I386" s="127"/>
      <c r="J386" s="25"/>
    </row>
    <row r="387" spans="2:10" ht="15.75" customHeight="1">
      <c r="B387" s="123"/>
      <c r="C387" s="124"/>
      <c r="D387" s="125"/>
      <c r="E387" s="126"/>
      <c r="F387" s="126"/>
      <c r="G387" s="127"/>
      <c r="H387" s="127"/>
      <c r="I387" s="127"/>
      <c r="J387" s="25"/>
    </row>
    <row r="388" spans="2:10" ht="15.75" customHeight="1">
      <c r="B388" s="123"/>
      <c r="C388" s="124"/>
      <c r="D388" s="125"/>
      <c r="E388" s="126"/>
      <c r="F388" s="126"/>
      <c r="G388" s="127"/>
      <c r="H388" s="127"/>
      <c r="I388" s="127"/>
      <c r="J388" s="25"/>
    </row>
    <row r="389" spans="2:10" ht="15.75" customHeight="1">
      <c r="B389" s="123"/>
      <c r="C389" s="124"/>
      <c r="D389" s="125"/>
      <c r="E389" s="126"/>
      <c r="F389" s="126"/>
      <c r="G389" s="127"/>
      <c r="H389" s="127"/>
      <c r="I389" s="127"/>
      <c r="J389" s="25"/>
    </row>
    <row r="390" spans="2:10" ht="15.75" customHeight="1">
      <c r="B390" s="123"/>
      <c r="C390" s="124"/>
      <c r="D390" s="125"/>
      <c r="E390" s="126"/>
      <c r="F390" s="126"/>
      <c r="G390" s="127"/>
      <c r="H390" s="127"/>
      <c r="I390" s="127"/>
      <c r="J390" s="25"/>
    </row>
    <row r="391" spans="2:10" ht="15.75" customHeight="1">
      <c r="B391" s="123"/>
      <c r="C391" s="124"/>
      <c r="D391" s="125"/>
      <c r="E391" s="126"/>
      <c r="F391" s="126"/>
      <c r="G391" s="127"/>
      <c r="H391" s="127"/>
      <c r="I391" s="127"/>
      <c r="J391" s="25"/>
    </row>
    <row r="392" spans="2:10" ht="15.75" customHeight="1">
      <c r="B392" s="123"/>
      <c r="C392" s="124"/>
      <c r="D392" s="125"/>
      <c r="E392" s="126"/>
      <c r="F392" s="126"/>
      <c r="G392" s="127"/>
      <c r="H392" s="127"/>
      <c r="I392" s="127"/>
      <c r="J392" s="25"/>
    </row>
    <row r="393" spans="2:10" ht="15.75" customHeight="1">
      <c r="B393" s="123"/>
      <c r="C393" s="124"/>
      <c r="D393" s="125"/>
      <c r="E393" s="126"/>
      <c r="F393" s="126"/>
      <c r="G393" s="127"/>
      <c r="H393" s="127"/>
      <c r="I393" s="127"/>
      <c r="J393" s="25"/>
    </row>
    <row r="394" spans="2:10" ht="15.75" customHeight="1">
      <c r="B394" s="123"/>
      <c r="C394" s="124"/>
      <c r="D394" s="125"/>
      <c r="E394" s="126"/>
      <c r="F394" s="126"/>
      <c r="G394" s="127"/>
      <c r="H394" s="127"/>
      <c r="I394" s="127"/>
      <c r="J394" s="25"/>
    </row>
    <row r="395" spans="2:10" ht="15.75" customHeight="1">
      <c r="B395" s="123"/>
      <c r="C395" s="124"/>
      <c r="D395" s="125"/>
      <c r="E395" s="126"/>
      <c r="F395" s="126"/>
      <c r="G395" s="127"/>
      <c r="H395" s="127"/>
      <c r="I395" s="127"/>
      <c r="J395" s="25"/>
    </row>
    <row r="396" spans="2:10" ht="15.75" customHeight="1">
      <c r="B396" s="123"/>
      <c r="C396" s="124"/>
      <c r="D396" s="125"/>
      <c r="E396" s="126"/>
      <c r="F396" s="126"/>
      <c r="G396" s="127"/>
      <c r="H396" s="127"/>
      <c r="I396" s="127"/>
      <c r="J396" s="25"/>
    </row>
    <row r="397" spans="2:10" ht="15.75" customHeight="1">
      <c r="B397" s="123"/>
      <c r="C397" s="124"/>
      <c r="D397" s="125"/>
      <c r="E397" s="126"/>
      <c r="F397" s="126"/>
      <c r="G397" s="127"/>
      <c r="H397" s="127"/>
      <c r="I397" s="127"/>
      <c r="J397" s="25"/>
    </row>
    <row r="398" spans="2:10" ht="15.75" customHeight="1">
      <c r="B398" s="123"/>
      <c r="C398" s="124"/>
      <c r="D398" s="125"/>
      <c r="E398" s="126"/>
      <c r="F398" s="126"/>
      <c r="G398" s="127"/>
      <c r="H398" s="127"/>
      <c r="I398" s="127"/>
      <c r="J398" s="25"/>
    </row>
    <row r="399" spans="2:10" ht="15.75" customHeight="1">
      <c r="B399" s="123"/>
      <c r="C399" s="124"/>
      <c r="D399" s="125"/>
      <c r="E399" s="126"/>
      <c r="F399" s="126"/>
      <c r="G399" s="127"/>
      <c r="H399" s="127"/>
      <c r="I399" s="127"/>
      <c r="J399" s="25"/>
    </row>
    <row r="400" spans="2:10" ht="15.75" customHeight="1">
      <c r="B400" s="123"/>
      <c r="C400" s="124"/>
      <c r="D400" s="125"/>
      <c r="E400" s="126"/>
      <c r="F400" s="126"/>
      <c r="G400" s="127"/>
      <c r="H400" s="127"/>
      <c r="I400" s="127"/>
      <c r="J400" s="25"/>
    </row>
    <row r="401" spans="2:10" ht="15.75" customHeight="1">
      <c r="B401" s="123"/>
      <c r="C401" s="124"/>
      <c r="D401" s="125"/>
      <c r="E401" s="126"/>
      <c r="F401" s="126"/>
      <c r="G401" s="127"/>
      <c r="H401" s="127"/>
      <c r="I401" s="127"/>
      <c r="J401" s="25"/>
    </row>
    <row r="402" spans="2:10" ht="15.75" customHeight="1">
      <c r="B402" s="123"/>
      <c r="C402" s="124"/>
      <c r="D402" s="125"/>
      <c r="E402" s="126"/>
      <c r="F402" s="126"/>
      <c r="G402" s="127"/>
      <c r="H402" s="127"/>
      <c r="I402" s="127"/>
      <c r="J402" s="25"/>
    </row>
    <row r="403" spans="2:10" ht="15.75" customHeight="1">
      <c r="B403" s="123"/>
      <c r="C403" s="124"/>
      <c r="D403" s="125"/>
      <c r="E403" s="126"/>
      <c r="F403" s="126"/>
      <c r="G403" s="127"/>
      <c r="H403" s="127"/>
      <c r="I403" s="127"/>
      <c r="J403" s="25"/>
    </row>
    <row r="404" spans="2:10" ht="15.75" customHeight="1">
      <c r="B404" s="123"/>
      <c r="C404" s="124"/>
      <c r="D404" s="125"/>
      <c r="E404" s="126"/>
      <c r="F404" s="126"/>
      <c r="G404" s="127"/>
      <c r="H404" s="127"/>
      <c r="I404" s="127"/>
      <c r="J404" s="25"/>
    </row>
    <row r="405" spans="2:10" ht="15.75" customHeight="1">
      <c r="B405" s="123"/>
      <c r="C405" s="124"/>
      <c r="D405" s="125"/>
      <c r="E405" s="126"/>
      <c r="F405" s="126"/>
      <c r="G405" s="127"/>
      <c r="H405" s="127"/>
      <c r="I405" s="127"/>
      <c r="J405" s="25"/>
    </row>
    <row r="406" spans="2:10" ht="15.75" customHeight="1">
      <c r="B406" s="123"/>
      <c r="C406" s="124"/>
      <c r="D406" s="125"/>
      <c r="E406" s="126"/>
      <c r="F406" s="126"/>
      <c r="G406" s="127"/>
      <c r="H406" s="127"/>
      <c r="I406" s="127"/>
      <c r="J406" s="25"/>
    </row>
    <row r="407" spans="2:10" ht="15.75" customHeight="1">
      <c r="B407" s="123"/>
      <c r="C407" s="124"/>
      <c r="D407" s="125"/>
      <c r="E407" s="126"/>
      <c r="F407" s="126"/>
      <c r="G407" s="127"/>
      <c r="H407" s="127"/>
      <c r="I407" s="127"/>
      <c r="J407" s="25"/>
    </row>
    <row r="408" spans="2:10" ht="15.75" customHeight="1">
      <c r="B408" s="123"/>
      <c r="C408" s="124"/>
      <c r="D408" s="125"/>
      <c r="E408" s="126"/>
      <c r="F408" s="126"/>
      <c r="G408" s="127"/>
      <c r="H408" s="127"/>
      <c r="I408" s="127"/>
      <c r="J408" s="25"/>
    </row>
    <row r="409" spans="2:10" ht="15.75" customHeight="1">
      <c r="B409" s="123"/>
      <c r="C409" s="124"/>
      <c r="D409" s="125"/>
      <c r="E409" s="126"/>
      <c r="F409" s="126"/>
      <c r="G409" s="127"/>
      <c r="H409" s="127"/>
      <c r="I409" s="127"/>
      <c r="J409" s="25"/>
    </row>
    <row r="410" spans="2:10" ht="15.75" customHeight="1">
      <c r="B410" s="123"/>
      <c r="C410" s="124"/>
      <c r="D410" s="125"/>
      <c r="E410" s="126"/>
      <c r="F410" s="126"/>
      <c r="G410" s="127"/>
      <c r="H410" s="127"/>
      <c r="I410" s="127"/>
      <c r="J410" s="25"/>
    </row>
    <row r="411" spans="2:10" ht="15.75" customHeight="1">
      <c r="B411" s="123"/>
      <c r="C411" s="124"/>
      <c r="D411" s="125"/>
      <c r="E411" s="126"/>
      <c r="F411" s="126"/>
      <c r="G411" s="127"/>
      <c r="H411" s="127"/>
      <c r="I411" s="127"/>
      <c r="J411" s="25"/>
    </row>
    <row r="412" spans="2:10" ht="15.75" customHeight="1">
      <c r="B412" s="123"/>
      <c r="C412" s="124"/>
      <c r="D412" s="125"/>
      <c r="E412" s="126"/>
      <c r="F412" s="126"/>
      <c r="G412" s="127"/>
      <c r="H412" s="127"/>
      <c r="I412" s="127"/>
      <c r="J412" s="25"/>
    </row>
    <row r="413" spans="2:10" ht="15.75" customHeight="1">
      <c r="B413" s="123"/>
      <c r="C413" s="124"/>
      <c r="D413" s="125"/>
      <c r="E413" s="126"/>
      <c r="F413" s="126"/>
      <c r="G413" s="127"/>
      <c r="H413" s="127"/>
      <c r="I413" s="127"/>
      <c r="J413" s="25"/>
    </row>
    <row r="414" spans="2:10" ht="15.75" customHeight="1">
      <c r="B414" s="123"/>
      <c r="C414" s="124"/>
      <c r="D414" s="125"/>
      <c r="E414" s="126"/>
      <c r="F414" s="126"/>
      <c r="G414" s="127"/>
      <c r="H414" s="127"/>
      <c r="I414" s="127"/>
      <c r="J414" s="25"/>
    </row>
    <row r="415" spans="2:10" ht="15.75" customHeight="1">
      <c r="B415" s="123"/>
      <c r="C415" s="124"/>
      <c r="D415" s="125"/>
      <c r="E415" s="126"/>
      <c r="F415" s="126"/>
      <c r="G415" s="127"/>
      <c r="H415" s="127"/>
      <c r="I415" s="127"/>
      <c r="J415" s="25"/>
    </row>
    <row r="416" spans="2:10" ht="15.75" customHeight="1">
      <c r="B416" s="123"/>
      <c r="C416" s="124"/>
      <c r="D416" s="125"/>
      <c r="E416" s="126"/>
      <c r="F416" s="126"/>
      <c r="G416" s="127"/>
      <c r="H416" s="127"/>
      <c r="I416" s="127"/>
      <c r="J416" s="25"/>
    </row>
    <row r="417" spans="2:10" ht="15.75" customHeight="1">
      <c r="B417" s="123"/>
      <c r="C417" s="124"/>
      <c r="D417" s="125"/>
      <c r="E417" s="126"/>
      <c r="F417" s="126"/>
      <c r="G417" s="127"/>
      <c r="H417" s="127"/>
      <c r="I417" s="127"/>
      <c r="J417" s="25"/>
    </row>
    <row r="418" spans="2:10" ht="15.75" customHeight="1">
      <c r="B418" s="123"/>
      <c r="C418" s="124"/>
      <c r="D418" s="125"/>
      <c r="E418" s="126"/>
      <c r="F418" s="126"/>
      <c r="G418" s="127"/>
      <c r="H418" s="127"/>
      <c r="I418" s="127"/>
      <c r="J418" s="25"/>
    </row>
    <row r="419" spans="2:10" ht="15.75" customHeight="1">
      <c r="B419" s="123"/>
      <c r="C419" s="124"/>
      <c r="D419" s="125"/>
      <c r="E419" s="126"/>
      <c r="F419" s="126"/>
      <c r="G419" s="127"/>
      <c r="H419" s="127"/>
      <c r="I419" s="127"/>
      <c r="J419" s="25"/>
    </row>
    <row r="420" spans="2:10" ht="15.75" customHeight="1">
      <c r="B420" s="123"/>
      <c r="C420" s="124"/>
      <c r="D420" s="125"/>
      <c r="E420" s="126"/>
      <c r="F420" s="126"/>
      <c r="G420" s="127"/>
      <c r="H420" s="127"/>
      <c r="I420" s="127"/>
      <c r="J420" s="25"/>
    </row>
    <row r="421" spans="2:10" ht="15.75" customHeight="1">
      <c r="B421" s="123"/>
      <c r="C421" s="124"/>
      <c r="D421" s="125"/>
      <c r="E421" s="126"/>
      <c r="F421" s="126"/>
      <c r="G421" s="127"/>
      <c r="H421" s="127"/>
      <c r="I421" s="127"/>
      <c r="J421" s="25"/>
    </row>
    <row r="422" spans="2:10" ht="15.75" customHeight="1">
      <c r="B422" s="123"/>
      <c r="C422" s="124"/>
      <c r="D422" s="125"/>
      <c r="E422" s="126"/>
      <c r="F422" s="126"/>
      <c r="G422" s="127"/>
      <c r="H422" s="127"/>
      <c r="I422" s="127"/>
      <c r="J422" s="25"/>
    </row>
    <row r="423" spans="2:10" ht="15.75" customHeight="1">
      <c r="B423" s="123"/>
      <c r="C423" s="124"/>
      <c r="D423" s="125"/>
      <c r="E423" s="126"/>
      <c r="F423" s="126"/>
      <c r="G423" s="127"/>
      <c r="H423" s="127"/>
      <c r="I423" s="127"/>
      <c r="J423" s="25"/>
    </row>
    <row r="424" spans="2:10" ht="15.75" customHeight="1">
      <c r="B424" s="123"/>
      <c r="C424" s="124"/>
      <c r="D424" s="125"/>
      <c r="E424" s="126"/>
      <c r="F424" s="126"/>
      <c r="G424" s="127"/>
      <c r="H424" s="127"/>
      <c r="I424" s="127"/>
      <c r="J424" s="25"/>
    </row>
    <row r="425" spans="2:10" ht="15.75" customHeight="1">
      <c r="B425" s="123"/>
      <c r="C425" s="124"/>
      <c r="D425" s="125"/>
      <c r="E425" s="126"/>
      <c r="F425" s="126"/>
      <c r="G425" s="127"/>
      <c r="H425" s="127"/>
      <c r="I425" s="127"/>
      <c r="J425" s="25"/>
    </row>
    <row r="426" spans="2:10" ht="15.75" customHeight="1">
      <c r="B426" s="123"/>
      <c r="C426" s="124"/>
      <c r="D426" s="125"/>
      <c r="E426" s="126"/>
      <c r="F426" s="126"/>
      <c r="G426" s="127"/>
      <c r="H426" s="127"/>
      <c r="I426" s="127"/>
      <c r="J426" s="25"/>
    </row>
    <row r="427" spans="2:10" ht="15.75" customHeight="1">
      <c r="B427" s="123"/>
      <c r="C427" s="124"/>
      <c r="D427" s="125"/>
      <c r="E427" s="126"/>
      <c r="F427" s="126"/>
      <c r="G427" s="127"/>
      <c r="H427" s="127"/>
      <c r="I427" s="127"/>
      <c r="J427" s="25"/>
    </row>
    <row r="428" spans="2:10" ht="15.75" customHeight="1">
      <c r="B428" s="123"/>
      <c r="C428" s="124"/>
      <c r="D428" s="125"/>
      <c r="E428" s="126"/>
      <c r="F428" s="126"/>
      <c r="G428" s="127"/>
      <c r="H428" s="127"/>
      <c r="I428" s="127"/>
      <c r="J428" s="25"/>
    </row>
    <row r="429" spans="2:10" ht="15.75" customHeight="1">
      <c r="B429" s="123"/>
      <c r="C429" s="124"/>
      <c r="D429" s="125"/>
      <c r="E429" s="126"/>
      <c r="F429" s="126"/>
      <c r="G429" s="127"/>
      <c r="H429" s="127"/>
      <c r="I429" s="127"/>
      <c r="J429" s="25"/>
    </row>
    <row r="430" spans="2:10" ht="15.75" customHeight="1">
      <c r="B430" s="123"/>
      <c r="C430" s="124"/>
      <c r="D430" s="125"/>
      <c r="E430" s="126"/>
      <c r="F430" s="126"/>
      <c r="G430" s="127"/>
      <c r="H430" s="127"/>
      <c r="I430" s="127"/>
      <c r="J430" s="25"/>
    </row>
    <row r="431" spans="2:10" ht="15.75" customHeight="1">
      <c r="B431" s="123"/>
      <c r="C431" s="124"/>
      <c r="D431" s="125"/>
      <c r="E431" s="126"/>
      <c r="F431" s="126"/>
      <c r="G431" s="127"/>
      <c r="H431" s="127"/>
      <c r="I431" s="127"/>
      <c r="J431" s="25"/>
    </row>
    <row r="432" spans="2:10" ht="15.75" customHeight="1">
      <c r="B432" s="123"/>
      <c r="C432" s="124"/>
      <c r="D432" s="125"/>
      <c r="E432" s="126"/>
      <c r="F432" s="126"/>
      <c r="G432" s="127"/>
      <c r="H432" s="127"/>
      <c r="I432" s="127"/>
      <c r="J432" s="25"/>
    </row>
    <row r="433" spans="2:10" ht="15.75" customHeight="1">
      <c r="B433" s="123"/>
      <c r="C433" s="124"/>
      <c r="D433" s="125"/>
      <c r="E433" s="126"/>
      <c r="F433" s="126"/>
      <c r="G433" s="127"/>
      <c r="H433" s="127"/>
      <c r="I433" s="127"/>
      <c r="J433" s="25"/>
    </row>
    <row r="434" spans="2:10" ht="15.75" customHeight="1">
      <c r="B434" s="123"/>
      <c r="C434" s="124"/>
      <c r="D434" s="125"/>
      <c r="E434" s="126"/>
      <c r="F434" s="126"/>
      <c r="G434" s="127"/>
      <c r="H434" s="127"/>
      <c r="I434" s="127"/>
      <c r="J434" s="25"/>
    </row>
    <row r="435" spans="2:10" ht="15.75" customHeight="1">
      <c r="B435" s="123"/>
      <c r="C435" s="124"/>
      <c r="D435" s="125"/>
      <c r="E435" s="126"/>
      <c r="F435" s="126"/>
      <c r="G435" s="127"/>
      <c r="H435" s="127"/>
      <c r="I435" s="127"/>
      <c r="J435" s="25"/>
    </row>
    <row r="436" spans="2:10" ht="15.75" customHeight="1">
      <c r="B436" s="123"/>
      <c r="C436" s="124"/>
      <c r="D436" s="125"/>
      <c r="E436" s="126"/>
      <c r="F436" s="126"/>
      <c r="G436" s="127"/>
      <c r="H436" s="127"/>
      <c r="I436" s="127"/>
      <c r="J436" s="25"/>
    </row>
    <row r="437" spans="2:10" ht="15.75" customHeight="1">
      <c r="B437" s="123"/>
      <c r="C437" s="124"/>
      <c r="D437" s="125"/>
      <c r="E437" s="126"/>
      <c r="F437" s="126"/>
      <c r="G437" s="127"/>
      <c r="H437" s="127"/>
      <c r="I437" s="127"/>
      <c r="J437" s="25"/>
    </row>
    <row r="438" spans="2:10" ht="15.75" customHeight="1">
      <c r="B438" s="123"/>
      <c r="C438" s="124"/>
      <c r="D438" s="125"/>
      <c r="E438" s="126"/>
      <c r="F438" s="126"/>
      <c r="G438" s="127"/>
      <c r="H438" s="127"/>
      <c r="I438" s="127"/>
      <c r="J438" s="25"/>
    </row>
    <row r="439" spans="2:10" ht="15.75" customHeight="1">
      <c r="B439" s="123"/>
      <c r="C439" s="124"/>
      <c r="D439" s="125"/>
      <c r="E439" s="126"/>
      <c r="F439" s="126"/>
      <c r="G439" s="127"/>
      <c r="H439" s="127"/>
      <c r="I439" s="127"/>
      <c r="J439" s="25"/>
    </row>
    <row r="440" spans="2:10" ht="15.75" customHeight="1">
      <c r="B440" s="123"/>
      <c r="C440" s="124"/>
      <c r="D440" s="125"/>
      <c r="E440" s="126"/>
      <c r="F440" s="126"/>
      <c r="G440" s="127"/>
      <c r="H440" s="127"/>
      <c r="I440" s="127"/>
      <c r="J440" s="25"/>
    </row>
    <row r="441" spans="2:10" ht="15.75" customHeight="1">
      <c r="B441" s="123"/>
      <c r="C441" s="124"/>
      <c r="D441" s="125"/>
      <c r="E441" s="126"/>
      <c r="F441" s="126"/>
      <c r="G441" s="127"/>
      <c r="H441" s="127"/>
      <c r="I441" s="127"/>
      <c r="J441" s="25"/>
    </row>
    <row r="442" spans="2:10" ht="15.75" customHeight="1">
      <c r="B442" s="123"/>
      <c r="C442" s="124"/>
      <c r="D442" s="125"/>
      <c r="E442" s="126"/>
      <c r="F442" s="126"/>
      <c r="G442" s="127"/>
      <c r="H442" s="127"/>
      <c r="I442" s="127"/>
      <c r="J442" s="25"/>
    </row>
    <row r="443" spans="2:10" ht="15.75" customHeight="1">
      <c r="B443" s="123"/>
      <c r="C443" s="124"/>
      <c r="D443" s="125"/>
      <c r="E443" s="126"/>
      <c r="F443" s="126"/>
      <c r="G443" s="127"/>
      <c r="H443" s="127"/>
      <c r="I443" s="127"/>
      <c r="J443" s="25"/>
    </row>
    <row r="444" spans="2:10" ht="15.75" customHeight="1">
      <c r="B444" s="123"/>
      <c r="C444" s="124"/>
      <c r="D444" s="125"/>
      <c r="E444" s="126"/>
      <c r="F444" s="126"/>
      <c r="G444" s="127"/>
      <c r="H444" s="127"/>
      <c r="I444" s="127"/>
      <c r="J444" s="25"/>
    </row>
    <row r="445" spans="2:10" ht="15.75" customHeight="1">
      <c r="B445" s="123"/>
      <c r="C445" s="124"/>
      <c r="D445" s="125"/>
      <c r="E445" s="126"/>
      <c r="F445" s="126"/>
      <c r="G445" s="127"/>
      <c r="H445" s="127"/>
      <c r="I445" s="127"/>
      <c r="J445" s="25"/>
    </row>
    <row r="446" spans="2:10" ht="15.75" customHeight="1">
      <c r="B446" s="123"/>
      <c r="C446" s="124"/>
      <c r="D446" s="125"/>
      <c r="E446" s="126"/>
      <c r="F446" s="126"/>
      <c r="G446" s="127"/>
      <c r="H446" s="127"/>
      <c r="I446" s="127"/>
      <c r="J446" s="25"/>
    </row>
    <row r="447" spans="2:10" ht="15.75" customHeight="1">
      <c r="B447" s="123"/>
      <c r="C447" s="124"/>
      <c r="D447" s="125"/>
      <c r="E447" s="126"/>
      <c r="F447" s="126"/>
      <c r="G447" s="127"/>
      <c r="H447" s="127"/>
      <c r="I447" s="127"/>
      <c r="J447" s="25"/>
    </row>
    <row r="448" spans="2:10" ht="15.75" customHeight="1">
      <c r="B448" s="123"/>
      <c r="C448" s="124"/>
      <c r="D448" s="125"/>
      <c r="E448" s="126"/>
      <c r="F448" s="126"/>
      <c r="G448" s="127"/>
      <c r="H448" s="127"/>
      <c r="I448" s="127"/>
      <c r="J448" s="25"/>
    </row>
    <row r="449" spans="2:10" ht="15.75" customHeight="1">
      <c r="B449" s="123"/>
      <c r="C449" s="124"/>
      <c r="D449" s="125"/>
      <c r="E449" s="126"/>
      <c r="F449" s="126"/>
      <c r="G449" s="127"/>
      <c r="H449" s="127"/>
      <c r="I449" s="127"/>
      <c r="J449" s="25"/>
    </row>
    <row r="450" spans="2:10" ht="15.75" customHeight="1">
      <c r="B450" s="123"/>
      <c r="C450" s="124"/>
      <c r="D450" s="125"/>
      <c r="E450" s="126"/>
      <c r="F450" s="126"/>
      <c r="G450" s="127"/>
      <c r="H450" s="127"/>
      <c r="I450" s="127"/>
      <c r="J450" s="25"/>
    </row>
    <row r="451" spans="2:10" ht="15.75" customHeight="1">
      <c r="B451" s="123"/>
      <c r="C451" s="124"/>
      <c r="D451" s="125"/>
      <c r="E451" s="126"/>
      <c r="F451" s="126"/>
      <c r="G451" s="127"/>
      <c r="H451" s="127"/>
      <c r="I451" s="127"/>
      <c r="J451" s="25"/>
    </row>
    <row r="452" spans="2:10" ht="15.75" customHeight="1">
      <c r="B452" s="123"/>
      <c r="C452" s="124"/>
      <c r="D452" s="125"/>
      <c r="E452" s="126"/>
      <c r="F452" s="126"/>
      <c r="G452" s="127"/>
      <c r="H452" s="127"/>
      <c r="I452" s="127"/>
      <c r="J452" s="25"/>
    </row>
    <row r="453" spans="2:10" ht="15.75" customHeight="1">
      <c r="B453" s="123"/>
      <c r="C453" s="124"/>
      <c r="D453" s="125"/>
      <c r="E453" s="126"/>
      <c r="F453" s="126"/>
      <c r="G453" s="127"/>
      <c r="H453" s="127"/>
      <c r="I453" s="127"/>
      <c r="J453" s="25"/>
    </row>
    <row r="454" spans="2:10" ht="15.75" customHeight="1">
      <c r="B454" s="123"/>
      <c r="C454" s="124"/>
      <c r="D454" s="125"/>
      <c r="E454" s="126"/>
      <c r="F454" s="126"/>
      <c r="G454" s="127"/>
      <c r="H454" s="127"/>
      <c r="I454" s="127"/>
      <c r="J454" s="25"/>
    </row>
    <row r="455" spans="2:10" ht="15.75" customHeight="1">
      <c r="B455" s="123"/>
      <c r="C455" s="124"/>
      <c r="D455" s="125"/>
      <c r="E455" s="126"/>
      <c r="F455" s="126"/>
      <c r="G455" s="127"/>
      <c r="H455" s="127"/>
      <c r="I455" s="127"/>
      <c r="J455" s="25"/>
    </row>
    <row r="456" spans="2:10" ht="15.75" customHeight="1">
      <c r="B456" s="123"/>
      <c r="C456" s="124"/>
      <c r="D456" s="125"/>
      <c r="E456" s="126"/>
      <c r="F456" s="126"/>
      <c r="G456" s="127"/>
      <c r="H456" s="127"/>
      <c r="I456" s="127"/>
      <c r="J456" s="25"/>
    </row>
    <row r="457" spans="2:10" ht="15.75" customHeight="1">
      <c r="B457" s="123"/>
      <c r="C457" s="124"/>
      <c r="D457" s="125"/>
      <c r="E457" s="126"/>
      <c r="F457" s="126"/>
      <c r="G457" s="127"/>
      <c r="H457" s="127"/>
      <c r="I457" s="127"/>
      <c r="J457" s="25"/>
    </row>
    <row r="458" spans="2:10" ht="15.75" customHeight="1">
      <c r="B458" s="123"/>
      <c r="C458" s="124"/>
      <c r="D458" s="125"/>
      <c r="E458" s="126"/>
      <c r="F458" s="126"/>
      <c r="G458" s="127"/>
      <c r="H458" s="127"/>
      <c r="I458" s="127"/>
      <c r="J458" s="25"/>
    </row>
    <row r="459" spans="2:10" ht="15.75" customHeight="1">
      <c r="B459" s="123"/>
      <c r="C459" s="124"/>
      <c r="D459" s="125"/>
      <c r="E459" s="126"/>
      <c r="F459" s="126"/>
      <c r="G459" s="127"/>
      <c r="H459" s="127"/>
      <c r="I459" s="127"/>
      <c r="J459" s="25"/>
    </row>
    <row r="460" spans="2:10" ht="15.75" customHeight="1">
      <c r="B460" s="123"/>
      <c r="C460" s="124"/>
      <c r="D460" s="125"/>
      <c r="E460" s="126"/>
      <c r="F460" s="126"/>
      <c r="G460" s="127"/>
      <c r="H460" s="127"/>
      <c r="I460" s="127"/>
      <c r="J460" s="25"/>
    </row>
    <row r="461" spans="2:10" ht="15.75" customHeight="1">
      <c r="B461" s="123"/>
      <c r="C461" s="124"/>
      <c r="D461" s="125"/>
      <c r="E461" s="126"/>
      <c r="F461" s="126"/>
      <c r="G461" s="127"/>
      <c r="H461" s="127"/>
      <c r="I461" s="127"/>
      <c r="J461" s="25"/>
    </row>
    <row r="462" spans="2:10" ht="15.75" customHeight="1">
      <c r="B462" s="123"/>
      <c r="C462" s="124"/>
      <c r="D462" s="125"/>
      <c r="E462" s="126"/>
      <c r="F462" s="126"/>
      <c r="G462" s="127"/>
      <c r="H462" s="127"/>
      <c r="I462" s="127"/>
      <c r="J462" s="25"/>
    </row>
    <row r="463" spans="2:10" ht="15.75" customHeight="1">
      <c r="B463" s="123"/>
      <c r="C463" s="124"/>
      <c r="D463" s="125"/>
      <c r="E463" s="126"/>
      <c r="F463" s="126"/>
      <c r="G463" s="127"/>
      <c r="H463" s="127"/>
      <c r="I463" s="127"/>
      <c r="J463" s="25"/>
    </row>
    <row r="464" spans="2:10" ht="15.75" customHeight="1">
      <c r="B464" s="123"/>
      <c r="C464" s="124"/>
      <c r="D464" s="125"/>
      <c r="E464" s="126"/>
      <c r="F464" s="126"/>
      <c r="G464" s="127"/>
      <c r="H464" s="127"/>
      <c r="I464" s="127"/>
      <c r="J464" s="25"/>
    </row>
    <row r="465" spans="2:10" ht="15.75" customHeight="1">
      <c r="B465" s="123"/>
      <c r="C465" s="124"/>
      <c r="D465" s="125"/>
      <c r="E465" s="126"/>
      <c r="F465" s="126"/>
      <c r="G465" s="127"/>
      <c r="H465" s="127"/>
      <c r="I465" s="127"/>
      <c r="J465" s="25"/>
    </row>
    <row r="466" spans="2:10" ht="15.75" customHeight="1">
      <c r="B466" s="123"/>
      <c r="C466" s="124"/>
      <c r="D466" s="125"/>
      <c r="E466" s="126"/>
      <c r="F466" s="126"/>
      <c r="G466" s="127"/>
      <c r="H466" s="127"/>
      <c r="I466" s="127"/>
      <c r="J466" s="25"/>
    </row>
    <row r="467" spans="2:10" ht="15.75" customHeight="1">
      <c r="B467" s="123"/>
      <c r="C467" s="124"/>
      <c r="D467" s="125"/>
      <c r="E467" s="126"/>
      <c r="F467" s="126"/>
      <c r="G467" s="127"/>
      <c r="H467" s="127"/>
      <c r="I467" s="127"/>
      <c r="J467" s="25"/>
    </row>
    <row r="468" spans="2:10" ht="15.75" customHeight="1">
      <c r="B468" s="123"/>
      <c r="C468" s="124"/>
      <c r="D468" s="125"/>
      <c r="E468" s="126"/>
      <c r="F468" s="126"/>
      <c r="G468" s="127"/>
      <c r="H468" s="127"/>
      <c r="I468" s="127"/>
      <c r="J468" s="25"/>
    </row>
    <row r="469" spans="2:10" ht="15.75" customHeight="1">
      <c r="B469" s="123"/>
      <c r="C469" s="124"/>
      <c r="D469" s="125"/>
      <c r="E469" s="126"/>
      <c r="F469" s="126"/>
      <c r="G469" s="127"/>
      <c r="H469" s="127"/>
      <c r="I469" s="127"/>
      <c r="J469" s="25"/>
    </row>
    <row r="470" spans="2:10" ht="15.75" customHeight="1">
      <c r="B470" s="123"/>
      <c r="C470" s="124"/>
      <c r="D470" s="125"/>
      <c r="E470" s="126"/>
      <c r="F470" s="126"/>
      <c r="G470" s="127"/>
      <c r="H470" s="127"/>
      <c r="I470" s="127"/>
      <c r="J470" s="25"/>
    </row>
    <row r="471" spans="2:10" ht="15.75" customHeight="1">
      <c r="B471" s="123"/>
      <c r="C471" s="124"/>
      <c r="D471" s="125"/>
      <c r="E471" s="126"/>
      <c r="F471" s="126"/>
      <c r="G471" s="127"/>
      <c r="H471" s="127"/>
      <c r="I471" s="127"/>
      <c r="J471" s="25"/>
    </row>
    <row r="472" spans="2:10" ht="15.75" customHeight="1">
      <c r="B472" s="123"/>
      <c r="C472" s="124"/>
      <c r="D472" s="125"/>
      <c r="E472" s="126"/>
      <c r="F472" s="126"/>
      <c r="G472" s="127"/>
      <c r="H472" s="127"/>
      <c r="I472" s="127"/>
      <c r="J472" s="25"/>
    </row>
    <row r="473" spans="2:10" ht="15.75" customHeight="1">
      <c r="B473" s="123"/>
      <c r="C473" s="124"/>
      <c r="D473" s="125"/>
      <c r="E473" s="126"/>
      <c r="F473" s="126"/>
      <c r="G473" s="127"/>
      <c r="H473" s="127"/>
      <c r="I473" s="127"/>
      <c r="J473" s="25"/>
    </row>
    <row r="474" spans="2:10" ht="15.75" customHeight="1">
      <c r="B474" s="123"/>
      <c r="C474" s="124"/>
      <c r="D474" s="125"/>
      <c r="E474" s="126"/>
      <c r="F474" s="126"/>
      <c r="G474" s="127"/>
      <c r="H474" s="127"/>
      <c r="I474" s="127"/>
      <c r="J474" s="25"/>
    </row>
    <row r="475" spans="2:10" ht="15.75" customHeight="1">
      <c r="B475" s="123"/>
      <c r="C475" s="124"/>
      <c r="D475" s="125"/>
      <c r="E475" s="126"/>
      <c r="F475" s="126"/>
      <c r="G475" s="127"/>
      <c r="H475" s="127"/>
      <c r="I475" s="127"/>
      <c r="J475" s="25"/>
    </row>
    <row r="476" spans="2:10" ht="15.75" customHeight="1">
      <c r="B476" s="123"/>
      <c r="C476" s="124"/>
      <c r="D476" s="125"/>
      <c r="E476" s="126"/>
      <c r="F476" s="126"/>
      <c r="G476" s="127"/>
      <c r="H476" s="127"/>
      <c r="I476" s="127"/>
      <c r="J476" s="25"/>
    </row>
    <row r="477" spans="2:10" ht="15.75" customHeight="1">
      <c r="B477" s="123"/>
      <c r="C477" s="124"/>
      <c r="D477" s="125"/>
      <c r="E477" s="126"/>
      <c r="F477" s="126"/>
      <c r="G477" s="127"/>
      <c r="H477" s="127"/>
      <c r="I477" s="127"/>
      <c r="J477" s="25"/>
    </row>
    <row r="478" spans="2:10" ht="15.75" customHeight="1">
      <c r="B478" s="123"/>
      <c r="C478" s="124"/>
      <c r="D478" s="125"/>
      <c r="E478" s="126"/>
      <c r="F478" s="126"/>
      <c r="G478" s="127"/>
      <c r="H478" s="127"/>
      <c r="I478" s="127"/>
      <c r="J478" s="25"/>
    </row>
    <row r="479" spans="2:10" ht="15.75" customHeight="1">
      <c r="B479" s="123"/>
      <c r="C479" s="124"/>
      <c r="D479" s="125"/>
      <c r="E479" s="126"/>
      <c r="F479" s="126"/>
      <c r="G479" s="127"/>
      <c r="H479" s="127"/>
      <c r="I479" s="127"/>
      <c r="J479" s="25"/>
    </row>
    <row r="480" spans="2:10" ht="15.75" customHeight="1">
      <c r="B480" s="123"/>
      <c r="C480" s="124"/>
      <c r="D480" s="125"/>
      <c r="E480" s="126"/>
      <c r="F480" s="126"/>
      <c r="G480" s="127"/>
      <c r="H480" s="127"/>
      <c r="I480" s="127"/>
      <c r="J480" s="25"/>
    </row>
    <row r="481" spans="2:10" ht="15.75" customHeight="1">
      <c r="B481" s="123"/>
      <c r="C481" s="124"/>
      <c r="D481" s="125"/>
      <c r="E481" s="126"/>
      <c r="F481" s="126"/>
      <c r="G481" s="127"/>
      <c r="H481" s="127"/>
      <c r="I481" s="127"/>
      <c r="J481" s="25"/>
    </row>
    <row r="482" spans="2:10" ht="15.75" customHeight="1">
      <c r="B482" s="123"/>
      <c r="C482" s="124"/>
      <c r="D482" s="125"/>
      <c r="E482" s="126"/>
      <c r="F482" s="126"/>
      <c r="G482" s="127"/>
      <c r="H482" s="127"/>
      <c r="I482" s="127"/>
      <c r="J482" s="25"/>
    </row>
    <row r="483" spans="2:10" ht="15.75" customHeight="1">
      <c r="B483" s="123"/>
      <c r="C483" s="124"/>
      <c r="D483" s="125"/>
      <c r="E483" s="126"/>
      <c r="F483" s="126"/>
      <c r="G483" s="127"/>
      <c r="H483" s="127"/>
      <c r="I483" s="127"/>
      <c r="J483" s="25"/>
    </row>
    <row r="484" spans="2:10" ht="15.75" customHeight="1">
      <c r="B484" s="123"/>
      <c r="C484" s="124"/>
      <c r="D484" s="125"/>
      <c r="E484" s="126"/>
      <c r="F484" s="126"/>
      <c r="G484" s="127"/>
      <c r="H484" s="127"/>
      <c r="I484" s="127"/>
      <c r="J484" s="25"/>
    </row>
    <row r="485" spans="2:10" ht="15.75" customHeight="1">
      <c r="B485" s="123"/>
      <c r="C485" s="124"/>
      <c r="D485" s="125"/>
      <c r="E485" s="126"/>
      <c r="F485" s="126"/>
      <c r="G485" s="127"/>
      <c r="H485" s="127"/>
      <c r="I485" s="127"/>
      <c r="J485" s="25"/>
    </row>
    <row r="486" spans="2:10" ht="15.75" customHeight="1">
      <c r="B486" s="123"/>
      <c r="C486" s="124"/>
      <c r="D486" s="125"/>
      <c r="E486" s="126"/>
      <c r="F486" s="126"/>
      <c r="G486" s="127"/>
      <c r="H486" s="127"/>
      <c r="I486" s="127"/>
      <c r="J486" s="25"/>
    </row>
    <row r="487" spans="2:10" ht="15.75" customHeight="1">
      <c r="B487" s="123"/>
      <c r="C487" s="124"/>
      <c r="D487" s="125"/>
      <c r="E487" s="126"/>
      <c r="F487" s="126"/>
      <c r="G487" s="127"/>
      <c r="H487" s="127"/>
      <c r="I487" s="127"/>
      <c r="J487" s="25"/>
    </row>
    <row r="488" spans="2:10" ht="15.75" customHeight="1">
      <c r="B488" s="123"/>
      <c r="C488" s="124"/>
      <c r="D488" s="125"/>
      <c r="E488" s="126"/>
      <c r="F488" s="126"/>
      <c r="G488" s="127"/>
      <c r="H488" s="127"/>
      <c r="I488" s="127"/>
      <c r="J488" s="25"/>
    </row>
    <row r="489" spans="2:10" ht="15.75" customHeight="1">
      <c r="B489" s="123"/>
      <c r="C489" s="124"/>
      <c r="D489" s="125"/>
      <c r="E489" s="126"/>
      <c r="F489" s="126"/>
      <c r="G489" s="127"/>
      <c r="H489" s="127"/>
      <c r="I489" s="127"/>
      <c r="J489" s="25"/>
    </row>
    <row r="490" spans="2:10" ht="15.75" customHeight="1">
      <c r="B490" s="123"/>
      <c r="C490" s="124"/>
      <c r="D490" s="125"/>
      <c r="E490" s="126"/>
      <c r="F490" s="126"/>
      <c r="G490" s="127"/>
      <c r="H490" s="127"/>
      <c r="I490" s="127"/>
      <c r="J490" s="25"/>
    </row>
    <row r="491" spans="2:10" ht="15.75" customHeight="1">
      <c r="B491" s="123"/>
      <c r="C491" s="124"/>
      <c r="D491" s="125"/>
      <c r="E491" s="126"/>
      <c r="F491" s="126"/>
      <c r="G491" s="127"/>
      <c r="H491" s="127"/>
      <c r="I491" s="127"/>
      <c r="J491" s="25"/>
    </row>
    <row r="492" spans="2:10" ht="15.75" customHeight="1">
      <c r="B492" s="123"/>
      <c r="C492" s="124"/>
      <c r="D492" s="125"/>
      <c r="E492" s="126"/>
      <c r="F492" s="126"/>
      <c r="G492" s="127"/>
      <c r="H492" s="127"/>
      <c r="I492" s="127"/>
      <c r="J492" s="25"/>
    </row>
    <row r="493" spans="2:10" ht="15.75" customHeight="1">
      <c r="B493" s="123"/>
      <c r="C493" s="124"/>
      <c r="D493" s="125"/>
      <c r="E493" s="126"/>
      <c r="F493" s="126"/>
      <c r="G493" s="127"/>
      <c r="H493" s="127"/>
      <c r="I493" s="127"/>
      <c r="J493" s="25"/>
    </row>
    <row r="494" spans="2:10" ht="15.75" customHeight="1">
      <c r="B494" s="123"/>
      <c r="C494" s="124"/>
      <c r="D494" s="125"/>
      <c r="E494" s="126"/>
      <c r="F494" s="126"/>
      <c r="G494" s="127"/>
      <c r="H494" s="127"/>
      <c r="I494" s="127"/>
      <c r="J494" s="25"/>
    </row>
    <row r="495" spans="2:10" ht="15.75" customHeight="1">
      <c r="B495" s="123"/>
      <c r="C495" s="124"/>
      <c r="D495" s="125"/>
      <c r="E495" s="126"/>
      <c r="F495" s="126"/>
      <c r="G495" s="127"/>
      <c r="H495" s="127"/>
      <c r="I495" s="127"/>
      <c r="J495" s="25"/>
    </row>
    <row r="496" spans="2:10" ht="15.75" customHeight="1">
      <c r="B496" s="123"/>
      <c r="C496" s="124"/>
      <c r="D496" s="125"/>
      <c r="E496" s="126"/>
      <c r="F496" s="126"/>
      <c r="G496" s="127"/>
      <c r="H496" s="127"/>
      <c r="I496" s="127"/>
      <c r="J496" s="25"/>
    </row>
    <row r="497" spans="2:10" ht="15.75" customHeight="1">
      <c r="B497" s="123"/>
      <c r="C497" s="124"/>
      <c r="D497" s="125"/>
      <c r="E497" s="126"/>
      <c r="F497" s="126"/>
      <c r="G497" s="127"/>
      <c r="H497" s="127"/>
      <c r="I497" s="127"/>
      <c r="J497" s="25"/>
    </row>
    <row r="498" spans="2:10" ht="15.75" customHeight="1">
      <c r="B498" s="123"/>
      <c r="C498" s="124"/>
      <c r="D498" s="125"/>
      <c r="E498" s="126"/>
      <c r="F498" s="126"/>
      <c r="G498" s="127"/>
      <c r="H498" s="127"/>
      <c r="I498" s="127"/>
      <c r="J498" s="25"/>
    </row>
    <row r="499" spans="2:10" ht="15.75" customHeight="1">
      <c r="B499" s="123"/>
      <c r="C499" s="124"/>
      <c r="D499" s="125"/>
      <c r="E499" s="126"/>
      <c r="F499" s="126"/>
      <c r="G499" s="127"/>
      <c r="H499" s="127"/>
      <c r="I499" s="127"/>
      <c r="J499" s="25"/>
    </row>
    <row r="500" spans="2:10" ht="15.75" customHeight="1">
      <c r="B500" s="123"/>
      <c r="C500" s="124"/>
      <c r="D500" s="125"/>
      <c r="E500" s="126"/>
      <c r="F500" s="126"/>
      <c r="G500" s="127"/>
      <c r="H500" s="127"/>
      <c r="I500" s="127"/>
      <c r="J500" s="25"/>
    </row>
    <row r="501" spans="2:10" ht="15.75" customHeight="1">
      <c r="B501" s="123"/>
      <c r="C501" s="124"/>
      <c r="D501" s="125"/>
      <c r="E501" s="126"/>
      <c r="F501" s="126"/>
      <c r="G501" s="127"/>
      <c r="H501" s="127"/>
      <c r="I501" s="127"/>
      <c r="J501" s="25"/>
    </row>
    <row r="502" spans="2:10" ht="15.75" customHeight="1">
      <c r="B502" s="123"/>
      <c r="C502" s="124"/>
      <c r="D502" s="125"/>
      <c r="E502" s="126"/>
      <c r="F502" s="126"/>
      <c r="G502" s="127"/>
      <c r="H502" s="127"/>
      <c r="I502" s="127"/>
      <c r="J502" s="25"/>
    </row>
    <row r="503" spans="2:10" ht="15.75" customHeight="1">
      <c r="B503" s="123"/>
      <c r="C503" s="124"/>
      <c r="D503" s="125"/>
      <c r="E503" s="126"/>
      <c r="F503" s="126"/>
      <c r="G503" s="127"/>
      <c r="H503" s="127"/>
      <c r="I503" s="127"/>
      <c r="J503" s="25"/>
    </row>
    <row r="504" spans="2:10" ht="15.75" customHeight="1">
      <c r="B504" s="123"/>
      <c r="C504" s="124"/>
      <c r="D504" s="125"/>
      <c r="E504" s="126"/>
      <c r="F504" s="126"/>
      <c r="G504" s="127"/>
      <c r="H504" s="127"/>
      <c r="I504" s="127"/>
      <c r="J504" s="25"/>
    </row>
    <row r="505" spans="2:10" ht="15.75" customHeight="1">
      <c r="B505" s="123"/>
      <c r="C505" s="124"/>
      <c r="D505" s="125"/>
      <c r="E505" s="126"/>
      <c r="F505" s="126"/>
      <c r="G505" s="127"/>
      <c r="H505" s="127"/>
      <c r="I505" s="127"/>
      <c r="J505" s="25"/>
    </row>
    <row r="506" spans="2:10" ht="15.75" customHeight="1">
      <c r="B506" s="123"/>
      <c r="C506" s="124"/>
      <c r="D506" s="125"/>
      <c r="E506" s="126"/>
      <c r="F506" s="126"/>
      <c r="G506" s="127"/>
      <c r="H506" s="127"/>
      <c r="I506" s="127"/>
      <c r="J506" s="25"/>
    </row>
    <row r="507" spans="2:10" ht="15.75" customHeight="1">
      <c r="B507" s="123"/>
      <c r="C507" s="124"/>
      <c r="D507" s="125"/>
      <c r="E507" s="126"/>
      <c r="F507" s="126"/>
      <c r="G507" s="127"/>
      <c r="H507" s="127"/>
      <c r="I507" s="127"/>
      <c r="J507" s="25"/>
    </row>
    <row r="508" spans="2:10" ht="15.75" customHeight="1">
      <c r="B508" s="123"/>
      <c r="C508" s="124"/>
      <c r="D508" s="125"/>
      <c r="E508" s="126"/>
      <c r="F508" s="126"/>
      <c r="G508" s="127"/>
      <c r="H508" s="127"/>
      <c r="I508" s="127"/>
      <c r="J508" s="25"/>
    </row>
    <row r="509" spans="2:10" ht="15.75" customHeight="1">
      <c r="B509" s="123"/>
      <c r="C509" s="124"/>
      <c r="D509" s="125"/>
      <c r="E509" s="126"/>
      <c r="F509" s="126"/>
      <c r="G509" s="127"/>
      <c r="H509" s="127"/>
      <c r="I509" s="127"/>
      <c r="J509" s="25"/>
    </row>
    <row r="510" spans="2:10" ht="15.75" customHeight="1">
      <c r="B510" s="123"/>
      <c r="C510" s="124"/>
      <c r="D510" s="125"/>
      <c r="E510" s="126"/>
      <c r="F510" s="126"/>
      <c r="G510" s="127"/>
      <c r="H510" s="127"/>
      <c r="I510" s="127"/>
      <c r="J510" s="25"/>
    </row>
    <row r="511" spans="2:10" ht="15.75" customHeight="1">
      <c r="B511" s="123"/>
      <c r="C511" s="124"/>
      <c r="D511" s="125"/>
      <c r="E511" s="126"/>
      <c r="F511" s="126"/>
      <c r="G511" s="127"/>
      <c r="H511" s="127"/>
      <c r="I511" s="127"/>
      <c r="J511" s="25"/>
    </row>
    <row r="512" spans="2:10" ht="15.75" customHeight="1">
      <c r="B512" s="123"/>
      <c r="C512" s="124"/>
      <c r="D512" s="125"/>
      <c r="E512" s="126"/>
      <c r="F512" s="126"/>
      <c r="G512" s="127"/>
      <c r="H512" s="127"/>
      <c r="I512" s="127"/>
      <c r="J512" s="25"/>
    </row>
    <row r="513" spans="2:10" ht="15.75" customHeight="1">
      <c r="B513" s="123"/>
      <c r="C513" s="124"/>
      <c r="D513" s="125"/>
      <c r="E513" s="126"/>
      <c r="F513" s="126"/>
      <c r="G513" s="127"/>
      <c r="H513" s="127"/>
      <c r="I513" s="127"/>
      <c r="J513" s="25"/>
    </row>
    <row r="514" spans="2:10" ht="15.75" customHeight="1">
      <c r="B514" s="123"/>
      <c r="C514" s="124"/>
      <c r="D514" s="125"/>
      <c r="E514" s="126"/>
      <c r="F514" s="126"/>
      <c r="G514" s="127"/>
      <c r="H514" s="127"/>
      <c r="I514" s="127"/>
      <c r="J514" s="25"/>
    </row>
    <row r="515" spans="2:10" ht="15.75" customHeight="1">
      <c r="B515" s="123"/>
      <c r="C515" s="124"/>
      <c r="D515" s="125"/>
      <c r="E515" s="126"/>
      <c r="F515" s="126"/>
      <c r="G515" s="127"/>
      <c r="H515" s="127"/>
      <c r="I515" s="127"/>
      <c r="J515" s="25"/>
    </row>
    <row r="516" spans="2:10" ht="15.75" customHeight="1">
      <c r="B516" s="123"/>
      <c r="C516" s="124"/>
      <c r="D516" s="125"/>
      <c r="E516" s="126"/>
      <c r="F516" s="126"/>
      <c r="G516" s="127"/>
      <c r="H516" s="127"/>
      <c r="I516" s="127"/>
      <c r="J516" s="25"/>
    </row>
    <row r="517" spans="2:10" ht="15.75" customHeight="1">
      <c r="B517" s="123"/>
      <c r="C517" s="124"/>
      <c r="D517" s="125"/>
      <c r="E517" s="126"/>
      <c r="F517" s="126"/>
      <c r="G517" s="127"/>
      <c r="H517" s="127"/>
      <c r="I517" s="127"/>
      <c r="J517" s="25"/>
    </row>
    <row r="518" spans="2:10" ht="15.75" customHeight="1">
      <c r="B518" s="123"/>
      <c r="C518" s="124"/>
      <c r="D518" s="125"/>
      <c r="E518" s="126"/>
      <c r="F518" s="126"/>
      <c r="G518" s="127"/>
      <c r="H518" s="127"/>
      <c r="I518" s="127"/>
      <c r="J518" s="25"/>
    </row>
    <row r="519" spans="2:10" ht="15.75" customHeight="1">
      <c r="B519" s="123"/>
      <c r="C519" s="124"/>
      <c r="D519" s="125"/>
      <c r="E519" s="126"/>
      <c r="F519" s="126"/>
      <c r="G519" s="127"/>
      <c r="H519" s="127"/>
      <c r="I519" s="127"/>
      <c r="J519" s="25"/>
    </row>
    <row r="520" spans="2:10" ht="15.75" customHeight="1">
      <c r="B520" s="123"/>
      <c r="C520" s="124"/>
      <c r="D520" s="125"/>
      <c r="E520" s="126"/>
      <c r="F520" s="126"/>
      <c r="G520" s="127"/>
      <c r="H520" s="127"/>
      <c r="I520" s="127"/>
      <c r="J520" s="25"/>
    </row>
    <row r="521" spans="2:10" ht="15.75" customHeight="1">
      <c r="B521" s="123"/>
      <c r="C521" s="124"/>
      <c r="D521" s="125"/>
      <c r="E521" s="126"/>
      <c r="F521" s="126"/>
      <c r="G521" s="127"/>
      <c r="H521" s="127"/>
      <c r="I521" s="127"/>
      <c r="J521" s="25"/>
    </row>
    <row r="522" spans="2:10" ht="15.75" customHeight="1">
      <c r="B522" s="123"/>
      <c r="C522" s="124"/>
      <c r="D522" s="125"/>
      <c r="E522" s="126"/>
      <c r="F522" s="126"/>
      <c r="G522" s="127"/>
      <c r="H522" s="127"/>
      <c r="I522" s="127"/>
      <c r="J522" s="25"/>
    </row>
    <row r="523" spans="2:10" ht="15.75" customHeight="1">
      <c r="B523" s="123"/>
      <c r="C523" s="124"/>
      <c r="D523" s="125"/>
      <c r="E523" s="126"/>
      <c r="F523" s="126"/>
      <c r="G523" s="127"/>
      <c r="H523" s="127"/>
      <c r="I523" s="127"/>
      <c r="J523" s="25"/>
    </row>
    <row r="524" spans="2:10" ht="15.75" customHeight="1">
      <c r="B524" s="123"/>
      <c r="C524" s="124"/>
      <c r="D524" s="125"/>
      <c r="E524" s="126"/>
      <c r="F524" s="126"/>
      <c r="G524" s="127"/>
      <c r="H524" s="127"/>
      <c r="I524" s="127"/>
      <c r="J524" s="25"/>
    </row>
    <row r="525" spans="2:10" ht="15.75" customHeight="1">
      <c r="B525" s="123"/>
      <c r="C525" s="124"/>
      <c r="D525" s="125"/>
      <c r="E525" s="126"/>
      <c r="F525" s="126"/>
      <c r="G525" s="127"/>
      <c r="H525" s="127"/>
      <c r="I525" s="127"/>
      <c r="J525" s="25"/>
    </row>
    <row r="526" spans="2:10" ht="15.75" customHeight="1">
      <c r="B526" s="123"/>
      <c r="C526" s="124"/>
      <c r="D526" s="125"/>
      <c r="E526" s="126"/>
      <c r="F526" s="126"/>
      <c r="G526" s="127"/>
      <c r="H526" s="127"/>
      <c r="I526" s="127"/>
      <c r="J526" s="25"/>
    </row>
    <row r="527" spans="2:10" ht="15.75" customHeight="1">
      <c r="B527" s="123"/>
      <c r="C527" s="124"/>
      <c r="D527" s="125"/>
      <c r="E527" s="126"/>
      <c r="F527" s="126"/>
      <c r="G527" s="127"/>
      <c r="H527" s="127"/>
      <c r="I527" s="127"/>
      <c r="J527" s="25"/>
    </row>
    <row r="528" spans="2:10" ht="15.75" customHeight="1">
      <c r="B528" s="123"/>
      <c r="C528" s="124"/>
      <c r="D528" s="125"/>
      <c r="E528" s="126"/>
      <c r="F528" s="126"/>
      <c r="G528" s="127"/>
      <c r="H528" s="127"/>
      <c r="I528" s="127"/>
      <c r="J528" s="25"/>
    </row>
    <row r="529" spans="2:10" ht="15.75" customHeight="1">
      <c r="B529" s="123"/>
      <c r="C529" s="124"/>
      <c r="D529" s="125"/>
      <c r="E529" s="126"/>
      <c r="F529" s="126"/>
      <c r="G529" s="127"/>
      <c r="H529" s="127"/>
      <c r="I529" s="127"/>
      <c r="J529" s="25"/>
    </row>
    <row r="530" spans="2:10" ht="15.75" customHeight="1">
      <c r="B530" s="123"/>
      <c r="C530" s="124"/>
      <c r="D530" s="125"/>
      <c r="E530" s="126"/>
      <c r="F530" s="126"/>
      <c r="G530" s="127"/>
      <c r="H530" s="127"/>
      <c r="I530" s="127"/>
      <c r="J530" s="25"/>
    </row>
    <row r="531" spans="2:10" ht="15.75" customHeight="1">
      <c r="B531" s="123"/>
      <c r="C531" s="124"/>
      <c r="D531" s="125"/>
      <c r="E531" s="126"/>
      <c r="F531" s="126"/>
      <c r="G531" s="127"/>
      <c r="H531" s="127"/>
      <c r="I531" s="127"/>
      <c r="J531" s="25"/>
    </row>
    <row r="532" spans="2:10" ht="15.75" customHeight="1">
      <c r="B532" s="123"/>
      <c r="C532" s="124"/>
      <c r="D532" s="125"/>
      <c r="E532" s="126"/>
      <c r="F532" s="126"/>
      <c r="G532" s="127"/>
      <c r="H532" s="127"/>
      <c r="I532" s="127"/>
      <c r="J532" s="25"/>
    </row>
    <row r="533" spans="2:10" ht="15.75" customHeight="1">
      <c r="B533" s="123"/>
      <c r="C533" s="124"/>
      <c r="D533" s="125"/>
      <c r="E533" s="126"/>
      <c r="F533" s="126"/>
      <c r="G533" s="127"/>
      <c r="H533" s="127"/>
      <c r="I533" s="127"/>
      <c r="J533" s="25"/>
    </row>
    <row r="534" spans="2:10" ht="15.75" customHeight="1">
      <c r="B534" s="123"/>
      <c r="C534" s="124"/>
      <c r="D534" s="125"/>
      <c r="E534" s="126"/>
      <c r="F534" s="126"/>
      <c r="G534" s="127"/>
      <c r="H534" s="127"/>
      <c r="I534" s="127"/>
      <c r="J534" s="25"/>
    </row>
    <row r="535" spans="2:10" ht="15.75" customHeight="1">
      <c r="B535" s="123"/>
      <c r="C535" s="124"/>
      <c r="D535" s="125"/>
      <c r="E535" s="126"/>
      <c r="F535" s="126"/>
      <c r="G535" s="127"/>
      <c r="H535" s="127"/>
      <c r="I535" s="127"/>
      <c r="J535" s="25"/>
    </row>
    <row r="536" spans="2:10" ht="15.75" customHeight="1">
      <c r="B536" s="123"/>
      <c r="C536" s="124"/>
      <c r="D536" s="125"/>
      <c r="E536" s="126"/>
      <c r="F536" s="126"/>
      <c r="G536" s="127"/>
      <c r="H536" s="127"/>
      <c r="I536" s="127"/>
      <c r="J536" s="25"/>
    </row>
    <row r="537" spans="2:10" ht="15.75" customHeight="1">
      <c r="B537" s="123"/>
      <c r="C537" s="124"/>
      <c r="D537" s="125"/>
      <c r="E537" s="126"/>
      <c r="F537" s="126"/>
      <c r="G537" s="127"/>
      <c r="H537" s="127"/>
      <c r="I537" s="127"/>
      <c r="J537" s="25"/>
    </row>
    <row r="538" spans="2:10" ht="15.75" customHeight="1">
      <c r="B538" s="123"/>
      <c r="C538" s="124"/>
      <c r="D538" s="125"/>
      <c r="E538" s="126"/>
      <c r="F538" s="126"/>
      <c r="G538" s="127"/>
      <c r="H538" s="127"/>
      <c r="I538" s="127"/>
      <c r="J538" s="25"/>
    </row>
    <row r="539" spans="2:10" ht="15.75" customHeight="1">
      <c r="B539" s="123"/>
      <c r="C539" s="124"/>
      <c r="D539" s="125"/>
      <c r="E539" s="126"/>
      <c r="F539" s="126"/>
      <c r="G539" s="127"/>
      <c r="H539" s="127"/>
      <c r="I539" s="127"/>
      <c r="J539" s="25"/>
    </row>
    <row r="540" spans="2:10" ht="15.75" customHeight="1">
      <c r="B540" s="123"/>
      <c r="C540" s="124"/>
      <c r="D540" s="125"/>
      <c r="E540" s="126"/>
      <c r="F540" s="126"/>
      <c r="G540" s="127"/>
      <c r="H540" s="127"/>
      <c r="I540" s="127"/>
      <c r="J540" s="25"/>
    </row>
    <row r="541" spans="2:10" ht="15.75" customHeight="1">
      <c r="B541" s="123"/>
      <c r="C541" s="124"/>
      <c r="D541" s="125"/>
      <c r="E541" s="126"/>
      <c r="F541" s="126"/>
      <c r="G541" s="127"/>
      <c r="H541" s="127"/>
      <c r="I541" s="127"/>
      <c r="J541" s="25"/>
    </row>
    <row r="542" spans="2:10" ht="15.75" customHeight="1">
      <c r="B542" s="123"/>
      <c r="C542" s="124"/>
      <c r="D542" s="125"/>
      <c r="E542" s="126"/>
      <c r="F542" s="126"/>
      <c r="G542" s="127"/>
      <c r="H542" s="127"/>
      <c r="I542" s="127"/>
      <c r="J542" s="25"/>
    </row>
    <row r="543" spans="2:10" ht="15.75" customHeight="1">
      <c r="B543" s="123"/>
      <c r="C543" s="124"/>
      <c r="D543" s="125"/>
      <c r="E543" s="126"/>
      <c r="F543" s="126"/>
      <c r="G543" s="127"/>
      <c r="H543" s="127"/>
      <c r="I543" s="127"/>
      <c r="J543" s="25"/>
    </row>
    <row r="544" spans="2:10" ht="15.75" customHeight="1">
      <c r="B544" s="123"/>
      <c r="C544" s="124"/>
      <c r="D544" s="125"/>
      <c r="E544" s="126"/>
      <c r="F544" s="126"/>
      <c r="G544" s="127"/>
      <c r="H544" s="127"/>
      <c r="I544" s="127"/>
      <c r="J544" s="25"/>
    </row>
    <row r="545" spans="2:10" ht="15.75" customHeight="1">
      <c r="B545" s="123"/>
      <c r="C545" s="124"/>
      <c r="D545" s="125"/>
      <c r="E545" s="126"/>
      <c r="F545" s="126"/>
      <c r="G545" s="127"/>
      <c r="H545" s="127"/>
      <c r="I545" s="127"/>
      <c r="J545" s="25"/>
    </row>
    <row r="546" spans="2:10" ht="15.75" customHeight="1">
      <c r="B546" s="123"/>
      <c r="C546" s="124"/>
      <c r="D546" s="125"/>
      <c r="E546" s="126"/>
      <c r="F546" s="126"/>
      <c r="G546" s="127"/>
      <c r="H546" s="127"/>
      <c r="I546" s="127"/>
      <c r="J546" s="25"/>
    </row>
    <row r="547" spans="2:10" ht="15.75" customHeight="1">
      <c r="B547" s="123"/>
      <c r="C547" s="124"/>
      <c r="D547" s="125"/>
      <c r="E547" s="126"/>
      <c r="F547" s="126"/>
      <c r="G547" s="127"/>
      <c r="H547" s="127"/>
      <c r="I547" s="127"/>
      <c r="J547" s="25"/>
    </row>
    <row r="548" spans="2:10" ht="15.75" customHeight="1">
      <c r="B548" s="123"/>
      <c r="C548" s="124"/>
      <c r="D548" s="125"/>
      <c r="E548" s="126"/>
      <c r="F548" s="126"/>
      <c r="G548" s="127"/>
      <c r="H548" s="127"/>
      <c r="I548" s="127"/>
      <c r="J548" s="25"/>
    </row>
    <row r="549" spans="2:10" ht="15.75" customHeight="1">
      <c r="B549" s="123"/>
      <c r="C549" s="124"/>
      <c r="D549" s="125"/>
      <c r="E549" s="126"/>
      <c r="F549" s="126"/>
      <c r="G549" s="127"/>
      <c r="H549" s="127"/>
      <c r="I549" s="127"/>
      <c r="J549" s="25"/>
    </row>
    <row r="550" spans="2:10" ht="15.75" customHeight="1">
      <c r="B550" s="123"/>
      <c r="C550" s="124"/>
      <c r="D550" s="125"/>
      <c r="E550" s="126"/>
      <c r="F550" s="126"/>
      <c r="G550" s="127"/>
      <c r="H550" s="127"/>
      <c r="I550" s="127"/>
      <c r="J550" s="25"/>
    </row>
    <row r="551" spans="2:10" ht="15.75" customHeight="1">
      <c r="B551" s="123"/>
      <c r="C551" s="124"/>
      <c r="D551" s="125"/>
      <c r="E551" s="126"/>
      <c r="F551" s="126"/>
      <c r="G551" s="127"/>
      <c r="H551" s="127"/>
      <c r="I551" s="127"/>
      <c r="J551" s="25"/>
    </row>
    <row r="552" spans="2:10" ht="15.75" customHeight="1">
      <c r="B552" s="123"/>
      <c r="C552" s="124"/>
      <c r="D552" s="125"/>
      <c r="E552" s="126"/>
      <c r="F552" s="126"/>
      <c r="G552" s="127"/>
      <c r="H552" s="127"/>
      <c r="I552" s="127"/>
      <c r="J552" s="25"/>
    </row>
    <row r="553" spans="2:10" ht="15.75" customHeight="1">
      <c r="B553" s="123"/>
      <c r="C553" s="124"/>
      <c r="D553" s="125"/>
      <c r="E553" s="126"/>
      <c r="F553" s="126"/>
      <c r="G553" s="127"/>
      <c r="H553" s="127"/>
      <c r="I553" s="127"/>
      <c r="J553" s="25"/>
    </row>
    <row r="554" spans="2:10" ht="15.75" customHeight="1">
      <c r="B554" s="123"/>
      <c r="C554" s="124"/>
      <c r="D554" s="125"/>
      <c r="E554" s="126"/>
      <c r="F554" s="126"/>
      <c r="G554" s="127"/>
      <c r="H554" s="127"/>
      <c r="I554" s="127"/>
      <c r="J554" s="25"/>
    </row>
    <row r="555" spans="2:10" ht="15.75" customHeight="1">
      <c r="B555" s="123"/>
      <c r="C555" s="124"/>
      <c r="D555" s="125"/>
      <c r="E555" s="126"/>
      <c r="F555" s="126"/>
      <c r="G555" s="127"/>
      <c r="H555" s="127"/>
      <c r="I555" s="127"/>
      <c r="J555" s="25"/>
    </row>
    <row r="556" spans="2:10" ht="15.75" customHeight="1">
      <c r="B556" s="123"/>
      <c r="C556" s="124"/>
      <c r="D556" s="125"/>
      <c r="E556" s="126"/>
      <c r="F556" s="126"/>
      <c r="G556" s="127"/>
      <c r="H556" s="127"/>
      <c r="I556" s="127"/>
      <c r="J556" s="25"/>
    </row>
    <row r="557" spans="2:10" ht="15.75" customHeight="1">
      <c r="B557" s="123"/>
      <c r="C557" s="124"/>
      <c r="D557" s="125"/>
      <c r="E557" s="126"/>
      <c r="F557" s="126"/>
      <c r="G557" s="127"/>
      <c r="H557" s="127"/>
      <c r="I557" s="127"/>
      <c r="J557" s="25"/>
    </row>
    <row r="558" spans="2:10" ht="15.75" customHeight="1">
      <c r="B558" s="123"/>
      <c r="C558" s="124"/>
      <c r="D558" s="125"/>
      <c r="E558" s="126"/>
      <c r="F558" s="126"/>
      <c r="G558" s="127"/>
      <c r="H558" s="127"/>
      <c r="I558" s="127"/>
      <c r="J558" s="25"/>
    </row>
    <row r="559" spans="2:10" ht="15.75" customHeight="1">
      <c r="B559" s="123"/>
      <c r="C559" s="124"/>
      <c r="D559" s="125"/>
      <c r="E559" s="126"/>
      <c r="F559" s="126"/>
      <c r="G559" s="127"/>
      <c r="H559" s="127"/>
      <c r="I559" s="127"/>
      <c r="J559" s="25"/>
    </row>
    <row r="560" spans="2:10" ht="15.75" customHeight="1">
      <c r="B560" s="123"/>
      <c r="C560" s="124"/>
      <c r="D560" s="125"/>
      <c r="E560" s="126"/>
      <c r="F560" s="126"/>
      <c r="G560" s="127"/>
      <c r="H560" s="127"/>
      <c r="I560" s="127"/>
      <c r="J560" s="25"/>
    </row>
    <row r="561" spans="2:10" ht="15.75" customHeight="1">
      <c r="B561" s="123"/>
      <c r="C561" s="124"/>
      <c r="D561" s="125"/>
      <c r="E561" s="126"/>
      <c r="F561" s="126"/>
      <c r="G561" s="127"/>
      <c r="H561" s="127"/>
      <c r="I561" s="127"/>
      <c r="J561" s="25"/>
    </row>
    <row r="562" spans="2:10" ht="15.75" customHeight="1">
      <c r="B562" s="123"/>
      <c r="C562" s="124"/>
      <c r="D562" s="125"/>
      <c r="E562" s="126"/>
      <c r="F562" s="126"/>
      <c r="G562" s="127"/>
      <c r="H562" s="127"/>
      <c r="I562" s="127"/>
      <c r="J562" s="25"/>
    </row>
    <row r="563" spans="2:10" ht="15.75" customHeight="1">
      <c r="B563" s="123"/>
      <c r="C563" s="124"/>
      <c r="D563" s="125"/>
      <c r="E563" s="126"/>
      <c r="F563" s="126"/>
      <c r="G563" s="127"/>
      <c r="H563" s="127"/>
      <c r="I563" s="127"/>
      <c r="J563" s="25"/>
    </row>
    <row r="564" spans="2:10" ht="15.75" customHeight="1">
      <c r="B564" s="123"/>
      <c r="C564" s="124"/>
      <c r="D564" s="125"/>
      <c r="E564" s="126"/>
      <c r="F564" s="126"/>
      <c r="G564" s="127"/>
      <c r="H564" s="127"/>
      <c r="I564" s="127"/>
      <c r="J564" s="25"/>
    </row>
    <row r="565" spans="2:10" ht="15.75" customHeight="1">
      <c r="B565" s="123"/>
      <c r="C565" s="124"/>
      <c r="D565" s="125"/>
      <c r="E565" s="126"/>
      <c r="F565" s="126"/>
      <c r="G565" s="127"/>
      <c r="H565" s="127"/>
      <c r="I565" s="127"/>
      <c r="J565" s="25"/>
    </row>
    <row r="566" spans="2:10" ht="15.75" customHeight="1">
      <c r="B566" s="123"/>
      <c r="C566" s="124"/>
      <c r="D566" s="125"/>
      <c r="E566" s="126"/>
      <c r="F566" s="126"/>
      <c r="G566" s="127"/>
      <c r="H566" s="127"/>
      <c r="I566" s="127"/>
      <c r="J566" s="25"/>
    </row>
    <row r="567" spans="2:10" ht="15.75" customHeight="1">
      <c r="B567" s="123"/>
      <c r="C567" s="124"/>
      <c r="D567" s="125"/>
      <c r="E567" s="126"/>
      <c r="F567" s="126"/>
      <c r="G567" s="127"/>
      <c r="H567" s="127"/>
      <c r="I567" s="127"/>
      <c r="J567" s="25"/>
    </row>
    <row r="568" spans="2:10" ht="15.75" customHeight="1">
      <c r="B568" s="123"/>
      <c r="C568" s="124"/>
      <c r="D568" s="125"/>
      <c r="E568" s="126"/>
      <c r="F568" s="126"/>
      <c r="G568" s="127"/>
      <c r="H568" s="127"/>
      <c r="I568" s="127"/>
      <c r="J568" s="25"/>
    </row>
    <row r="569" spans="2:10" ht="15.75" customHeight="1">
      <c r="B569" s="123"/>
      <c r="C569" s="124"/>
      <c r="D569" s="125"/>
      <c r="E569" s="126"/>
      <c r="F569" s="126"/>
      <c r="G569" s="127"/>
      <c r="H569" s="127"/>
      <c r="I569" s="127"/>
      <c r="J569" s="25"/>
    </row>
    <row r="570" spans="2:10" ht="15.75" customHeight="1">
      <c r="B570" s="123"/>
      <c r="C570" s="124"/>
      <c r="D570" s="125"/>
      <c r="E570" s="126"/>
      <c r="F570" s="126"/>
      <c r="G570" s="127"/>
      <c r="H570" s="127"/>
      <c r="I570" s="127"/>
      <c r="J570" s="25"/>
    </row>
    <row r="571" spans="2:10" ht="15.75" customHeight="1">
      <c r="B571" s="123"/>
      <c r="C571" s="124"/>
      <c r="D571" s="125"/>
      <c r="E571" s="126"/>
      <c r="F571" s="126"/>
      <c r="G571" s="127"/>
      <c r="H571" s="127"/>
      <c r="I571" s="127"/>
      <c r="J571" s="25"/>
    </row>
    <row r="572" spans="2:10" ht="15.75" customHeight="1">
      <c r="B572" s="123"/>
      <c r="C572" s="124"/>
      <c r="D572" s="125"/>
      <c r="E572" s="126"/>
      <c r="F572" s="126"/>
      <c r="G572" s="127"/>
      <c r="H572" s="127"/>
      <c r="I572" s="127"/>
      <c r="J572" s="25"/>
    </row>
    <row r="573" spans="2:10" ht="15.75" customHeight="1">
      <c r="B573" s="123"/>
      <c r="C573" s="124"/>
      <c r="D573" s="125"/>
      <c r="E573" s="126"/>
      <c r="F573" s="126"/>
      <c r="G573" s="127"/>
      <c r="H573" s="127"/>
      <c r="I573" s="127"/>
      <c r="J573" s="25"/>
    </row>
    <row r="574" spans="2:10" ht="15.75" customHeight="1">
      <c r="B574" s="123"/>
      <c r="C574" s="124"/>
      <c r="D574" s="125"/>
      <c r="E574" s="126"/>
      <c r="F574" s="126"/>
      <c r="G574" s="127"/>
      <c r="H574" s="127"/>
      <c r="I574" s="127"/>
      <c r="J574" s="25"/>
    </row>
    <row r="575" spans="2:10" ht="15.75" customHeight="1">
      <c r="B575" s="123"/>
      <c r="C575" s="124"/>
      <c r="D575" s="125"/>
      <c r="E575" s="126"/>
      <c r="F575" s="126"/>
      <c r="G575" s="127"/>
      <c r="H575" s="127"/>
      <c r="I575" s="127"/>
      <c r="J575" s="25"/>
    </row>
    <row r="576" spans="2:10" ht="15.75" customHeight="1">
      <c r="B576" s="123"/>
      <c r="C576" s="124"/>
      <c r="D576" s="125"/>
      <c r="E576" s="126"/>
      <c r="F576" s="126"/>
      <c r="G576" s="127"/>
      <c r="H576" s="127"/>
      <c r="I576" s="127"/>
      <c r="J576" s="25"/>
    </row>
    <row r="577" spans="2:10" ht="15.75" customHeight="1">
      <c r="B577" s="123"/>
      <c r="C577" s="124"/>
      <c r="D577" s="125"/>
      <c r="E577" s="126"/>
      <c r="F577" s="126"/>
      <c r="G577" s="127"/>
      <c r="H577" s="127"/>
      <c r="I577" s="127"/>
      <c r="J577" s="25"/>
    </row>
    <row r="578" spans="2:10" ht="15.75" customHeight="1">
      <c r="B578" s="123"/>
      <c r="C578" s="124"/>
      <c r="D578" s="125"/>
      <c r="E578" s="126"/>
      <c r="F578" s="126"/>
      <c r="G578" s="127"/>
      <c r="H578" s="127"/>
      <c r="I578" s="127"/>
      <c r="J578" s="25"/>
    </row>
    <row r="579" spans="2:10" ht="15.75" customHeight="1">
      <c r="B579" s="123"/>
      <c r="C579" s="124"/>
      <c r="D579" s="125"/>
      <c r="E579" s="126"/>
      <c r="F579" s="126"/>
      <c r="G579" s="127"/>
      <c r="H579" s="127"/>
      <c r="I579" s="127"/>
      <c r="J579" s="25"/>
    </row>
    <row r="580" spans="2:10" ht="15.75" customHeight="1">
      <c r="B580" s="123"/>
      <c r="C580" s="124"/>
      <c r="D580" s="125"/>
      <c r="E580" s="126"/>
      <c r="F580" s="126"/>
      <c r="G580" s="127"/>
      <c r="H580" s="127"/>
      <c r="I580" s="127"/>
      <c r="J580" s="25"/>
    </row>
    <row r="581" spans="2:10" ht="15.75" customHeight="1">
      <c r="B581" s="123"/>
      <c r="C581" s="124"/>
      <c r="D581" s="125"/>
      <c r="E581" s="126"/>
      <c r="F581" s="126"/>
      <c r="G581" s="127"/>
      <c r="H581" s="127"/>
      <c r="I581" s="127"/>
      <c r="J581" s="25"/>
    </row>
    <row r="582" spans="2:10" ht="15.75" customHeight="1">
      <c r="B582" s="123"/>
      <c r="C582" s="124"/>
      <c r="D582" s="125"/>
      <c r="E582" s="126"/>
      <c r="F582" s="126"/>
      <c r="G582" s="127"/>
      <c r="H582" s="127"/>
      <c r="I582" s="127"/>
      <c r="J582" s="25"/>
    </row>
    <row r="583" spans="2:10" ht="15.75" customHeight="1">
      <c r="B583" s="123"/>
      <c r="C583" s="124"/>
      <c r="D583" s="125"/>
      <c r="E583" s="126"/>
      <c r="F583" s="126"/>
      <c r="G583" s="127"/>
      <c r="H583" s="127"/>
      <c r="I583" s="127"/>
      <c r="J583" s="25"/>
    </row>
    <row r="584" spans="2:10" ht="15.75" customHeight="1">
      <c r="B584" s="123"/>
      <c r="C584" s="124"/>
      <c r="D584" s="125"/>
      <c r="E584" s="126"/>
      <c r="F584" s="126"/>
      <c r="G584" s="127"/>
      <c r="H584" s="127"/>
      <c r="I584" s="127"/>
      <c r="J584" s="25"/>
    </row>
    <row r="585" spans="2:10" ht="15.75" customHeight="1">
      <c r="B585" s="123"/>
      <c r="C585" s="124"/>
      <c r="D585" s="125"/>
      <c r="E585" s="126"/>
      <c r="F585" s="126"/>
      <c r="G585" s="127"/>
      <c r="H585" s="127"/>
      <c r="I585" s="127"/>
      <c r="J585" s="25"/>
    </row>
    <row r="586" spans="2:10" ht="15.75" customHeight="1">
      <c r="B586" s="123"/>
      <c r="C586" s="124"/>
      <c r="D586" s="125"/>
      <c r="E586" s="126"/>
      <c r="F586" s="126"/>
      <c r="G586" s="127"/>
      <c r="H586" s="127"/>
      <c r="I586" s="127"/>
      <c r="J586" s="25"/>
    </row>
    <row r="587" spans="2:10" ht="15.75" customHeight="1">
      <c r="B587" s="123"/>
      <c r="C587" s="124"/>
      <c r="D587" s="125"/>
      <c r="E587" s="126"/>
      <c r="F587" s="126"/>
      <c r="G587" s="127"/>
      <c r="H587" s="127"/>
      <c r="I587" s="127"/>
      <c r="J587" s="25"/>
    </row>
    <row r="588" spans="2:10" ht="15.75" customHeight="1">
      <c r="B588" s="123"/>
      <c r="C588" s="124"/>
      <c r="D588" s="125"/>
      <c r="E588" s="126"/>
      <c r="F588" s="126"/>
      <c r="G588" s="127"/>
      <c r="H588" s="127"/>
      <c r="I588" s="127"/>
      <c r="J588" s="25"/>
    </row>
    <row r="589" spans="2:10" ht="15.75" customHeight="1">
      <c r="B589" s="123"/>
      <c r="C589" s="124"/>
      <c r="D589" s="125"/>
      <c r="E589" s="126"/>
      <c r="F589" s="126"/>
      <c r="G589" s="127"/>
      <c r="H589" s="127"/>
      <c r="I589" s="127"/>
      <c r="J589" s="25"/>
    </row>
    <row r="590" spans="2:10" ht="15.75" customHeight="1">
      <c r="B590" s="123"/>
      <c r="C590" s="124"/>
      <c r="D590" s="125"/>
      <c r="E590" s="126"/>
      <c r="F590" s="126"/>
      <c r="G590" s="127"/>
      <c r="H590" s="127"/>
      <c r="I590" s="127"/>
      <c r="J590" s="25"/>
    </row>
    <row r="591" spans="2:10" ht="15.75" customHeight="1">
      <c r="B591" s="123"/>
      <c r="C591" s="124"/>
      <c r="D591" s="125"/>
      <c r="E591" s="126"/>
      <c r="F591" s="126"/>
      <c r="G591" s="127"/>
      <c r="H591" s="127"/>
      <c r="I591" s="127"/>
      <c r="J591" s="25"/>
    </row>
    <row r="592" spans="2:10" ht="15.75" customHeight="1">
      <c r="B592" s="123"/>
      <c r="C592" s="124"/>
      <c r="D592" s="125"/>
      <c r="E592" s="126"/>
      <c r="F592" s="126"/>
      <c r="G592" s="127"/>
      <c r="H592" s="127"/>
      <c r="I592" s="127"/>
      <c r="J592" s="25"/>
    </row>
    <row r="593" spans="2:10" ht="15.75" customHeight="1">
      <c r="B593" s="123"/>
      <c r="C593" s="124"/>
      <c r="D593" s="125"/>
      <c r="E593" s="126"/>
      <c r="F593" s="126"/>
      <c r="G593" s="127"/>
      <c r="H593" s="127"/>
      <c r="I593" s="127"/>
      <c r="J593" s="25"/>
    </row>
    <row r="594" spans="2:10" ht="15.75" customHeight="1">
      <c r="B594" s="123"/>
      <c r="C594" s="124"/>
      <c r="D594" s="125"/>
      <c r="E594" s="126"/>
      <c r="F594" s="126"/>
      <c r="G594" s="127"/>
      <c r="H594" s="127"/>
      <c r="I594" s="127"/>
      <c r="J594" s="25"/>
    </row>
    <row r="595" spans="2:10" ht="15.75" customHeight="1">
      <c r="B595" s="123"/>
      <c r="C595" s="124"/>
      <c r="D595" s="125"/>
      <c r="E595" s="126"/>
      <c r="F595" s="126"/>
      <c r="G595" s="127"/>
      <c r="H595" s="127"/>
      <c r="I595" s="127"/>
      <c r="J595" s="25"/>
    </row>
    <row r="596" spans="2:10" ht="15.75" customHeight="1">
      <c r="B596" s="123"/>
      <c r="C596" s="124"/>
      <c r="D596" s="125"/>
      <c r="E596" s="126"/>
      <c r="F596" s="126"/>
      <c r="G596" s="127"/>
      <c r="H596" s="127"/>
      <c r="I596" s="127"/>
      <c r="J596" s="25"/>
    </row>
    <row r="597" spans="2:10" ht="15.75" customHeight="1">
      <c r="B597" s="123"/>
      <c r="C597" s="124"/>
      <c r="D597" s="125"/>
      <c r="E597" s="126"/>
      <c r="F597" s="126"/>
      <c r="G597" s="127"/>
      <c r="H597" s="127"/>
      <c r="I597" s="127"/>
      <c r="J597" s="25"/>
    </row>
    <row r="598" spans="2:10" ht="15.75" customHeight="1">
      <c r="B598" s="123"/>
      <c r="C598" s="124"/>
      <c r="D598" s="125"/>
      <c r="E598" s="126"/>
      <c r="F598" s="126"/>
      <c r="G598" s="127"/>
      <c r="H598" s="127"/>
      <c r="I598" s="127"/>
      <c r="J598" s="25"/>
    </row>
    <row r="599" spans="2:10" ht="15.75" customHeight="1">
      <c r="B599" s="123"/>
      <c r="C599" s="124"/>
      <c r="D599" s="125"/>
      <c r="E599" s="126"/>
      <c r="F599" s="126"/>
      <c r="G599" s="127"/>
      <c r="H599" s="127"/>
      <c r="I599" s="127"/>
      <c r="J599" s="25"/>
    </row>
    <row r="600" spans="2:10" ht="15.75" customHeight="1">
      <c r="B600" s="123"/>
      <c r="C600" s="124"/>
      <c r="D600" s="125"/>
      <c r="E600" s="126"/>
      <c r="F600" s="126"/>
      <c r="G600" s="127"/>
      <c r="H600" s="127"/>
      <c r="I600" s="127"/>
      <c r="J600" s="25"/>
    </row>
    <row r="601" spans="2:10" ht="15.75" customHeight="1">
      <c r="B601" s="123"/>
      <c r="C601" s="124"/>
      <c r="D601" s="125"/>
      <c r="E601" s="126"/>
      <c r="F601" s="126"/>
      <c r="G601" s="127"/>
      <c r="H601" s="127"/>
      <c r="I601" s="127"/>
      <c r="J601" s="25"/>
    </row>
    <row r="602" spans="2:10" ht="15.75" customHeight="1">
      <c r="B602" s="123"/>
      <c r="C602" s="124"/>
      <c r="D602" s="125"/>
      <c r="E602" s="126"/>
      <c r="F602" s="126"/>
      <c r="G602" s="127"/>
      <c r="H602" s="127"/>
      <c r="I602" s="127"/>
      <c r="J602" s="25"/>
    </row>
    <row r="603" spans="2:10" ht="15.75" customHeight="1">
      <c r="B603" s="123"/>
      <c r="C603" s="124"/>
      <c r="D603" s="125"/>
      <c r="E603" s="126"/>
      <c r="F603" s="126"/>
      <c r="G603" s="127"/>
      <c r="H603" s="127"/>
      <c r="I603" s="127"/>
      <c r="J603" s="25"/>
    </row>
    <row r="604" spans="2:10" ht="15.75" customHeight="1">
      <c r="B604" s="123"/>
      <c r="C604" s="124"/>
      <c r="D604" s="125"/>
      <c r="E604" s="126"/>
      <c r="F604" s="126"/>
      <c r="G604" s="127"/>
      <c r="H604" s="127"/>
      <c r="I604" s="127"/>
      <c r="J604" s="25"/>
    </row>
    <row r="605" spans="2:10" ht="15.75" customHeight="1">
      <c r="B605" s="123"/>
      <c r="C605" s="124"/>
      <c r="D605" s="125"/>
      <c r="E605" s="126"/>
      <c r="F605" s="126"/>
      <c r="G605" s="127"/>
      <c r="H605" s="127"/>
      <c r="I605" s="127"/>
      <c r="J605" s="25"/>
    </row>
    <row r="606" spans="2:10" ht="15.75" customHeight="1">
      <c r="B606" s="123"/>
      <c r="C606" s="124"/>
      <c r="D606" s="125"/>
      <c r="E606" s="126"/>
      <c r="F606" s="126"/>
      <c r="G606" s="127"/>
      <c r="H606" s="127"/>
      <c r="I606" s="127"/>
      <c r="J606" s="25"/>
    </row>
    <row r="607" spans="2:10" ht="15.75" customHeight="1">
      <c r="B607" s="123"/>
      <c r="C607" s="124"/>
      <c r="D607" s="125"/>
      <c r="E607" s="126"/>
      <c r="F607" s="126"/>
      <c r="G607" s="127"/>
      <c r="H607" s="127"/>
      <c r="I607" s="127"/>
      <c r="J607" s="25"/>
    </row>
    <row r="608" spans="2:10" ht="15.75" customHeight="1">
      <c r="B608" s="123"/>
      <c r="C608" s="124"/>
      <c r="D608" s="125"/>
      <c r="E608" s="126"/>
      <c r="F608" s="126"/>
      <c r="G608" s="127"/>
      <c r="H608" s="127"/>
      <c r="I608" s="127"/>
      <c r="J608" s="25"/>
    </row>
    <row r="609" spans="2:10" ht="15.75" customHeight="1">
      <c r="B609" s="123"/>
      <c r="C609" s="124"/>
      <c r="D609" s="125"/>
      <c r="E609" s="126"/>
      <c r="F609" s="126"/>
      <c r="G609" s="127"/>
      <c r="H609" s="127"/>
      <c r="I609" s="127"/>
      <c r="J609" s="25"/>
    </row>
    <row r="610" spans="2:10" ht="15.75" customHeight="1">
      <c r="B610" s="123"/>
      <c r="C610" s="124"/>
      <c r="D610" s="125"/>
      <c r="E610" s="126"/>
      <c r="F610" s="126"/>
      <c r="G610" s="127"/>
      <c r="H610" s="127"/>
      <c r="I610" s="127"/>
      <c r="J610" s="25"/>
    </row>
    <row r="611" spans="2:10" ht="15.75" customHeight="1">
      <c r="B611" s="123"/>
      <c r="C611" s="124"/>
      <c r="D611" s="125"/>
      <c r="E611" s="126"/>
      <c r="F611" s="126"/>
      <c r="G611" s="127"/>
      <c r="H611" s="127"/>
      <c r="I611" s="127"/>
      <c r="J611" s="25"/>
    </row>
    <row r="612" spans="2:10" ht="15.75" customHeight="1">
      <c r="B612" s="123"/>
      <c r="C612" s="124"/>
      <c r="D612" s="125"/>
      <c r="E612" s="126"/>
      <c r="F612" s="126"/>
      <c r="G612" s="127"/>
      <c r="H612" s="127"/>
      <c r="I612" s="127"/>
      <c r="J612" s="25"/>
    </row>
    <row r="613" spans="2:10" ht="15.75" customHeight="1">
      <c r="B613" s="123"/>
      <c r="C613" s="124"/>
      <c r="D613" s="125"/>
      <c r="E613" s="126"/>
      <c r="F613" s="126"/>
      <c r="G613" s="127"/>
      <c r="H613" s="127"/>
      <c r="I613" s="127"/>
      <c r="J613" s="25"/>
    </row>
    <row r="614" spans="2:10" ht="15.75" customHeight="1">
      <c r="B614" s="123"/>
      <c r="C614" s="124"/>
      <c r="D614" s="125"/>
      <c r="E614" s="126"/>
      <c r="F614" s="126"/>
      <c r="G614" s="127"/>
      <c r="H614" s="127"/>
      <c r="I614" s="127"/>
      <c r="J614" s="25"/>
    </row>
    <row r="615" spans="2:10" ht="15.75" customHeight="1">
      <c r="B615" s="123"/>
      <c r="C615" s="124"/>
      <c r="D615" s="125"/>
      <c r="E615" s="126"/>
      <c r="F615" s="126"/>
      <c r="G615" s="127"/>
      <c r="H615" s="127"/>
      <c r="I615" s="127"/>
      <c r="J615" s="25"/>
    </row>
    <row r="616" spans="2:10" ht="15.75" customHeight="1">
      <c r="B616" s="123"/>
      <c r="C616" s="124"/>
      <c r="D616" s="125"/>
      <c r="E616" s="126"/>
      <c r="F616" s="126"/>
      <c r="G616" s="127"/>
      <c r="H616" s="127"/>
      <c r="I616" s="127"/>
      <c r="J616" s="25"/>
    </row>
    <row r="617" spans="2:10" ht="15.75" customHeight="1">
      <c r="B617" s="123"/>
      <c r="C617" s="124"/>
      <c r="D617" s="125"/>
      <c r="E617" s="126"/>
      <c r="F617" s="126"/>
      <c r="G617" s="127"/>
      <c r="H617" s="127"/>
      <c r="I617" s="127"/>
      <c r="J617" s="25"/>
    </row>
    <row r="618" spans="2:10" ht="15.75" customHeight="1">
      <c r="B618" s="123"/>
      <c r="C618" s="124"/>
      <c r="D618" s="125"/>
      <c r="E618" s="126"/>
      <c r="F618" s="126"/>
      <c r="G618" s="127"/>
      <c r="H618" s="127"/>
      <c r="I618" s="127"/>
      <c r="J618" s="25"/>
    </row>
    <row r="619" spans="2:10" ht="15.75" customHeight="1">
      <c r="B619" s="123"/>
      <c r="C619" s="124"/>
      <c r="D619" s="125"/>
      <c r="E619" s="126"/>
      <c r="F619" s="126"/>
      <c r="G619" s="127"/>
      <c r="H619" s="127"/>
      <c r="I619" s="127"/>
      <c r="J619" s="25"/>
    </row>
    <row r="620" spans="2:10" ht="15.75" customHeight="1">
      <c r="B620" s="123"/>
      <c r="C620" s="124"/>
      <c r="D620" s="125"/>
      <c r="E620" s="126"/>
      <c r="F620" s="126"/>
      <c r="G620" s="127"/>
      <c r="H620" s="127"/>
      <c r="I620" s="127"/>
      <c r="J620" s="25"/>
    </row>
    <row r="621" spans="2:10" ht="15.75" customHeight="1">
      <c r="B621" s="123"/>
      <c r="C621" s="124"/>
      <c r="D621" s="125"/>
      <c r="E621" s="126"/>
      <c r="F621" s="126"/>
      <c r="G621" s="127"/>
      <c r="H621" s="127"/>
      <c r="I621" s="127"/>
      <c r="J621" s="25"/>
    </row>
    <row r="622" spans="2:10" ht="15.75" customHeight="1">
      <c r="B622" s="123"/>
      <c r="C622" s="124"/>
      <c r="D622" s="125"/>
      <c r="E622" s="126"/>
      <c r="F622" s="126"/>
      <c r="G622" s="127"/>
      <c r="H622" s="127"/>
      <c r="I622" s="127"/>
      <c r="J622" s="25"/>
    </row>
    <row r="623" spans="2:10" ht="15.75" customHeight="1">
      <c r="B623" s="123"/>
      <c r="C623" s="124"/>
      <c r="D623" s="125"/>
      <c r="E623" s="126"/>
      <c r="F623" s="126"/>
      <c r="G623" s="127"/>
      <c r="H623" s="127"/>
      <c r="I623" s="127"/>
      <c r="J623" s="25"/>
    </row>
    <row r="624" spans="2:10" ht="15.75" customHeight="1">
      <c r="B624" s="123"/>
      <c r="C624" s="124"/>
      <c r="D624" s="125"/>
      <c r="E624" s="126"/>
      <c r="F624" s="126"/>
      <c r="G624" s="127"/>
      <c r="H624" s="127"/>
      <c r="I624" s="127"/>
      <c r="J624" s="25"/>
    </row>
    <row r="625" spans="2:10" ht="15.75" customHeight="1">
      <c r="B625" s="123"/>
      <c r="C625" s="124"/>
      <c r="D625" s="125"/>
      <c r="E625" s="126"/>
      <c r="F625" s="126"/>
      <c r="G625" s="127"/>
      <c r="H625" s="127"/>
      <c r="I625" s="127"/>
      <c r="J625" s="25"/>
    </row>
    <row r="626" spans="2:10" ht="15.75" customHeight="1">
      <c r="B626" s="123"/>
      <c r="C626" s="124"/>
      <c r="D626" s="125"/>
      <c r="E626" s="126"/>
      <c r="F626" s="126"/>
      <c r="G626" s="127"/>
      <c r="H626" s="127"/>
      <c r="I626" s="127"/>
      <c r="J626" s="25"/>
    </row>
    <row r="627" spans="2:10" ht="15.75" customHeight="1">
      <c r="B627" s="123"/>
      <c r="C627" s="124"/>
      <c r="D627" s="125"/>
      <c r="E627" s="126"/>
      <c r="F627" s="126"/>
      <c r="G627" s="127"/>
      <c r="H627" s="127"/>
      <c r="I627" s="127"/>
      <c r="J627" s="25"/>
    </row>
    <row r="628" spans="2:10" ht="15.75" customHeight="1">
      <c r="B628" s="123"/>
      <c r="C628" s="124"/>
      <c r="D628" s="125"/>
      <c r="E628" s="126"/>
      <c r="F628" s="126"/>
      <c r="G628" s="127"/>
      <c r="H628" s="127"/>
      <c r="I628" s="127"/>
      <c r="J628" s="25"/>
    </row>
    <row r="629" spans="2:10" ht="15.75" customHeight="1">
      <c r="B629" s="123"/>
      <c r="C629" s="124"/>
      <c r="D629" s="125"/>
      <c r="E629" s="126"/>
      <c r="F629" s="126"/>
      <c r="G629" s="127"/>
      <c r="H629" s="127"/>
      <c r="I629" s="127"/>
      <c r="J629" s="25"/>
    </row>
    <row r="630" spans="2:10" ht="15.75" customHeight="1">
      <c r="B630" s="123"/>
      <c r="C630" s="124"/>
      <c r="D630" s="125"/>
      <c r="E630" s="126"/>
      <c r="F630" s="126"/>
      <c r="G630" s="127"/>
      <c r="H630" s="127"/>
      <c r="I630" s="127"/>
      <c r="J630" s="25"/>
    </row>
    <row r="631" spans="2:10" ht="15.75" customHeight="1">
      <c r="B631" s="123"/>
      <c r="C631" s="124"/>
      <c r="D631" s="125"/>
      <c r="E631" s="126"/>
      <c r="F631" s="126"/>
      <c r="G631" s="127"/>
      <c r="H631" s="127"/>
      <c r="I631" s="127"/>
      <c r="J631" s="25"/>
    </row>
    <row r="632" spans="2:10" ht="15.75" customHeight="1">
      <c r="B632" s="123"/>
      <c r="C632" s="124"/>
      <c r="D632" s="125"/>
      <c r="E632" s="126"/>
      <c r="F632" s="126"/>
      <c r="G632" s="127"/>
      <c r="H632" s="127"/>
      <c r="I632" s="127"/>
      <c r="J632" s="25"/>
    </row>
    <row r="633" spans="2:10" ht="15.75" customHeight="1">
      <c r="B633" s="123"/>
      <c r="C633" s="124"/>
      <c r="D633" s="125"/>
      <c r="E633" s="126"/>
      <c r="F633" s="126"/>
      <c r="G633" s="127"/>
      <c r="H633" s="127"/>
      <c r="I633" s="127"/>
      <c r="J633" s="25"/>
    </row>
    <row r="634" spans="2:10" ht="15.75" customHeight="1">
      <c r="B634" s="123"/>
      <c r="C634" s="124"/>
      <c r="D634" s="125"/>
      <c r="E634" s="126"/>
      <c r="F634" s="126"/>
      <c r="G634" s="127"/>
      <c r="H634" s="127"/>
      <c r="I634" s="127"/>
      <c r="J634" s="25"/>
    </row>
    <row r="635" spans="2:10" ht="15.75" customHeight="1">
      <c r="B635" s="123"/>
      <c r="C635" s="124"/>
      <c r="D635" s="125"/>
      <c r="E635" s="126"/>
      <c r="F635" s="126"/>
      <c r="G635" s="127"/>
      <c r="H635" s="127"/>
      <c r="I635" s="127"/>
      <c r="J635" s="25"/>
    </row>
    <row r="636" spans="2:10" ht="15.75" customHeight="1">
      <c r="B636" s="123"/>
      <c r="C636" s="124"/>
      <c r="D636" s="125"/>
      <c r="E636" s="126"/>
      <c r="F636" s="126"/>
      <c r="G636" s="127"/>
      <c r="H636" s="127"/>
      <c r="I636" s="127"/>
      <c r="J636" s="25"/>
    </row>
    <row r="637" spans="2:10" ht="15.75" customHeight="1">
      <c r="B637" s="123"/>
      <c r="C637" s="124"/>
      <c r="D637" s="125"/>
      <c r="E637" s="126"/>
      <c r="F637" s="126"/>
      <c r="G637" s="127"/>
      <c r="H637" s="127"/>
      <c r="I637" s="127"/>
      <c r="J637" s="25"/>
    </row>
    <row r="638" spans="2:10" ht="15.75" customHeight="1">
      <c r="B638" s="123"/>
      <c r="C638" s="124"/>
      <c r="D638" s="125"/>
      <c r="E638" s="126"/>
      <c r="F638" s="126"/>
      <c r="G638" s="127"/>
      <c r="H638" s="127"/>
      <c r="I638" s="127"/>
      <c r="J638" s="25"/>
    </row>
    <row r="639" spans="2:10" ht="15.75" customHeight="1">
      <c r="B639" s="123"/>
      <c r="C639" s="124"/>
      <c r="D639" s="125"/>
      <c r="E639" s="126"/>
      <c r="F639" s="126"/>
      <c r="G639" s="127"/>
      <c r="H639" s="127"/>
      <c r="I639" s="127"/>
      <c r="J639" s="25"/>
    </row>
    <row r="640" spans="2:10" ht="15.75" customHeight="1">
      <c r="B640" s="123"/>
      <c r="C640" s="124"/>
      <c r="D640" s="125"/>
      <c r="E640" s="126"/>
      <c r="F640" s="126"/>
      <c r="G640" s="127"/>
      <c r="H640" s="127"/>
      <c r="I640" s="127"/>
      <c r="J640" s="25"/>
    </row>
    <row r="641" spans="2:10" ht="15.75" customHeight="1">
      <c r="B641" s="123"/>
      <c r="C641" s="124"/>
      <c r="D641" s="125"/>
      <c r="E641" s="126"/>
      <c r="F641" s="126"/>
      <c r="G641" s="127"/>
      <c r="H641" s="127"/>
      <c r="I641" s="127"/>
      <c r="J641" s="25"/>
    </row>
    <row r="642" spans="2:10" ht="15.75" customHeight="1">
      <c r="B642" s="123"/>
      <c r="C642" s="124"/>
      <c r="D642" s="125"/>
      <c r="E642" s="126"/>
      <c r="F642" s="126"/>
      <c r="G642" s="127"/>
      <c r="H642" s="127"/>
      <c r="I642" s="127"/>
      <c r="J642" s="25"/>
    </row>
    <row r="643" spans="2:10" ht="15.75" customHeight="1">
      <c r="B643" s="123"/>
      <c r="C643" s="124"/>
      <c r="D643" s="125"/>
      <c r="E643" s="126"/>
      <c r="F643" s="126"/>
      <c r="G643" s="127"/>
      <c r="H643" s="127"/>
      <c r="I643" s="127"/>
      <c r="J643" s="25"/>
    </row>
    <row r="644" spans="2:10" ht="15.75" customHeight="1">
      <c r="B644" s="123"/>
      <c r="C644" s="124"/>
      <c r="D644" s="125"/>
      <c r="E644" s="126"/>
      <c r="F644" s="126"/>
      <c r="G644" s="127"/>
      <c r="H644" s="127"/>
      <c r="I644" s="127"/>
      <c r="J644" s="25"/>
    </row>
    <row r="645" spans="2:10" ht="15.75" customHeight="1">
      <c r="B645" s="123"/>
      <c r="C645" s="124"/>
      <c r="D645" s="125"/>
      <c r="E645" s="126"/>
      <c r="F645" s="126"/>
      <c r="G645" s="127"/>
      <c r="H645" s="127"/>
      <c r="I645" s="127"/>
      <c r="J645" s="25"/>
    </row>
    <row r="646" spans="2:10" ht="15.75" customHeight="1">
      <c r="B646" s="123"/>
      <c r="C646" s="124"/>
      <c r="D646" s="125"/>
      <c r="E646" s="126"/>
      <c r="F646" s="126"/>
      <c r="G646" s="127"/>
      <c r="H646" s="127"/>
      <c r="I646" s="127"/>
      <c r="J646" s="25"/>
    </row>
    <row r="647" spans="2:10" ht="15.75" customHeight="1">
      <c r="B647" s="123"/>
      <c r="C647" s="124"/>
      <c r="D647" s="125"/>
      <c r="E647" s="126"/>
      <c r="F647" s="126"/>
      <c r="G647" s="127"/>
      <c r="H647" s="127"/>
      <c r="I647" s="127"/>
      <c r="J647" s="25"/>
    </row>
    <row r="648" spans="2:10" ht="15.75" customHeight="1">
      <c r="B648" s="123"/>
      <c r="C648" s="124"/>
      <c r="D648" s="125"/>
      <c r="E648" s="126"/>
      <c r="F648" s="126"/>
      <c r="G648" s="127"/>
      <c r="H648" s="127"/>
      <c r="I648" s="127"/>
      <c r="J648" s="25"/>
    </row>
    <row r="649" spans="2:10" ht="15.75" customHeight="1">
      <c r="B649" s="123"/>
      <c r="C649" s="124"/>
      <c r="D649" s="125"/>
      <c r="E649" s="126"/>
      <c r="F649" s="126"/>
      <c r="G649" s="127"/>
      <c r="H649" s="127"/>
      <c r="I649" s="127"/>
      <c r="J649" s="25"/>
    </row>
    <row r="650" spans="2:10" ht="15.75" customHeight="1">
      <c r="B650" s="123"/>
      <c r="C650" s="124"/>
      <c r="D650" s="125"/>
      <c r="E650" s="126"/>
      <c r="F650" s="126"/>
      <c r="G650" s="127"/>
      <c r="H650" s="127"/>
      <c r="I650" s="127"/>
      <c r="J650" s="25"/>
    </row>
    <row r="651" spans="2:10" ht="15.75" customHeight="1">
      <c r="B651" s="123"/>
      <c r="C651" s="124"/>
      <c r="D651" s="125"/>
      <c r="E651" s="126"/>
      <c r="F651" s="126"/>
      <c r="G651" s="127"/>
      <c r="H651" s="127"/>
      <c r="I651" s="127"/>
      <c r="J651" s="25"/>
    </row>
    <row r="652" spans="2:10" ht="15.75" customHeight="1">
      <c r="B652" s="123"/>
      <c r="C652" s="124"/>
      <c r="D652" s="125"/>
      <c r="E652" s="126"/>
      <c r="F652" s="126"/>
      <c r="G652" s="127"/>
      <c r="H652" s="127"/>
      <c r="I652" s="127"/>
      <c r="J652" s="25"/>
    </row>
    <row r="653" spans="2:10" ht="15.75" customHeight="1">
      <c r="B653" s="123"/>
      <c r="C653" s="124"/>
      <c r="D653" s="125"/>
      <c r="E653" s="126"/>
      <c r="F653" s="126"/>
      <c r="G653" s="127"/>
      <c r="H653" s="127"/>
      <c r="I653" s="127"/>
      <c r="J653" s="25"/>
    </row>
    <row r="654" spans="2:10" ht="15.75" customHeight="1">
      <c r="B654" s="123"/>
      <c r="C654" s="124"/>
      <c r="D654" s="125"/>
      <c r="E654" s="126"/>
      <c r="F654" s="126"/>
      <c r="G654" s="127"/>
      <c r="H654" s="127"/>
      <c r="I654" s="127"/>
      <c r="J654" s="25"/>
    </row>
    <row r="655" spans="2:10" ht="15.75" customHeight="1">
      <c r="B655" s="123"/>
      <c r="C655" s="124"/>
      <c r="D655" s="125"/>
      <c r="E655" s="126"/>
      <c r="F655" s="126"/>
      <c r="G655" s="127"/>
      <c r="H655" s="127"/>
      <c r="I655" s="127"/>
      <c r="J655" s="25"/>
    </row>
    <row r="656" spans="2:10" ht="15.75" customHeight="1">
      <c r="B656" s="123"/>
      <c r="C656" s="124"/>
      <c r="D656" s="125"/>
      <c r="E656" s="126"/>
      <c r="F656" s="126"/>
      <c r="G656" s="127"/>
      <c r="H656" s="127"/>
      <c r="I656" s="127"/>
      <c r="J656" s="25"/>
    </row>
    <row r="657" spans="2:10" ht="15.75" customHeight="1">
      <c r="B657" s="123"/>
      <c r="C657" s="124"/>
      <c r="D657" s="125"/>
      <c r="E657" s="126"/>
      <c r="F657" s="126"/>
      <c r="G657" s="127"/>
      <c r="H657" s="127"/>
      <c r="I657" s="127"/>
      <c r="J657" s="25"/>
    </row>
    <row r="658" spans="2:10" ht="15.75" customHeight="1">
      <c r="B658" s="123"/>
      <c r="C658" s="124"/>
      <c r="D658" s="125"/>
      <c r="E658" s="126"/>
      <c r="F658" s="126"/>
      <c r="G658" s="127"/>
      <c r="H658" s="127"/>
      <c r="I658" s="127"/>
      <c r="J658" s="25"/>
    </row>
    <row r="659" spans="2:10" ht="15.75" customHeight="1">
      <c r="B659" s="123"/>
      <c r="C659" s="124"/>
      <c r="D659" s="125"/>
      <c r="E659" s="126"/>
      <c r="F659" s="126"/>
      <c r="G659" s="127"/>
      <c r="H659" s="127"/>
      <c r="I659" s="127"/>
      <c r="J659" s="25"/>
    </row>
    <row r="660" spans="2:10" ht="15.75" customHeight="1">
      <c r="B660" s="123"/>
      <c r="C660" s="124"/>
      <c r="D660" s="125"/>
      <c r="E660" s="126"/>
      <c r="F660" s="126"/>
      <c r="G660" s="127"/>
      <c r="H660" s="127"/>
      <c r="I660" s="127"/>
      <c r="J660" s="25"/>
    </row>
    <row r="661" spans="2:10" ht="15.75" customHeight="1">
      <c r="B661" s="123"/>
      <c r="C661" s="124"/>
      <c r="D661" s="125"/>
      <c r="E661" s="126"/>
      <c r="F661" s="126"/>
      <c r="G661" s="127"/>
      <c r="H661" s="127"/>
      <c r="I661" s="127"/>
      <c r="J661" s="25"/>
    </row>
    <row r="662" spans="2:10" ht="15.75" customHeight="1">
      <c r="B662" s="123"/>
      <c r="C662" s="124"/>
      <c r="D662" s="125"/>
      <c r="E662" s="126"/>
      <c r="F662" s="126"/>
      <c r="G662" s="127"/>
      <c r="H662" s="127"/>
      <c r="I662" s="127"/>
      <c r="J662" s="25"/>
    </row>
    <row r="663" spans="2:10" ht="15.75" customHeight="1">
      <c r="B663" s="123"/>
      <c r="C663" s="124"/>
      <c r="D663" s="125"/>
      <c r="E663" s="126"/>
      <c r="F663" s="126"/>
      <c r="G663" s="127"/>
      <c r="H663" s="127"/>
      <c r="I663" s="127"/>
      <c r="J663" s="25"/>
    </row>
    <row r="664" spans="2:10" ht="15.75" customHeight="1">
      <c r="B664" s="123"/>
      <c r="C664" s="124"/>
      <c r="D664" s="125"/>
      <c r="E664" s="126"/>
      <c r="F664" s="126"/>
      <c r="G664" s="127"/>
      <c r="H664" s="127"/>
      <c r="I664" s="127"/>
      <c r="J664" s="25"/>
    </row>
    <row r="665" spans="2:10" ht="15.75" customHeight="1">
      <c r="B665" s="123"/>
      <c r="C665" s="124"/>
      <c r="D665" s="125"/>
      <c r="E665" s="126"/>
      <c r="F665" s="126"/>
      <c r="G665" s="127"/>
      <c r="H665" s="127"/>
      <c r="I665" s="127"/>
      <c r="J665" s="25"/>
    </row>
    <row r="666" spans="2:10" ht="15.75" customHeight="1">
      <c r="B666" s="123"/>
      <c r="C666" s="124"/>
      <c r="D666" s="125"/>
      <c r="E666" s="126"/>
      <c r="F666" s="126"/>
      <c r="G666" s="127"/>
      <c r="H666" s="127"/>
      <c r="I666" s="127"/>
      <c r="J666" s="25"/>
    </row>
    <row r="667" spans="2:10" ht="15.75" customHeight="1">
      <c r="B667" s="123"/>
      <c r="C667" s="124"/>
      <c r="D667" s="125"/>
      <c r="E667" s="126"/>
      <c r="F667" s="126"/>
      <c r="G667" s="127"/>
      <c r="H667" s="127"/>
      <c r="I667" s="127"/>
      <c r="J667" s="25"/>
    </row>
    <row r="668" spans="2:10" ht="15.75" customHeight="1">
      <c r="B668" s="123"/>
      <c r="C668" s="124"/>
      <c r="D668" s="125"/>
      <c r="E668" s="126"/>
      <c r="F668" s="126"/>
      <c r="G668" s="127"/>
      <c r="H668" s="127"/>
      <c r="I668" s="127"/>
      <c r="J668" s="25"/>
    </row>
    <row r="669" spans="2:10" ht="15.75" customHeight="1">
      <c r="B669" s="123"/>
      <c r="C669" s="124"/>
      <c r="D669" s="125"/>
      <c r="E669" s="126"/>
      <c r="F669" s="126"/>
      <c r="G669" s="127"/>
      <c r="H669" s="127"/>
      <c r="I669" s="127"/>
      <c r="J669" s="25"/>
    </row>
    <row r="670" spans="2:10" ht="15.75" customHeight="1">
      <c r="B670" s="123"/>
      <c r="C670" s="124"/>
      <c r="D670" s="125"/>
      <c r="E670" s="126"/>
      <c r="F670" s="126"/>
      <c r="G670" s="127"/>
      <c r="H670" s="127"/>
      <c r="I670" s="127"/>
      <c r="J670" s="25"/>
    </row>
    <row r="671" spans="2:10" ht="15.75" customHeight="1">
      <c r="B671" s="123"/>
      <c r="C671" s="124"/>
      <c r="D671" s="125"/>
      <c r="E671" s="126"/>
      <c r="F671" s="126"/>
      <c r="G671" s="127"/>
      <c r="H671" s="127"/>
      <c r="I671" s="127"/>
      <c r="J671" s="25"/>
    </row>
    <row r="672" spans="2:10" ht="15.75" customHeight="1">
      <c r="B672" s="123"/>
      <c r="C672" s="124"/>
      <c r="D672" s="125"/>
      <c r="E672" s="126"/>
      <c r="F672" s="126"/>
      <c r="G672" s="127"/>
      <c r="H672" s="127"/>
      <c r="I672" s="127"/>
      <c r="J672" s="25"/>
    </row>
    <row r="673" spans="2:10" ht="15.75" customHeight="1">
      <c r="B673" s="123"/>
      <c r="C673" s="124"/>
      <c r="D673" s="125"/>
      <c r="E673" s="126"/>
      <c r="F673" s="126"/>
      <c r="G673" s="127"/>
      <c r="H673" s="127"/>
      <c r="I673" s="127"/>
      <c r="J673" s="25"/>
    </row>
    <row r="674" spans="2:10" ht="15.75" customHeight="1">
      <c r="B674" s="123"/>
      <c r="C674" s="124"/>
      <c r="D674" s="125"/>
      <c r="E674" s="126"/>
      <c r="F674" s="126"/>
      <c r="G674" s="127"/>
      <c r="H674" s="127"/>
      <c r="I674" s="127"/>
      <c r="J674" s="25"/>
    </row>
    <row r="675" spans="2:10" ht="15.75" customHeight="1">
      <c r="B675" s="123"/>
      <c r="C675" s="124"/>
      <c r="D675" s="125"/>
      <c r="E675" s="126"/>
      <c r="F675" s="126"/>
      <c r="G675" s="127"/>
      <c r="H675" s="127"/>
      <c r="I675" s="127"/>
      <c r="J675" s="25"/>
    </row>
    <row r="676" spans="2:10" ht="15.75" customHeight="1">
      <c r="B676" s="123"/>
      <c r="C676" s="124"/>
      <c r="D676" s="125"/>
      <c r="E676" s="126"/>
      <c r="F676" s="126"/>
      <c r="G676" s="127"/>
      <c r="H676" s="127"/>
      <c r="I676" s="127"/>
      <c r="J676" s="25"/>
    </row>
    <row r="677" spans="2:10" ht="15.75" customHeight="1">
      <c r="B677" s="123"/>
      <c r="C677" s="124"/>
      <c r="D677" s="125"/>
      <c r="E677" s="126"/>
      <c r="F677" s="126"/>
      <c r="G677" s="127"/>
      <c r="H677" s="127"/>
      <c r="I677" s="127"/>
      <c r="J677" s="25"/>
    </row>
    <row r="678" spans="2:10" ht="15.75" customHeight="1">
      <c r="B678" s="123"/>
      <c r="C678" s="124"/>
      <c r="D678" s="125"/>
      <c r="E678" s="126"/>
      <c r="F678" s="126"/>
      <c r="G678" s="127"/>
      <c r="H678" s="127"/>
      <c r="I678" s="127"/>
      <c r="J678" s="25"/>
    </row>
    <row r="679" spans="2:10" ht="15.75" customHeight="1">
      <c r="B679" s="123"/>
      <c r="C679" s="124"/>
      <c r="D679" s="125"/>
      <c r="E679" s="126"/>
      <c r="F679" s="126"/>
      <c r="G679" s="127"/>
      <c r="H679" s="127"/>
      <c r="I679" s="127"/>
      <c r="J679" s="25"/>
    </row>
    <row r="680" spans="2:10" ht="15.75" customHeight="1">
      <c r="B680" s="123"/>
      <c r="C680" s="124"/>
      <c r="D680" s="125"/>
      <c r="E680" s="126"/>
      <c r="F680" s="126"/>
      <c r="G680" s="127"/>
      <c r="H680" s="127"/>
      <c r="I680" s="127"/>
      <c r="J680" s="25"/>
    </row>
    <row r="681" spans="2:10" ht="15.75" customHeight="1">
      <c r="B681" s="123"/>
      <c r="C681" s="124"/>
      <c r="D681" s="125"/>
      <c r="E681" s="126"/>
      <c r="F681" s="126"/>
      <c r="G681" s="127"/>
      <c r="H681" s="127"/>
      <c r="I681" s="127"/>
      <c r="J681" s="25"/>
    </row>
    <row r="682" spans="2:10" ht="15.75" customHeight="1">
      <c r="B682" s="123"/>
      <c r="C682" s="124"/>
      <c r="D682" s="125"/>
      <c r="E682" s="126"/>
      <c r="F682" s="126"/>
      <c r="G682" s="127"/>
      <c r="H682" s="127"/>
      <c r="I682" s="127"/>
      <c r="J682" s="25"/>
    </row>
    <row r="683" spans="2:10" ht="15.75" customHeight="1">
      <c r="B683" s="123"/>
      <c r="C683" s="124"/>
      <c r="D683" s="125"/>
      <c r="E683" s="126"/>
      <c r="F683" s="126"/>
      <c r="G683" s="127"/>
      <c r="H683" s="127"/>
      <c r="I683" s="127"/>
      <c r="J683" s="25"/>
    </row>
    <row r="684" spans="2:10" ht="15.75" customHeight="1">
      <c r="B684" s="123"/>
      <c r="C684" s="124"/>
      <c r="D684" s="125"/>
      <c r="E684" s="126"/>
      <c r="F684" s="126"/>
      <c r="G684" s="127"/>
      <c r="H684" s="127"/>
      <c r="I684" s="127"/>
      <c r="J684" s="25"/>
    </row>
    <row r="685" spans="2:10" ht="15.75" customHeight="1">
      <c r="B685" s="123"/>
      <c r="C685" s="124"/>
      <c r="D685" s="125"/>
      <c r="E685" s="126"/>
      <c r="F685" s="126"/>
      <c r="G685" s="127"/>
      <c r="H685" s="127"/>
      <c r="I685" s="127"/>
      <c r="J685" s="25"/>
    </row>
    <row r="686" spans="2:10" ht="15.75" customHeight="1">
      <c r="B686" s="123"/>
      <c r="C686" s="124"/>
      <c r="D686" s="125"/>
      <c r="E686" s="126"/>
      <c r="F686" s="126"/>
      <c r="G686" s="127"/>
      <c r="H686" s="127"/>
      <c r="I686" s="127"/>
      <c r="J686" s="25"/>
    </row>
    <row r="687" spans="2:10" ht="15.75" customHeight="1">
      <c r="B687" s="123"/>
      <c r="C687" s="124"/>
      <c r="D687" s="125"/>
      <c r="E687" s="126"/>
      <c r="F687" s="126"/>
      <c r="G687" s="127"/>
      <c r="H687" s="127"/>
      <c r="I687" s="127"/>
      <c r="J687" s="25"/>
    </row>
    <row r="688" spans="2:10" ht="15.75" customHeight="1">
      <c r="B688" s="123"/>
      <c r="C688" s="124"/>
      <c r="D688" s="125"/>
      <c r="E688" s="126"/>
      <c r="F688" s="126"/>
      <c r="G688" s="127"/>
      <c r="H688" s="127"/>
      <c r="I688" s="127"/>
      <c r="J688" s="25"/>
    </row>
    <row r="689" spans="2:10" ht="15.75" customHeight="1">
      <c r="B689" s="123"/>
      <c r="C689" s="124"/>
      <c r="D689" s="125"/>
      <c r="E689" s="126"/>
      <c r="F689" s="126"/>
      <c r="G689" s="127"/>
      <c r="H689" s="127"/>
      <c r="I689" s="127"/>
      <c r="J689" s="25"/>
    </row>
    <row r="690" spans="2:10" ht="15.75" customHeight="1">
      <c r="B690" s="123"/>
      <c r="C690" s="124"/>
      <c r="D690" s="125"/>
      <c r="E690" s="126"/>
      <c r="F690" s="126"/>
      <c r="G690" s="127"/>
      <c r="H690" s="127"/>
      <c r="I690" s="127"/>
      <c r="J690" s="25"/>
    </row>
    <row r="691" spans="2:10" ht="15.75" customHeight="1">
      <c r="B691" s="123"/>
      <c r="C691" s="124"/>
      <c r="D691" s="125"/>
      <c r="E691" s="126"/>
      <c r="F691" s="126"/>
      <c r="G691" s="127"/>
      <c r="H691" s="127"/>
      <c r="I691" s="127"/>
      <c r="J691" s="25"/>
    </row>
    <row r="692" spans="2:10" ht="15.75" customHeight="1">
      <c r="B692" s="123"/>
      <c r="C692" s="124"/>
      <c r="D692" s="125"/>
      <c r="E692" s="126"/>
      <c r="F692" s="126"/>
      <c r="G692" s="127"/>
      <c r="H692" s="127"/>
      <c r="I692" s="127"/>
      <c r="J692" s="25"/>
    </row>
    <row r="693" spans="2:10" ht="15.75" customHeight="1">
      <c r="B693" s="123"/>
      <c r="C693" s="124"/>
      <c r="D693" s="125"/>
      <c r="E693" s="126"/>
      <c r="F693" s="126"/>
      <c r="G693" s="127"/>
      <c r="H693" s="127"/>
      <c r="I693" s="127"/>
      <c r="J693" s="25"/>
    </row>
    <row r="694" spans="2:10" ht="15.75" customHeight="1">
      <c r="B694" s="123"/>
      <c r="C694" s="124"/>
      <c r="D694" s="125"/>
      <c r="E694" s="126"/>
      <c r="F694" s="126"/>
      <c r="G694" s="127"/>
      <c r="H694" s="127"/>
      <c r="I694" s="127"/>
      <c r="J694" s="25"/>
    </row>
    <row r="695" spans="2:10" ht="15.75" customHeight="1">
      <c r="B695" s="123"/>
      <c r="C695" s="124"/>
      <c r="D695" s="125"/>
      <c r="E695" s="126"/>
      <c r="F695" s="126"/>
      <c r="G695" s="127"/>
      <c r="H695" s="127"/>
      <c r="I695" s="127"/>
      <c r="J695" s="25"/>
    </row>
    <row r="696" spans="2:10" ht="15.75" customHeight="1">
      <c r="B696" s="123"/>
      <c r="C696" s="124"/>
      <c r="D696" s="125"/>
      <c r="E696" s="126"/>
      <c r="F696" s="126"/>
      <c r="G696" s="127"/>
      <c r="H696" s="127"/>
      <c r="I696" s="127"/>
      <c r="J696" s="25"/>
    </row>
    <row r="697" spans="2:10" ht="15.75" customHeight="1">
      <c r="B697" s="123"/>
      <c r="C697" s="124"/>
      <c r="D697" s="125"/>
      <c r="E697" s="126"/>
      <c r="F697" s="126"/>
      <c r="G697" s="127"/>
      <c r="H697" s="127"/>
      <c r="I697" s="127"/>
      <c r="J697" s="25"/>
    </row>
    <row r="698" spans="2:10" ht="15.75" customHeight="1">
      <c r="B698" s="123"/>
      <c r="C698" s="124"/>
      <c r="D698" s="125"/>
      <c r="E698" s="126"/>
      <c r="F698" s="126"/>
      <c r="G698" s="127"/>
      <c r="H698" s="127"/>
      <c r="I698" s="127"/>
      <c r="J698" s="25"/>
    </row>
    <row r="699" spans="2:10" ht="15.75" customHeight="1">
      <c r="B699" s="123"/>
      <c r="C699" s="124"/>
      <c r="D699" s="125"/>
      <c r="E699" s="126"/>
      <c r="F699" s="126"/>
      <c r="G699" s="127"/>
      <c r="H699" s="127"/>
      <c r="I699" s="127"/>
      <c r="J699" s="25"/>
    </row>
    <row r="700" spans="2:10" ht="15.75" customHeight="1">
      <c r="B700" s="123"/>
      <c r="C700" s="124"/>
      <c r="D700" s="125"/>
      <c r="E700" s="126"/>
      <c r="F700" s="126"/>
      <c r="G700" s="127"/>
      <c r="H700" s="127"/>
      <c r="I700" s="127"/>
      <c r="J700" s="25"/>
    </row>
    <row r="701" spans="2:10" ht="15.75" customHeight="1">
      <c r="B701" s="123"/>
      <c r="C701" s="124"/>
      <c r="D701" s="125"/>
      <c r="E701" s="126"/>
      <c r="F701" s="126"/>
      <c r="G701" s="127"/>
      <c r="H701" s="127"/>
      <c r="I701" s="127"/>
      <c r="J701" s="25"/>
    </row>
    <row r="702" spans="2:10" ht="15.75" customHeight="1">
      <c r="B702" s="123"/>
      <c r="C702" s="124"/>
      <c r="D702" s="125"/>
      <c r="E702" s="126"/>
      <c r="F702" s="126"/>
      <c r="G702" s="127"/>
      <c r="H702" s="127"/>
      <c r="I702" s="127"/>
      <c r="J702" s="25"/>
    </row>
    <row r="703" spans="2:10" ht="15.75" customHeight="1">
      <c r="B703" s="123"/>
      <c r="C703" s="124"/>
      <c r="D703" s="125"/>
      <c r="E703" s="126"/>
      <c r="F703" s="126"/>
      <c r="G703" s="127"/>
      <c r="H703" s="127"/>
      <c r="I703" s="127"/>
      <c r="J703" s="25"/>
    </row>
    <row r="704" spans="2:10" ht="15.75" customHeight="1">
      <c r="B704" s="123"/>
      <c r="C704" s="124"/>
      <c r="D704" s="125"/>
      <c r="E704" s="126"/>
      <c r="F704" s="126"/>
      <c r="G704" s="127"/>
      <c r="H704" s="127"/>
      <c r="I704" s="127"/>
      <c r="J704" s="25"/>
    </row>
    <row r="705" spans="2:10" ht="15.75" customHeight="1">
      <c r="B705" s="123"/>
      <c r="C705" s="124"/>
      <c r="D705" s="125"/>
      <c r="E705" s="126"/>
      <c r="F705" s="126"/>
      <c r="G705" s="127"/>
      <c r="H705" s="127"/>
      <c r="I705" s="127"/>
      <c r="J705" s="25"/>
    </row>
    <row r="706" spans="2:10" ht="15.75" customHeight="1">
      <c r="B706" s="123"/>
      <c r="C706" s="124"/>
      <c r="D706" s="125"/>
      <c r="E706" s="126"/>
      <c r="F706" s="126"/>
      <c r="G706" s="127"/>
      <c r="H706" s="127"/>
      <c r="I706" s="127"/>
      <c r="J706" s="25"/>
    </row>
    <row r="707" spans="2:10" ht="15.75" customHeight="1">
      <c r="B707" s="123"/>
      <c r="C707" s="124"/>
      <c r="D707" s="125"/>
      <c r="E707" s="126"/>
      <c r="F707" s="126"/>
      <c r="G707" s="127"/>
      <c r="H707" s="127"/>
      <c r="I707" s="127"/>
      <c r="J707" s="25"/>
    </row>
    <row r="708" spans="2:10" ht="15.75" customHeight="1">
      <c r="B708" s="123"/>
      <c r="C708" s="124"/>
      <c r="D708" s="125"/>
      <c r="E708" s="126"/>
      <c r="F708" s="126"/>
      <c r="G708" s="127"/>
      <c r="H708" s="127"/>
      <c r="I708" s="127"/>
      <c r="J708" s="25"/>
    </row>
    <row r="709" spans="2:10" ht="15.75" customHeight="1">
      <c r="B709" s="123"/>
      <c r="C709" s="124"/>
      <c r="D709" s="125"/>
      <c r="E709" s="126"/>
      <c r="F709" s="126"/>
      <c r="G709" s="127"/>
      <c r="H709" s="127"/>
      <c r="I709" s="127"/>
      <c r="J709" s="25"/>
    </row>
    <row r="710" spans="2:10" ht="15.75" customHeight="1">
      <c r="B710" s="123"/>
      <c r="C710" s="124"/>
      <c r="D710" s="125"/>
      <c r="E710" s="126"/>
      <c r="F710" s="126"/>
      <c r="G710" s="127"/>
      <c r="H710" s="127"/>
      <c r="I710" s="127"/>
      <c r="J710" s="25"/>
    </row>
    <row r="711" spans="2:10" ht="15.75" customHeight="1">
      <c r="B711" s="123"/>
      <c r="C711" s="124"/>
      <c r="D711" s="125"/>
      <c r="E711" s="126"/>
      <c r="F711" s="126"/>
      <c r="G711" s="127"/>
      <c r="H711" s="127"/>
      <c r="I711" s="127"/>
      <c r="J711" s="25"/>
    </row>
    <row r="712" spans="2:10" ht="15.75" customHeight="1">
      <c r="B712" s="123"/>
      <c r="C712" s="124"/>
      <c r="D712" s="125"/>
      <c r="E712" s="126"/>
      <c r="F712" s="126"/>
      <c r="G712" s="127"/>
      <c r="H712" s="127"/>
      <c r="I712" s="127"/>
      <c r="J712" s="25"/>
    </row>
    <row r="713" spans="2:10" ht="15.75" customHeight="1">
      <c r="B713" s="123"/>
      <c r="C713" s="124"/>
      <c r="D713" s="125"/>
      <c r="E713" s="126"/>
      <c r="F713" s="126"/>
      <c r="G713" s="127"/>
      <c r="H713" s="127"/>
      <c r="I713" s="127"/>
      <c r="J713" s="25"/>
    </row>
    <row r="714" spans="2:10" ht="15.75" customHeight="1">
      <c r="B714" s="123"/>
      <c r="C714" s="124"/>
      <c r="D714" s="125"/>
      <c r="E714" s="126"/>
      <c r="F714" s="126"/>
      <c r="G714" s="127"/>
      <c r="H714" s="127"/>
      <c r="I714" s="127"/>
      <c r="J714" s="25"/>
    </row>
    <row r="715" spans="2:10" ht="15.75" customHeight="1">
      <c r="B715" s="123"/>
      <c r="C715" s="124"/>
      <c r="D715" s="125"/>
      <c r="E715" s="126"/>
      <c r="F715" s="126"/>
      <c r="G715" s="127"/>
      <c r="H715" s="127"/>
      <c r="I715" s="127"/>
      <c r="J715" s="25"/>
    </row>
    <row r="716" spans="2:10" ht="15.75" customHeight="1">
      <c r="B716" s="123"/>
      <c r="C716" s="124"/>
      <c r="D716" s="125"/>
      <c r="E716" s="126"/>
      <c r="F716" s="126"/>
      <c r="G716" s="127"/>
      <c r="H716" s="127"/>
      <c r="I716" s="127"/>
      <c r="J716" s="25"/>
    </row>
    <row r="717" spans="2:10" ht="15.75" customHeight="1">
      <c r="B717" s="123"/>
      <c r="C717" s="124"/>
      <c r="D717" s="125"/>
      <c r="E717" s="126"/>
      <c r="F717" s="126"/>
      <c r="G717" s="127"/>
      <c r="H717" s="127"/>
      <c r="I717" s="127"/>
      <c r="J717" s="25"/>
    </row>
    <row r="718" spans="2:10" ht="15.75" customHeight="1">
      <c r="B718" s="123"/>
      <c r="C718" s="124"/>
      <c r="D718" s="125"/>
      <c r="E718" s="126"/>
      <c r="F718" s="126"/>
      <c r="G718" s="127"/>
      <c r="H718" s="127"/>
      <c r="I718" s="127"/>
      <c r="J718" s="25"/>
    </row>
    <row r="719" spans="2:10" ht="15.75" customHeight="1">
      <c r="B719" s="123"/>
      <c r="C719" s="124"/>
      <c r="D719" s="125"/>
      <c r="E719" s="126"/>
      <c r="F719" s="126"/>
      <c r="G719" s="127"/>
      <c r="H719" s="127"/>
      <c r="I719" s="127"/>
      <c r="J719" s="25"/>
    </row>
    <row r="720" spans="2:10" ht="15.75" customHeight="1">
      <c r="B720" s="123"/>
      <c r="C720" s="124"/>
      <c r="D720" s="125"/>
      <c r="E720" s="126"/>
      <c r="F720" s="126"/>
      <c r="G720" s="127"/>
      <c r="H720" s="127"/>
      <c r="I720" s="127"/>
      <c r="J720" s="25"/>
    </row>
    <row r="721" spans="2:10" ht="15.75" customHeight="1">
      <c r="B721" s="123"/>
      <c r="C721" s="124"/>
      <c r="D721" s="125"/>
      <c r="E721" s="126"/>
      <c r="F721" s="126"/>
      <c r="G721" s="127"/>
      <c r="H721" s="127"/>
      <c r="I721" s="127"/>
      <c r="J721" s="25"/>
    </row>
    <row r="722" spans="2:10" ht="15.75" customHeight="1">
      <c r="B722" s="123"/>
      <c r="C722" s="124"/>
      <c r="D722" s="125"/>
      <c r="E722" s="126"/>
      <c r="F722" s="126"/>
      <c r="G722" s="127"/>
      <c r="H722" s="127"/>
      <c r="I722" s="127"/>
      <c r="J722" s="25"/>
    </row>
    <row r="723" spans="2:10" ht="15.75" customHeight="1">
      <c r="B723" s="123"/>
      <c r="C723" s="124"/>
      <c r="D723" s="125"/>
      <c r="E723" s="126"/>
      <c r="F723" s="126"/>
      <c r="G723" s="127"/>
      <c r="H723" s="127"/>
      <c r="I723" s="127"/>
      <c r="J723" s="25"/>
    </row>
    <row r="724" spans="2:10" ht="15.75" customHeight="1">
      <c r="B724" s="123"/>
      <c r="C724" s="124"/>
      <c r="D724" s="125"/>
      <c r="E724" s="126"/>
      <c r="F724" s="126"/>
      <c r="G724" s="127"/>
      <c r="H724" s="127"/>
      <c r="I724" s="127"/>
      <c r="J724" s="25"/>
    </row>
    <row r="725" spans="2:10" ht="15.75" customHeight="1">
      <c r="B725" s="123"/>
      <c r="C725" s="124"/>
      <c r="D725" s="125"/>
      <c r="E725" s="126"/>
      <c r="F725" s="126"/>
      <c r="G725" s="127"/>
      <c r="H725" s="127"/>
      <c r="I725" s="127"/>
      <c r="J725" s="25"/>
    </row>
    <row r="726" spans="2:10" ht="15.75" customHeight="1">
      <c r="B726" s="123"/>
      <c r="C726" s="124"/>
      <c r="D726" s="125"/>
      <c r="E726" s="126"/>
      <c r="F726" s="126"/>
      <c r="G726" s="127"/>
      <c r="H726" s="127"/>
      <c r="I726" s="127"/>
      <c r="J726" s="25"/>
    </row>
    <row r="727" spans="2:10" ht="15.75" customHeight="1">
      <c r="B727" s="123"/>
      <c r="C727" s="124"/>
      <c r="D727" s="125"/>
      <c r="E727" s="126"/>
      <c r="F727" s="126"/>
      <c r="G727" s="127"/>
      <c r="H727" s="127"/>
      <c r="I727" s="127"/>
      <c r="J727" s="25"/>
    </row>
    <row r="728" spans="2:10" ht="15.75" customHeight="1">
      <c r="B728" s="123"/>
      <c r="C728" s="124"/>
      <c r="D728" s="125"/>
      <c r="E728" s="126"/>
      <c r="F728" s="126"/>
      <c r="G728" s="127"/>
      <c r="H728" s="127"/>
      <c r="I728" s="127"/>
      <c r="J728" s="25"/>
    </row>
    <row r="729" spans="2:10" ht="15.75" customHeight="1">
      <c r="B729" s="123"/>
      <c r="C729" s="124"/>
      <c r="D729" s="125"/>
      <c r="E729" s="126"/>
      <c r="F729" s="126"/>
      <c r="G729" s="127"/>
      <c r="H729" s="127"/>
      <c r="I729" s="127"/>
      <c r="J729" s="25"/>
    </row>
    <row r="730" spans="2:10" ht="15.75" customHeight="1">
      <c r="B730" s="123"/>
      <c r="C730" s="124"/>
      <c r="D730" s="125"/>
      <c r="E730" s="126"/>
      <c r="F730" s="126"/>
      <c r="G730" s="127"/>
      <c r="H730" s="127"/>
      <c r="I730" s="127"/>
      <c r="J730" s="25"/>
    </row>
    <row r="731" spans="2:10" ht="15.75" customHeight="1">
      <c r="B731" s="123"/>
      <c r="C731" s="124"/>
      <c r="D731" s="125"/>
      <c r="E731" s="126"/>
      <c r="F731" s="126"/>
      <c r="G731" s="127"/>
      <c r="H731" s="127"/>
      <c r="I731" s="127"/>
      <c r="J731" s="25"/>
    </row>
    <row r="732" spans="2:10" ht="15.75" customHeight="1">
      <c r="B732" s="123"/>
      <c r="C732" s="124"/>
      <c r="D732" s="125"/>
      <c r="E732" s="126"/>
      <c r="F732" s="126"/>
      <c r="G732" s="127"/>
      <c r="H732" s="127"/>
      <c r="I732" s="127"/>
      <c r="J732" s="25"/>
    </row>
    <row r="733" spans="2:10" ht="15.75" customHeight="1">
      <c r="B733" s="123"/>
      <c r="C733" s="124"/>
      <c r="D733" s="125"/>
      <c r="E733" s="126"/>
      <c r="F733" s="126"/>
      <c r="G733" s="127"/>
      <c r="H733" s="127"/>
      <c r="I733" s="127"/>
      <c r="J733" s="25"/>
    </row>
    <row r="734" spans="2:10" ht="15.75" customHeight="1">
      <c r="B734" s="123"/>
      <c r="C734" s="124"/>
      <c r="D734" s="125"/>
      <c r="E734" s="126"/>
      <c r="F734" s="126"/>
      <c r="G734" s="127"/>
      <c r="H734" s="127"/>
      <c r="I734" s="127"/>
      <c r="J734" s="25"/>
    </row>
    <row r="735" spans="2:10" ht="15.75" customHeight="1">
      <c r="B735" s="123"/>
      <c r="C735" s="124"/>
      <c r="D735" s="125"/>
      <c r="E735" s="126"/>
      <c r="F735" s="126"/>
      <c r="G735" s="127"/>
      <c r="H735" s="127"/>
      <c r="I735" s="127"/>
      <c r="J735" s="25"/>
    </row>
    <row r="736" spans="2:10" ht="15.75" customHeight="1">
      <c r="B736" s="123"/>
      <c r="C736" s="124"/>
      <c r="D736" s="125"/>
      <c r="E736" s="126"/>
      <c r="F736" s="126"/>
      <c r="G736" s="127"/>
      <c r="H736" s="127"/>
      <c r="I736" s="127"/>
      <c r="J736" s="25"/>
    </row>
    <row r="737" spans="2:10" ht="15.75" customHeight="1">
      <c r="B737" s="123"/>
      <c r="C737" s="124"/>
      <c r="D737" s="125"/>
      <c r="E737" s="126"/>
      <c r="F737" s="126"/>
      <c r="G737" s="127"/>
      <c r="H737" s="127"/>
      <c r="I737" s="127"/>
      <c r="J737" s="25"/>
    </row>
    <row r="738" spans="2:10" ht="15.75" customHeight="1">
      <c r="B738" s="123"/>
      <c r="C738" s="124"/>
      <c r="D738" s="125"/>
      <c r="E738" s="126"/>
      <c r="F738" s="126"/>
      <c r="G738" s="127"/>
      <c r="H738" s="127"/>
      <c r="I738" s="127"/>
      <c r="J738" s="25"/>
    </row>
    <row r="739" spans="2:10" ht="15.75" customHeight="1">
      <c r="B739" s="123"/>
      <c r="C739" s="124"/>
      <c r="D739" s="125"/>
      <c r="E739" s="126"/>
      <c r="F739" s="126"/>
      <c r="G739" s="127"/>
      <c r="H739" s="127"/>
      <c r="I739" s="127"/>
      <c r="J739" s="25"/>
    </row>
    <row r="740" spans="2:10" ht="15.75" customHeight="1">
      <c r="B740" s="123"/>
      <c r="C740" s="124"/>
      <c r="D740" s="125"/>
      <c r="E740" s="126"/>
      <c r="F740" s="126"/>
      <c r="G740" s="127"/>
      <c r="H740" s="127"/>
      <c r="I740" s="127"/>
      <c r="J740" s="25"/>
    </row>
    <row r="741" spans="2:10" ht="15.75" customHeight="1">
      <c r="B741" s="123"/>
      <c r="C741" s="124"/>
      <c r="D741" s="125"/>
      <c r="E741" s="126"/>
      <c r="F741" s="126"/>
      <c r="G741" s="127"/>
      <c r="H741" s="127"/>
      <c r="I741" s="127"/>
      <c r="J741" s="25"/>
    </row>
    <row r="742" spans="2:10" ht="15.75" customHeight="1">
      <c r="B742" s="123"/>
      <c r="C742" s="124"/>
      <c r="D742" s="125"/>
      <c r="E742" s="126"/>
      <c r="F742" s="126"/>
      <c r="G742" s="127"/>
      <c r="H742" s="127"/>
      <c r="I742" s="127"/>
      <c r="J742" s="25"/>
    </row>
    <row r="743" spans="2:10" ht="15.75" customHeight="1">
      <c r="B743" s="123"/>
      <c r="C743" s="124"/>
      <c r="D743" s="125"/>
      <c r="E743" s="126"/>
      <c r="F743" s="126"/>
      <c r="G743" s="127"/>
      <c r="H743" s="127"/>
      <c r="I743" s="127"/>
      <c r="J743" s="25"/>
    </row>
    <row r="744" spans="2:10" ht="15.75" customHeight="1">
      <c r="B744" s="123"/>
      <c r="C744" s="124"/>
      <c r="D744" s="125"/>
      <c r="E744" s="126"/>
      <c r="F744" s="126"/>
      <c r="G744" s="127"/>
      <c r="H744" s="127"/>
      <c r="I744" s="127"/>
      <c r="J744" s="25"/>
    </row>
    <row r="745" spans="2:10" ht="15.75" customHeight="1">
      <c r="B745" s="123"/>
      <c r="C745" s="124"/>
      <c r="D745" s="125"/>
      <c r="E745" s="126"/>
      <c r="F745" s="126"/>
      <c r="G745" s="127"/>
      <c r="H745" s="127"/>
      <c r="I745" s="127"/>
      <c r="J745" s="25"/>
    </row>
    <row r="746" spans="2:10" ht="15.75" customHeight="1">
      <c r="B746" s="123"/>
      <c r="C746" s="124"/>
      <c r="D746" s="125"/>
      <c r="E746" s="126"/>
      <c r="F746" s="126"/>
      <c r="G746" s="127"/>
      <c r="H746" s="127"/>
      <c r="I746" s="127"/>
      <c r="J746" s="25"/>
    </row>
    <row r="747" spans="2:10" ht="15.75" customHeight="1">
      <c r="B747" s="123"/>
      <c r="C747" s="124"/>
      <c r="D747" s="125"/>
      <c r="E747" s="126"/>
      <c r="F747" s="126"/>
      <c r="G747" s="127"/>
      <c r="H747" s="127"/>
      <c r="I747" s="127"/>
      <c r="J747" s="25"/>
    </row>
    <row r="748" spans="2:10" ht="15.75" customHeight="1">
      <c r="B748" s="123"/>
      <c r="C748" s="124"/>
      <c r="D748" s="125"/>
      <c r="E748" s="126"/>
      <c r="F748" s="126"/>
      <c r="G748" s="127"/>
      <c r="H748" s="127"/>
      <c r="I748" s="127"/>
      <c r="J748" s="25"/>
    </row>
    <row r="749" spans="2:10" ht="15.75" customHeight="1">
      <c r="B749" s="123"/>
      <c r="C749" s="124"/>
      <c r="D749" s="125"/>
      <c r="E749" s="126"/>
      <c r="F749" s="126"/>
      <c r="G749" s="127"/>
      <c r="H749" s="127"/>
      <c r="I749" s="127"/>
      <c r="J749" s="25"/>
    </row>
    <row r="750" spans="2:10" ht="15.75" customHeight="1">
      <c r="B750" s="123"/>
      <c r="C750" s="124"/>
      <c r="D750" s="125"/>
      <c r="E750" s="126"/>
      <c r="F750" s="126"/>
      <c r="G750" s="127"/>
      <c r="H750" s="127"/>
      <c r="I750" s="127"/>
      <c r="J750" s="25"/>
    </row>
    <row r="751" spans="2:10" ht="15.75" customHeight="1">
      <c r="B751" s="123"/>
      <c r="C751" s="124"/>
      <c r="D751" s="125"/>
      <c r="E751" s="126"/>
      <c r="F751" s="126"/>
      <c r="G751" s="127"/>
      <c r="H751" s="127"/>
      <c r="I751" s="127"/>
      <c r="J751" s="25"/>
    </row>
    <row r="752" spans="2:10" ht="15.75" customHeight="1">
      <c r="B752" s="123"/>
      <c r="C752" s="124"/>
      <c r="D752" s="125"/>
      <c r="E752" s="126"/>
      <c r="F752" s="126"/>
      <c r="G752" s="127"/>
      <c r="H752" s="127"/>
      <c r="I752" s="127"/>
      <c r="J752" s="25"/>
    </row>
    <row r="753" spans="2:10" ht="15.75" customHeight="1">
      <c r="B753" s="123"/>
      <c r="C753" s="124"/>
      <c r="D753" s="125"/>
      <c r="E753" s="126"/>
      <c r="F753" s="126"/>
      <c r="G753" s="127"/>
      <c r="H753" s="127"/>
      <c r="I753" s="127"/>
      <c r="J753" s="25"/>
    </row>
    <row r="754" spans="2:10" ht="15.75" customHeight="1">
      <c r="B754" s="123"/>
      <c r="C754" s="124"/>
      <c r="D754" s="125"/>
      <c r="E754" s="126"/>
      <c r="F754" s="126"/>
      <c r="G754" s="127"/>
      <c r="H754" s="127"/>
      <c r="I754" s="127"/>
      <c r="J754" s="25"/>
    </row>
    <row r="755" spans="2:10" ht="15.75" customHeight="1">
      <c r="B755" s="123"/>
      <c r="C755" s="124"/>
      <c r="D755" s="125"/>
      <c r="E755" s="126"/>
      <c r="F755" s="126"/>
      <c r="G755" s="127"/>
      <c r="H755" s="127"/>
      <c r="I755" s="127"/>
      <c r="J755" s="25"/>
    </row>
    <row r="756" spans="2:10" ht="15.75" customHeight="1">
      <c r="B756" s="123"/>
      <c r="C756" s="124"/>
      <c r="D756" s="125"/>
      <c r="E756" s="126"/>
      <c r="F756" s="126"/>
      <c r="G756" s="127"/>
      <c r="H756" s="127"/>
      <c r="I756" s="127"/>
      <c r="J756" s="25"/>
    </row>
    <row r="757" spans="2:10" ht="15.75" customHeight="1">
      <c r="B757" s="123"/>
      <c r="C757" s="124"/>
      <c r="D757" s="125"/>
      <c r="E757" s="126"/>
      <c r="F757" s="126"/>
      <c r="G757" s="127"/>
      <c r="H757" s="127"/>
      <c r="I757" s="127"/>
      <c r="J757" s="25"/>
    </row>
    <row r="758" spans="2:10" ht="15.75" customHeight="1">
      <c r="B758" s="123"/>
      <c r="C758" s="124"/>
      <c r="D758" s="125"/>
      <c r="E758" s="126"/>
      <c r="F758" s="126"/>
      <c r="G758" s="127"/>
      <c r="H758" s="127"/>
      <c r="I758" s="127"/>
      <c r="J758" s="25"/>
    </row>
    <row r="759" spans="2:10" ht="15.75" customHeight="1">
      <c r="B759" s="123"/>
      <c r="C759" s="124"/>
      <c r="D759" s="125"/>
      <c r="E759" s="126"/>
      <c r="F759" s="126"/>
      <c r="G759" s="127"/>
      <c r="H759" s="127"/>
      <c r="I759" s="127"/>
      <c r="J759" s="25"/>
    </row>
    <row r="760" spans="2:10" ht="15.75" customHeight="1">
      <c r="B760" s="123"/>
      <c r="C760" s="124"/>
      <c r="D760" s="125"/>
      <c r="E760" s="126"/>
      <c r="F760" s="126"/>
      <c r="G760" s="127"/>
      <c r="H760" s="127"/>
      <c r="I760" s="127"/>
      <c r="J760" s="25"/>
    </row>
    <row r="761" spans="2:10" ht="15.75" customHeight="1">
      <c r="B761" s="123"/>
      <c r="C761" s="124"/>
      <c r="D761" s="125"/>
      <c r="E761" s="126"/>
      <c r="F761" s="126"/>
      <c r="G761" s="127"/>
      <c r="H761" s="127"/>
      <c r="I761" s="127"/>
      <c r="J761" s="25"/>
    </row>
    <row r="762" spans="2:10" ht="15.75" customHeight="1">
      <c r="B762" s="123"/>
      <c r="C762" s="124"/>
      <c r="D762" s="125"/>
      <c r="E762" s="126"/>
      <c r="F762" s="126"/>
      <c r="G762" s="127"/>
      <c r="H762" s="127"/>
      <c r="I762" s="127"/>
      <c r="J762" s="25"/>
    </row>
    <row r="763" spans="2:10" ht="15.75" customHeight="1">
      <c r="B763" s="123"/>
      <c r="C763" s="124"/>
      <c r="D763" s="125"/>
      <c r="E763" s="126"/>
      <c r="F763" s="126"/>
      <c r="G763" s="127"/>
      <c r="H763" s="127"/>
      <c r="I763" s="127"/>
      <c r="J763" s="25"/>
    </row>
    <row r="764" spans="2:10" ht="15.75" customHeight="1">
      <c r="B764" s="123"/>
      <c r="C764" s="124"/>
      <c r="D764" s="125"/>
      <c r="E764" s="126"/>
      <c r="F764" s="126"/>
      <c r="G764" s="127"/>
      <c r="H764" s="127"/>
      <c r="I764" s="127"/>
      <c r="J764" s="25"/>
    </row>
    <row r="765" spans="2:10" ht="15.75" customHeight="1">
      <c r="B765" s="123"/>
      <c r="C765" s="124"/>
      <c r="D765" s="125"/>
      <c r="E765" s="126"/>
      <c r="F765" s="126"/>
      <c r="G765" s="127"/>
      <c r="H765" s="127"/>
      <c r="I765" s="127"/>
      <c r="J765" s="25"/>
    </row>
    <row r="766" spans="2:10" ht="15.75" customHeight="1">
      <c r="B766" s="123"/>
      <c r="C766" s="124"/>
      <c r="D766" s="125"/>
      <c r="E766" s="126"/>
      <c r="F766" s="126"/>
      <c r="G766" s="127"/>
      <c r="H766" s="127"/>
      <c r="I766" s="127"/>
      <c r="J766" s="25"/>
    </row>
    <row r="767" spans="2:10" ht="15.75" customHeight="1">
      <c r="B767" s="123"/>
      <c r="C767" s="124"/>
      <c r="D767" s="125"/>
      <c r="E767" s="126"/>
      <c r="F767" s="126"/>
      <c r="G767" s="127"/>
      <c r="H767" s="127"/>
      <c r="I767" s="127"/>
      <c r="J767" s="25"/>
    </row>
    <row r="768" spans="2:10" ht="15.75" customHeight="1">
      <c r="B768" s="123"/>
      <c r="C768" s="124"/>
      <c r="D768" s="125"/>
      <c r="E768" s="126"/>
      <c r="F768" s="126"/>
      <c r="G768" s="127"/>
      <c r="H768" s="127"/>
      <c r="I768" s="127"/>
      <c r="J768" s="25"/>
    </row>
    <row r="769" spans="2:10" ht="15.75" customHeight="1">
      <c r="B769" s="123"/>
      <c r="C769" s="124"/>
      <c r="D769" s="125"/>
      <c r="E769" s="126"/>
      <c r="F769" s="126"/>
      <c r="G769" s="127"/>
      <c r="H769" s="127"/>
      <c r="I769" s="127"/>
      <c r="J769" s="25"/>
    </row>
    <row r="770" spans="2:10" ht="15.75" customHeight="1">
      <c r="B770" s="123"/>
      <c r="C770" s="124"/>
      <c r="D770" s="125"/>
      <c r="E770" s="126"/>
      <c r="F770" s="126"/>
      <c r="G770" s="127"/>
      <c r="H770" s="127"/>
      <c r="I770" s="127"/>
      <c r="J770" s="25"/>
    </row>
    <row r="771" spans="2:10" ht="15.75" customHeight="1">
      <c r="B771" s="123"/>
      <c r="C771" s="124"/>
      <c r="D771" s="125"/>
      <c r="E771" s="126"/>
      <c r="F771" s="126"/>
      <c r="G771" s="127"/>
      <c r="H771" s="127"/>
      <c r="I771" s="127"/>
      <c r="J771" s="25"/>
    </row>
    <row r="772" spans="2:10" ht="15.75" customHeight="1">
      <c r="B772" s="123"/>
      <c r="C772" s="124"/>
      <c r="D772" s="125"/>
      <c r="E772" s="126"/>
      <c r="F772" s="126"/>
      <c r="G772" s="127"/>
      <c r="H772" s="127"/>
      <c r="I772" s="127"/>
      <c r="J772" s="25"/>
    </row>
    <row r="773" spans="2:10" ht="15.75" customHeight="1">
      <c r="B773" s="123"/>
      <c r="C773" s="124"/>
      <c r="D773" s="125"/>
      <c r="E773" s="126"/>
      <c r="F773" s="126"/>
      <c r="G773" s="127"/>
      <c r="H773" s="127"/>
      <c r="I773" s="127"/>
      <c r="J773" s="25"/>
    </row>
    <row r="774" spans="2:10" ht="15.75" customHeight="1">
      <c r="B774" s="123"/>
      <c r="C774" s="124"/>
      <c r="D774" s="125"/>
      <c r="E774" s="126"/>
      <c r="F774" s="126"/>
      <c r="G774" s="127"/>
      <c r="H774" s="127"/>
      <c r="I774" s="127"/>
      <c r="J774" s="25"/>
    </row>
    <row r="775" spans="2:10" ht="15.75" customHeight="1">
      <c r="B775" s="123"/>
      <c r="C775" s="124"/>
      <c r="D775" s="125"/>
      <c r="E775" s="126"/>
      <c r="F775" s="126"/>
      <c r="G775" s="127"/>
      <c r="H775" s="127"/>
      <c r="I775" s="127"/>
      <c r="J775" s="25"/>
    </row>
    <row r="776" spans="2:10" ht="15.75" customHeight="1">
      <c r="B776" s="123"/>
      <c r="C776" s="124"/>
      <c r="D776" s="125"/>
      <c r="E776" s="126"/>
      <c r="F776" s="126"/>
      <c r="G776" s="127"/>
      <c r="H776" s="127"/>
      <c r="I776" s="127"/>
      <c r="J776" s="25"/>
    </row>
    <row r="777" spans="2:10" ht="15.75" customHeight="1">
      <c r="B777" s="123"/>
      <c r="C777" s="124"/>
      <c r="D777" s="125"/>
      <c r="E777" s="126"/>
      <c r="F777" s="126"/>
      <c r="G777" s="127"/>
      <c r="H777" s="127"/>
      <c r="I777" s="127"/>
      <c r="J777" s="25"/>
    </row>
    <row r="778" spans="2:10" ht="15.75" customHeight="1">
      <c r="B778" s="123"/>
      <c r="C778" s="124"/>
      <c r="D778" s="125"/>
      <c r="E778" s="126"/>
      <c r="F778" s="126"/>
      <c r="G778" s="127"/>
      <c r="H778" s="127"/>
      <c r="I778" s="127"/>
      <c r="J778" s="25"/>
    </row>
    <row r="779" spans="2:10" ht="15.75" customHeight="1">
      <c r="B779" s="123"/>
      <c r="C779" s="124"/>
      <c r="D779" s="125"/>
      <c r="E779" s="126"/>
      <c r="F779" s="126"/>
      <c r="G779" s="127"/>
      <c r="H779" s="127"/>
      <c r="I779" s="127"/>
      <c r="J779" s="25"/>
    </row>
    <row r="780" spans="2:10" ht="15.75" customHeight="1">
      <c r="B780" s="123"/>
      <c r="C780" s="124"/>
      <c r="D780" s="125"/>
      <c r="E780" s="126"/>
      <c r="F780" s="126"/>
      <c r="G780" s="127"/>
      <c r="H780" s="127"/>
      <c r="I780" s="127"/>
      <c r="J780" s="25"/>
    </row>
    <row r="781" spans="2:10" ht="15.75" customHeight="1">
      <c r="B781" s="123"/>
      <c r="C781" s="124"/>
      <c r="D781" s="125"/>
      <c r="E781" s="126"/>
      <c r="F781" s="126"/>
      <c r="G781" s="127"/>
      <c r="H781" s="127"/>
      <c r="I781" s="127"/>
      <c r="J781" s="25"/>
    </row>
    <row r="782" spans="2:10" ht="15.75" customHeight="1">
      <c r="B782" s="123"/>
      <c r="C782" s="124"/>
      <c r="D782" s="125"/>
      <c r="E782" s="126"/>
      <c r="F782" s="126"/>
      <c r="G782" s="127"/>
      <c r="H782" s="127"/>
      <c r="I782" s="127"/>
      <c r="J782" s="25"/>
    </row>
    <row r="783" spans="2:10" ht="15.75" customHeight="1">
      <c r="B783" s="123"/>
      <c r="C783" s="124"/>
      <c r="D783" s="125"/>
      <c r="E783" s="126"/>
      <c r="F783" s="126"/>
      <c r="G783" s="127"/>
      <c r="H783" s="127"/>
      <c r="I783" s="127"/>
      <c r="J783" s="25"/>
    </row>
    <row r="784" spans="2:10" ht="15.75" customHeight="1">
      <c r="B784" s="123"/>
      <c r="C784" s="124"/>
      <c r="D784" s="125"/>
      <c r="E784" s="126"/>
      <c r="F784" s="126"/>
      <c r="G784" s="127"/>
      <c r="H784" s="127"/>
      <c r="I784" s="127"/>
      <c r="J784" s="25"/>
    </row>
    <row r="785" spans="2:10" ht="15.75" customHeight="1">
      <c r="B785" s="123"/>
      <c r="C785" s="124"/>
      <c r="D785" s="125"/>
      <c r="E785" s="126"/>
      <c r="F785" s="126"/>
      <c r="G785" s="127"/>
      <c r="H785" s="127"/>
      <c r="I785" s="127"/>
      <c r="J785" s="25"/>
    </row>
    <row r="786" spans="2:10" ht="15.75" customHeight="1">
      <c r="B786" s="123"/>
      <c r="C786" s="124"/>
      <c r="D786" s="125"/>
      <c r="E786" s="126"/>
      <c r="F786" s="126"/>
      <c r="G786" s="127"/>
      <c r="H786" s="127"/>
      <c r="I786" s="127"/>
      <c r="J786" s="25"/>
    </row>
    <row r="787" spans="2:10" ht="15.75" customHeight="1">
      <c r="B787" s="123"/>
      <c r="C787" s="124"/>
      <c r="D787" s="125"/>
      <c r="E787" s="126"/>
      <c r="F787" s="126"/>
      <c r="G787" s="127"/>
      <c r="H787" s="127"/>
      <c r="I787" s="127"/>
      <c r="J787" s="25"/>
    </row>
    <row r="788" spans="2:10" ht="15.75" customHeight="1">
      <c r="B788" s="123"/>
      <c r="C788" s="124"/>
      <c r="D788" s="125"/>
      <c r="E788" s="126"/>
      <c r="F788" s="126"/>
      <c r="G788" s="127"/>
      <c r="H788" s="127"/>
      <c r="I788" s="127"/>
      <c r="J788" s="25"/>
    </row>
    <row r="789" spans="2:10" ht="15.75" customHeight="1">
      <c r="B789" s="123"/>
      <c r="C789" s="124"/>
      <c r="D789" s="125"/>
      <c r="E789" s="126"/>
      <c r="F789" s="126"/>
      <c r="G789" s="127"/>
      <c r="H789" s="127"/>
      <c r="I789" s="127"/>
      <c r="J789" s="25"/>
    </row>
    <row r="790" spans="2:10" ht="15.75" customHeight="1">
      <c r="B790" s="123"/>
      <c r="C790" s="124"/>
      <c r="D790" s="125"/>
      <c r="E790" s="126"/>
      <c r="F790" s="126"/>
      <c r="G790" s="127"/>
      <c r="H790" s="127"/>
      <c r="I790" s="127"/>
      <c r="J790" s="25"/>
    </row>
    <row r="791" spans="2:10" ht="15.75" customHeight="1">
      <c r="B791" s="123"/>
      <c r="C791" s="124"/>
      <c r="D791" s="125"/>
      <c r="E791" s="126"/>
      <c r="F791" s="126"/>
      <c r="G791" s="127"/>
      <c r="H791" s="127"/>
      <c r="I791" s="127"/>
      <c r="J791" s="25"/>
    </row>
    <row r="792" spans="2:10" ht="15.75" customHeight="1">
      <c r="B792" s="123"/>
      <c r="C792" s="124"/>
      <c r="D792" s="125"/>
      <c r="E792" s="126"/>
      <c r="F792" s="126"/>
      <c r="G792" s="127"/>
      <c r="H792" s="127"/>
      <c r="I792" s="127"/>
      <c r="J792" s="25"/>
    </row>
    <row r="793" spans="2:10" ht="15.75" customHeight="1">
      <c r="B793" s="123"/>
      <c r="C793" s="124"/>
      <c r="D793" s="125"/>
      <c r="E793" s="126"/>
      <c r="F793" s="126"/>
      <c r="G793" s="127"/>
      <c r="H793" s="127"/>
      <c r="I793" s="127"/>
      <c r="J793" s="25"/>
    </row>
    <row r="794" spans="2:10" ht="15.75" customHeight="1">
      <c r="B794" s="123"/>
      <c r="C794" s="124"/>
      <c r="D794" s="125"/>
      <c r="E794" s="126"/>
      <c r="F794" s="126"/>
      <c r="G794" s="127"/>
      <c r="H794" s="127"/>
      <c r="I794" s="127"/>
      <c r="J794" s="25"/>
    </row>
    <row r="795" spans="2:10" ht="15.75" customHeight="1">
      <c r="B795" s="123"/>
      <c r="C795" s="124"/>
      <c r="D795" s="125"/>
      <c r="E795" s="126"/>
      <c r="F795" s="126"/>
      <c r="G795" s="127"/>
      <c r="H795" s="127"/>
      <c r="I795" s="127"/>
      <c r="J795" s="25"/>
    </row>
    <row r="796" spans="2:10" ht="15.75" customHeight="1">
      <c r="B796" s="123"/>
      <c r="C796" s="124"/>
      <c r="D796" s="125"/>
      <c r="E796" s="126"/>
      <c r="F796" s="126"/>
      <c r="G796" s="127"/>
      <c r="H796" s="127"/>
      <c r="I796" s="127"/>
      <c r="J796" s="25"/>
    </row>
    <row r="797" spans="2:10" ht="15.75" customHeight="1">
      <c r="B797" s="123"/>
      <c r="C797" s="124"/>
      <c r="D797" s="125"/>
      <c r="E797" s="126"/>
      <c r="F797" s="126"/>
      <c r="G797" s="127"/>
      <c r="H797" s="127"/>
      <c r="I797" s="127"/>
      <c r="J797" s="25"/>
    </row>
    <row r="798" spans="2:10" ht="15.75" customHeight="1">
      <c r="B798" s="123"/>
      <c r="C798" s="124"/>
      <c r="D798" s="125"/>
      <c r="E798" s="126"/>
      <c r="F798" s="126"/>
      <c r="G798" s="127"/>
      <c r="H798" s="127"/>
      <c r="I798" s="127"/>
      <c r="J798" s="25"/>
    </row>
    <row r="799" spans="2:10" ht="15.75" customHeight="1">
      <c r="B799" s="123"/>
      <c r="C799" s="124"/>
      <c r="D799" s="125"/>
      <c r="E799" s="126"/>
      <c r="F799" s="126"/>
      <c r="G799" s="127"/>
      <c r="H799" s="127"/>
      <c r="I799" s="127"/>
      <c r="J799" s="25"/>
    </row>
    <row r="800" spans="2:10" ht="15.75" customHeight="1">
      <c r="B800" s="123"/>
      <c r="C800" s="124"/>
      <c r="D800" s="125"/>
      <c r="E800" s="126"/>
      <c r="F800" s="126"/>
      <c r="G800" s="127"/>
      <c r="H800" s="127"/>
      <c r="I800" s="127"/>
      <c r="J800" s="25"/>
    </row>
    <row r="801" spans="2:10" ht="15.75" customHeight="1">
      <c r="B801" s="123"/>
      <c r="C801" s="124"/>
      <c r="D801" s="125"/>
      <c r="E801" s="126"/>
      <c r="F801" s="126"/>
      <c r="G801" s="127"/>
      <c r="H801" s="127"/>
      <c r="I801" s="127"/>
      <c r="J801" s="25"/>
    </row>
    <row r="802" spans="2:10" ht="15.75" customHeight="1">
      <c r="B802" s="123"/>
      <c r="C802" s="124"/>
      <c r="D802" s="125"/>
      <c r="E802" s="126"/>
      <c r="F802" s="126"/>
      <c r="G802" s="127"/>
      <c r="H802" s="127"/>
      <c r="I802" s="127"/>
      <c r="J802" s="25"/>
    </row>
    <row r="803" spans="2:10" ht="15.75" customHeight="1">
      <c r="B803" s="123"/>
      <c r="C803" s="124"/>
      <c r="D803" s="125"/>
      <c r="E803" s="126"/>
      <c r="F803" s="126"/>
      <c r="G803" s="127"/>
      <c r="H803" s="127"/>
      <c r="I803" s="127"/>
      <c r="J803" s="25"/>
    </row>
    <row r="804" spans="2:10" ht="15.75" customHeight="1">
      <c r="B804" s="123"/>
      <c r="C804" s="124"/>
      <c r="D804" s="125"/>
      <c r="E804" s="126"/>
      <c r="F804" s="126"/>
      <c r="G804" s="127"/>
      <c r="H804" s="127"/>
      <c r="I804" s="127"/>
      <c r="J804" s="25"/>
    </row>
    <row r="805" spans="2:10" ht="15.75" customHeight="1">
      <c r="B805" s="123"/>
      <c r="C805" s="124"/>
      <c r="D805" s="125"/>
      <c r="E805" s="126"/>
      <c r="F805" s="126"/>
      <c r="G805" s="127"/>
      <c r="H805" s="127"/>
      <c r="I805" s="127"/>
      <c r="J805" s="25"/>
    </row>
    <row r="806" spans="2:10" ht="15.75" customHeight="1">
      <c r="B806" s="123"/>
      <c r="C806" s="124"/>
      <c r="D806" s="125"/>
      <c r="E806" s="126"/>
      <c r="F806" s="126"/>
      <c r="G806" s="127"/>
      <c r="H806" s="127"/>
      <c r="I806" s="127"/>
      <c r="J806" s="25"/>
    </row>
    <row r="807" spans="2:10" ht="15.75" customHeight="1">
      <c r="B807" s="123"/>
      <c r="C807" s="124"/>
      <c r="D807" s="125"/>
      <c r="E807" s="126"/>
      <c r="F807" s="126"/>
      <c r="G807" s="127"/>
      <c r="H807" s="127"/>
      <c r="I807" s="127"/>
      <c r="J807" s="25"/>
    </row>
    <row r="808" spans="2:10" ht="15.75" customHeight="1">
      <c r="B808" s="123"/>
      <c r="C808" s="124"/>
      <c r="D808" s="125"/>
      <c r="E808" s="126"/>
      <c r="F808" s="126"/>
      <c r="G808" s="127"/>
      <c r="H808" s="127"/>
      <c r="I808" s="127"/>
      <c r="J808" s="25"/>
    </row>
    <row r="809" spans="2:10" ht="15.75" customHeight="1">
      <c r="B809" s="123"/>
      <c r="C809" s="124"/>
      <c r="D809" s="125"/>
      <c r="E809" s="126"/>
      <c r="F809" s="126"/>
      <c r="G809" s="127"/>
      <c r="H809" s="127"/>
      <c r="I809" s="127"/>
      <c r="J809" s="25"/>
    </row>
    <row r="810" spans="2:10" ht="15.75" customHeight="1">
      <c r="B810" s="123"/>
      <c r="C810" s="124"/>
      <c r="D810" s="125"/>
      <c r="E810" s="126"/>
      <c r="F810" s="126"/>
      <c r="G810" s="127"/>
      <c r="H810" s="127"/>
      <c r="I810" s="127"/>
      <c r="J810" s="25"/>
    </row>
    <row r="811" spans="2:10" ht="15.75" customHeight="1">
      <c r="B811" s="123"/>
      <c r="C811" s="124"/>
      <c r="D811" s="125"/>
      <c r="E811" s="126"/>
      <c r="F811" s="126"/>
      <c r="G811" s="127"/>
      <c r="H811" s="127"/>
      <c r="I811" s="127"/>
      <c r="J811" s="25"/>
    </row>
    <row r="812" spans="2:10" ht="15.75" customHeight="1">
      <c r="B812" s="123"/>
      <c r="C812" s="124"/>
      <c r="D812" s="125"/>
      <c r="E812" s="126"/>
      <c r="F812" s="126"/>
      <c r="G812" s="127"/>
      <c r="H812" s="127"/>
      <c r="I812" s="127"/>
      <c r="J812" s="25"/>
    </row>
    <row r="813" spans="2:10" ht="15.75" customHeight="1">
      <c r="B813" s="123"/>
      <c r="C813" s="124"/>
      <c r="D813" s="125"/>
      <c r="E813" s="126"/>
      <c r="F813" s="126"/>
      <c r="G813" s="127"/>
      <c r="H813" s="127"/>
      <c r="I813" s="127"/>
      <c r="J813" s="25"/>
    </row>
    <row r="814" spans="2:10" ht="15.75" customHeight="1">
      <c r="B814" s="123"/>
      <c r="C814" s="124"/>
      <c r="D814" s="125"/>
      <c r="E814" s="126"/>
      <c r="F814" s="126"/>
      <c r="G814" s="127"/>
      <c r="H814" s="127"/>
      <c r="I814" s="127"/>
      <c r="J814" s="25"/>
    </row>
    <row r="815" spans="2:10" ht="15.75" customHeight="1">
      <c r="B815" s="123"/>
      <c r="C815" s="124"/>
      <c r="D815" s="125"/>
      <c r="E815" s="126"/>
      <c r="F815" s="126"/>
      <c r="G815" s="127"/>
      <c r="H815" s="127"/>
      <c r="I815" s="127"/>
      <c r="J815" s="25"/>
    </row>
    <row r="816" spans="2:10" ht="15.75" customHeight="1">
      <c r="B816" s="123"/>
      <c r="C816" s="124"/>
      <c r="D816" s="125"/>
      <c r="E816" s="126"/>
      <c r="F816" s="126"/>
      <c r="G816" s="127"/>
      <c r="H816" s="127"/>
      <c r="I816" s="127"/>
      <c r="J816" s="25"/>
    </row>
    <row r="817" spans="2:10" ht="15.75" customHeight="1">
      <c r="B817" s="123"/>
      <c r="C817" s="124"/>
      <c r="D817" s="125"/>
      <c r="E817" s="126"/>
      <c r="F817" s="126"/>
      <c r="G817" s="127"/>
      <c r="H817" s="127"/>
      <c r="I817" s="127"/>
      <c r="J817" s="25"/>
    </row>
    <row r="818" spans="2:10" ht="15.75" customHeight="1">
      <c r="B818" s="123"/>
      <c r="C818" s="124"/>
      <c r="D818" s="125"/>
      <c r="E818" s="126"/>
      <c r="F818" s="126"/>
      <c r="G818" s="127"/>
      <c r="H818" s="127"/>
      <c r="I818" s="127"/>
      <c r="J818" s="25"/>
    </row>
    <row r="819" spans="2:10" ht="15.75" customHeight="1">
      <c r="B819" s="123"/>
      <c r="C819" s="124"/>
      <c r="D819" s="125"/>
      <c r="E819" s="126"/>
      <c r="F819" s="126"/>
      <c r="G819" s="127"/>
      <c r="H819" s="127"/>
      <c r="I819" s="127"/>
      <c r="J819" s="25"/>
    </row>
    <row r="820" spans="2:10" ht="15.75" customHeight="1">
      <c r="B820" s="123"/>
      <c r="C820" s="124"/>
      <c r="D820" s="125"/>
      <c r="E820" s="126"/>
      <c r="F820" s="126"/>
      <c r="G820" s="127"/>
      <c r="H820" s="127"/>
      <c r="I820" s="127"/>
      <c r="J820" s="25"/>
    </row>
    <row r="821" spans="2:10" ht="15.75" customHeight="1">
      <c r="B821" s="123"/>
      <c r="C821" s="124"/>
      <c r="D821" s="125"/>
      <c r="E821" s="126"/>
      <c r="F821" s="126"/>
      <c r="G821" s="127"/>
      <c r="H821" s="127"/>
      <c r="I821" s="127"/>
      <c r="J821" s="25"/>
    </row>
    <row r="822" spans="2:10" ht="15.75" customHeight="1">
      <c r="B822" s="123"/>
      <c r="C822" s="124"/>
      <c r="D822" s="125"/>
      <c r="E822" s="126"/>
      <c r="F822" s="126"/>
      <c r="G822" s="127"/>
      <c r="H822" s="127"/>
      <c r="I822" s="127"/>
      <c r="J822" s="25"/>
    </row>
    <row r="823" spans="2:10" ht="15.75" customHeight="1">
      <c r="B823" s="123"/>
      <c r="C823" s="124"/>
      <c r="D823" s="125"/>
      <c r="E823" s="126"/>
      <c r="F823" s="126"/>
      <c r="G823" s="127"/>
      <c r="H823" s="127"/>
      <c r="I823" s="127"/>
      <c r="J823" s="25"/>
    </row>
    <row r="824" spans="2:10" ht="15.75" customHeight="1">
      <c r="B824" s="123"/>
      <c r="C824" s="124"/>
      <c r="D824" s="125"/>
      <c r="E824" s="126"/>
      <c r="F824" s="126"/>
      <c r="G824" s="127"/>
      <c r="H824" s="127"/>
      <c r="I824" s="127"/>
      <c r="J824" s="25"/>
    </row>
    <row r="825" spans="2:10" ht="15.75" customHeight="1">
      <c r="B825" s="123"/>
      <c r="C825" s="124"/>
      <c r="D825" s="125"/>
      <c r="E825" s="126"/>
      <c r="F825" s="126"/>
      <c r="G825" s="127"/>
      <c r="H825" s="127"/>
      <c r="I825" s="127"/>
      <c r="J825" s="25"/>
    </row>
    <row r="826" spans="2:10" ht="15.75" customHeight="1">
      <c r="B826" s="123"/>
      <c r="C826" s="124"/>
      <c r="D826" s="125"/>
      <c r="E826" s="126"/>
      <c r="F826" s="126"/>
      <c r="G826" s="127"/>
      <c r="H826" s="127"/>
      <c r="I826" s="127"/>
      <c r="J826" s="25"/>
    </row>
    <row r="827" spans="2:10" ht="15.75" customHeight="1">
      <c r="B827" s="123"/>
      <c r="C827" s="124"/>
      <c r="D827" s="125"/>
      <c r="E827" s="126"/>
      <c r="F827" s="126"/>
      <c r="G827" s="127"/>
      <c r="H827" s="127"/>
      <c r="I827" s="127"/>
      <c r="J827" s="25"/>
    </row>
    <row r="828" spans="2:10" ht="15.75" customHeight="1">
      <c r="B828" s="123"/>
      <c r="C828" s="124"/>
      <c r="D828" s="125"/>
      <c r="E828" s="126"/>
      <c r="F828" s="126"/>
      <c r="G828" s="127"/>
      <c r="H828" s="127"/>
      <c r="I828" s="127"/>
      <c r="J828" s="25"/>
    </row>
    <row r="829" spans="2:10" ht="15.75" customHeight="1">
      <c r="B829" s="123"/>
      <c r="C829" s="124"/>
      <c r="D829" s="125"/>
      <c r="E829" s="126"/>
      <c r="F829" s="126"/>
      <c r="G829" s="127"/>
      <c r="H829" s="127"/>
      <c r="I829" s="127"/>
      <c r="J829" s="25"/>
    </row>
    <row r="830" spans="2:10" ht="15.75" customHeight="1">
      <c r="B830" s="123"/>
      <c r="C830" s="124"/>
      <c r="D830" s="125"/>
      <c r="E830" s="126"/>
      <c r="F830" s="126"/>
      <c r="G830" s="127"/>
      <c r="H830" s="127"/>
      <c r="I830" s="127"/>
      <c r="J830" s="25"/>
    </row>
    <row r="831" spans="2:10" ht="15.75" customHeight="1">
      <c r="B831" s="123"/>
      <c r="C831" s="124"/>
      <c r="D831" s="125"/>
      <c r="E831" s="126"/>
      <c r="F831" s="126"/>
      <c r="G831" s="127"/>
      <c r="H831" s="127"/>
      <c r="I831" s="127"/>
      <c r="J831" s="25"/>
    </row>
    <row r="832" spans="2:10" ht="15.75" customHeight="1">
      <c r="B832" s="123"/>
      <c r="C832" s="124"/>
      <c r="D832" s="125"/>
      <c r="E832" s="126"/>
      <c r="F832" s="126"/>
      <c r="G832" s="127"/>
      <c r="H832" s="127"/>
      <c r="I832" s="127"/>
      <c r="J832" s="25"/>
    </row>
    <row r="833" spans="2:10" ht="15.75" customHeight="1">
      <c r="B833" s="123"/>
      <c r="C833" s="124"/>
      <c r="D833" s="125"/>
      <c r="E833" s="126"/>
      <c r="F833" s="126"/>
      <c r="G833" s="127"/>
      <c r="H833" s="127"/>
      <c r="I833" s="127"/>
      <c r="J833" s="25"/>
    </row>
    <row r="834" spans="2:10" ht="15.75" customHeight="1">
      <c r="B834" s="123"/>
      <c r="C834" s="124"/>
      <c r="D834" s="125"/>
      <c r="E834" s="126"/>
      <c r="F834" s="126"/>
      <c r="G834" s="127"/>
      <c r="H834" s="127"/>
      <c r="I834" s="127"/>
      <c r="J834" s="25"/>
    </row>
    <row r="835" spans="2:10" ht="15.75" customHeight="1">
      <c r="B835" s="123"/>
      <c r="C835" s="124"/>
      <c r="D835" s="125"/>
      <c r="E835" s="126"/>
      <c r="F835" s="126"/>
      <c r="G835" s="127"/>
      <c r="H835" s="127"/>
      <c r="I835" s="127"/>
      <c r="J835" s="25"/>
    </row>
    <row r="836" spans="2:10" ht="15.75" customHeight="1">
      <c r="B836" s="123"/>
      <c r="C836" s="124"/>
      <c r="D836" s="125"/>
      <c r="E836" s="126"/>
      <c r="F836" s="126"/>
      <c r="G836" s="127"/>
      <c r="H836" s="127"/>
      <c r="I836" s="127"/>
      <c r="J836" s="25"/>
    </row>
    <row r="837" spans="2:10" ht="15.75" customHeight="1">
      <c r="B837" s="123"/>
      <c r="C837" s="124"/>
      <c r="D837" s="125"/>
      <c r="E837" s="126"/>
      <c r="F837" s="126"/>
      <c r="G837" s="127"/>
      <c r="H837" s="127"/>
      <c r="I837" s="127"/>
      <c r="J837" s="25"/>
    </row>
    <row r="838" spans="2:10" ht="15.75" customHeight="1">
      <c r="B838" s="123"/>
      <c r="C838" s="124"/>
      <c r="D838" s="125"/>
      <c r="E838" s="126"/>
      <c r="F838" s="126"/>
      <c r="G838" s="127"/>
      <c r="H838" s="127"/>
      <c r="I838" s="127"/>
      <c r="J838" s="25"/>
    </row>
    <row r="839" spans="2:10" ht="15.75" customHeight="1">
      <c r="B839" s="123"/>
      <c r="C839" s="124"/>
      <c r="D839" s="125"/>
      <c r="E839" s="126"/>
      <c r="F839" s="126"/>
      <c r="G839" s="127"/>
      <c r="H839" s="127"/>
      <c r="I839" s="127"/>
      <c r="J839" s="25"/>
    </row>
    <row r="840" spans="2:10" ht="15.75" customHeight="1">
      <c r="B840" s="123"/>
      <c r="C840" s="124"/>
      <c r="D840" s="125"/>
      <c r="E840" s="126"/>
      <c r="F840" s="126"/>
      <c r="G840" s="127"/>
      <c r="H840" s="127"/>
      <c r="I840" s="127"/>
      <c r="J840" s="25"/>
    </row>
    <row r="841" spans="2:10" ht="15.75" customHeight="1">
      <c r="B841" s="123"/>
      <c r="C841" s="124"/>
      <c r="D841" s="125"/>
      <c r="E841" s="126"/>
      <c r="F841" s="126"/>
      <c r="G841" s="127"/>
      <c r="H841" s="127"/>
      <c r="I841" s="127"/>
      <c r="J841" s="25"/>
    </row>
    <row r="842" spans="2:10" ht="15.75" customHeight="1">
      <c r="B842" s="123"/>
      <c r="C842" s="124"/>
      <c r="D842" s="125"/>
      <c r="E842" s="126"/>
      <c r="F842" s="126"/>
      <c r="G842" s="127"/>
      <c r="H842" s="127"/>
      <c r="I842" s="127"/>
      <c r="J842" s="25"/>
    </row>
    <row r="843" spans="2:10" ht="15.75" customHeight="1">
      <c r="B843" s="123"/>
      <c r="C843" s="124"/>
      <c r="D843" s="125"/>
      <c r="E843" s="126"/>
      <c r="F843" s="126"/>
      <c r="G843" s="127"/>
      <c r="H843" s="127"/>
      <c r="I843" s="127"/>
      <c r="J843" s="25"/>
    </row>
    <row r="844" spans="2:10" ht="15.75" customHeight="1">
      <c r="B844" s="123"/>
      <c r="C844" s="124"/>
      <c r="D844" s="125"/>
      <c r="E844" s="126"/>
      <c r="F844" s="126"/>
      <c r="G844" s="127"/>
      <c r="H844" s="127"/>
      <c r="I844" s="127"/>
      <c r="J844" s="25"/>
    </row>
    <row r="845" spans="2:10" ht="15.75" customHeight="1">
      <c r="B845" s="123"/>
      <c r="C845" s="124"/>
      <c r="D845" s="125"/>
      <c r="E845" s="126"/>
      <c r="F845" s="126"/>
      <c r="G845" s="127"/>
      <c r="H845" s="127"/>
      <c r="I845" s="127"/>
      <c r="J845" s="25"/>
    </row>
    <row r="846" spans="2:10" ht="15.75" customHeight="1">
      <c r="B846" s="123"/>
      <c r="C846" s="124"/>
      <c r="D846" s="125"/>
      <c r="E846" s="126"/>
      <c r="F846" s="126"/>
      <c r="G846" s="127"/>
      <c r="H846" s="127"/>
      <c r="I846" s="127"/>
      <c r="J846" s="25"/>
    </row>
    <row r="847" spans="2:10" ht="15.75" customHeight="1">
      <c r="B847" s="123"/>
      <c r="C847" s="124"/>
      <c r="D847" s="125"/>
      <c r="E847" s="126"/>
      <c r="F847" s="126"/>
      <c r="G847" s="127"/>
      <c r="H847" s="127"/>
      <c r="I847" s="127"/>
      <c r="J847" s="25"/>
    </row>
    <row r="848" spans="2:10" ht="15.75" customHeight="1">
      <c r="B848" s="123"/>
      <c r="C848" s="124"/>
      <c r="D848" s="125"/>
      <c r="E848" s="126"/>
      <c r="F848" s="126"/>
      <c r="G848" s="127"/>
      <c r="H848" s="127"/>
      <c r="I848" s="127"/>
      <c r="J848" s="25"/>
    </row>
    <row r="849" spans="2:10" ht="15.75" customHeight="1">
      <c r="B849" s="123"/>
      <c r="C849" s="124"/>
      <c r="D849" s="125"/>
      <c r="E849" s="126"/>
      <c r="F849" s="126"/>
      <c r="G849" s="127"/>
      <c r="H849" s="127"/>
      <c r="I849" s="127"/>
      <c r="J849" s="25"/>
    </row>
    <row r="850" spans="2:10" ht="15.75" customHeight="1">
      <c r="B850" s="123"/>
      <c r="C850" s="124"/>
      <c r="D850" s="125"/>
      <c r="E850" s="126"/>
      <c r="F850" s="126"/>
      <c r="G850" s="127"/>
      <c r="H850" s="127"/>
      <c r="I850" s="127"/>
      <c r="J850" s="25"/>
    </row>
    <row r="851" spans="2:10" ht="15.75" customHeight="1">
      <c r="B851" s="123"/>
      <c r="C851" s="124"/>
      <c r="D851" s="125"/>
      <c r="E851" s="126"/>
      <c r="F851" s="126"/>
      <c r="G851" s="127"/>
      <c r="H851" s="127"/>
      <c r="I851" s="127"/>
      <c r="J851" s="25"/>
    </row>
    <row r="852" spans="2:10" ht="15.75" customHeight="1">
      <c r="B852" s="123"/>
      <c r="C852" s="124"/>
      <c r="D852" s="125"/>
      <c r="E852" s="126"/>
      <c r="F852" s="126"/>
      <c r="G852" s="127"/>
      <c r="H852" s="127"/>
      <c r="I852" s="127"/>
      <c r="J852" s="25"/>
    </row>
    <row r="853" spans="2:10" ht="15.75" customHeight="1">
      <c r="B853" s="123"/>
      <c r="C853" s="124"/>
      <c r="D853" s="125"/>
      <c r="E853" s="126"/>
      <c r="F853" s="126"/>
      <c r="G853" s="127"/>
      <c r="H853" s="127"/>
      <c r="I853" s="127"/>
      <c r="J853" s="25"/>
    </row>
    <row r="854" spans="2:10" ht="15.75" customHeight="1">
      <c r="B854" s="123"/>
      <c r="C854" s="124"/>
      <c r="D854" s="125"/>
      <c r="E854" s="126"/>
      <c r="F854" s="126"/>
      <c r="G854" s="127"/>
      <c r="H854" s="127"/>
      <c r="I854" s="127"/>
      <c r="J854" s="25"/>
    </row>
    <row r="855" spans="2:10" ht="15.75" customHeight="1">
      <c r="B855" s="123"/>
      <c r="C855" s="124"/>
      <c r="D855" s="125"/>
      <c r="E855" s="126"/>
      <c r="F855" s="126"/>
      <c r="G855" s="127"/>
      <c r="H855" s="127"/>
      <c r="I855" s="127"/>
      <c r="J855" s="25"/>
    </row>
    <row r="856" spans="2:10" ht="15.75" customHeight="1">
      <c r="B856" s="123"/>
      <c r="C856" s="124"/>
      <c r="D856" s="125"/>
      <c r="E856" s="126"/>
      <c r="F856" s="126"/>
      <c r="G856" s="127"/>
      <c r="H856" s="127"/>
      <c r="I856" s="127"/>
      <c r="J856" s="25"/>
    </row>
    <row r="857" spans="2:10" ht="15.75" customHeight="1">
      <c r="B857" s="123"/>
      <c r="C857" s="124"/>
      <c r="D857" s="125"/>
      <c r="E857" s="126"/>
      <c r="F857" s="126"/>
      <c r="G857" s="127"/>
      <c r="H857" s="127"/>
      <c r="I857" s="127"/>
      <c r="J857" s="25"/>
    </row>
    <row r="858" spans="2:10" ht="15.75" customHeight="1">
      <c r="B858" s="123"/>
      <c r="C858" s="124"/>
      <c r="D858" s="125"/>
      <c r="E858" s="126"/>
      <c r="F858" s="126"/>
      <c r="G858" s="127"/>
      <c r="H858" s="127"/>
      <c r="I858" s="127"/>
      <c r="J858" s="25"/>
    </row>
    <row r="859" spans="2:10" ht="15.75" customHeight="1">
      <c r="B859" s="123"/>
      <c r="C859" s="124"/>
      <c r="D859" s="125"/>
      <c r="E859" s="126"/>
      <c r="F859" s="126"/>
      <c r="G859" s="127"/>
      <c r="H859" s="127"/>
      <c r="I859" s="127"/>
      <c r="J859" s="25"/>
    </row>
    <row r="860" spans="2:10" ht="15.75" customHeight="1">
      <c r="B860" s="123"/>
      <c r="C860" s="124"/>
      <c r="D860" s="125"/>
      <c r="E860" s="126"/>
      <c r="F860" s="126"/>
      <c r="G860" s="127"/>
      <c r="H860" s="127"/>
      <c r="I860" s="127"/>
      <c r="J860" s="25"/>
    </row>
    <row r="861" spans="2:10" ht="15.75" customHeight="1">
      <c r="B861" s="123"/>
      <c r="C861" s="124"/>
      <c r="D861" s="125"/>
      <c r="E861" s="126"/>
      <c r="F861" s="126"/>
      <c r="G861" s="127"/>
      <c r="H861" s="127"/>
      <c r="I861" s="127"/>
      <c r="J861" s="25"/>
    </row>
    <row r="862" spans="2:10" ht="15.75" customHeight="1">
      <c r="B862" s="123"/>
      <c r="C862" s="124"/>
      <c r="D862" s="125"/>
      <c r="E862" s="126"/>
      <c r="F862" s="126"/>
      <c r="G862" s="127"/>
      <c r="H862" s="127"/>
      <c r="I862" s="127"/>
      <c r="J862" s="25"/>
    </row>
    <row r="863" spans="2:10" ht="15.75" customHeight="1">
      <c r="B863" s="123"/>
      <c r="C863" s="124"/>
      <c r="D863" s="125"/>
      <c r="E863" s="126"/>
      <c r="F863" s="126"/>
      <c r="G863" s="127"/>
      <c r="H863" s="127"/>
      <c r="I863" s="127"/>
      <c r="J863" s="25"/>
    </row>
    <row r="864" spans="2:10" ht="15.75" customHeight="1">
      <c r="B864" s="123"/>
      <c r="C864" s="124"/>
      <c r="D864" s="125"/>
      <c r="E864" s="126"/>
      <c r="F864" s="126"/>
      <c r="G864" s="127"/>
      <c r="H864" s="127"/>
      <c r="I864" s="127"/>
      <c r="J864" s="25"/>
    </row>
    <row r="865" spans="2:10" ht="15.75" customHeight="1">
      <c r="B865" s="123"/>
      <c r="C865" s="124"/>
      <c r="D865" s="125"/>
      <c r="E865" s="126"/>
      <c r="F865" s="126"/>
      <c r="G865" s="127"/>
      <c r="H865" s="127"/>
      <c r="I865" s="127"/>
      <c r="J865" s="25"/>
    </row>
    <row r="866" spans="2:10" ht="15.75" customHeight="1">
      <c r="B866" s="123"/>
      <c r="C866" s="124"/>
      <c r="D866" s="125"/>
      <c r="E866" s="126"/>
      <c r="F866" s="126"/>
      <c r="G866" s="127"/>
      <c r="H866" s="127"/>
      <c r="I866" s="127"/>
      <c r="J866" s="25"/>
    </row>
    <row r="867" spans="2:10" ht="15.75" customHeight="1">
      <c r="B867" s="123"/>
      <c r="C867" s="124"/>
      <c r="D867" s="125"/>
      <c r="E867" s="126"/>
      <c r="F867" s="126"/>
      <c r="G867" s="127"/>
      <c r="H867" s="127"/>
      <c r="I867" s="127"/>
      <c r="J867" s="25"/>
    </row>
    <row r="868" spans="2:10" ht="15.75" customHeight="1">
      <c r="B868" s="123"/>
      <c r="C868" s="124"/>
      <c r="D868" s="125"/>
      <c r="E868" s="126"/>
      <c r="F868" s="126"/>
      <c r="G868" s="127"/>
      <c r="H868" s="127"/>
      <c r="I868" s="127"/>
      <c r="J868" s="25"/>
    </row>
    <row r="869" spans="2:10" ht="15.75" customHeight="1">
      <c r="B869" s="123"/>
      <c r="C869" s="124"/>
      <c r="D869" s="125"/>
      <c r="E869" s="126"/>
      <c r="F869" s="126"/>
      <c r="G869" s="127"/>
      <c r="H869" s="127"/>
      <c r="I869" s="127"/>
      <c r="J869" s="25"/>
    </row>
    <row r="870" spans="2:10" ht="15.75" customHeight="1">
      <c r="B870" s="123"/>
      <c r="C870" s="124"/>
      <c r="D870" s="125"/>
      <c r="E870" s="126"/>
      <c r="F870" s="126"/>
      <c r="G870" s="127"/>
      <c r="H870" s="127"/>
      <c r="I870" s="127"/>
      <c r="J870" s="25"/>
    </row>
    <row r="871" spans="2:10" ht="15.75" customHeight="1">
      <c r="B871" s="123"/>
      <c r="C871" s="124"/>
      <c r="D871" s="125"/>
      <c r="E871" s="126"/>
      <c r="F871" s="126"/>
      <c r="G871" s="127"/>
      <c r="H871" s="127"/>
      <c r="I871" s="127"/>
      <c r="J871" s="25"/>
    </row>
    <row r="872" spans="2:10" ht="15.75" customHeight="1">
      <c r="B872" s="123"/>
      <c r="C872" s="124"/>
      <c r="D872" s="125"/>
      <c r="E872" s="126"/>
      <c r="F872" s="126"/>
      <c r="G872" s="127"/>
      <c r="H872" s="127"/>
      <c r="I872" s="127"/>
      <c r="J872" s="25"/>
    </row>
    <row r="873" spans="2:10" ht="15.75" customHeight="1">
      <c r="B873" s="123"/>
      <c r="C873" s="124"/>
      <c r="D873" s="125"/>
      <c r="E873" s="126"/>
      <c r="F873" s="126"/>
      <c r="G873" s="127"/>
      <c r="H873" s="127"/>
      <c r="I873" s="127"/>
      <c r="J873" s="25"/>
    </row>
    <row r="874" spans="2:10" ht="15.75" customHeight="1">
      <c r="B874" s="123"/>
      <c r="C874" s="124"/>
      <c r="D874" s="125"/>
      <c r="E874" s="126"/>
      <c r="F874" s="126"/>
      <c r="G874" s="127"/>
      <c r="H874" s="127"/>
      <c r="I874" s="127"/>
      <c r="J874" s="25"/>
    </row>
    <row r="875" spans="2:10" ht="15.75" customHeight="1">
      <c r="B875" s="123"/>
      <c r="C875" s="124"/>
      <c r="D875" s="125"/>
      <c r="E875" s="126"/>
      <c r="F875" s="126"/>
      <c r="G875" s="127"/>
      <c r="H875" s="127"/>
      <c r="I875" s="127"/>
      <c r="J875" s="25"/>
    </row>
    <row r="876" spans="2:10" ht="15.75" customHeight="1">
      <c r="B876" s="123"/>
      <c r="C876" s="124"/>
      <c r="D876" s="125"/>
      <c r="E876" s="126"/>
      <c r="F876" s="126"/>
      <c r="G876" s="127"/>
      <c r="H876" s="127"/>
      <c r="I876" s="127"/>
      <c r="J876" s="25"/>
    </row>
    <row r="877" spans="2:10" ht="15.75" customHeight="1">
      <c r="B877" s="123"/>
      <c r="C877" s="124"/>
      <c r="D877" s="125"/>
      <c r="E877" s="126"/>
      <c r="F877" s="126"/>
      <c r="G877" s="127"/>
      <c r="H877" s="127"/>
      <c r="I877" s="127"/>
      <c r="J877" s="25"/>
    </row>
    <row r="878" spans="2:10" ht="15.75" customHeight="1">
      <c r="B878" s="123"/>
      <c r="C878" s="124"/>
      <c r="D878" s="125"/>
      <c r="E878" s="126"/>
      <c r="F878" s="126"/>
      <c r="G878" s="127"/>
      <c r="H878" s="127"/>
      <c r="I878" s="127"/>
      <c r="J878" s="25"/>
    </row>
    <row r="879" spans="2:10" ht="15.75" customHeight="1">
      <c r="B879" s="123"/>
      <c r="C879" s="124"/>
      <c r="D879" s="125"/>
      <c r="E879" s="126"/>
      <c r="F879" s="126"/>
      <c r="G879" s="127"/>
      <c r="H879" s="127"/>
      <c r="I879" s="127"/>
      <c r="J879" s="25"/>
    </row>
    <row r="880" spans="2:10" ht="15.75" customHeight="1">
      <c r="B880" s="123"/>
      <c r="C880" s="124"/>
      <c r="D880" s="125"/>
      <c r="E880" s="126"/>
      <c r="F880" s="126"/>
      <c r="G880" s="127"/>
      <c r="H880" s="127"/>
      <c r="I880" s="127"/>
      <c r="J880" s="25"/>
    </row>
    <row r="881" spans="2:10" ht="15.75" customHeight="1">
      <c r="B881" s="123"/>
      <c r="C881" s="124"/>
      <c r="D881" s="125"/>
      <c r="E881" s="126"/>
      <c r="F881" s="126"/>
      <c r="G881" s="127"/>
      <c r="H881" s="127"/>
      <c r="I881" s="127"/>
      <c r="J881" s="25"/>
    </row>
    <row r="882" spans="2:10" ht="15.75" customHeight="1">
      <c r="B882" s="123"/>
      <c r="C882" s="124"/>
      <c r="D882" s="125"/>
      <c r="E882" s="126"/>
      <c r="F882" s="126"/>
      <c r="G882" s="127"/>
      <c r="H882" s="127"/>
      <c r="I882" s="127"/>
      <c r="J882" s="25"/>
    </row>
    <row r="883" spans="2:10" ht="15.75" customHeight="1">
      <c r="B883" s="123"/>
      <c r="C883" s="124"/>
      <c r="D883" s="125"/>
      <c r="E883" s="126"/>
      <c r="F883" s="126"/>
      <c r="G883" s="127"/>
      <c r="H883" s="127"/>
      <c r="I883" s="127"/>
      <c r="J883" s="25"/>
    </row>
    <row r="884" spans="2:10" ht="15.75" customHeight="1">
      <c r="B884" s="123"/>
      <c r="C884" s="124"/>
      <c r="D884" s="125"/>
      <c r="E884" s="126"/>
      <c r="F884" s="126"/>
      <c r="G884" s="127"/>
      <c r="H884" s="127"/>
      <c r="I884" s="127"/>
      <c r="J884" s="25"/>
    </row>
    <row r="885" spans="2:10" ht="15.75" customHeight="1">
      <c r="B885" s="123"/>
      <c r="C885" s="124"/>
      <c r="D885" s="125"/>
      <c r="E885" s="126"/>
      <c r="F885" s="126"/>
      <c r="G885" s="127"/>
      <c r="H885" s="127"/>
      <c r="I885" s="127"/>
      <c r="J885" s="25"/>
    </row>
    <row r="886" spans="2:10" ht="15.75" customHeight="1">
      <c r="B886" s="123"/>
      <c r="C886" s="124"/>
      <c r="D886" s="125"/>
      <c r="E886" s="126"/>
      <c r="F886" s="126"/>
      <c r="G886" s="127"/>
      <c r="H886" s="127"/>
      <c r="I886" s="127"/>
      <c r="J886" s="25"/>
    </row>
    <row r="887" spans="2:10" ht="15.75" customHeight="1">
      <c r="B887" s="123"/>
      <c r="C887" s="124"/>
      <c r="D887" s="125"/>
      <c r="E887" s="126"/>
      <c r="F887" s="126"/>
      <c r="G887" s="127"/>
      <c r="H887" s="127"/>
      <c r="I887" s="127"/>
      <c r="J887" s="25"/>
    </row>
    <row r="888" spans="2:10" ht="15.75" customHeight="1">
      <c r="B888" s="123"/>
      <c r="C888" s="124"/>
      <c r="D888" s="125"/>
      <c r="E888" s="126"/>
      <c r="F888" s="126"/>
      <c r="G888" s="127"/>
      <c r="H888" s="127"/>
      <c r="I888" s="127"/>
      <c r="J888" s="25"/>
    </row>
    <row r="889" spans="2:10" ht="15.75" customHeight="1">
      <c r="B889" s="123"/>
      <c r="C889" s="124"/>
      <c r="D889" s="125"/>
      <c r="E889" s="126"/>
      <c r="F889" s="126"/>
      <c r="G889" s="127"/>
      <c r="H889" s="127"/>
      <c r="I889" s="127"/>
      <c r="J889" s="25"/>
    </row>
    <row r="890" spans="2:10" ht="15.75" customHeight="1">
      <c r="B890" s="123"/>
      <c r="C890" s="124"/>
      <c r="D890" s="125"/>
      <c r="E890" s="126"/>
      <c r="F890" s="126"/>
      <c r="G890" s="127"/>
      <c r="H890" s="127"/>
      <c r="I890" s="127"/>
      <c r="J890" s="25"/>
    </row>
    <row r="891" spans="2:10" ht="15.75" customHeight="1">
      <c r="B891" s="123"/>
      <c r="C891" s="124"/>
      <c r="D891" s="125"/>
      <c r="E891" s="126"/>
      <c r="F891" s="126"/>
      <c r="G891" s="127"/>
      <c r="H891" s="127"/>
      <c r="I891" s="127"/>
      <c r="J891" s="25"/>
    </row>
    <row r="892" spans="2:10" ht="15.75" customHeight="1">
      <c r="B892" s="123"/>
      <c r="C892" s="124"/>
      <c r="D892" s="125"/>
      <c r="E892" s="126"/>
      <c r="F892" s="126"/>
      <c r="G892" s="127"/>
      <c r="H892" s="127"/>
      <c r="I892" s="127"/>
      <c r="J892" s="25"/>
    </row>
    <row r="893" spans="2:10" ht="15.75" customHeight="1">
      <c r="B893" s="123"/>
      <c r="C893" s="124"/>
      <c r="D893" s="125"/>
      <c r="E893" s="126"/>
      <c r="F893" s="126"/>
      <c r="G893" s="127"/>
      <c r="H893" s="127"/>
      <c r="I893" s="127"/>
      <c r="J893" s="25"/>
    </row>
    <row r="894" spans="2:10" ht="15.75" customHeight="1">
      <c r="B894" s="123"/>
      <c r="C894" s="124"/>
      <c r="D894" s="125"/>
      <c r="E894" s="126"/>
      <c r="F894" s="126"/>
      <c r="G894" s="127"/>
      <c r="H894" s="127"/>
      <c r="I894" s="127"/>
      <c r="J894" s="25"/>
    </row>
    <row r="895" spans="2:10" ht="15.75" customHeight="1">
      <c r="B895" s="123"/>
      <c r="C895" s="124"/>
      <c r="D895" s="125"/>
      <c r="E895" s="126"/>
      <c r="F895" s="126"/>
      <c r="G895" s="127"/>
      <c r="H895" s="127"/>
      <c r="I895" s="127"/>
      <c r="J895" s="25"/>
    </row>
    <row r="896" spans="2:10" ht="15.75" customHeight="1">
      <c r="B896" s="123"/>
      <c r="C896" s="124"/>
      <c r="D896" s="125"/>
      <c r="E896" s="126"/>
      <c r="F896" s="126"/>
      <c r="G896" s="127"/>
      <c r="H896" s="127"/>
      <c r="I896" s="127"/>
      <c r="J896" s="25"/>
    </row>
    <row r="897" spans="2:10" ht="15.75" customHeight="1">
      <c r="B897" s="123"/>
      <c r="C897" s="124"/>
      <c r="D897" s="125"/>
      <c r="E897" s="126"/>
      <c r="F897" s="126"/>
      <c r="G897" s="127"/>
      <c r="H897" s="127"/>
      <c r="I897" s="127"/>
      <c r="J897" s="25"/>
    </row>
    <row r="898" spans="2:10" ht="15.75" customHeight="1">
      <c r="B898" s="123"/>
      <c r="C898" s="124"/>
      <c r="D898" s="125"/>
      <c r="E898" s="126"/>
      <c r="F898" s="126"/>
      <c r="G898" s="127"/>
      <c r="H898" s="127"/>
      <c r="I898" s="127"/>
      <c r="J898" s="25"/>
    </row>
    <row r="899" spans="2:10" ht="15.75" customHeight="1">
      <c r="B899" s="123"/>
      <c r="C899" s="124"/>
      <c r="D899" s="125"/>
      <c r="E899" s="126"/>
      <c r="F899" s="126"/>
      <c r="G899" s="127"/>
      <c r="H899" s="127"/>
      <c r="I899" s="127"/>
      <c r="J899" s="25"/>
    </row>
    <row r="900" spans="2:10" ht="15.75" customHeight="1">
      <c r="B900" s="123"/>
      <c r="C900" s="124"/>
      <c r="D900" s="125"/>
      <c r="E900" s="126"/>
      <c r="F900" s="126"/>
      <c r="G900" s="127"/>
      <c r="H900" s="127"/>
      <c r="I900" s="127"/>
      <c r="J900" s="25"/>
    </row>
    <row r="901" spans="2:10" ht="15.75" customHeight="1">
      <c r="B901" s="123"/>
      <c r="C901" s="124"/>
      <c r="D901" s="125"/>
      <c r="E901" s="126"/>
      <c r="F901" s="126"/>
      <c r="G901" s="127"/>
      <c r="H901" s="127"/>
      <c r="I901" s="127"/>
      <c r="J901" s="25"/>
    </row>
    <row r="902" spans="2:10" ht="15.75" customHeight="1">
      <c r="B902" s="123"/>
      <c r="C902" s="124"/>
      <c r="D902" s="125"/>
      <c r="E902" s="126"/>
      <c r="F902" s="126"/>
      <c r="G902" s="127"/>
      <c r="H902" s="127"/>
      <c r="I902" s="127"/>
      <c r="J902" s="25"/>
    </row>
    <row r="903" spans="2:10" ht="15.75" customHeight="1">
      <c r="B903" s="123"/>
      <c r="C903" s="124"/>
      <c r="D903" s="125"/>
      <c r="E903" s="126"/>
      <c r="F903" s="126"/>
      <c r="G903" s="127"/>
      <c r="H903" s="127"/>
      <c r="I903" s="127"/>
      <c r="J903" s="25"/>
    </row>
    <row r="904" spans="2:10" ht="15.75" customHeight="1">
      <c r="B904" s="123"/>
      <c r="C904" s="124"/>
      <c r="D904" s="125"/>
      <c r="E904" s="126"/>
      <c r="F904" s="126"/>
      <c r="G904" s="127"/>
      <c r="H904" s="127"/>
      <c r="I904" s="127"/>
      <c r="J904" s="25"/>
    </row>
    <row r="905" spans="2:10" ht="15.75" customHeight="1">
      <c r="B905" s="123"/>
      <c r="C905" s="124"/>
      <c r="D905" s="125"/>
      <c r="E905" s="126"/>
      <c r="F905" s="126"/>
      <c r="G905" s="127"/>
      <c r="H905" s="127"/>
      <c r="I905" s="127"/>
      <c r="J905" s="25"/>
    </row>
    <row r="906" spans="2:10" ht="15.75" customHeight="1">
      <c r="B906" s="123"/>
      <c r="C906" s="124"/>
      <c r="D906" s="125"/>
      <c r="E906" s="126"/>
      <c r="F906" s="126"/>
      <c r="G906" s="127"/>
      <c r="H906" s="127"/>
      <c r="I906" s="127"/>
      <c r="J906" s="25"/>
    </row>
    <row r="907" spans="2:10" ht="15.75" customHeight="1">
      <c r="B907" s="123"/>
      <c r="C907" s="124"/>
      <c r="D907" s="125"/>
      <c r="E907" s="126"/>
      <c r="F907" s="126"/>
      <c r="G907" s="127"/>
      <c r="H907" s="127"/>
      <c r="I907" s="127"/>
      <c r="J907" s="25"/>
    </row>
    <row r="908" spans="2:10" ht="15.75" customHeight="1">
      <c r="B908" s="123"/>
      <c r="C908" s="124"/>
      <c r="D908" s="125"/>
      <c r="E908" s="126"/>
      <c r="F908" s="126"/>
      <c r="G908" s="127"/>
      <c r="H908" s="127"/>
      <c r="I908" s="127"/>
      <c r="J908" s="25"/>
    </row>
    <row r="909" spans="2:10" ht="15.75" customHeight="1">
      <c r="B909" s="123"/>
      <c r="C909" s="124"/>
      <c r="D909" s="125"/>
      <c r="E909" s="126"/>
      <c r="F909" s="126"/>
      <c r="G909" s="127"/>
      <c r="H909" s="127"/>
      <c r="I909" s="127"/>
      <c r="J909" s="25"/>
    </row>
    <row r="910" spans="2:10" ht="15.75" customHeight="1">
      <c r="B910" s="123"/>
      <c r="C910" s="124"/>
      <c r="D910" s="125"/>
      <c r="E910" s="126"/>
      <c r="F910" s="126"/>
      <c r="G910" s="127"/>
      <c r="H910" s="127"/>
      <c r="I910" s="127"/>
      <c r="J910" s="25"/>
    </row>
    <row r="911" spans="2:10" ht="15.75" customHeight="1">
      <c r="B911" s="123"/>
      <c r="C911" s="124"/>
      <c r="D911" s="125"/>
      <c r="E911" s="126"/>
      <c r="F911" s="126"/>
      <c r="G911" s="127"/>
      <c r="H911" s="127"/>
      <c r="I911" s="127"/>
      <c r="J911" s="25"/>
    </row>
    <row r="912" spans="2:10" ht="15.75" customHeight="1">
      <c r="B912" s="123"/>
      <c r="C912" s="124"/>
      <c r="D912" s="125"/>
      <c r="E912" s="126"/>
      <c r="F912" s="126"/>
      <c r="G912" s="127"/>
      <c r="H912" s="127"/>
      <c r="I912" s="127"/>
      <c r="J912" s="25"/>
    </row>
    <row r="913" spans="2:10" ht="15.75" customHeight="1">
      <c r="B913" s="123"/>
      <c r="C913" s="124"/>
      <c r="D913" s="125"/>
      <c r="E913" s="126"/>
      <c r="F913" s="126"/>
      <c r="G913" s="127"/>
      <c r="H913" s="127"/>
      <c r="I913" s="127"/>
      <c r="J913" s="25"/>
    </row>
    <row r="914" spans="2:10" ht="15.75" customHeight="1">
      <c r="B914" s="123"/>
      <c r="C914" s="124"/>
      <c r="D914" s="125"/>
      <c r="E914" s="126"/>
      <c r="F914" s="126"/>
      <c r="G914" s="127"/>
      <c r="H914" s="127"/>
      <c r="I914" s="127"/>
      <c r="J914" s="25"/>
    </row>
    <row r="915" spans="2:10" ht="15.75" customHeight="1">
      <c r="B915" s="123"/>
      <c r="C915" s="124"/>
      <c r="D915" s="125"/>
      <c r="E915" s="126"/>
      <c r="F915" s="126"/>
      <c r="G915" s="127"/>
      <c r="H915" s="127"/>
      <c r="I915" s="127"/>
      <c r="J915" s="25"/>
    </row>
    <row r="916" spans="2:10" ht="15.75" customHeight="1">
      <c r="B916" s="123"/>
      <c r="C916" s="124"/>
      <c r="D916" s="125"/>
      <c r="E916" s="126"/>
      <c r="F916" s="126"/>
      <c r="G916" s="127"/>
      <c r="H916" s="127"/>
      <c r="I916" s="127"/>
      <c r="J916" s="25"/>
    </row>
    <row r="917" spans="2:10" ht="15.75" customHeight="1">
      <c r="B917" s="123"/>
      <c r="C917" s="124"/>
      <c r="D917" s="125"/>
      <c r="E917" s="126"/>
      <c r="F917" s="126"/>
      <c r="G917" s="127"/>
      <c r="H917" s="127"/>
      <c r="I917" s="127"/>
      <c r="J917" s="25"/>
    </row>
    <row r="918" spans="2:10" ht="15.75" customHeight="1">
      <c r="B918" s="123"/>
      <c r="C918" s="124"/>
      <c r="D918" s="125"/>
      <c r="E918" s="126"/>
      <c r="F918" s="126"/>
      <c r="G918" s="127"/>
      <c r="H918" s="127"/>
      <c r="I918" s="127"/>
      <c r="J918" s="25"/>
    </row>
    <row r="919" spans="2:10" ht="15.75" customHeight="1">
      <c r="B919" s="123"/>
      <c r="C919" s="124"/>
      <c r="D919" s="125"/>
      <c r="E919" s="126"/>
      <c r="F919" s="126"/>
      <c r="G919" s="127"/>
      <c r="H919" s="127"/>
      <c r="I919" s="127"/>
      <c r="J919" s="25"/>
    </row>
    <row r="920" spans="2:10" ht="15.75" customHeight="1">
      <c r="B920" s="123"/>
      <c r="C920" s="124"/>
      <c r="D920" s="125"/>
      <c r="E920" s="126"/>
      <c r="F920" s="126"/>
      <c r="G920" s="127"/>
      <c r="H920" s="127"/>
      <c r="I920" s="127"/>
      <c r="J920" s="25"/>
    </row>
    <row r="921" spans="2:10" ht="15.75" customHeight="1">
      <c r="B921" s="123"/>
      <c r="C921" s="124"/>
      <c r="D921" s="125"/>
      <c r="E921" s="126"/>
      <c r="F921" s="126"/>
      <c r="G921" s="127"/>
      <c r="H921" s="127"/>
      <c r="I921" s="127"/>
      <c r="J921" s="25"/>
    </row>
    <row r="922" spans="2:10" ht="15.75" customHeight="1">
      <c r="B922" s="123"/>
      <c r="C922" s="124"/>
      <c r="D922" s="125"/>
      <c r="E922" s="126"/>
      <c r="F922" s="126"/>
      <c r="G922" s="127"/>
      <c r="H922" s="127"/>
      <c r="I922" s="127"/>
      <c r="J922" s="25"/>
    </row>
    <row r="923" spans="2:10" ht="15.75" customHeight="1">
      <c r="B923" s="123"/>
      <c r="C923" s="124"/>
      <c r="D923" s="125"/>
      <c r="E923" s="126"/>
      <c r="F923" s="126"/>
      <c r="G923" s="127"/>
      <c r="H923" s="127"/>
      <c r="I923" s="127"/>
      <c r="J923" s="25"/>
    </row>
    <row r="924" spans="2:10" ht="15.75" customHeight="1">
      <c r="B924" s="123"/>
      <c r="C924" s="124"/>
      <c r="D924" s="125"/>
      <c r="E924" s="126"/>
      <c r="F924" s="126"/>
      <c r="G924" s="127"/>
      <c r="H924" s="127"/>
      <c r="I924" s="127"/>
      <c r="J924" s="25"/>
    </row>
    <row r="925" spans="2:10" ht="15.75" customHeight="1">
      <c r="B925" s="123"/>
      <c r="C925" s="124"/>
      <c r="D925" s="125"/>
      <c r="E925" s="126"/>
      <c r="F925" s="126"/>
      <c r="G925" s="127"/>
      <c r="H925" s="127"/>
      <c r="I925" s="127"/>
      <c r="J925" s="25"/>
    </row>
    <row r="926" spans="2:10" ht="15.75" customHeight="1">
      <c r="B926" s="123"/>
      <c r="C926" s="124"/>
      <c r="D926" s="125"/>
      <c r="E926" s="126"/>
      <c r="F926" s="126"/>
      <c r="G926" s="127"/>
      <c r="H926" s="127"/>
      <c r="I926" s="127"/>
      <c r="J926" s="25"/>
    </row>
    <row r="927" spans="2:10" ht="15.75" customHeight="1">
      <c r="B927" s="123"/>
      <c r="C927" s="124"/>
      <c r="D927" s="125"/>
      <c r="E927" s="126"/>
      <c r="F927" s="126"/>
      <c r="G927" s="127"/>
      <c r="H927" s="127"/>
      <c r="I927" s="127"/>
      <c r="J927" s="25"/>
    </row>
    <row r="928" spans="2:10" ht="15.75" customHeight="1">
      <c r="B928" s="123"/>
      <c r="C928" s="124"/>
      <c r="D928" s="125"/>
      <c r="E928" s="126"/>
      <c r="F928" s="126"/>
      <c r="G928" s="127"/>
      <c r="H928" s="127"/>
      <c r="I928" s="127"/>
      <c r="J928" s="25"/>
    </row>
    <row r="929" spans="2:10" ht="15.75" customHeight="1">
      <c r="B929" s="123"/>
      <c r="C929" s="124"/>
      <c r="D929" s="125"/>
      <c r="E929" s="126"/>
      <c r="F929" s="126"/>
      <c r="G929" s="127"/>
      <c r="H929" s="127"/>
      <c r="I929" s="127"/>
      <c r="J929" s="25"/>
    </row>
    <row r="930" spans="2:10" ht="15.75" customHeight="1">
      <c r="B930" s="123"/>
      <c r="C930" s="124"/>
      <c r="D930" s="125"/>
      <c r="E930" s="126"/>
      <c r="F930" s="126"/>
      <c r="G930" s="127"/>
      <c r="H930" s="127"/>
      <c r="I930" s="127"/>
      <c r="J930" s="25"/>
    </row>
    <row r="931" spans="2:10" ht="15.75" customHeight="1">
      <c r="B931" s="123"/>
      <c r="C931" s="124"/>
      <c r="D931" s="125"/>
      <c r="E931" s="126"/>
      <c r="F931" s="126"/>
      <c r="G931" s="127"/>
      <c r="H931" s="127"/>
      <c r="I931" s="127"/>
      <c r="J931" s="25"/>
    </row>
    <row r="932" spans="2:10" ht="15.75" customHeight="1">
      <c r="B932" s="123"/>
      <c r="C932" s="124"/>
      <c r="D932" s="125"/>
      <c r="E932" s="126"/>
      <c r="F932" s="126"/>
      <c r="G932" s="127"/>
      <c r="H932" s="127"/>
      <c r="I932" s="127"/>
      <c r="J932" s="25"/>
    </row>
    <row r="933" spans="2:10" ht="15.75" customHeight="1">
      <c r="B933" s="123"/>
      <c r="C933" s="124"/>
      <c r="D933" s="125"/>
      <c r="E933" s="126"/>
      <c r="F933" s="126"/>
      <c r="G933" s="127"/>
      <c r="H933" s="127"/>
      <c r="I933" s="127"/>
      <c r="J933" s="25"/>
    </row>
    <row r="934" spans="2:10" ht="15.75" customHeight="1">
      <c r="B934" s="123"/>
      <c r="C934" s="124"/>
      <c r="D934" s="125"/>
      <c r="E934" s="126"/>
      <c r="F934" s="126"/>
      <c r="G934" s="127"/>
      <c r="H934" s="127"/>
      <c r="I934" s="127"/>
      <c r="J934" s="25"/>
    </row>
    <row r="935" spans="2:10" ht="15.75" customHeight="1">
      <c r="B935" s="123"/>
      <c r="C935" s="124"/>
      <c r="D935" s="125"/>
      <c r="E935" s="126"/>
      <c r="F935" s="126"/>
      <c r="G935" s="127"/>
      <c r="H935" s="127"/>
      <c r="I935" s="127"/>
      <c r="J935" s="25"/>
    </row>
    <row r="936" spans="2:10" ht="15.75" customHeight="1">
      <c r="B936" s="123"/>
      <c r="C936" s="124"/>
      <c r="D936" s="125"/>
      <c r="E936" s="126"/>
      <c r="F936" s="126"/>
      <c r="G936" s="127"/>
      <c r="H936" s="127"/>
      <c r="I936" s="127"/>
      <c r="J936" s="25"/>
    </row>
    <row r="937" spans="2:10" ht="15.75" customHeight="1">
      <c r="B937" s="123"/>
      <c r="C937" s="124"/>
      <c r="D937" s="125"/>
      <c r="E937" s="126"/>
      <c r="F937" s="126"/>
      <c r="G937" s="127"/>
      <c r="H937" s="127"/>
      <c r="I937" s="127"/>
      <c r="J937" s="25"/>
    </row>
    <row r="938" spans="2:10" ht="15.75" customHeight="1">
      <c r="B938" s="123"/>
      <c r="C938" s="124"/>
      <c r="D938" s="125"/>
      <c r="E938" s="126"/>
      <c r="F938" s="126"/>
      <c r="G938" s="127"/>
      <c r="H938" s="127"/>
      <c r="I938" s="127"/>
      <c r="J938" s="25"/>
    </row>
    <row r="939" spans="2:10" ht="15.75" customHeight="1">
      <c r="B939" s="123"/>
      <c r="C939" s="124"/>
      <c r="D939" s="125"/>
      <c r="E939" s="126"/>
      <c r="F939" s="126"/>
      <c r="G939" s="127"/>
      <c r="H939" s="127"/>
      <c r="I939" s="127"/>
      <c r="J939" s="25"/>
    </row>
    <row r="940" spans="2:10" ht="15.75" customHeight="1">
      <c r="B940" s="123"/>
      <c r="C940" s="124"/>
      <c r="D940" s="125"/>
      <c r="E940" s="126"/>
      <c r="F940" s="126"/>
      <c r="G940" s="127"/>
      <c r="H940" s="127"/>
      <c r="I940" s="127"/>
      <c r="J940" s="25"/>
    </row>
    <row r="941" spans="2:10" ht="15.75" customHeight="1">
      <c r="B941" s="123"/>
      <c r="C941" s="124"/>
      <c r="D941" s="125"/>
      <c r="E941" s="126"/>
      <c r="F941" s="126"/>
      <c r="G941" s="127"/>
      <c r="H941" s="127"/>
      <c r="I941" s="127"/>
      <c r="J941" s="25"/>
    </row>
    <row r="942" spans="2:10" ht="15.75" customHeight="1">
      <c r="B942" s="123"/>
      <c r="C942" s="124"/>
      <c r="D942" s="125"/>
      <c r="E942" s="126"/>
      <c r="F942" s="126"/>
      <c r="G942" s="127"/>
      <c r="H942" s="127"/>
      <c r="I942" s="127"/>
      <c r="J942" s="25"/>
    </row>
    <row r="943" spans="2:10" ht="15.75" customHeight="1">
      <c r="B943" s="123"/>
      <c r="C943" s="124"/>
      <c r="D943" s="125"/>
      <c r="E943" s="126"/>
      <c r="F943" s="126"/>
      <c r="G943" s="127"/>
      <c r="H943" s="127"/>
      <c r="I943" s="127"/>
      <c r="J943" s="25"/>
    </row>
    <row r="944" spans="2:10" ht="15.75" customHeight="1">
      <c r="B944" s="123"/>
      <c r="C944" s="124"/>
      <c r="D944" s="125"/>
      <c r="E944" s="126"/>
      <c r="F944" s="126"/>
      <c r="G944" s="127"/>
      <c r="H944" s="127"/>
      <c r="I944" s="127"/>
      <c r="J944" s="25"/>
    </row>
    <row r="945" spans="2:10" ht="15.75" customHeight="1">
      <c r="B945" s="123"/>
      <c r="C945" s="124"/>
      <c r="D945" s="125"/>
      <c r="E945" s="126"/>
      <c r="F945" s="126"/>
      <c r="G945" s="127"/>
      <c r="H945" s="127"/>
      <c r="I945" s="127"/>
      <c r="J945" s="25"/>
    </row>
    <row r="946" spans="2:10" ht="15.75" customHeight="1">
      <c r="B946" s="123"/>
      <c r="C946" s="124"/>
      <c r="D946" s="125"/>
      <c r="E946" s="126"/>
      <c r="F946" s="126"/>
      <c r="G946" s="127"/>
      <c r="H946" s="127"/>
      <c r="I946" s="127"/>
      <c r="J946" s="25"/>
    </row>
    <row r="947" spans="2:10" ht="15.75" customHeight="1">
      <c r="B947" s="123"/>
      <c r="C947" s="124"/>
      <c r="D947" s="125"/>
      <c r="E947" s="126"/>
      <c r="F947" s="126"/>
      <c r="G947" s="127"/>
      <c r="H947" s="127"/>
      <c r="I947" s="127"/>
      <c r="J947" s="25"/>
    </row>
    <row r="948" spans="2:10" ht="15.75" customHeight="1">
      <c r="B948" s="123"/>
      <c r="C948" s="124"/>
      <c r="D948" s="125"/>
      <c r="E948" s="126"/>
      <c r="F948" s="126"/>
      <c r="G948" s="127"/>
      <c r="H948" s="127"/>
      <c r="I948" s="127"/>
      <c r="J948" s="25"/>
    </row>
    <row r="949" spans="2:10" ht="15.75" customHeight="1">
      <c r="B949" s="123"/>
      <c r="C949" s="124"/>
      <c r="D949" s="125"/>
      <c r="E949" s="126"/>
      <c r="F949" s="126"/>
      <c r="G949" s="127"/>
      <c r="H949" s="127"/>
      <c r="I949" s="127"/>
      <c r="J949" s="25"/>
    </row>
    <row r="950" spans="2:10" ht="15.75" customHeight="1">
      <c r="B950" s="123"/>
      <c r="C950" s="124"/>
      <c r="D950" s="125"/>
      <c r="E950" s="126"/>
      <c r="F950" s="126"/>
      <c r="G950" s="127"/>
      <c r="H950" s="127"/>
      <c r="I950" s="127"/>
      <c r="J950" s="25"/>
    </row>
    <row r="951" spans="2:10" ht="15.75" customHeight="1">
      <c r="B951" s="123"/>
      <c r="C951" s="124"/>
      <c r="D951" s="125"/>
      <c r="E951" s="126"/>
      <c r="F951" s="126"/>
      <c r="G951" s="127"/>
      <c r="H951" s="127"/>
      <c r="I951" s="127"/>
      <c r="J951" s="25"/>
    </row>
    <row r="952" spans="2:10" ht="15.75" customHeight="1">
      <c r="B952" s="123"/>
      <c r="C952" s="124"/>
      <c r="D952" s="125"/>
      <c r="E952" s="126"/>
      <c r="F952" s="126"/>
      <c r="G952" s="127"/>
      <c r="H952" s="127"/>
      <c r="I952" s="127"/>
      <c r="J952" s="25"/>
    </row>
    <row r="953" spans="2:10" ht="15.75" customHeight="1">
      <c r="B953" s="123"/>
      <c r="C953" s="124"/>
      <c r="D953" s="125"/>
      <c r="E953" s="126"/>
      <c r="F953" s="126"/>
      <c r="G953" s="127"/>
      <c r="H953" s="127"/>
      <c r="I953" s="127"/>
      <c r="J953" s="25"/>
    </row>
    <row r="954" spans="2:10" ht="15.75" customHeight="1">
      <c r="B954" s="123"/>
      <c r="C954" s="124"/>
      <c r="D954" s="125"/>
      <c r="E954" s="126"/>
      <c r="F954" s="126"/>
      <c r="G954" s="127"/>
      <c r="H954" s="127"/>
      <c r="I954" s="127"/>
      <c r="J954" s="25"/>
    </row>
    <row r="955" spans="2:10" ht="15.75" customHeight="1">
      <c r="B955" s="123"/>
      <c r="C955" s="124"/>
      <c r="D955" s="125"/>
      <c r="E955" s="126"/>
      <c r="F955" s="126"/>
      <c r="G955" s="127"/>
      <c r="H955" s="127"/>
      <c r="I955" s="127"/>
      <c r="J955" s="25"/>
    </row>
    <row r="956" spans="2:10" ht="15.75" customHeight="1">
      <c r="B956" s="123"/>
      <c r="C956" s="124"/>
      <c r="D956" s="125"/>
      <c r="E956" s="126"/>
      <c r="F956" s="126"/>
      <c r="G956" s="127"/>
      <c r="H956" s="127"/>
      <c r="I956" s="127"/>
      <c r="J956" s="25"/>
    </row>
    <row r="957" spans="2:10" ht="15.75" customHeight="1">
      <c r="B957" s="123"/>
      <c r="C957" s="124"/>
      <c r="D957" s="125"/>
      <c r="E957" s="126"/>
      <c r="F957" s="126"/>
      <c r="G957" s="127"/>
      <c r="H957" s="127"/>
      <c r="I957" s="127"/>
      <c r="J957" s="25"/>
    </row>
    <row r="958" spans="2:10" ht="15.75" customHeight="1">
      <c r="B958" s="123"/>
      <c r="C958" s="124"/>
      <c r="D958" s="125"/>
      <c r="E958" s="126"/>
      <c r="F958" s="126"/>
      <c r="G958" s="127"/>
      <c r="H958" s="127"/>
      <c r="I958" s="127"/>
      <c r="J958" s="25"/>
    </row>
    <row r="959" spans="2:10" ht="15.75" customHeight="1">
      <c r="B959" s="123"/>
      <c r="C959" s="124"/>
      <c r="D959" s="125"/>
      <c r="E959" s="126"/>
      <c r="F959" s="126"/>
      <c r="G959" s="127"/>
      <c r="H959" s="127"/>
      <c r="I959" s="127"/>
      <c r="J959" s="25"/>
    </row>
    <row r="960" spans="2:10" ht="15.75" customHeight="1">
      <c r="B960" s="123"/>
      <c r="C960" s="124"/>
      <c r="D960" s="125"/>
      <c r="E960" s="126"/>
      <c r="F960" s="126"/>
      <c r="G960" s="127"/>
      <c r="H960" s="127"/>
      <c r="I960" s="127"/>
      <c r="J960" s="25"/>
    </row>
    <row r="961" spans="2:10" ht="15.75" customHeight="1">
      <c r="B961" s="123"/>
      <c r="C961" s="124"/>
      <c r="D961" s="125"/>
      <c r="E961" s="126"/>
      <c r="F961" s="126"/>
      <c r="G961" s="127"/>
      <c r="H961" s="127"/>
      <c r="I961" s="127"/>
      <c r="J961" s="25"/>
    </row>
    <row r="962" spans="2:10" ht="15.75" customHeight="1">
      <c r="B962" s="123"/>
      <c r="C962" s="124"/>
      <c r="D962" s="125"/>
      <c r="E962" s="126"/>
      <c r="F962" s="126"/>
      <c r="G962" s="127"/>
      <c r="H962" s="127"/>
      <c r="I962" s="127"/>
      <c r="J962" s="25"/>
    </row>
    <row r="963" spans="2:10" ht="15.75" customHeight="1">
      <c r="B963" s="123"/>
      <c r="C963" s="124"/>
      <c r="D963" s="125"/>
      <c r="E963" s="126"/>
      <c r="F963" s="126"/>
      <c r="G963" s="127"/>
      <c r="H963" s="127"/>
      <c r="I963" s="127"/>
      <c r="J963" s="25"/>
    </row>
    <row r="964" spans="2:10" ht="15.75" customHeight="1">
      <c r="B964" s="123"/>
      <c r="C964" s="124"/>
      <c r="D964" s="125"/>
      <c r="E964" s="126"/>
      <c r="F964" s="126"/>
      <c r="G964" s="127"/>
      <c r="H964" s="127"/>
      <c r="I964" s="127"/>
      <c r="J964" s="25"/>
    </row>
    <row r="965" spans="2:10" ht="15.75" customHeight="1">
      <c r="B965" s="123"/>
      <c r="C965" s="124"/>
      <c r="D965" s="125"/>
      <c r="E965" s="126"/>
      <c r="F965" s="126"/>
      <c r="G965" s="127"/>
      <c r="H965" s="127"/>
      <c r="I965" s="127"/>
      <c r="J965" s="25"/>
    </row>
    <row r="966" spans="2:10" ht="15.75" customHeight="1">
      <c r="B966" s="123"/>
      <c r="C966" s="124"/>
      <c r="D966" s="125"/>
      <c r="E966" s="126"/>
      <c r="F966" s="126"/>
      <c r="G966" s="127"/>
      <c r="H966" s="127"/>
      <c r="I966" s="127"/>
      <c r="J966" s="25"/>
    </row>
    <row r="967" spans="2:10" ht="15.75" customHeight="1">
      <c r="B967" s="123"/>
      <c r="C967" s="124"/>
      <c r="D967" s="125"/>
      <c r="E967" s="126"/>
      <c r="F967" s="126"/>
      <c r="G967" s="127"/>
      <c r="H967" s="127"/>
      <c r="I967" s="127"/>
      <c r="J967" s="25"/>
    </row>
    <row r="968" spans="2:10" ht="15.75" customHeight="1">
      <c r="B968" s="123"/>
      <c r="C968" s="124"/>
      <c r="D968" s="125"/>
      <c r="E968" s="126"/>
      <c r="F968" s="126"/>
      <c r="G968" s="127"/>
      <c r="H968" s="127"/>
      <c r="I968" s="127"/>
      <c r="J968" s="25"/>
    </row>
    <row r="969" spans="2:10" ht="15.75" customHeight="1">
      <c r="B969" s="123"/>
      <c r="C969" s="124"/>
      <c r="D969" s="125"/>
      <c r="E969" s="126"/>
      <c r="F969" s="126"/>
      <c r="G969" s="127"/>
      <c r="H969" s="127"/>
      <c r="I969" s="127"/>
      <c r="J969" s="25"/>
    </row>
    <row r="970" spans="2:10" ht="15.75" customHeight="1">
      <c r="B970" s="123"/>
      <c r="C970" s="124"/>
      <c r="D970" s="125"/>
      <c r="E970" s="126"/>
      <c r="F970" s="126"/>
      <c r="G970" s="127"/>
      <c r="H970" s="127"/>
      <c r="I970" s="127"/>
      <c r="J970" s="25"/>
    </row>
    <row r="971" spans="2:10" ht="15.75" customHeight="1">
      <c r="B971" s="123"/>
      <c r="C971" s="124"/>
      <c r="D971" s="125"/>
      <c r="E971" s="126"/>
      <c r="F971" s="126"/>
      <c r="G971" s="127"/>
      <c r="H971" s="127"/>
      <c r="I971" s="127"/>
      <c r="J971" s="25"/>
    </row>
    <row r="972" spans="2:10" ht="15.75" customHeight="1">
      <c r="B972" s="123"/>
      <c r="C972" s="124"/>
      <c r="D972" s="125"/>
      <c r="E972" s="126"/>
      <c r="F972" s="126"/>
      <c r="G972" s="127"/>
      <c r="H972" s="127"/>
      <c r="I972" s="127"/>
      <c r="J972" s="25"/>
    </row>
    <row r="973" spans="2:10" ht="15.75" customHeight="1">
      <c r="B973" s="123"/>
      <c r="C973" s="124"/>
      <c r="D973" s="125"/>
      <c r="E973" s="126"/>
      <c r="F973" s="126"/>
      <c r="G973" s="127"/>
      <c r="H973" s="127"/>
      <c r="I973" s="127"/>
      <c r="J973" s="25"/>
    </row>
    <row r="974" spans="2:10" ht="15.75" customHeight="1">
      <c r="B974" s="123"/>
      <c r="C974" s="124"/>
      <c r="D974" s="125"/>
      <c r="E974" s="126"/>
      <c r="F974" s="126"/>
      <c r="G974" s="127"/>
      <c r="H974" s="127"/>
      <c r="I974" s="127"/>
      <c r="J974" s="25"/>
    </row>
    <row r="975" spans="2:10" ht="15.75" customHeight="1">
      <c r="B975" s="123"/>
      <c r="C975" s="124"/>
      <c r="D975" s="125"/>
      <c r="E975" s="126"/>
      <c r="F975" s="126"/>
      <c r="G975" s="127"/>
      <c r="H975" s="127"/>
      <c r="I975" s="127"/>
      <c r="J975" s="25"/>
    </row>
    <row r="976" spans="2:10" ht="15.75" customHeight="1">
      <c r="B976" s="123"/>
      <c r="C976" s="124"/>
      <c r="D976" s="125"/>
      <c r="E976" s="126"/>
      <c r="F976" s="126"/>
      <c r="G976" s="127"/>
      <c r="H976" s="127"/>
      <c r="I976" s="127"/>
      <c r="J976" s="25"/>
    </row>
    <row r="977" spans="2:10" ht="15.75" customHeight="1">
      <c r="B977" s="123"/>
      <c r="C977" s="124"/>
      <c r="D977" s="125"/>
      <c r="E977" s="126"/>
      <c r="F977" s="126"/>
      <c r="G977" s="127"/>
      <c r="H977" s="127"/>
      <c r="I977" s="127"/>
      <c r="J977" s="25"/>
    </row>
    <row r="978" spans="2:10" ht="15.75" customHeight="1">
      <c r="B978" s="123"/>
      <c r="C978" s="124"/>
      <c r="D978" s="125"/>
      <c r="E978" s="126"/>
      <c r="F978" s="126"/>
      <c r="G978" s="127"/>
      <c r="H978" s="127"/>
      <c r="I978" s="127"/>
      <c r="J978" s="25"/>
    </row>
    <row r="979" spans="2:10" ht="15.75" customHeight="1">
      <c r="B979" s="123"/>
      <c r="C979" s="124"/>
      <c r="D979" s="125"/>
      <c r="E979" s="126"/>
      <c r="F979" s="126"/>
      <c r="G979" s="127"/>
      <c r="H979" s="127"/>
      <c r="I979" s="127"/>
      <c r="J979" s="25"/>
    </row>
    <row r="980" spans="2:10" ht="15.75" customHeight="1">
      <c r="B980" s="123"/>
      <c r="C980" s="124"/>
      <c r="D980" s="125"/>
      <c r="E980" s="126"/>
      <c r="F980" s="126"/>
      <c r="G980" s="127"/>
      <c r="H980" s="127"/>
      <c r="I980" s="127"/>
      <c r="J980" s="25"/>
    </row>
    <row r="981" spans="2:10" ht="15.75" customHeight="1">
      <c r="B981" s="123"/>
      <c r="C981" s="124"/>
      <c r="D981" s="125"/>
      <c r="E981" s="126"/>
      <c r="F981" s="126"/>
      <c r="G981" s="127"/>
      <c r="H981" s="127"/>
      <c r="I981" s="127"/>
      <c r="J981" s="25"/>
    </row>
    <row r="982" spans="2:10" ht="15.75" customHeight="1">
      <c r="B982" s="123"/>
      <c r="C982" s="124"/>
      <c r="D982" s="125"/>
      <c r="E982" s="126"/>
      <c r="F982" s="126"/>
      <c r="G982" s="127"/>
      <c r="H982" s="127"/>
      <c r="I982" s="127"/>
      <c r="J982" s="25"/>
    </row>
    <row r="983" spans="2:10" ht="15.75" customHeight="1">
      <c r="B983" s="123"/>
      <c r="C983" s="124"/>
      <c r="D983" s="125"/>
      <c r="E983" s="126"/>
      <c r="F983" s="126"/>
      <c r="G983" s="127"/>
      <c r="H983" s="127"/>
      <c r="I983" s="127"/>
      <c r="J983" s="25"/>
    </row>
    <row r="984" spans="2:10" ht="15.75" customHeight="1">
      <c r="B984" s="123"/>
      <c r="C984" s="124"/>
      <c r="D984" s="125"/>
      <c r="E984" s="126"/>
      <c r="F984" s="126"/>
      <c r="G984" s="127"/>
      <c r="H984" s="127"/>
      <c r="I984" s="127"/>
      <c r="J984" s="25"/>
    </row>
    <row r="985" spans="2:10" ht="15.75" customHeight="1">
      <c r="B985" s="123"/>
      <c r="C985" s="124"/>
      <c r="D985" s="125"/>
      <c r="E985" s="126"/>
      <c r="F985" s="126"/>
      <c r="G985" s="127"/>
      <c r="H985" s="127"/>
      <c r="I985" s="127"/>
      <c r="J985" s="25"/>
    </row>
    <row r="986" spans="2:10" ht="15.75" customHeight="1">
      <c r="B986" s="123"/>
      <c r="C986" s="124"/>
      <c r="D986" s="125"/>
      <c r="E986" s="126"/>
      <c r="F986" s="126"/>
      <c r="G986" s="127"/>
      <c r="H986" s="127"/>
      <c r="I986" s="127"/>
      <c r="J986" s="25"/>
    </row>
    <row r="987" spans="2:10" ht="15.75" customHeight="1">
      <c r="B987" s="123"/>
      <c r="C987" s="124"/>
      <c r="D987" s="125"/>
      <c r="E987" s="126"/>
      <c r="F987" s="126"/>
      <c r="G987" s="127"/>
      <c r="H987" s="127"/>
      <c r="I987" s="127"/>
      <c r="J987" s="25"/>
    </row>
    <row r="988" spans="2:10" ht="15.75" customHeight="1">
      <c r="B988" s="123"/>
      <c r="C988" s="124"/>
      <c r="D988" s="125"/>
      <c r="E988" s="126"/>
      <c r="F988" s="126"/>
      <c r="G988" s="127"/>
      <c r="H988" s="127"/>
      <c r="I988" s="127"/>
      <c r="J988" s="25"/>
    </row>
    <row r="989" spans="2:10" ht="15.75" customHeight="1">
      <c r="B989" s="123"/>
      <c r="C989" s="124"/>
      <c r="D989" s="125"/>
      <c r="E989" s="126"/>
      <c r="F989" s="126"/>
      <c r="G989" s="127"/>
      <c r="H989" s="127"/>
      <c r="I989" s="127"/>
      <c r="J989" s="25"/>
    </row>
    <row r="990" spans="2:10" ht="15.75" customHeight="1">
      <c r="B990" s="123"/>
      <c r="C990" s="124"/>
      <c r="D990" s="125"/>
      <c r="E990" s="126"/>
      <c r="F990" s="126"/>
      <c r="G990" s="127"/>
      <c r="H990" s="127"/>
      <c r="I990" s="127"/>
      <c r="J990" s="25"/>
    </row>
    <row r="991" spans="2:10" ht="15.75" customHeight="1">
      <c r="B991" s="123"/>
      <c r="C991" s="124"/>
      <c r="D991" s="125"/>
      <c r="E991" s="126"/>
      <c r="F991" s="126"/>
      <c r="G991" s="127"/>
      <c r="H991" s="127"/>
      <c r="I991" s="127"/>
      <c r="J991" s="25"/>
    </row>
    <row r="992" spans="2:10" ht="15.75" customHeight="1">
      <c r="B992" s="123"/>
      <c r="C992" s="124"/>
      <c r="D992" s="125"/>
      <c r="E992" s="126"/>
      <c r="F992" s="126"/>
      <c r="G992" s="127"/>
      <c r="H992" s="127"/>
      <c r="I992" s="127"/>
      <c r="J992" s="25"/>
    </row>
    <row r="993" spans="2:10" ht="15.75" customHeight="1">
      <c r="B993" s="123"/>
      <c r="C993" s="124"/>
      <c r="D993" s="125"/>
      <c r="E993" s="126"/>
      <c r="F993" s="126"/>
      <c r="G993" s="127"/>
      <c r="H993" s="127"/>
      <c r="I993" s="127"/>
      <c r="J993" s="25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994"/>
  <sheetViews>
    <sheetView workbookViewId="0">
      <pane ySplit="1" topLeftCell="A2" activePane="bottomLeft" state="frozen"/>
      <selection pane="bottomLeft" activeCell="B3" sqref="B3"/>
    </sheetView>
  </sheetViews>
  <sheetFormatPr defaultColWidth="11.25" defaultRowHeight="15" customHeight="1"/>
  <cols>
    <col min="1" max="1" width="15.625" customWidth="1"/>
    <col min="2" max="3" width="10.75" customWidth="1"/>
    <col min="4" max="4" width="10.125" customWidth="1"/>
    <col min="5" max="5" width="10.25" customWidth="1"/>
    <col min="6" max="6" width="9.375" customWidth="1"/>
    <col min="7" max="7" width="12.625" customWidth="1"/>
    <col min="8" max="9" width="9.375" customWidth="1"/>
    <col min="10" max="10" width="8.375" customWidth="1"/>
    <col min="11" max="13" width="10.75" customWidth="1"/>
    <col min="14" max="15" width="12.375" customWidth="1"/>
    <col min="16" max="16" width="25.125" customWidth="1"/>
    <col min="17" max="31" width="10.5" customWidth="1"/>
  </cols>
  <sheetData>
    <row r="1" spans="1:16" ht="15.75" customHeight="1">
      <c r="A1" s="129" t="s">
        <v>0</v>
      </c>
      <c r="B1" s="3" t="s">
        <v>132</v>
      </c>
      <c r="C1" s="4" t="s">
        <v>3</v>
      </c>
      <c r="D1" s="3" t="s">
        <v>188</v>
      </c>
      <c r="E1" s="4" t="s">
        <v>189</v>
      </c>
      <c r="F1" s="2" t="s">
        <v>190</v>
      </c>
      <c r="G1" s="3" t="s">
        <v>191</v>
      </c>
      <c r="H1" s="4" t="s">
        <v>192</v>
      </c>
      <c r="I1" s="6" t="s">
        <v>193</v>
      </c>
      <c r="J1" s="6" t="s">
        <v>194</v>
      </c>
      <c r="K1" s="6" t="s">
        <v>195</v>
      </c>
      <c r="L1" s="2" t="s">
        <v>196</v>
      </c>
      <c r="M1" s="130" t="s">
        <v>197</v>
      </c>
      <c r="N1" s="6" t="s">
        <v>14</v>
      </c>
      <c r="O1" s="6" t="s">
        <v>12</v>
      </c>
      <c r="P1" s="94" t="s">
        <v>198</v>
      </c>
    </row>
    <row r="2" spans="1:16" ht="15.75" customHeight="1">
      <c r="A2" s="131" t="s">
        <v>199</v>
      </c>
      <c r="B2" s="132">
        <v>45009</v>
      </c>
      <c r="C2" s="133" t="s">
        <v>17</v>
      </c>
      <c r="D2" s="132">
        <v>45009</v>
      </c>
      <c r="E2" s="133">
        <v>0.64583333333333337</v>
      </c>
      <c r="F2" s="134">
        <v>41</v>
      </c>
      <c r="G2" s="132">
        <v>45010</v>
      </c>
      <c r="H2" s="133">
        <v>0.64583333333333337</v>
      </c>
      <c r="I2" s="135">
        <v>41</v>
      </c>
      <c r="J2" s="136">
        <v>0</v>
      </c>
      <c r="K2" s="136">
        <v>0</v>
      </c>
      <c r="L2" s="134" t="s">
        <v>200</v>
      </c>
      <c r="M2" s="137" t="str">
        <f t="shared" ref="M2:M5" si="0">IF(L2="&lt; 1","&lt; 10",IF(L2="&gt; 2419.6","&gt; 24196",L2*10))</f>
        <v>&lt; 10</v>
      </c>
      <c r="N2" s="138" t="s">
        <v>21</v>
      </c>
      <c r="O2" s="138" t="s">
        <v>20</v>
      </c>
      <c r="P2" s="475" t="s">
        <v>201</v>
      </c>
    </row>
    <row r="3" spans="1:16" ht="15.75" customHeight="1">
      <c r="A3" s="131" t="s">
        <v>202</v>
      </c>
      <c r="B3" s="132">
        <v>45010</v>
      </c>
      <c r="C3" s="133" t="s">
        <v>17</v>
      </c>
      <c r="D3" s="132">
        <v>45009</v>
      </c>
      <c r="E3" s="133">
        <v>0.64583333333333337</v>
      </c>
      <c r="F3" s="134">
        <v>41</v>
      </c>
      <c r="G3" s="132">
        <v>45010</v>
      </c>
      <c r="H3" s="133">
        <v>0.64583333333333337</v>
      </c>
      <c r="I3" s="135">
        <v>41</v>
      </c>
      <c r="J3" s="136">
        <v>0</v>
      </c>
      <c r="K3" s="136">
        <v>0</v>
      </c>
      <c r="L3" s="134" t="s">
        <v>200</v>
      </c>
      <c r="M3" s="137" t="str">
        <f t="shared" si="0"/>
        <v>&lt; 10</v>
      </c>
      <c r="N3" s="138" t="s">
        <v>21</v>
      </c>
      <c r="O3" s="138" t="s">
        <v>20</v>
      </c>
      <c r="P3" s="473"/>
    </row>
    <row r="4" spans="1:16" ht="15.75" customHeight="1">
      <c r="A4" s="131" t="s">
        <v>203</v>
      </c>
      <c r="B4" s="132">
        <v>45011</v>
      </c>
      <c r="C4" s="133" t="s">
        <v>17</v>
      </c>
      <c r="D4" s="132">
        <v>45009</v>
      </c>
      <c r="E4" s="133">
        <v>0.64583333333333337</v>
      </c>
      <c r="F4" s="134">
        <v>41</v>
      </c>
      <c r="G4" s="132">
        <v>45010</v>
      </c>
      <c r="H4" s="133">
        <v>0.64583333333333337</v>
      </c>
      <c r="I4" s="135">
        <v>41</v>
      </c>
      <c r="J4" s="136">
        <v>49</v>
      </c>
      <c r="K4" s="136">
        <v>48</v>
      </c>
      <c r="L4" s="134" t="s">
        <v>204</v>
      </c>
      <c r="M4" s="137" t="str">
        <f t="shared" si="0"/>
        <v>&gt; 24196</v>
      </c>
      <c r="N4" s="138" t="s">
        <v>21</v>
      </c>
      <c r="O4" s="138" t="s">
        <v>20</v>
      </c>
      <c r="P4" s="473"/>
    </row>
    <row r="5" spans="1:16" ht="15.75" customHeight="1">
      <c r="A5" s="139" t="s">
        <v>16</v>
      </c>
      <c r="B5" s="132">
        <v>45011</v>
      </c>
      <c r="C5" s="133" t="s">
        <v>17</v>
      </c>
      <c r="D5" s="132">
        <v>45009</v>
      </c>
      <c r="E5" s="133">
        <v>0.64583333333333337</v>
      </c>
      <c r="F5" s="134">
        <v>41</v>
      </c>
      <c r="G5" s="132">
        <v>45010</v>
      </c>
      <c r="H5" s="133">
        <v>0.64583333333333337</v>
      </c>
      <c r="I5" s="135">
        <v>41</v>
      </c>
      <c r="J5" s="136">
        <v>0</v>
      </c>
      <c r="K5" s="136">
        <v>0</v>
      </c>
      <c r="L5" s="134" t="s">
        <v>200</v>
      </c>
      <c r="M5" s="137" t="str">
        <f t="shared" si="0"/>
        <v>&lt; 10</v>
      </c>
      <c r="N5" s="138" t="s">
        <v>21</v>
      </c>
      <c r="O5" s="138" t="s">
        <v>20</v>
      </c>
      <c r="P5" s="474"/>
    </row>
    <row r="6" spans="1:16" ht="15.75" customHeight="1">
      <c r="A6" s="29" t="s">
        <v>205</v>
      </c>
      <c r="B6" s="14">
        <v>45313</v>
      </c>
      <c r="C6" s="140">
        <v>0.4465277777777778</v>
      </c>
      <c r="D6" s="14">
        <v>45313</v>
      </c>
      <c r="E6" s="13">
        <v>0.56597222222222221</v>
      </c>
      <c r="F6" s="12">
        <v>41</v>
      </c>
      <c r="G6" s="14">
        <v>45314</v>
      </c>
      <c r="H6" s="13">
        <v>0.56597222222222221</v>
      </c>
      <c r="I6" s="141">
        <v>41</v>
      </c>
      <c r="J6" s="142">
        <v>0</v>
      </c>
      <c r="K6" s="142">
        <v>0</v>
      </c>
      <c r="L6" s="12" t="s">
        <v>200</v>
      </c>
      <c r="M6" s="143" t="s">
        <v>206</v>
      </c>
      <c r="N6" s="16" t="s">
        <v>21</v>
      </c>
      <c r="O6" s="16" t="s">
        <v>20</v>
      </c>
      <c r="P6" s="16"/>
    </row>
    <row r="7" spans="1:16" ht="15.75" customHeight="1">
      <c r="A7" s="59" t="s">
        <v>207</v>
      </c>
      <c r="B7" s="14">
        <v>45313</v>
      </c>
      <c r="C7" s="140">
        <v>0.48194444444444445</v>
      </c>
      <c r="D7" s="14">
        <v>45313</v>
      </c>
      <c r="E7" s="13">
        <v>0.56666666666666665</v>
      </c>
      <c r="F7" s="12">
        <v>41</v>
      </c>
      <c r="G7" s="14">
        <v>45314</v>
      </c>
      <c r="H7" s="13">
        <v>0.56666666666666665</v>
      </c>
      <c r="I7" s="141">
        <v>41</v>
      </c>
      <c r="J7" s="142">
        <v>11</v>
      </c>
      <c r="K7" s="142">
        <v>2</v>
      </c>
      <c r="L7" s="12">
        <v>14.5</v>
      </c>
      <c r="M7" s="143">
        <f>L7*10</f>
        <v>145</v>
      </c>
      <c r="N7" s="16" t="s">
        <v>21</v>
      </c>
      <c r="O7" s="16" t="s">
        <v>20</v>
      </c>
      <c r="P7" s="16"/>
    </row>
    <row r="8" spans="1:16" ht="15.75" customHeight="1">
      <c r="A8" s="59" t="s">
        <v>208</v>
      </c>
      <c r="B8" s="14">
        <v>45314</v>
      </c>
      <c r="C8" s="13">
        <v>0.3611111111111111</v>
      </c>
      <c r="D8" s="14">
        <v>45314</v>
      </c>
      <c r="E8" s="144">
        <v>0.58402777777777781</v>
      </c>
      <c r="F8" s="12">
        <v>41</v>
      </c>
      <c r="G8" s="14">
        <v>45315</v>
      </c>
      <c r="H8" s="144">
        <v>0.58402777777777781</v>
      </c>
      <c r="I8" s="141">
        <v>41</v>
      </c>
      <c r="J8" s="142">
        <v>0</v>
      </c>
      <c r="K8" s="142">
        <v>0</v>
      </c>
      <c r="L8" s="12" t="s">
        <v>200</v>
      </c>
      <c r="M8" s="143" t="s">
        <v>206</v>
      </c>
      <c r="N8" s="16" t="s">
        <v>21</v>
      </c>
      <c r="O8" s="16" t="s">
        <v>20</v>
      </c>
      <c r="P8" s="145"/>
    </row>
    <row r="9" spans="1:16" ht="15.75" customHeight="1">
      <c r="A9" s="59" t="s">
        <v>209</v>
      </c>
      <c r="B9" s="14">
        <v>45314</v>
      </c>
      <c r="C9" s="13">
        <v>0.4</v>
      </c>
      <c r="D9" s="14">
        <v>45314</v>
      </c>
      <c r="E9" s="13">
        <v>0.5854166666666667</v>
      </c>
      <c r="F9" s="12">
        <v>41</v>
      </c>
      <c r="G9" s="14">
        <v>45315</v>
      </c>
      <c r="H9" s="13">
        <v>0.5854166666666667</v>
      </c>
      <c r="I9" s="141">
        <v>41</v>
      </c>
      <c r="J9" s="142">
        <v>0</v>
      </c>
      <c r="K9" s="142">
        <v>0</v>
      </c>
      <c r="L9" s="12" t="s">
        <v>200</v>
      </c>
      <c r="M9" s="143" t="s">
        <v>206</v>
      </c>
      <c r="N9" s="16" t="s">
        <v>21</v>
      </c>
      <c r="O9" s="16" t="s">
        <v>20</v>
      </c>
      <c r="P9" s="476"/>
    </row>
    <row r="10" spans="1:16" ht="15.75" customHeight="1">
      <c r="A10" s="59" t="s">
        <v>210</v>
      </c>
      <c r="B10" s="14">
        <v>45314</v>
      </c>
      <c r="C10" s="13">
        <v>0.43055555555555558</v>
      </c>
      <c r="D10" s="14">
        <v>45314</v>
      </c>
      <c r="E10" s="13">
        <v>0.58680555555555558</v>
      </c>
      <c r="F10" s="12">
        <v>41</v>
      </c>
      <c r="G10" s="14">
        <v>45315</v>
      </c>
      <c r="H10" s="13">
        <v>0.58680555555555558</v>
      </c>
      <c r="I10" s="141">
        <v>41</v>
      </c>
      <c r="J10" s="142">
        <v>0</v>
      </c>
      <c r="K10" s="142">
        <v>0</v>
      </c>
      <c r="L10" s="12" t="s">
        <v>200</v>
      </c>
      <c r="M10" s="143" t="s">
        <v>206</v>
      </c>
      <c r="N10" s="16" t="s">
        <v>21</v>
      </c>
      <c r="O10" s="16" t="s">
        <v>20</v>
      </c>
      <c r="P10" s="473"/>
    </row>
    <row r="11" spans="1:16" ht="16.5" customHeight="1">
      <c r="A11" s="59" t="s">
        <v>211</v>
      </c>
      <c r="B11" s="14">
        <v>45314</v>
      </c>
      <c r="C11" s="13">
        <v>0.45694444444444443</v>
      </c>
      <c r="D11" s="14">
        <v>45314</v>
      </c>
      <c r="E11" s="13">
        <v>0.58819444444444446</v>
      </c>
      <c r="F11" s="12">
        <v>41</v>
      </c>
      <c r="G11" s="14">
        <v>45315</v>
      </c>
      <c r="H11" s="13">
        <v>0.58819444444444446</v>
      </c>
      <c r="I11" s="141">
        <v>41</v>
      </c>
      <c r="J11" s="142">
        <v>0</v>
      </c>
      <c r="K11" s="142">
        <v>0</v>
      </c>
      <c r="L11" s="12" t="s">
        <v>200</v>
      </c>
      <c r="M11" s="143" t="s">
        <v>206</v>
      </c>
      <c r="N11" s="16" t="s">
        <v>21</v>
      </c>
      <c r="O11" s="16" t="s">
        <v>20</v>
      </c>
      <c r="P11" s="474"/>
    </row>
    <row r="12" spans="1:16" ht="15.75" customHeight="1">
      <c r="A12" s="59" t="s">
        <v>212</v>
      </c>
      <c r="B12" s="14">
        <v>45314</v>
      </c>
      <c r="C12" s="13">
        <v>0.48680555555555555</v>
      </c>
      <c r="D12" s="14">
        <v>45314</v>
      </c>
      <c r="E12" s="13">
        <v>0.58958333333333335</v>
      </c>
      <c r="F12" s="12">
        <v>41</v>
      </c>
      <c r="G12" s="14">
        <v>45315</v>
      </c>
      <c r="H12" s="13">
        <v>0.58958333333333335</v>
      </c>
      <c r="I12" s="141">
        <v>41</v>
      </c>
      <c r="J12" s="142">
        <v>0</v>
      </c>
      <c r="K12" s="142">
        <v>0</v>
      </c>
      <c r="L12" s="12" t="s">
        <v>200</v>
      </c>
      <c r="M12" s="143" t="s">
        <v>206</v>
      </c>
      <c r="N12" s="16" t="s">
        <v>21</v>
      </c>
      <c r="O12" s="16" t="s">
        <v>20</v>
      </c>
      <c r="P12" s="145"/>
    </row>
    <row r="13" spans="1:16" ht="15.75" customHeight="1">
      <c r="A13" s="59" t="s">
        <v>213</v>
      </c>
      <c r="B13" s="146">
        <v>45316</v>
      </c>
      <c r="C13" s="13">
        <v>0.35208333333333336</v>
      </c>
      <c r="D13" s="146">
        <v>45316</v>
      </c>
      <c r="E13" s="13">
        <v>0.56458333333333333</v>
      </c>
      <c r="F13" s="12">
        <v>41</v>
      </c>
      <c r="G13" s="14">
        <v>45317</v>
      </c>
      <c r="H13" s="13">
        <v>0.56458333333333333</v>
      </c>
      <c r="I13" s="141">
        <v>41</v>
      </c>
      <c r="J13" s="142">
        <v>0</v>
      </c>
      <c r="K13" s="142">
        <v>0</v>
      </c>
      <c r="L13" s="12" t="s">
        <v>200</v>
      </c>
      <c r="M13" s="143" t="s">
        <v>206</v>
      </c>
      <c r="N13" s="16" t="s">
        <v>21</v>
      </c>
      <c r="O13" s="16" t="s">
        <v>20</v>
      </c>
      <c r="P13" s="476"/>
    </row>
    <row r="14" spans="1:16" ht="15.75" customHeight="1">
      <c r="A14" s="59" t="s">
        <v>214</v>
      </c>
      <c r="B14" s="146">
        <v>45316</v>
      </c>
      <c r="C14" s="13">
        <v>0.37708333333333333</v>
      </c>
      <c r="D14" s="146">
        <v>45316</v>
      </c>
      <c r="E14" s="13">
        <v>0.56874999999999998</v>
      </c>
      <c r="F14" s="12">
        <v>41</v>
      </c>
      <c r="G14" s="14">
        <v>45317</v>
      </c>
      <c r="H14" s="13">
        <v>0.56874999999999998</v>
      </c>
      <c r="I14" s="141">
        <v>41</v>
      </c>
      <c r="J14" s="142">
        <v>0</v>
      </c>
      <c r="K14" s="142">
        <v>0</v>
      </c>
      <c r="L14" s="12" t="s">
        <v>200</v>
      </c>
      <c r="M14" s="143" t="s">
        <v>206</v>
      </c>
      <c r="N14" s="16" t="s">
        <v>21</v>
      </c>
      <c r="O14" s="16" t="s">
        <v>20</v>
      </c>
      <c r="P14" s="473"/>
    </row>
    <row r="15" spans="1:16" ht="15.75" customHeight="1">
      <c r="A15" s="59" t="s">
        <v>215</v>
      </c>
      <c r="B15" s="146">
        <v>45316</v>
      </c>
      <c r="C15" s="13">
        <v>0.4</v>
      </c>
      <c r="D15" s="146">
        <v>45316</v>
      </c>
      <c r="E15" s="144">
        <v>0.50902777777777775</v>
      </c>
      <c r="F15" s="12">
        <v>41</v>
      </c>
      <c r="G15" s="14">
        <v>45317</v>
      </c>
      <c r="H15" s="144">
        <v>0.50902777777777775</v>
      </c>
      <c r="I15" s="141">
        <v>41</v>
      </c>
      <c r="J15" s="142">
        <v>0</v>
      </c>
      <c r="K15" s="142">
        <v>0</v>
      </c>
      <c r="L15" s="12" t="s">
        <v>200</v>
      </c>
      <c r="M15" s="143" t="s">
        <v>206</v>
      </c>
      <c r="N15" s="16" t="s">
        <v>21</v>
      </c>
      <c r="O15" s="16" t="s">
        <v>20</v>
      </c>
      <c r="P15" s="474"/>
    </row>
    <row r="16" spans="1:16" ht="15.75" customHeight="1">
      <c r="A16" s="59" t="s">
        <v>216</v>
      </c>
      <c r="B16" s="146">
        <v>45316</v>
      </c>
      <c r="C16" s="13">
        <v>0.42222222222222222</v>
      </c>
      <c r="D16" s="146">
        <v>45316</v>
      </c>
      <c r="E16" s="144">
        <v>0.57222222222222219</v>
      </c>
      <c r="F16" s="12">
        <v>41</v>
      </c>
      <c r="G16" s="14">
        <v>45317</v>
      </c>
      <c r="H16" s="144">
        <v>0.57222222222222219</v>
      </c>
      <c r="I16" s="141">
        <v>41</v>
      </c>
      <c r="J16" s="142">
        <v>0</v>
      </c>
      <c r="K16" s="142">
        <v>0</v>
      </c>
      <c r="L16" s="12" t="s">
        <v>200</v>
      </c>
      <c r="M16" s="143" t="s">
        <v>206</v>
      </c>
      <c r="N16" s="16" t="s">
        <v>21</v>
      </c>
      <c r="O16" s="16" t="s">
        <v>20</v>
      </c>
      <c r="P16" s="145"/>
    </row>
    <row r="17" spans="1:31" ht="15.75" customHeight="1">
      <c r="A17" s="45" t="s">
        <v>217</v>
      </c>
      <c r="B17" s="147">
        <v>45320</v>
      </c>
      <c r="C17" s="50">
        <v>0.34236111111111112</v>
      </c>
      <c r="D17" s="147">
        <v>45320</v>
      </c>
      <c r="E17" s="50">
        <v>0.53680555555555554</v>
      </c>
      <c r="F17" s="46">
        <v>41</v>
      </c>
      <c r="G17" s="49">
        <v>45321</v>
      </c>
      <c r="H17" s="50">
        <v>0.53680555555555554</v>
      </c>
      <c r="I17" s="148">
        <v>41</v>
      </c>
      <c r="J17" s="149">
        <v>2</v>
      </c>
      <c r="K17" s="149">
        <v>1</v>
      </c>
      <c r="L17" s="46">
        <v>3</v>
      </c>
      <c r="M17" s="150">
        <f t="shared" ref="M17:M18" si="1">IF(L17="&lt; 1","&lt; 10",IF(L17="&gt; 2419.6","&gt; 24196",L17*10))</f>
        <v>30</v>
      </c>
      <c r="N17" s="54" t="s">
        <v>21</v>
      </c>
      <c r="O17" s="54" t="s">
        <v>20</v>
      </c>
      <c r="P17" s="151"/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  <c r="AB17" s="152"/>
      <c r="AC17" s="152"/>
      <c r="AD17" s="152"/>
      <c r="AE17" s="152"/>
    </row>
    <row r="18" spans="1:31" ht="15.75" customHeight="1">
      <c r="A18" s="45" t="s">
        <v>218</v>
      </c>
      <c r="B18" s="147">
        <v>45320</v>
      </c>
      <c r="C18" s="50">
        <v>0.375</v>
      </c>
      <c r="D18" s="147">
        <v>45320</v>
      </c>
      <c r="E18" s="50">
        <v>0.53819444444444442</v>
      </c>
      <c r="F18" s="46">
        <v>41</v>
      </c>
      <c r="G18" s="49">
        <v>45321</v>
      </c>
      <c r="H18" s="50">
        <v>0.53819444444444442</v>
      </c>
      <c r="I18" s="148">
        <v>41</v>
      </c>
      <c r="J18" s="149">
        <v>1</v>
      </c>
      <c r="K18" s="149">
        <v>0</v>
      </c>
      <c r="L18" s="46">
        <v>1</v>
      </c>
      <c r="M18" s="150">
        <f t="shared" si="1"/>
        <v>10</v>
      </c>
      <c r="N18" s="54" t="s">
        <v>21</v>
      </c>
      <c r="O18" s="54" t="s">
        <v>20</v>
      </c>
      <c r="P18" s="153"/>
      <c r="Q18" s="152"/>
      <c r="R18" s="152"/>
      <c r="S18" s="152"/>
      <c r="T18" s="152"/>
      <c r="U18" s="152"/>
      <c r="V18" s="152"/>
      <c r="W18" s="152"/>
      <c r="X18" s="152"/>
      <c r="Y18" s="152"/>
      <c r="Z18" s="152"/>
      <c r="AA18" s="152"/>
      <c r="AB18" s="152"/>
      <c r="AC18" s="152"/>
      <c r="AD18" s="152"/>
      <c r="AE18" s="152"/>
    </row>
    <row r="19" spans="1:31" ht="15.75" customHeight="1">
      <c r="A19" s="45" t="s">
        <v>219</v>
      </c>
      <c r="B19" s="147">
        <v>45320</v>
      </c>
      <c r="C19" s="50">
        <v>0.40972222222222221</v>
      </c>
      <c r="D19" s="147">
        <v>45320</v>
      </c>
      <c r="E19" s="50">
        <v>0.5395833333333333</v>
      </c>
      <c r="F19" s="46">
        <v>41</v>
      </c>
      <c r="G19" s="49">
        <v>45321</v>
      </c>
      <c r="H19" s="50">
        <v>0.5395833333333333</v>
      </c>
      <c r="I19" s="148">
        <v>41</v>
      </c>
      <c r="J19" s="149">
        <v>0</v>
      </c>
      <c r="K19" s="149">
        <v>0</v>
      </c>
      <c r="L19" s="46" t="s">
        <v>200</v>
      </c>
      <c r="M19" s="150" t="s">
        <v>206</v>
      </c>
      <c r="N19" s="54" t="s">
        <v>21</v>
      </c>
      <c r="O19" s="54" t="s">
        <v>20</v>
      </c>
      <c r="P19" s="154"/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2"/>
      <c r="AC19" s="152"/>
      <c r="AD19" s="152"/>
      <c r="AE19" s="152"/>
    </row>
    <row r="20" spans="1:31" ht="15.75" customHeight="1">
      <c r="A20" s="59" t="s">
        <v>220</v>
      </c>
      <c r="B20" s="146">
        <v>45320</v>
      </c>
      <c r="C20" s="13">
        <v>0.4375</v>
      </c>
      <c r="D20" s="146">
        <v>45320</v>
      </c>
      <c r="E20" s="13">
        <v>0.54027777777777775</v>
      </c>
      <c r="F20" s="12">
        <v>41</v>
      </c>
      <c r="G20" s="14">
        <v>45321</v>
      </c>
      <c r="H20" s="13">
        <v>0.54027777777777775</v>
      </c>
      <c r="I20" s="141">
        <v>41</v>
      </c>
      <c r="J20" s="142">
        <v>0</v>
      </c>
      <c r="K20" s="142">
        <v>0</v>
      </c>
      <c r="L20" s="12" t="s">
        <v>200</v>
      </c>
      <c r="M20" s="143" t="s">
        <v>206</v>
      </c>
      <c r="N20" s="16" t="s">
        <v>21</v>
      </c>
      <c r="O20" s="16" t="s">
        <v>20</v>
      </c>
      <c r="P20" s="155"/>
    </row>
    <row r="21" spans="1:31" ht="15.75" customHeight="1">
      <c r="A21" s="59" t="s">
        <v>221</v>
      </c>
      <c r="B21" s="14">
        <v>45321</v>
      </c>
      <c r="C21" s="156">
        <v>0.3527777777777778</v>
      </c>
      <c r="D21" s="14">
        <v>45321</v>
      </c>
      <c r="E21" s="157">
        <v>5.1388888888888887E-2</v>
      </c>
      <c r="F21" s="12">
        <v>41</v>
      </c>
      <c r="G21" s="14">
        <v>45322</v>
      </c>
      <c r="H21" s="157">
        <v>5.1388888888888887E-2</v>
      </c>
      <c r="I21" s="141">
        <v>41</v>
      </c>
      <c r="J21" s="142">
        <v>0</v>
      </c>
      <c r="K21" s="142">
        <v>0</v>
      </c>
      <c r="L21" s="12" t="s">
        <v>200</v>
      </c>
      <c r="M21" s="143" t="s">
        <v>206</v>
      </c>
      <c r="N21" s="16" t="s">
        <v>21</v>
      </c>
      <c r="O21" s="16" t="s">
        <v>20</v>
      </c>
      <c r="P21" s="155"/>
    </row>
    <row r="22" spans="1:31" ht="15.75" customHeight="1">
      <c r="A22" s="59" t="s">
        <v>222</v>
      </c>
      <c r="B22" s="14">
        <v>45321</v>
      </c>
      <c r="C22" s="156">
        <v>0.41180555555555554</v>
      </c>
      <c r="D22" s="14">
        <v>45321</v>
      </c>
      <c r="E22" s="158">
        <v>5.8333333333333334E-2</v>
      </c>
      <c r="F22" s="12">
        <v>41</v>
      </c>
      <c r="G22" s="14">
        <v>45322</v>
      </c>
      <c r="H22" s="158">
        <v>5.8333333333333334E-2</v>
      </c>
      <c r="I22" s="141">
        <v>41</v>
      </c>
      <c r="J22" s="142">
        <v>0</v>
      </c>
      <c r="K22" s="142">
        <v>0</v>
      </c>
      <c r="L22" s="12" t="s">
        <v>200</v>
      </c>
      <c r="M22" s="143" t="s">
        <v>206</v>
      </c>
      <c r="N22" s="16" t="s">
        <v>21</v>
      </c>
      <c r="O22" s="16" t="s">
        <v>20</v>
      </c>
      <c r="P22" s="155"/>
    </row>
    <row r="23" spans="1:31" ht="15.75" customHeight="1">
      <c r="A23" s="59" t="s">
        <v>223</v>
      </c>
      <c r="B23" s="14">
        <v>45321</v>
      </c>
      <c r="C23" s="156">
        <v>0.43055555555555558</v>
      </c>
      <c r="D23" s="14">
        <v>45321</v>
      </c>
      <c r="E23" s="158">
        <v>6.0416666666666667E-2</v>
      </c>
      <c r="F23" s="12">
        <v>41</v>
      </c>
      <c r="G23" s="14">
        <v>45322</v>
      </c>
      <c r="H23" s="158">
        <v>6.0416666666666667E-2</v>
      </c>
      <c r="I23" s="141">
        <v>41</v>
      </c>
      <c r="J23" s="142">
        <v>0</v>
      </c>
      <c r="K23" s="142">
        <v>0</v>
      </c>
      <c r="L23" s="12" t="s">
        <v>200</v>
      </c>
      <c r="M23" s="143" t="s">
        <v>206</v>
      </c>
      <c r="N23" s="16" t="s">
        <v>21</v>
      </c>
      <c r="O23" s="16" t="s">
        <v>20</v>
      </c>
      <c r="P23" s="155"/>
    </row>
    <row r="24" spans="1:31" ht="15.75" customHeight="1">
      <c r="A24" s="59" t="s">
        <v>224</v>
      </c>
      <c r="B24" s="14">
        <v>45321</v>
      </c>
      <c r="C24" s="156">
        <v>0.46875</v>
      </c>
      <c r="D24" s="14">
        <v>45321</v>
      </c>
      <c r="E24" s="158">
        <v>6.1111111111111109E-2</v>
      </c>
      <c r="F24" s="12">
        <v>41</v>
      </c>
      <c r="G24" s="14">
        <v>45322</v>
      </c>
      <c r="H24" s="158">
        <v>6.1111111111111109E-2</v>
      </c>
      <c r="I24" s="141">
        <v>41</v>
      </c>
      <c r="J24" s="142">
        <v>0</v>
      </c>
      <c r="K24" s="142">
        <v>0</v>
      </c>
      <c r="L24" s="12" t="s">
        <v>200</v>
      </c>
      <c r="M24" s="143" t="s">
        <v>206</v>
      </c>
      <c r="N24" s="16" t="s">
        <v>21</v>
      </c>
      <c r="O24" s="16" t="s">
        <v>20</v>
      </c>
      <c r="P24" s="155"/>
    </row>
    <row r="25" spans="1:31" ht="15.75" customHeight="1">
      <c r="A25" s="59" t="s">
        <v>225</v>
      </c>
      <c r="B25" s="14">
        <v>45322</v>
      </c>
      <c r="C25" s="157">
        <v>0.33124999999999999</v>
      </c>
      <c r="D25" s="14">
        <v>45322</v>
      </c>
      <c r="E25" s="158">
        <v>0.53194444444444444</v>
      </c>
      <c r="F25" s="159">
        <v>41</v>
      </c>
      <c r="G25" s="14">
        <v>45323</v>
      </c>
      <c r="H25" s="158">
        <v>0.53194444444444444</v>
      </c>
      <c r="I25" s="141">
        <v>41</v>
      </c>
      <c r="J25" s="142">
        <v>0</v>
      </c>
      <c r="K25" s="142">
        <v>0</v>
      </c>
      <c r="L25" s="12" t="s">
        <v>200</v>
      </c>
      <c r="M25" s="143" t="s">
        <v>206</v>
      </c>
      <c r="N25" s="16" t="s">
        <v>21</v>
      </c>
      <c r="O25" s="16" t="s">
        <v>20</v>
      </c>
      <c r="P25" s="155"/>
    </row>
    <row r="26" spans="1:31" ht="15.75" customHeight="1">
      <c r="A26" s="59" t="s">
        <v>226</v>
      </c>
      <c r="B26" s="14">
        <v>45322</v>
      </c>
      <c r="C26" s="158">
        <v>0.3611111111111111</v>
      </c>
      <c r="D26" s="14">
        <v>45322</v>
      </c>
      <c r="E26" s="158">
        <v>0.53333333333333333</v>
      </c>
      <c r="F26" s="159">
        <v>41</v>
      </c>
      <c r="G26" s="14">
        <v>45323</v>
      </c>
      <c r="H26" s="158">
        <v>0.53333333333333333</v>
      </c>
      <c r="I26" s="141">
        <v>41</v>
      </c>
      <c r="J26" s="142">
        <v>0</v>
      </c>
      <c r="K26" s="142">
        <v>0</v>
      </c>
      <c r="L26" s="12" t="s">
        <v>200</v>
      </c>
      <c r="M26" s="143" t="s">
        <v>206</v>
      </c>
      <c r="N26" s="16" t="s">
        <v>21</v>
      </c>
      <c r="O26" s="16" t="s">
        <v>20</v>
      </c>
      <c r="P26" s="160"/>
    </row>
    <row r="27" spans="1:31" ht="15.75" customHeight="1">
      <c r="A27" s="59" t="s">
        <v>227</v>
      </c>
      <c r="B27" s="14">
        <v>45322</v>
      </c>
      <c r="C27" s="158">
        <v>0.40277777777777779</v>
      </c>
      <c r="D27" s="14">
        <v>45322</v>
      </c>
      <c r="E27" s="158">
        <v>0.53402777777777777</v>
      </c>
      <c r="F27" s="159">
        <v>40</v>
      </c>
      <c r="G27" s="14">
        <v>45323</v>
      </c>
      <c r="H27" s="158">
        <v>0.53402777777777777</v>
      </c>
      <c r="I27" s="141">
        <v>41</v>
      </c>
      <c r="J27" s="142">
        <v>0</v>
      </c>
      <c r="K27" s="142">
        <v>0</v>
      </c>
      <c r="L27" s="12" t="s">
        <v>200</v>
      </c>
      <c r="M27" s="143" t="s">
        <v>206</v>
      </c>
      <c r="N27" s="16" t="s">
        <v>21</v>
      </c>
      <c r="O27" s="16" t="s">
        <v>20</v>
      </c>
      <c r="P27" s="477"/>
    </row>
    <row r="28" spans="1:31" ht="15.75" customHeight="1">
      <c r="A28" s="59" t="s">
        <v>228</v>
      </c>
      <c r="B28" s="14">
        <v>45322</v>
      </c>
      <c r="C28" s="158">
        <v>0.43263888888888891</v>
      </c>
      <c r="D28" s="14">
        <v>45322</v>
      </c>
      <c r="E28" s="158">
        <v>0.53541666666666665</v>
      </c>
      <c r="F28" s="159">
        <v>39</v>
      </c>
      <c r="G28" s="14">
        <v>45323</v>
      </c>
      <c r="H28" s="158">
        <v>0.53541666666666665</v>
      </c>
      <c r="I28" s="141">
        <v>41</v>
      </c>
      <c r="J28" s="142">
        <v>0</v>
      </c>
      <c r="K28" s="142">
        <v>0</v>
      </c>
      <c r="L28" s="12" t="s">
        <v>200</v>
      </c>
      <c r="M28" s="143" t="s">
        <v>206</v>
      </c>
      <c r="N28" s="16" t="s">
        <v>21</v>
      </c>
      <c r="O28" s="16" t="s">
        <v>20</v>
      </c>
      <c r="P28" s="473"/>
    </row>
    <row r="29" spans="1:31" ht="15.75" customHeight="1">
      <c r="A29" s="59" t="s">
        <v>229</v>
      </c>
      <c r="B29" s="14">
        <v>45323</v>
      </c>
      <c r="C29" s="158">
        <v>0.33333333333333331</v>
      </c>
      <c r="D29" s="14">
        <v>45323</v>
      </c>
      <c r="E29" s="158">
        <v>0.50902777777777775</v>
      </c>
      <c r="F29" s="159">
        <v>41</v>
      </c>
      <c r="G29" s="14">
        <v>45324</v>
      </c>
      <c r="H29" s="158">
        <v>0.50902777777777775</v>
      </c>
      <c r="I29" s="141">
        <v>41</v>
      </c>
      <c r="J29" s="142">
        <v>0</v>
      </c>
      <c r="K29" s="142">
        <v>0</v>
      </c>
      <c r="L29" s="12" t="s">
        <v>200</v>
      </c>
      <c r="M29" s="143" t="s">
        <v>206</v>
      </c>
      <c r="N29" s="16" t="s">
        <v>21</v>
      </c>
      <c r="O29" s="16" t="s">
        <v>20</v>
      </c>
      <c r="P29" s="474"/>
    </row>
    <row r="30" spans="1:31" ht="15.75" customHeight="1">
      <c r="A30" s="59" t="s">
        <v>230</v>
      </c>
      <c r="B30" s="14">
        <v>45323</v>
      </c>
      <c r="C30" s="158">
        <v>0.36805555555555558</v>
      </c>
      <c r="D30" s="14">
        <v>45323</v>
      </c>
      <c r="E30" s="158">
        <v>0.51041666666666663</v>
      </c>
      <c r="F30" s="159">
        <v>40</v>
      </c>
      <c r="G30" s="14">
        <v>45324</v>
      </c>
      <c r="H30" s="158">
        <v>0.51041666666666663</v>
      </c>
      <c r="I30" s="141">
        <v>41</v>
      </c>
      <c r="J30" s="142">
        <v>0</v>
      </c>
      <c r="K30" s="142">
        <v>0</v>
      </c>
      <c r="L30" s="12" t="s">
        <v>200</v>
      </c>
      <c r="M30" s="143" t="s">
        <v>206</v>
      </c>
      <c r="N30" s="16" t="s">
        <v>21</v>
      </c>
      <c r="O30" s="16" t="s">
        <v>20</v>
      </c>
      <c r="P30" s="478"/>
    </row>
    <row r="31" spans="1:31" ht="15.75" customHeight="1">
      <c r="A31" s="45" t="s">
        <v>231</v>
      </c>
      <c r="B31" s="49">
        <v>45323</v>
      </c>
      <c r="C31" s="161">
        <v>0.39861111111111114</v>
      </c>
      <c r="D31" s="49">
        <v>45323</v>
      </c>
      <c r="E31" s="161">
        <v>0.51180555555555551</v>
      </c>
      <c r="F31" s="162">
        <v>40</v>
      </c>
      <c r="G31" s="49">
        <v>45324</v>
      </c>
      <c r="H31" s="161">
        <v>0.51180555555555551</v>
      </c>
      <c r="I31" s="148">
        <v>41</v>
      </c>
      <c r="J31" s="149">
        <v>0</v>
      </c>
      <c r="K31" s="149">
        <v>0</v>
      </c>
      <c r="L31" s="46" t="s">
        <v>200</v>
      </c>
      <c r="M31" s="150" t="s">
        <v>206</v>
      </c>
      <c r="N31" s="54" t="s">
        <v>21</v>
      </c>
      <c r="O31" s="54" t="s">
        <v>20</v>
      </c>
      <c r="P31" s="479"/>
      <c r="Q31" s="152"/>
      <c r="R31" s="152"/>
      <c r="S31" s="152"/>
      <c r="T31" s="152"/>
      <c r="U31" s="152"/>
      <c r="V31" s="152"/>
      <c r="W31" s="152"/>
      <c r="X31" s="152"/>
      <c r="Y31" s="152"/>
      <c r="Z31" s="152"/>
      <c r="AA31" s="152"/>
      <c r="AB31" s="152"/>
      <c r="AC31" s="152"/>
      <c r="AD31" s="152"/>
      <c r="AE31" s="152"/>
    </row>
    <row r="32" spans="1:31" ht="15.75" customHeight="1">
      <c r="A32" s="45" t="s">
        <v>232</v>
      </c>
      <c r="B32" s="49">
        <v>45324</v>
      </c>
      <c r="C32" s="163">
        <v>0.39027777777777778</v>
      </c>
      <c r="D32" s="49">
        <v>45324</v>
      </c>
      <c r="E32" s="164">
        <v>0.57013888888888886</v>
      </c>
      <c r="F32" s="46">
        <v>41</v>
      </c>
      <c r="G32" s="49">
        <v>45325</v>
      </c>
      <c r="H32" s="164">
        <v>0.57013888888888886</v>
      </c>
      <c r="I32" s="148">
        <v>41</v>
      </c>
      <c r="J32" s="149">
        <v>0</v>
      </c>
      <c r="K32" s="149">
        <v>0</v>
      </c>
      <c r="L32" s="46" t="s">
        <v>200</v>
      </c>
      <c r="M32" s="150" t="s">
        <v>206</v>
      </c>
      <c r="N32" s="54" t="s">
        <v>21</v>
      </c>
      <c r="O32" s="54" t="s">
        <v>233</v>
      </c>
      <c r="P32" s="479"/>
      <c r="Q32" s="152"/>
      <c r="R32" s="152"/>
      <c r="S32" s="152"/>
      <c r="T32" s="152"/>
      <c r="U32" s="152"/>
      <c r="V32" s="152"/>
      <c r="W32" s="152"/>
      <c r="X32" s="152"/>
      <c r="Y32" s="152"/>
      <c r="Z32" s="152"/>
      <c r="AA32" s="152"/>
      <c r="AB32" s="152"/>
      <c r="AC32" s="152"/>
      <c r="AD32" s="152"/>
      <c r="AE32" s="152"/>
    </row>
    <row r="33" spans="1:31" ht="15.75" customHeight="1">
      <c r="A33" s="45" t="s">
        <v>234</v>
      </c>
      <c r="B33" s="49">
        <v>45324</v>
      </c>
      <c r="C33" s="163">
        <v>0.41597222222222224</v>
      </c>
      <c r="D33" s="49">
        <v>45324</v>
      </c>
      <c r="E33" s="164">
        <v>0.57430555555555551</v>
      </c>
      <c r="F33" s="46">
        <v>41</v>
      </c>
      <c r="G33" s="49">
        <v>45325</v>
      </c>
      <c r="H33" s="164">
        <v>0.57430555555555551</v>
      </c>
      <c r="I33" s="148">
        <v>41</v>
      </c>
      <c r="J33" s="149">
        <v>0</v>
      </c>
      <c r="K33" s="149">
        <v>0</v>
      </c>
      <c r="L33" s="46" t="s">
        <v>200</v>
      </c>
      <c r="M33" s="150" t="s">
        <v>206</v>
      </c>
      <c r="N33" s="54" t="s">
        <v>21</v>
      </c>
      <c r="O33" s="165" t="s">
        <v>233</v>
      </c>
      <c r="P33" s="479"/>
      <c r="Q33" s="152"/>
      <c r="R33" s="152"/>
      <c r="S33" s="152"/>
      <c r="T33" s="152"/>
      <c r="U33" s="152"/>
      <c r="V33" s="152"/>
      <c r="W33" s="152"/>
      <c r="X33" s="152"/>
      <c r="Y33" s="152"/>
      <c r="Z33" s="152"/>
      <c r="AA33" s="152"/>
      <c r="AB33" s="152"/>
      <c r="AC33" s="152"/>
      <c r="AD33" s="152"/>
      <c r="AE33" s="152"/>
    </row>
    <row r="34" spans="1:31" ht="15.75" customHeight="1">
      <c r="A34" s="59" t="s">
        <v>235</v>
      </c>
      <c r="B34" s="14">
        <v>45324</v>
      </c>
      <c r="C34" s="166">
        <v>0.45763888888888887</v>
      </c>
      <c r="D34" s="14">
        <v>45324</v>
      </c>
      <c r="E34" s="156">
        <v>0.57708333333333328</v>
      </c>
      <c r="F34" s="12">
        <v>41</v>
      </c>
      <c r="G34" s="14">
        <v>45325</v>
      </c>
      <c r="H34" s="156">
        <v>0.57708333333333328</v>
      </c>
      <c r="I34" s="141">
        <v>41</v>
      </c>
      <c r="J34" s="142">
        <v>0</v>
      </c>
      <c r="K34" s="142">
        <v>0</v>
      </c>
      <c r="L34" s="12" t="s">
        <v>200</v>
      </c>
      <c r="M34" s="143" t="s">
        <v>206</v>
      </c>
      <c r="N34" s="16" t="s">
        <v>21</v>
      </c>
      <c r="O34" s="75" t="s">
        <v>233</v>
      </c>
      <c r="P34" s="479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</row>
    <row r="35" spans="1:31" ht="15.75" customHeight="1">
      <c r="A35" s="59" t="s">
        <v>236</v>
      </c>
      <c r="B35" s="14">
        <v>45324</v>
      </c>
      <c r="C35" s="166">
        <v>0.48958333333333331</v>
      </c>
      <c r="D35" s="14">
        <v>45324</v>
      </c>
      <c r="E35" s="156">
        <v>0.57916666666666672</v>
      </c>
      <c r="F35" s="12">
        <v>41</v>
      </c>
      <c r="G35" s="14">
        <v>45325</v>
      </c>
      <c r="H35" s="156">
        <v>0.57916666666666672</v>
      </c>
      <c r="I35" s="141">
        <v>41</v>
      </c>
      <c r="J35" s="142">
        <v>0</v>
      </c>
      <c r="K35" s="142">
        <v>0</v>
      </c>
      <c r="L35" s="12" t="s">
        <v>200</v>
      </c>
      <c r="M35" s="143" t="s">
        <v>206</v>
      </c>
      <c r="N35" s="16" t="s">
        <v>21</v>
      </c>
      <c r="O35" s="75" t="s">
        <v>233</v>
      </c>
      <c r="P35" s="480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</row>
    <row r="36" spans="1:31" ht="15.75" customHeight="1">
      <c r="A36" s="59" t="s">
        <v>237</v>
      </c>
      <c r="B36" s="14">
        <v>45336</v>
      </c>
      <c r="C36" s="166">
        <v>0.34722222222222221</v>
      </c>
      <c r="D36" s="14">
        <v>45336</v>
      </c>
      <c r="E36" s="156">
        <v>0.55138888888888893</v>
      </c>
      <c r="F36" s="12">
        <v>41</v>
      </c>
      <c r="G36" s="14">
        <v>45337</v>
      </c>
      <c r="H36" s="156">
        <v>0.55138888888888893</v>
      </c>
      <c r="I36" s="141">
        <v>41</v>
      </c>
      <c r="J36" s="142">
        <v>0</v>
      </c>
      <c r="K36" s="142">
        <v>0</v>
      </c>
      <c r="L36" s="12" t="s">
        <v>238</v>
      </c>
      <c r="M36" s="143" t="s">
        <v>206</v>
      </c>
      <c r="N36" s="16" t="s">
        <v>21</v>
      </c>
      <c r="O36" s="75" t="s">
        <v>233</v>
      </c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</row>
    <row r="37" spans="1:31" ht="15.75" customHeight="1">
      <c r="A37" s="59" t="s">
        <v>239</v>
      </c>
      <c r="B37" s="14">
        <v>45336</v>
      </c>
      <c r="C37" s="166">
        <v>0.36388888888888887</v>
      </c>
      <c r="D37" s="14">
        <v>45336</v>
      </c>
      <c r="E37" s="156">
        <v>0.55555555555555558</v>
      </c>
      <c r="F37" s="12">
        <v>41</v>
      </c>
      <c r="G37" s="14">
        <v>41685</v>
      </c>
      <c r="H37" s="156">
        <v>0.55555555555555558</v>
      </c>
      <c r="I37" s="141">
        <v>41</v>
      </c>
      <c r="J37" s="142">
        <v>0</v>
      </c>
      <c r="K37" s="142">
        <v>0</v>
      </c>
      <c r="L37" s="12" t="s">
        <v>238</v>
      </c>
      <c r="M37" s="143" t="s">
        <v>206</v>
      </c>
      <c r="N37" s="16" t="s">
        <v>21</v>
      </c>
      <c r="O37" s="75" t="s">
        <v>233</v>
      </c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</row>
    <row r="38" spans="1:31" ht="15.75" customHeight="1">
      <c r="A38" s="59" t="s">
        <v>240</v>
      </c>
      <c r="B38" s="14">
        <v>45336</v>
      </c>
      <c r="C38" s="166">
        <v>0.4201388888888889</v>
      </c>
      <c r="D38" s="14">
        <v>45336</v>
      </c>
      <c r="E38" s="156">
        <v>0.56736111111111109</v>
      </c>
      <c r="F38" s="12">
        <v>41</v>
      </c>
      <c r="G38" s="14">
        <v>45337</v>
      </c>
      <c r="H38" s="156">
        <v>0.56736111111111109</v>
      </c>
      <c r="I38" s="141">
        <v>41</v>
      </c>
      <c r="J38" s="142">
        <v>0</v>
      </c>
      <c r="K38" s="142">
        <v>0</v>
      </c>
      <c r="L38" s="12" t="s">
        <v>238</v>
      </c>
      <c r="M38" s="143" t="s">
        <v>206</v>
      </c>
      <c r="N38" s="16" t="s">
        <v>21</v>
      </c>
      <c r="O38" s="75" t="s">
        <v>233</v>
      </c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</row>
    <row r="39" spans="1:31" ht="15.75" customHeight="1">
      <c r="A39" s="59" t="s">
        <v>241</v>
      </c>
      <c r="B39" s="14">
        <v>45336</v>
      </c>
      <c r="C39" s="166">
        <v>0.47361111111111109</v>
      </c>
      <c r="D39" s="14">
        <v>45336</v>
      </c>
      <c r="E39" s="156">
        <v>0.54722222222222228</v>
      </c>
      <c r="F39" s="12">
        <v>41</v>
      </c>
      <c r="G39" s="14">
        <v>45337</v>
      </c>
      <c r="H39" s="156">
        <v>0.54722222222222228</v>
      </c>
      <c r="I39" s="141">
        <v>41</v>
      </c>
      <c r="J39" s="142">
        <v>0</v>
      </c>
      <c r="K39" s="142">
        <v>0</v>
      </c>
      <c r="L39" s="12" t="s">
        <v>238</v>
      </c>
      <c r="M39" s="143" t="s">
        <v>206</v>
      </c>
      <c r="N39" s="16" t="s">
        <v>21</v>
      </c>
      <c r="O39" s="75" t="s">
        <v>233</v>
      </c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</row>
    <row r="40" spans="1:31" ht="15.75" customHeight="1">
      <c r="A40" s="167" t="s">
        <v>242</v>
      </c>
      <c r="B40" s="168">
        <v>45337</v>
      </c>
      <c r="C40" s="169">
        <v>0.32847222222222222</v>
      </c>
      <c r="D40" s="168">
        <v>45337</v>
      </c>
      <c r="E40" s="170">
        <v>0.51736111111111116</v>
      </c>
      <c r="F40" s="171">
        <v>41</v>
      </c>
      <c r="G40" s="168">
        <v>45338</v>
      </c>
      <c r="H40" s="170">
        <v>0.51736111111111116</v>
      </c>
      <c r="I40" s="172">
        <v>41</v>
      </c>
      <c r="J40" s="173">
        <v>0</v>
      </c>
      <c r="K40" s="173">
        <v>0</v>
      </c>
      <c r="L40" s="171" t="s">
        <v>238</v>
      </c>
      <c r="M40" s="174" t="s">
        <v>206</v>
      </c>
      <c r="N40" s="175" t="s">
        <v>21</v>
      </c>
      <c r="O40" s="176" t="s">
        <v>20</v>
      </c>
      <c r="P40" s="177" t="s">
        <v>243</v>
      </c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</row>
    <row r="41" spans="1:31" ht="15.75" customHeight="1">
      <c r="A41" s="167" t="s">
        <v>244</v>
      </c>
      <c r="B41" s="168">
        <v>45337</v>
      </c>
      <c r="C41" s="169">
        <v>0.41111111111111109</v>
      </c>
      <c r="D41" s="168">
        <v>45337</v>
      </c>
      <c r="E41" s="170">
        <v>0.51736111111111116</v>
      </c>
      <c r="F41" s="171">
        <v>41</v>
      </c>
      <c r="G41" s="168">
        <v>45338</v>
      </c>
      <c r="H41" s="170">
        <v>0.51736111111111116</v>
      </c>
      <c r="I41" s="172">
        <v>41</v>
      </c>
      <c r="J41" s="173">
        <v>0</v>
      </c>
      <c r="K41" s="173">
        <v>0</v>
      </c>
      <c r="L41" s="171" t="s">
        <v>238</v>
      </c>
      <c r="M41" s="174" t="s">
        <v>206</v>
      </c>
      <c r="N41" s="175" t="s">
        <v>21</v>
      </c>
      <c r="O41" s="176" t="s">
        <v>20</v>
      </c>
      <c r="P41" s="177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</row>
    <row r="42" spans="1:31" ht="15.75" customHeight="1">
      <c r="A42" s="167" t="s">
        <v>245</v>
      </c>
      <c r="B42" s="168">
        <v>45337</v>
      </c>
      <c r="C42" s="169">
        <v>0.42777777777777776</v>
      </c>
      <c r="D42" s="168">
        <v>45337</v>
      </c>
      <c r="E42" s="170">
        <v>0.51736111111111116</v>
      </c>
      <c r="F42" s="171">
        <v>41</v>
      </c>
      <c r="G42" s="168">
        <v>45338</v>
      </c>
      <c r="H42" s="170">
        <v>0.51736111111111116</v>
      </c>
      <c r="I42" s="172">
        <v>41</v>
      </c>
      <c r="J42" s="173">
        <v>0</v>
      </c>
      <c r="K42" s="173">
        <v>0</v>
      </c>
      <c r="L42" s="171" t="s">
        <v>238</v>
      </c>
      <c r="M42" s="174" t="s">
        <v>206</v>
      </c>
      <c r="N42" s="175" t="s">
        <v>21</v>
      </c>
      <c r="O42" s="176" t="s">
        <v>20</v>
      </c>
      <c r="P42" s="177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</row>
    <row r="43" spans="1:31" ht="15.75" customHeight="1">
      <c r="A43" s="59" t="s">
        <v>246</v>
      </c>
      <c r="B43" s="178">
        <v>45338</v>
      </c>
      <c r="C43" s="13">
        <v>0.43263888888888891</v>
      </c>
      <c r="D43" s="178">
        <v>45338</v>
      </c>
      <c r="E43" s="179">
        <v>0.54236111111111107</v>
      </c>
      <c r="F43" s="12">
        <v>40.9</v>
      </c>
      <c r="G43" s="178">
        <v>45339</v>
      </c>
      <c r="H43" s="179">
        <v>0.54236111111111107</v>
      </c>
      <c r="I43" s="141">
        <v>41</v>
      </c>
      <c r="J43" s="142">
        <v>0</v>
      </c>
      <c r="K43" s="142">
        <v>0</v>
      </c>
      <c r="L43" s="12" t="s">
        <v>200</v>
      </c>
      <c r="M43" s="143" t="s">
        <v>206</v>
      </c>
      <c r="N43" s="16" t="s">
        <v>21</v>
      </c>
      <c r="O43" s="75" t="s">
        <v>233</v>
      </c>
      <c r="P43" s="180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</row>
    <row r="44" spans="1:31" ht="15.75" customHeight="1">
      <c r="A44" s="181" t="s">
        <v>247</v>
      </c>
      <c r="B44" s="178">
        <v>45338</v>
      </c>
      <c r="C44" s="13">
        <v>0.37847222222222221</v>
      </c>
      <c r="D44" s="178">
        <v>45338</v>
      </c>
      <c r="E44" s="13">
        <v>0.54513888888888884</v>
      </c>
      <c r="F44" s="12">
        <v>40.9</v>
      </c>
      <c r="G44" s="14">
        <v>45339</v>
      </c>
      <c r="H44" s="13">
        <v>0.54236111111111107</v>
      </c>
      <c r="I44" s="141">
        <v>41</v>
      </c>
      <c r="J44" s="142">
        <v>0</v>
      </c>
      <c r="K44" s="142">
        <v>0</v>
      </c>
      <c r="L44" s="12" t="s">
        <v>200</v>
      </c>
      <c r="M44" s="143" t="s">
        <v>206</v>
      </c>
      <c r="N44" s="16" t="s">
        <v>21</v>
      </c>
      <c r="O44" s="75" t="s">
        <v>233</v>
      </c>
      <c r="P44" s="182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</row>
    <row r="45" spans="1:31" ht="15.75" customHeight="1">
      <c r="A45" s="59" t="s">
        <v>248</v>
      </c>
      <c r="B45" s="178">
        <v>45338</v>
      </c>
      <c r="C45" s="13">
        <v>0.35902777777777778</v>
      </c>
      <c r="D45" s="178">
        <v>45338</v>
      </c>
      <c r="E45" s="13">
        <v>0.53749999999999998</v>
      </c>
      <c r="F45" s="12">
        <v>40.9</v>
      </c>
      <c r="G45" s="178">
        <v>45339</v>
      </c>
      <c r="H45" s="13">
        <v>0.54236111111111107</v>
      </c>
      <c r="I45" s="141">
        <v>41</v>
      </c>
      <c r="J45" s="142">
        <v>0</v>
      </c>
      <c r="K45" s="142">
        <v>0</v>
      </c>
      <c r="L45" s="12" t="s">
        <v>200</v>
      </c>
      <c r="M45" s="143" t="s">
        <v>206</v>
      </c>
      <c r="N45" s="16" t="s">
        <v>21</v>
      </c>
      <c r="O45" s="75" t="s">
        <v>233</v>
      </c>
      <c r="P45" s="472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</row>
    <row r="46" spans="1:31" ht="15.75" customHeight="1">
      <c r="A46" s="29" t="s">
        <v>249</v>
      </c>
      <c r="B46" s="14">
        <v>45338</v>
      </c>
      <c r="C46" s="13">
        <v>0.41666666666666669</v>
      </c>
      <c r="D46" s="14">
        <v>45338</v>
      </c>
      <c r="E46" s="13">
        <v>0.54027777777777775</v>
      </c>
      <c r="F46" s="12">
        <v>40.9</v>
      </c>
      <c r="G46" s="178">
        <v>45339</v>
      </c>
      <c r="H46" s="13">
        <v>0.54236111111111107</v>
      </c>
      <c r="I46" s="141">
        <v>41</v>
      </c>
      <c r="J46" s="142">
        <v>0</v>
      </c>
      <c r="K46" s="142">
        <v>0</v>
      </c>
      <c r="L46" s="12" t="s">
        <v>200</v>
      </c>
      <c r="M46" s="143" t="s">
        <v>206</v>
      </c>
      <c r="N46" s="16" t="s">
        <v>21</v>
      </c>
      <c r="O46" s="75" t="s">
        <v>233</v>
      </c>
      <c r="P46" s="473"/>
    </row>
    <row r="47" spans="1:31" ht="15.75" customHeight="1">
      <c r="A47" s="183" t="s">
        <v>250</v>
      </c>
      <c r="B47" s="122">
        <v>45343</v>
      </c>
      <c r="C47" s="74">
        <v>0.39444444444444443</v>
      </c>
      <c r="D47" s="122">
        <v>45343</v>
      </c>
      <c r="E47" s="74">
        <v>0.56388888888888888</v>
      </c>
      <c r="F47" s="12">
        <v>40.9</v>
      </c>
      <c r="G47" s="122">
        <v>45344</v>
      </c>
      <c r="H47" s="74">
        <v>0.56388888888888888</v>
      </c>
      <c r="I47" s="141">
        <v>41</v>
      </c>
      <c r="J47" s="142">
        <v>0</v>
      </c>
      <c r="K47" s="142">
        <v>0</v>
      </c>
      <c r="L47" s="12" t="s">
        <v>200</v>
      </c>
      <c r="M47" s="143" t="s">
        <v>206</v>
      </c>
      <c r="N47" s="16" t="s">
        <v>21</v>
      </c>
      <c r="O47" s="75" t="s">
        <v>233</v>
      </c>
      <c r="P47" s="473"/>
    </row>
    <row r="48" spans="1:31" ht="15.75" customHeight="1">
      <c r="A48" s="183" t="s">
        <v>251</v>
      </c>
      <c r="B48" s="122">
        <v>45343</v>
      </c>
      <c r="C48" s="74">
        <v>0.4201388888888889</v>
      </c>
      <c r="D48" s="122">
        <v>45343</v>
      </c>
      <c r="E48" s="74">
        <v>0.56736111111111109</v>
      </c>
      <c r="F48" s="12">
        <v>40.9</v>
      </c>
      <c r="G48" s="122">
        <v>45344</v>
      </c>
      <c r="H48" s="74">
        <v>0.56736111111111109</v>
      </c>
      <c r="I48" s="141">
        <v>41</v>
      </c>
      <c r="J48" s="142">
        <v>0</v>
      </c>
      <c r="K48" s="142">
        <v>0</v>
      </c>
      <c r="L48" s="12" t="s">
        <v>200</v>
      </c>
      <c r="M48" s="143" t="s">
        <v>206</v>
      </c>
      <c r="N48" s="16" t="s">
        <v>21</v>
      </c>
      <c r="O48" s="75" t="s">
        <v>233</v>
      </c>
      <c r="P48" s="474"/>
    </row>
    <row r="49" spans="1:16" ht="15.75" customHeight="1">
      <c r="A49" s="183" t="s">
        <v>252</v>
      </c>
      <c r="B49" s="122">
        <v>45343</v>
      </c>
      <c r="C49" s="74">
        <v>0.44791666666666669</v>
      </c>
      <c r="D49" s="122">
        <v>45343</v>
      </c>
      <c r="E49" s="74">
        <v>0.5708333333333333</v>
      </c>
      <c r="F49" s="12">
        <v>40.9</v>
      </c>
      <c r="G49" s="122">
        <v>45344</v>
      </c>
      <c r="H49" s="74">
        <v>0.5708333333333333</v>
      </c>
      <c r="I49" s="141">
        <v>41</v>
      </c>
      <c r="J49" s="142">
        <v>0</v>
      </c>
      <c r="K49" s="142">
        <v>0</v>
      </c>
      <c r="L49" s="12" t="s">
        <v>200</v>
      </c>
      <c r="M49" s="143" t="s">
        <v>206</v>
      </c>
      <c r="N49" s="16" t="s">
        <v>21</v>
      </c>
      <c r="O49" s="75" t="s">
        <v>233</v>
      </c>
      <c r="P49" s="472"/>
    </row>
    <row r="50" spans="1:16" ht="15.75" customHeight="1">
      <c r="A50" s="183" t="s">
        <v>253</v>
      </c>
      <c r="B50" s="122">
        <v>45343</v>
      </c>
      <c r="C50" s="74">
        <v>0.5083333333333333</v>
      </c>
      <c r="D50" s="122">
        <v>45343</v>
      </c>
      <c r="E50" s="74">
        <v>0.67152777777777772</v>
      </c>
      <c r="F50" s="12">
        <v>40.9</v>
      </c>
      <c r="G50" s="122">
        <v>45344</v>
      </c>
      <c r="H50" s="74">
        <v>0.67152777777777772</v>
      </c>
      <c r="I50" s="141">
        <v>41</v>
      </c>
      <c r="J50" s="142">
        <v>0</v>
      </c>
      <c r="K50" s="142">
        <v>0</v>
      </c>
      <c r="L50" s="12" t="s">
        <v>200</v>
      </c>
      <c r="M50" s="143" t="s">
        <v>206</v>
      </c>
      <c r="N50" s="16" t="s">
        <v>21</v>
      </c>
      <c r="O50" s="75" t="s">
        <v>233</v>
      </c>
      <c r="P50" s="473"/>
    </row>
    <row r="51" spans="1:16" ht="15.75" customHeight="1">
      <c r="A51" s="183" t="s">
        <v>254</v>
      </c>
      <c r="B51" s="122">
        <v>45343</v>
      </c>
      <c r="C51" s="76">
        <v>0.52708333333333335</v>
      </c>
      <c r="D51" s="122">
        <v>45343</v>
      </c>
      <c r="E51" s="74">
        <v>0.68055555555555558</v>
      </c>
      <c r="F51" s="12">
        <v>40.9</v>
      </c>
      <c r="G51" s="122">
        <v>45344</v>
      </c>
      <c r="H51" s="74">
        <v>0.68055555555555558</v>
      </c>
      <c r="I51" s="141">
        <v>41</v>
      </c>
      <c r="J51" s="142">
        <v>0</v>
      </c>
      <c r="K51" s="142">
        <v>0</v>
      </c>
      <c r="L51" s="12" t="s">
        <v>200</v>
      </c>
      <c r="M51" s="143" t="s">
        <v>206</v>
      </c>
      <c r="N51" s="16" t="s">
        <v>21</v>
      </c>
      <c r="O51" s="75" t="s">
        <v>233</v>
      </c>
      <c r="P51" s="473"/>
    </row>
    <row r="52" spans="1:16" ht="15.75" customHeight="1">
      <c r="A52" s="183" t="s">
        <v>255</v>
      </c>
      <c r="B52" s="122">
        <v>45343</v>
      </c>
      <c r="C52" s="77">
        <v>0.54652777777777772</v>
      </c>
      <c r="D52" s="122">
        <v>45343</v>
      </c>
      <c r="E52" s="74">
        <v>0.67777777777777781</v>
      </c>
      <c r="F52" s="12">
        <v>40.9</v>
      </c>
      <c r="G52" s="122">
        <v>45344</v>
      </c>
      <c r="H52" s="74">
        <v>0.67777777777777781</v>
      </c>
      <c r="I52" s="141">
        <v>41</v>
      </c>
      <c r="J52" s="142">
        <v>0</v>
      </c>
      <c r="K52" s="142">
        <v>0</v>
      </c>
      <c r="L52" s="12" t="s">
        <v>200</v>
      </c>
      <c r="M52" s="143" t="s">
        <v>206</v>
      </c>
      <c r="N52" s="16" t="s">
        <v>21</v>
      </c>
      <c r="O52" s="184" t="s">
        <v>233</v>
      </c>
      <c r="P52" s="474"/>
    </row>
    <row r="53" spans="1:16" ht="15.75" customHeight="1">
      <c r="A53" s="185"/>
      <c r="B53" s="82"/>
      <c r="C53" s="81"/>
      <c r="D53" s="82"/>
      <c r="E53" s="81"/>
      <c r="F53" s="79"/>
      <c r="G53" s="82"/>
      <c r="H53" s="81"/>
      <c r="I53" s="84"/>
      <c r="J53" s="84"/>
      <c r="K53" s="84"/>
      <c r="L53" s="79"/>
      <c r="M53" s="186"/>
      <c r="N53" s="84"/>
      <c r="O53" s="84"/>
      <c r="P53" s="84"/>
    </row>
    <row r="54" spans="1:16" ht="15.75" customHeight="1">
      <c r="A54" s="185"/>
      <c r="B54" s="82"/>
      <c r="C54" s="81"/>
      <c r="D54" s="82"/>
      <c r="E54" s="81"/>
      <c r="F54" s="79"/>
      <c r="G54" s="82"/>
      <c r="H54" s="81"/>
      <c r="I54" s="84"/>
      <c r="J54" s="84"/>
      <c r="K54" s="84"/>
      <c r="L54" s="79"/>
      <c r="M54" s="186"/>
      <c r="N54" s="84"/>
      <c r="O54" s="84"/>
      <c r="P54" s="84"/>
    </row>
    <row r="55" spans="1:16" ht="15.75" customHeight="1">
      <c r="A55" s="185"/>
      <c r="B55" s="82"/>
      <c r="C55" s="81"/>
      <c r="D55" s="82"/>
      <c r="E55" s="81"/>
      <c r="F55" s="79"/>
      <c r="G55" s="82"/>
      <c r="H55" s="81"/>
      <c r="I55" s="84"/>
      <c r="J55" s="84"/>
      <c r="K55" s="84"/>
      <c r="L55" s="79"/>
      <c r="M55" s="186"/>
      <c r="N55" s="84"/>
      <c r="O55" s="84"/>
      <c r="P55" s="84"/>
    </row>
    <row r="56" spans="1:16" ht="15.75" customHeight="1">
      <c r="A56" s="185"/>
      <c r="B56" s="82"/>
      <c r="C56" s="81"/>
      <c r="D56" s="82"/>
      <c r="E56" s="81"/>
      <c r="F56" s="79"/>
      <c r="G56" s="82"/>
      <c r="H56" s="81"/>
      <c r="I56" s="84"/>
      <c r="J56" s="84"/>
      <c r="K56" s="84"/>
      <c r="L56" s="79"/>
      <c r="M56" s="186"/>
      <c r="N56" s="84"/>
      <c r="O56" s="84"/>
      <c r="P56" s="84"/>
    </row>
    <row r="57" spans="1:16" ht="15.75" customHeight="1">
      <c r="A57" s="185"/>
      <c r="B57" s="82"/>
      <c r="C57" s="81"/>
      <c r="D57" s="82"/>
      <c r="E57" s="81"/>
      <c r="F57" s="79"/>
      <c r="G57" s="82"/>
      <c r="H57" s="81"/>
      <c r="I57" s="84"/>
      <c r="J57" s="84"/>
      <c r="K57" s="84"/>
      <c r="L57" s="79"/>
      <c r="M57" s="186"/>
      <c r="N57" s="84"/>
      <c r="O57" s="84"/>
      <c r="P57" s="84"/>
    </row>
    <row r="58" spans="1:16" ht="15.75" customHeight="1">
      <c r="A58" s="185"/>
      <c r="B58" s="82"/>
      <c r="C58" s="81"/>
      <c r="D58" s="82"/>
      <c r="E58" s="81"/>
      <c r="F58" s="79"/>
      <c r="G58" s="82"/>
      <c r="H58" s="81"/>
      <c r="I58" s="84"/>
      <c r="J58" s="84"/>
      <c r="K58" s="84"/>
      <c r="L58" s="79"/>
      <c r="M58" s="186"/>
      <c r="N58" s="84"/>
      <c r="O58" s="84"/>
      <c r="P58" s="84"/>
    </row>
    <row r="59" spans="1:16" ht="15.75" customHeight="1">
      <c r="A59" s="185"/>
      <c r="B59" s="82"/>
      <c r="C59" s="81"/>
      <c r="D59" s="82"/>
      <c r="E59" s="81"/>
      <c r="F59" s="79"/>
      <c r="G59" s="82"/>
      <c r="H59" s="81"/>
      <c r="I59" s="84"/>
      <c r="J59" s="84"/>
      <c r="K59" s="84"/>
      <c r="L59" s="79"/>
      <c r="M59" s="186"/>
      <c r="N59" s="84"/>
      <c r="O59" s="84"/>
      <c r="P59" s="84"/>
    </row>
    <row r="60" spans="1:16" ht="15.75" customHeight="1">
      <c r="A60" s="185"/>
      <c r="B60" s="82"/>
      <c r="C60" s="81"/>
      <c r="D60" s="82"/>
      <c r="E60" s="81"/>
      <c r="F60" s="79"/>
      <c r="G60" s="82"/>
      <c r="H60" s="81"/>
      <c r="I60" s="84"/>
      <c r="J60" s="84"/>
      <c r="K60" s="84"/>
      <c r="L60" s="79"/>
      <c r="M60" s="186"/>
      <c r="N60" s="84"/>
      <c r="O60" s="84"/>
      <c r="P60" s="84"/>
    </row>
    <row r="61" spans="1:16" ht="15.75" customHeight="1">
      <c r="A61" s="185"/>
      <c r="B61" s="82"/>
      <c r="C61" s="81"/>
      <c r="D61" s="82"/>
      <c r="E61" s="81"/>
      <c r="F61" s="79"/>
      <c r="G61" s="82"/>
      <c r="H61" s="81"/>
      <c r="I61" s="84"/>
      <c r="J61" s="84"/>
      <c r="K61" s="84"/>
      <c r="L61" s="79"/>
      <c r="M61" s="186"/>
      <c r="N61" s="84"/>
      <c r="O61" s="84"/>
      <c r="P61" s="84"/>
    </row>
    <row r="62" spans="1:16" ht="15.75" customHeight="1">
      <c r="A62" s="185"/>
      <c r="B62" s="82"/>
      <c r="C62" s="81"/>
      <c r="D62" s="82"/>
      <c r="E62" s="81"/>
      <c r="F62" s="79"/>
      <c r="G62" s="82"/>
      <c r="H62" s="81"/>
      <c r="I62" s="84"/>
      <c r="J62" s="84"/>
      <c r="K62" s="84"/>
      <c r="L62" s="79"/>
      <c r="M62" s="186"/>
      <c r="N62" s="84"/>
      <c r="O62" s="84"/>
      <c r="P62" s="84"/>
    </row>
    <row r="63" spans="1:16" ht="15.75" customHeight="1">
      <c r="A63" s="185"/>
      <c r="B63" s="82"/>
      <c r="C63" s="81"/>
      <c r="D63" s="82"/>
      <c r="E63" s="81"/>
      <c r="F63" s="79"/>
      <c r="G63" s="82"/>
      <c r="H63" s="81"/>
      <c r="I63" s="84"/>
      <c r="J63" s="84"/>
      <c r="K63" s="84"/>
      <c r="L63" s="79"/>
      <c r="M63" s="186"/>
      <c r="N63" s="84"/>
      <c r="O63" s="84"/>
      <c r="P63" s="84"/>
    </row>
    <row r="64" spans="1:16" ht="15.75" customHeight="1">
      <c r="A64" s="185"/>
      <c r="B64" s="82"/>
      <c r="C64" s="81"/>
      <c r="D64" s="82"/>
      <c r="E64" s="81"/>
      <c r="F64" s="79"/>
      <c r="G64" s="82"/>
      <c r="H64" s="81"/>
      <c r="I64" s="84"/>
      <c r="J64" s="84"/>
      <c r="K64" s="84"/>
      <c r="L64" s="79"/>
      <c r="M64" s="186"/>
      <c r="N64" s="84"/>
      <c r="O64" s="84"/>
      <c r="P64" s="84"/>
    </row>
    <row r="65" spans="1:16" ht="15.75" customHeight="1">
      <c r="A65" s="185"/>
      <c r="B65" s="82"/>
      <c r="C65" s="81"/>
      <c r="D65" s="82"/>
      <c r="E65" s="81"/>
      <c r="F65" s="79"/>
      <c r="G65" s="82"/>
      <c r="H65" s="81"/>
      <c r="I65" s="84"/>
      <c r="J65" s="84"/>
      <c r="K65" s="84"/>
      <c r="L65" s="79"/>
      <c r="M65" s="186"/>
      <c r="N65" s="84"/>
      <c r="O65" s="84"/>
      <c r="P65" s="84"/>
    </row>
    <row r="66" spans="1:16" ht="15.75" customHeight="1">
      <c r="A66" s="185"/>
      <c r="B66" s="82"/>
      <c r="C66" s="81"/>
      <c r="D66" s="82"/>
      <c r="E66" s="81"/>
      <c r="F66" s="79"/>
      <c r="G66" s="82"/>
      <c r="H66" s="81"/>
      <c r="I66" s="84"/>
      <c r="J66" s="84"/>
      <c r="K66" s="84"/>
      <c r="L66" s="79"/>
      <c r="M66" s="186"/>
      <c r="N66" s="84"/>
      <c r="O66" s="84"/>
      <c r="P66" s="84"/>
    </row>
    <row r="67" spans="1:16" ht="15.75" customHeight="1">
      <c r="A67" s="185"/>
      <c r="B67" s="82"/>
      <c r="C67" s="81"/>
      <c r="D67" s="82"/>
      <c r="E67" s="81"/>
      <c r="F67" s="79"/>
      <c r="G67" s="82"/>
      <c r="H67" s="81"/>
      <c r="I67" s="84"/>
      <c r="J67" s="84"/>
      <c r="K67" s="84"/>
      <c r="L67" s="79"/>
      <c r="M67" s="186"/>
      <c r="N67" s="84"/>
      <c r="O67" s="84"/>
      <c r="P67" s="84"/>
    </row>
    <row r="68" spans="1:16" ht="15.75" customHeight="1">
      <c r="A68" s="185"/>
      <c r="B68" s="82"/>
      <c r="C68" s="81"/>
      <c r="D68" s="82"/>
      <c r="E68" s="81"/>
      <c r="F68" s="79"/>
      <c r="G68" s="82"/>
      <c r="H68" s="81"/>
      <c r="I68" s="84"/>
      <c r="J68" s="84"/>
      <c r="K68" s="84"/>
      <c r="L68" s="79"/>
      <c r="M68" s="186"/>
      <c r="N68" s="84"/>
      <c r="O68" s="84"/>
      <c r="P68" s="84"/>
    </row>
    <row r="69" spans="1:16" ht="15.75" customHeight="1">
      <c r="A69" s="185"/>
      <c r="B69" s="82"/>
      <c r="C69" s="81"/>
      <c r="D69" s="82"/>
      <c r="E69" s="81"/>
      <c r="F69" s="79"/>
      <c r="G69" s="82"/>
      <c r="H69" s="81"/>
      <c r="I69" s="84"/>
      <c r="J69" s="84"/>
      <c r="K69" s="84"/>
      <c r="L69" s="79"/>
      <c r="M69" s="186"/>
      <c r="N69" s="84"/>
      <c r="O69" s="84"/>
      <c r="P69" s="84"/>
    </row>
    <row r="70" spans="1:16" ht="15.75" customHeight="1">
      <c r="A70" s="185"/>
      <c r="B70" s="82"/>
      <c r="C70" s="81"/>
      <c r="D70" s="82"/>
      <c r="E70" s="81"/>
      <c r="F70" s="79"/>
      <c r="G70" s="82"/>
      <c r="H70" s="81"/>
      <c r="I70" s="84"/>
      <c r="J70" s="84"/>
      <c r="K70" s="84"/>
      <c r="L70" s="79"/>
      <c r="M70" s="186"/>
      <c r="N70" s="84"/>
      <c r="O70" s="84"/>
      <c r="P70" s="84"/>
    </row>
    <row r="71" spans="1:16" ht="15.75" customHeight="1">
      <c r="A71" s="185"/>
      <c r="B71" s="82"/>
      <c r="C71" s="81"/>
      <c r="D71" s="82"/>
      <c r="E71" s="81"/>
      <c r="F71" s="79"/>
      <c r="G71" s="82"/>
      <c r="H71" s="81"/>
      <c r="I71" s="84"/>
      <c r="J71" s="84"/>
      <c r="K71" s="84"/>
      <c r="L71" s="79"/>
      <c r="M71" s="186"/>
      <c r="N71" s="84"/>
      <c r="O71" s="84"/>
      <c r="P71" s="84"/>
    </row>
    <row r="72" spans="1:16" ht="15.75" customHeight="1">
      <c r="A72" s="185"/>
      <c r="B72" s="82"/>
      <c r="C72" s="81"/>
      <c r="D72" s="82"/>
      <c r="E72" s="81"/>
      <c r="F72" s="79"/>
      <c r="G72" s="82"/>
      <c r="H72" s="81"/>
      <c r="I72" s="84"/>
      <c r="J72" s="84"/>
      <c r="K72" s="84"/>
      <c r="L72" s="79"/>
      <c r="M72" s="186"/>
      <c r="N72" s="84"/>
      <c r="O72" s="84"/>
      <c r="P72" s="84"/>
    </row>
    <row r="73" spans="1:16" ht="15.75" customHeight="1">
      <c r="A73" s="185"/>
      <c r="B73" s="82"/>
      <c r="C73" s="81"/>
      <c r="D73" s="82"/>
      <c r="E73" s="81"/>
      <c r="F73" s="79"/>
      <c r="G73" s="82"/>
      <c r="H73" s="81"/>
      <c r="I73" s="84"/>
      <c r="J73" s="84"/>
      <c r="K73" s="84"/>
      <c r="L73" s="79"/>
      <c r="M73" s="186"/>
      <c r="N73" s="84"/>
      <c r="O73" s="84"/>
      <c r="P73" s="84"/>
    </row>
    <row r="74" spans="1:16" ht="15.75" customHeight="1">
      <c r="A74" s="185"/>
      <c r="B74" s="82"/>
      <c r="C74" s="81"/>
      <c r="D74" s="82"/>
      <c r="E74" s="81"/>
      <c r="F74" s="79"/>
      <c r="G74" s="82"/>
      <c r="H74" s="81"/>
      <c r="I74" s="84"/>
      <c r="J74" s="84"/>
      <c r="K74" s="84"/>
      <c r="L74" s="79"/>
      <c r="M74" s="186"/>
      <c r="N74" s="84"/>
      <c r="O74" s="84"/>
      <c r="P74" s="84"/>
    </row>
    <row r="75" spans="1:16" ht="15.75" customHeight="1">
      <c r="A75" s="185"/>
      <c r="B75" s="82"/>
      <c r="C75" s="81"/>
      <c r="D75" s="82"/>
      <c r="E75" s="81"/>
      <c r="F75" s="79"/>
      <c r="G75" s="82"/>
      <c r="H75" s="81"/>
      <c r="I75" s="84"/>
      <c r="J75" s="84"/>
      <c r="K75" s="84"/>
      <c r="L75" s="79"/>
      <c r="M75" s="186"/>
      <c r="N75" s="84"/>
      <c r="O75" s="84"/>
      <c r="P75" s="84"/>
    </row>
    <row r="76" spans="1:16" ht="15.75" customHeight="1">
      <c r="A76" s="185"/>
      <c r="B76" s="82"/>
      <c r="C76" s="81"/>
      <c r="D76" s="82"/>
      <c r="E76" s="81"/>
      <c r="F76" s="79"/>
      <c r="G76" s="82"/>
      <c r="H76" s="81"/>
      <c r="I76" s="84"/>
      <c r="J76" s="84"/>
      <c r="K76" s="84"/>
      <c r="L76" s="79"/>
      <c r="M76" s="186"/>
      <c r="N76" s="84"/>
      <c r="O76" s="84"/>
      <c r="P76" s="84"/>
    </row>
    <row r="77" spans="1:16" ht="15.75" customHeight="1">
      <c r="A77" s="185"/>
      <c r="B77" s="82"/>
      <c r="C77" s="81"/>
      <c r="D77" s="82"/>
      <c r="E77" s="81"/>
      <c r="F77" s="79"/>
      <c r="G77" s="82"/>
      <c r="H77" s="81"/>
      <c r="I77" s="84"/>
      <c r="J77" s="84"/>
      <c r="K77" s="84"/>
      <c r="L77" s="79"/>
      <c r="M77" s="186"/>
      <c r="N77" s="84"/>
      <c r="O77" s="84"/>
      <c r="P77" s="84"/>
    </row>
    <row r="78" spans="1:16" ht="15.75" customHeight="1">
      <c r="A78" s="185"/>
      <c r="B78" s="82"/>
      <c r="C78" s="81"/>
      <c r="D78" s="82"/>
      <c r="E78" s="81"/>
      <c r="F78" s="79"/>
      <c r="G78" s="82"/>
      <c r="H78" s="81"/>
      <c r="I78" s="84"/>
      <c r="J78" s="84"/>
      <c r="K78" s="84"/>
      <c r="L78" s="79"/>
      <c r="M78" s="186"/>
      <c r="N78" s="84"/>
      <c r="O78" s="84"/>
      <c r="P78" s="84"/>
    </row>
    <row r="79" spans="1:16" ht="15.75" customHeight="1">
      <c r="A79" s="185"/>
      <c r="B79" s="82"/>
      <c r="C79" s="81"/>
      <c r="D79" s="82"/>
      <c r="E79" s="81"/>
      <c r="F79" s="79"/>
      <c r="G79" s="82"/>
      <c r="H79" s="81"/>
      <c r="I79" s="84"/>
      <c r="J79" s="84"/>
      <c r="K79" s="84"/>
      <c r="L79" s="79"/>
      <c r="M79" s="186"/>
      <c r="N79" s="84"/>
      <c r="O79" s="84"/>
      <c r="P79" s="84"/>
    </row>
    <row r="80" spans="1:16" ht="15.75" customHeight="1">
      <c r="A80" s="185"/>
      <c r="B80" s="82"/>
      <c r="C80" s="81"/>
      <c r="D80" s="82"/>
      <c r="E80" s="81"/>
      <c r="F80" s="79"/>
      <c r="G80" s="82"/>
      <c r="H80" s="81"/>
      <c r="I80" s="84"/>
      <c r="J80" s="84"/>
      <c r="K80" s="84"/>
      <c r="L80" s="79"/>
      <c r="M80" s="186"/>
      <c r="N80" s="84"/>
      <c r="O80" s="84"/>
      <c r="P80" s="84"/>
    </row>
    <row r="81" spans="1:16" ht="15.75" customHeight="1">
      <c r="A81" s="185"/>
      <c r="B81" s="82"/>
      <c r="C81" s="81"/>
      <c r="D81" s="82"/>
      <c r="E81" s="81"/>
      <c r="F81" s="79"/>
      <c r="G81" s="82"/>
      <c r="H81" s="81"/>
      <c r="I81" s="84"/>
      <c r="J81" s="84"/>
      <c r="K81" s="84"/>
      <c r="L81" s="79"/>
      <c r="M81" s="186"/>
      <c r="N81" s="84"/>
      <c r="O81" s="84"/>
      <c r="P81" s="84"/>
    </row>
    <row r="82" spans="1:16" ht="15.75" customHeight="1">
      <c r="A82" s="185"/>
      <c r="B82" s="82"/>
      <c r="C82" s="81"/>
      <c r="D82" s="82"/>
      <c r="E82" s="81"/>
      <c r="F82" s="79"/>
      <c r="G82" s="82"/>
      <c r="H82" s="81"/>
      <c r="I82" s="84"/>
      <c r="J82" s="84"/>
      <c r="K82" s="84"/>
      <c r="L82" s="79"/>
      <c r="M82" s="186"/>
      <c r="N82" s="84"/>
      <c r="O82" s="84"/>
      <c r="P82" s="84"/>
    </row>
    <row r="83" spans="1:16" ht="15.75" customHeight="1">
      <c r="A83" s="185"/>
      <c r="B83" s="82"/>
      <c r="C83" s="81"/>
      <c r="D83" s="82"/>
      <c r="E83" s="81"/>
      <c r="F83" s="79"/>
      <c r="G83" s="82"/>
      <c r="H83" s="81"/>
      <c r="I83" s="84"/>
      <c r="J83" s="84"/>
      <c r="K83" s="84"/>
      <c r="L83" s="79"/>
      <c r="M83" s="186"/>
      <c r="N83" s="84"/>
      <c r="O83" s="84"/>
      <c r="P83" s="84"/>
    </row>
    <row r="84" spans="1:16" ht="15.75" customHeight="1">
      <c r="A84" s="185"/>
      <c r="B84" s="82"/>
      <c r="C84" s="81"/>
      <c r="D84" s="82"/>
      <c r="E84" s="81"/>
      <c r="F84" s="79"/>
      <c r="G84" s="82"/>
      <c r="H84" s="81"/>
      <c r="I84" s="84"/>
      <c r="J84" s="84"/>
      <c r="K84" s="84"/>
      <c r="L84" s="79"/>
      <c r="M84" s="186"/>
      <c r="N84" s="84"/>
      <c r="O84" s="84"/>
      <c r="P84" s="84"/>
    </row>
    <row r="85" spans="1:16" ht="15.75" customHeight="1">
      <c r="A85" s="185"/>
      <c r="B85" s="82"/>
      <c r="C85" s="81"/>
      <c r="D85" s="82"/>
      <c r="E85" s="81"/>
      <c r="F85" s="79"/>
      <c r="G85" s="82"/>
      <c r="H85" s="81"/>
      <c r="I85" s="84"/>
      <c r="J85" s="84"/>
      <c r="K85" s="84"/>
      <c r="L85" s="79"/>
      <c r="M85" s="186"/>
      <c r="N85" s="84"/>
      <c r="O85" s="84"/>
      <c r="P85" s="84"/>
    </row>
    <row r="86" spans="1:16" ht="15.75" customHeight="1">
      <c r="A86" s="185"/>
      <c r="B86" s="82"/>
      <c r="C86" s="81"/>
      <c r="D86" s="82"/>
      <c r="E86" s="81"/>
      <c r="F86" s="79"/>
      <c r="G86" s="82"/>
      <c r="H86" s="81"/>
      <c r="I86" s="84"/>
      <c r="J86" s="84"/>
      <c r="K86" s="84"/>
      <c r="L86" s="79"/>
      <c r="M86" s="186"/>
      <c r="N86" s="84"/>
      <c r="O86" s="84"/>
      <c r="P86" s="84"/>
    </row>
    <row r="87" spans="1:16" ht="15.75" customHeight="1">
      <c r="A87" s="185"/>
      <c r="B87" s="82"/>
      <c r="C87" s="81"/>
      <c r="D87" s="82"/>
      <c r="E87" s="81"/>
      <c r="F87" s="79"/>
      <c r="G87" s="82"/>
      <c r="H87" s="81"/>
      <c r="I87" s="84"/>
      <c r="J87" s="84"/>
      <c r="K87" s="84"/>
      <c r="L87" s="79"/>
      <c r="M87" s="186"/>
      <c r="N87" s="84"/>
      <c r="O87" s="84"/>
      <c r="P87" s="84"/>
    </row>
    <row r="88" spans="1:16" ht="15.75" customHeight="1">
      <c r="A88" s="185"/>
      <c r="B88" s="82"/>
      <c r="C88" s="81"/>
      <c r="D88" s="82"/>
      <c r="E88" s="81"/>
      <c r="F88" s="79"/>
      <c r="G88" s="82"/>
      <c r="H88" s="81"/>
      <c r="I88" s="84"/>
      <c r="J88" s="84"/>
      <c r="K88" s="84"/>
      <c r="L88" s="79"/>
      <c r="M88" s="186"/>
      <c r="N88" s="84"/>
      <c r="O88" s="84"/>
      <c r="P88" s="84"/>
    </row>
    <row r="89" spans="1:16" ht="15.75" customHeight="1">
      <c r="A89" s="185"/>
      <c r="B89" s="82"/>
      <c r="C89" s="81"/>
      <c r="D89" s="82"/>
      <c r="E89" s="81"/>
      <c r="F89" s="79"/>
      <c r="G89" s="82"/>
      <c r="H89" s="81"/>
      <c r="I89" s="84"/>
      <c r="J89" s="84"/>
      <c r="K89" s="84"/>
      <c r="L89" s="79"/>
      <c r="M89" s="186"/>
      <c r="N89" s="84"/>
      <c r="O89" s="84"/>
      <c r="P89" s="84"/>
    </row>
    <row r="90" spans="1:16" ht="15.75" customHeight="1">
      <c r="A90" s="185"/>
      <c r="B90" s="82"/>
      <c r="C90" s="81"/>
      <c r="D90" s="82"/>
      <c r="E90" s="81"/>
      <c r="F90" s="79"/>
      <c r="G90" s="82"/>
      <c r="H90" s="81"/>
      <c r="I90" s="84"/>
      <c r="J90" s="84"/>
      <c r="K90" s="84"/>
      <c r="L90" s="79"/>
      <c r="M90" s="186"/>
      <c r="N90" s="84"/>
      <c r="O90" s="84"/>
      <c r="P90" s="84"/>
    </row>
    <row r="91" spans="1:16" ht="15.75" customHeight="1">
      <c r="A91" s="185"/>
      <c r="B91" s="82"/>
      <c r="C91" s="81"/>
      <c r="D91" s="82"/>
      <c r="E91" s="81"/>
      <c r="F91" s="79"/>
      <c r="G91" s="82"/>
      <c r="H91" s="81"/>
      <c r="I91" s="84"/>
      <c r="J91" s="84"/>
      <c r="K91" s="84"/>
      <c r="L91" s="79"/>
      <c r="M91" s="186"/>
      <c r="N91" s="84"/>
      <c r="O91" s="84"/>
      <c r="P91" s="84"/>
    </row>
    <row r="92" spans="1:16" ht="15.75" customHeight="1">
      <c r="A92" s="185"/>
      <c r="B92" s="82"/>
      <c r="C92" s="81"/>
      <c r="D92" s="82"/>
      <c r="E92" s="81"/>
      <c r="F92" s="79"/>
      <c r="G92" s="82"/>
      <c r="H92" s="81"/>
      <c r="I92" s="84"/>
      <c r="J92" s="84"/>
      <c r="K92" s="84"/>
      <c r="L92" s="79"/>
      <c r="M92" s="186"/>
      <c r="N92" s="84"/>
      <c r="O92" s="84"/>
      <c r="P92" s="84"/>
    </row>
    <row r="93" spans="1:16" ht="15.75" customHeight="1">
      <c r="A93" s="185"/>
      <c r="B93" s="82"/>
      <c r="C93" s="81"/>
      <c r="D93" s="82"/>
      <c r="E93" s="81"/>
      <c r="F93" s="79"/>
      <c r="G93" s="82"/>
      <c r="H93" s="81"/>
      <c r="I93" s="84"/>
      <c r="J93" s="84"/>
      <c r="K93" s="84"/>
      <c r="L93" s="79"/>
      <c r="M93" s="186"/>
      <c r="N93" s="84"/>
      <c r="O93" s="84"/>
      <c r="P93" s="84"/>
    </row>
    <row r="94" spans="1:16" ht="15.75" customHeight="1">
      <c r="A94" s="185"/>
      <c r="B94" s="82"/>
      <c r="C94" s="81"/>
      <c r="D94" s="82"/>
      <c r="E94" s="81"/>
      <c r="F94" s="79"/>
      <c r="G94" s="82"/>
      <c r="H94" s="81"/>
      <c r="I94" s="84"/>
      <c r="J94" s="84"/>
      <c r="K94" s="84"/>
      <c r="L94" s="79"/>
      <c r="M94" s="186"/>
      <c r="N94" s="84"/>
      <c r="O94" s="84"/>
      <c r="P94" s="84"/>
    </row>
    <row r="95" spans="1:16" ht="15.75" customHeight="1">
      <c r="A95" s="185"/>
      <c r="B95" s="82"/>
      <c r="C95" s="81"/>
      <c r="D95" s="82"/>
      <c r="E95" s="81"/>
      <c r="F95" s="79"/>
      <c r="G95" s="82"/>
      <c r="H95" s="81"/>
      <c r="I95" s="84"/>
      <c r="J95" s="84"/>
      <c r="K95" s="84"/>
      <c r="L95" s="79"/>
      <c r="M95" s="186"/>
      <c r="N95" s="84"/>
      <c r="O95" s="84"/>
      <c r="P95" s="84"/>
    </row>
    <row r="96" spans="1:16" ht="15.75" customHeight="1">
      <c r="A96" s="185"/>
      <c r="B96" s="82"/>
      <c r="C96" s="81"/>
      <c r="D96" s="82"/>
      <c r="E96" s="81"/>
      <c r="F96" s="79"/>
      <c r="G96" s="82"/>
      <c r="H96" s="81"/>
      <c r="I96" s="84"/>
      <c r="J96" s="84"/>
      <c r="K96" s="84"/>
      <c r="L96" s="79"/>
      <c r="M96" s="186"/>
      <c r="N96" s="84"/>
      <c r="O96" s="84"/>
      <c r="P96" s="84"/>
    </row>
    <row r="97" spans="1:16" ht="15.75" customHeight="1">
      <c r="A97" s="185"/>
      <c r="B97" s="82"/>
      <c r="C97" s="81"/>
      <c r="D97" s="82"/>
      <c r="E97" s="81"/>
      <c r="F97" s="79"/>
      <c r="G97" s="82"/>
      <c r="H97" s="81"/>
      <c r="I97" s="84"/>
      <c r="J97" s="84"/>
      <c r="K97" s="84"/>
      <c r="L97" s="79"/>
      <c r="M97" s="186"/>
      <c r="N97" s="84"/>
      <c r="O97" s="84"/>
      <c r="P97" s="84"/>
    </row>
    <row r="98" spans="1:16" ht="15.75" customHeight="1">
      <c r="A98" s="185"/>
      <c r="B98" s="82"/>
      <c r="C98" s="81"/>
      <c r="D98" s="82"/>
      <c r="E98" s="81"/>
      <c r="F98" s="79"/>
      <c r="G98" s="82"/>
      <c r="H98" s="81"/>
      <c r="I98" s="84"/>
      <c r="J98" s="84"/>
      <c r="K98" s="84"/>
      <c r="L98" s="79"/>
      <c r="M98" s="186"/>
      <c r="N98" s="84"/>
      <c r="O98" s="84"/>
      <c r="P98" s="84"/>
    </row>
    <row r="99" spans="1:16" ht="15.75" customHeight="1">
      <c r="A99" s="185"/>
      <c r="B99" s="82"/>
      <c r="C99" s="81"/>
      <c r="D99" s="82"/>
      <c r="E99" s="81"/>
      <c r="F99" s="79"/>
      <c r="G99" s="82"/>
      <c r="H99" s="81"/>
      <c r="I99" s="84"/>
      <c r="J99" s="84"/>
      <c r="K99" s="84"/>
      <c r="L99" s="79"/>
      <c r="M99" s="186"/>
      <c r="N99" s="84"/>
      <c r="O99" s="84"/>
      <c r="P99" s="84"/>
    </row>
    <row r="100" spans="1:16" ht="15.75" customHeight="1">
      <c r="A100" s="185"/>
      <c r="B100" s="82"/>
      <c r="C100" s="81"/>
      <c r="D100" s="82"/>
      <c r="E100" s="81"/>
      <c r="F100" s="79"/>
      <c r="G100" s="82"/>
      <c r="H100" s="81"/>
      <c r="I100" s="84"/>
      <c r="J100" s="84"/>
      <c r="K100" s="84"/>
      <c r="L100" s="79"/>
      <c r="M100" s="186"/>
      <c r="N100" s="84"/>
      <c r="O100" s="84"/>
      <c r="P100" s="84"/>
    </row>
    <row r="101" spans="1:16" ht="15.75" customHeight="1">
      <c r="A101" s="185"/>
      <c r="B101" s="82"/>
      <c r="C101" s="81"/>
      <c r="D101" s="82"/>
      <c r="E101" s="81"/>
      <c r="F101" s="79"/>
      <c r="G101" s="82"/>
      <c r="H101" s="81"/>
      <c r="I101" s="84"/>
      <c r="J101" s="84"/>
      <c r="K101" s="84"/>
      <c r="L101" s="79"/>
      <c r="M101" s="186"/>
      <c r="N101" s="84"/>
      <c r="O101" s="84"/>
      <c r="P101" s="84"/>
    </row>
    <row r="102" spans="1:16" ht="15.75" customHeight="1">
      <c r="A102" s="185"/>
      <c r="B102" s="82"/>
      <c r="C102" s="81"/>
      <c r="D102" s="82"/>
      <c r="E102" s="81"/>
      <c r="F102" s="79"/>
      <c r="G102" s="82"/>
      <c r="H102" s="81"/>
      <c r="I102" s="84"/>
      <c r="J102" s="84"/>
      <c r="K102" s="84"/>
      <c r="L102" s="79"/>
      <c r="M102" s="186"/>
      <c r="N102" s="84"/>
      <c r="O102" s="84"/>
      <c r="P102" s="84"/>
    </row>
    <row r="103" spans="1:16" ht="15.75" customHeight="1">
      <c r="A103" s="185"/>
      <c r="B103" s="82"/>
      <c r="C103" s="81"/>
      <c r="D103" s="82"/>
      <c r="E103" s="81"/>
      <c r="F103" s="79"/>
      <c r="G103" s="82"/>
      <c r="H103" s="81"/>
      <c r="I103" s="84"/>
      <c r="J103" s="84"/>
      <c r="K103" s="84"/>
      <c r="L103" s="79"/>
      <c r="M103" s="186"/>
      <c r="N103" s="84"/>
      <c r="O103" s="84"/>
      <c r="P103" s="84"/>
    </row>
    <row r="104" spans="1:16" ht="15.75" customHeight="1">
      <c r="A104" s="185"/>
      <c r="B104" s="82"/>
      <c r="C104" s="81"/>
      <c r="D104" s="82"/>
      <c r="E104" s="81"/>
      <c r="F104" s="79"/>
      <c r="G104" s="82"/>
      <c r="H104" s="81"/>
      <c r="I104" s="84"/>
      <c r="J104" s="84"/>
      <c r="K104" s="84"/>
      <c r="L104" s="79"/>
      <c r="M104" s="186"/>
      <c r="N104" s="84"/>
      <c r="O104" s="84"/>
      <c r="P104" s="84"/>
    </row>
    <row r="105" spans="1:16" ht="15.75" customHeight="1">
      <c r="A105" s="185"/>
      <c r="B105" s="82"/>
      <c r="C105" s="81"/>
      <c r="D105" s="82"/>
      <c r="E105" s="81"/>
      <c r="F105" s="79"/>
      <c r="G105" s="82"/>
      <c r="H105" s="81"/>
      <c r="I105" s="84"/>
      <c r="J105" s="84"/>
      <c r="K105" s="84"/>
      <c r="L105" s="79"/>
      <c r="M105" s="186"/>
      <c r="N105" s="84"/>
      <c r="O105" s="84"/>
      <c r="P105" s="84"/>
    </row>
    <row r="106" spans="1:16" ht="15.75" customHeight="1">
      <c r="A106" s="185"/>
      <c r="B106" s="82"/>
      <c r="C106" s="81"/>
      <c r="D106" s="82"/>
      <c r="E106" s="81"/>
      <c r="F106" s="79"/>
      <c r="G106" s="82"/>
      <c r="H106" s="81"/>
      <c r="I106" s="84"/>
      <c r="J106" s="84"/>
      <c r="K106" s="84"/>
      <c r="L106" s="79"/>
      <c r="M106" s="186"/>
      <c r="N106" s="84"/>
      <c r="O106" s="84"/>
      <c r="P106" s="84"/>
    </row>
    <row r="107" spans="1:16" ht="15.75" customHeight="1">
      <c r="A107" s="185"/>
      <c r="B107" s="82"/>
      <c r="C107" s="81"/>
      <c r="D107" s="82"/>
      <c r="E107" s="81"/>
      <c r="F107" s="79"/>
      <c r="G107" s="82"/>
      <c r="H107" s="81"/>
      <c r="I107" s="84"/>
      <c r="J107" s="84"/>
      <c r="K107" s="84"/>
      <c r="L107" s="79"/>
      <c r="M107" s="186"/>
      <c r="N107" s="84"/>
      <c r="O107" s="84"/>
      <c r="P107" s="84"/>
    </row>
    <row r="108" spans="1:16" ht="15.75" customHeight="1">
      <c r="A108" s="185"/>
      <c r="B108" s="82"/>
      <c r="C108" s="81"/>
      <c r="D108" s="82"/>
      <c r="E108" s="81"/>
      <c r="F108" s="79"/>
      <c r="G108" s="82"/>
      <c r="H108" s="81"/>
      <c r="I108" s="84"/>
      <c r="J108" s="84"/>
      <c r="K108" s="84"/>
      <c r="L108" s="79"/>
      <c r="M108" s="186"/>
      <c r="N108" s="84"/>
      <c r="O108" s="84"/>
      <c r="P108" s="84"/>
    </row>
    <row r="109" spans="1:16" ht="15.75" customHeight="1">
      <c r="A109" s="185"/>
      <c r="B109" s="82"/>
      <c r="C109" s="81"/>
      <c r="D109" s="82"/>
      <c r="E109" s="81"/>
      <c r="F109" s="79"/>
      <c r="G109" s="82"/>
      <c r="H109" s="81"/>
      <c r="I109" s="84"/>
      <c r="J109" s="84"/>
      <c r="K109" s="84"/>
      <c r="L109" s="79"/>
      <c r="M109" s="186"/>
      <c r="N109" s="84"/>
      <c r="O109" s="84"/>
      <c r="P109" s="84"/>
    </row>
    <row r="110" spans="1:16" ht="15.75" customHeight="1">
      <c r="A110" s="185"/>
      <c r="B110" s="82"/>
      <c r="C110" s="81"/>
      <c r="D110" s="82"/>
      <c r="E110" s="81"/>
      <c r="F110" s="79"/>
      <c r="G110" s="82"/>
      <c r="H110" s="81"/>
      <c r="I110" s="84"/>
      <c r="J110" s="84"/>
      <c r="K110" s="84"/>
      <c r="L110" s="79"/>
      <c r="M110" s="186"/>
      <c r="N110" s="84"/>
      <c r="O110" s="84"/>
      <c r="P110" s="84"/>
    </row>
    <row r="111" spans="1:16" ht="15.75" customHeight="1">
      <c r="A111" s="185"/>
      <c r="B111" s="82"/>
      <c r="C111" s="81"/>
      <c r="D111" s="82"/>
      <c r="E111" s="81"/>
      <c r="F111" s="79"/>
      <c r="G111" s="82"/>
      <c r="H111" s="81"/>
      <c r="I111" s="84"/>
      <c r="J111" s="84"/>
      <c r="K111" s="84"/>
      <c r="L111" s="79"/>
      <c r="M111" s="186"/>
      <c r="N111" s="84"/>
      <c r="O111" s="84"/>
      <c r="P111" s="84"/>
    </row>
    <row r="112" spans="1:16" ht="15.75" customHeight="1">
      <c r="A112" s="185"/>
      <c r="B112" s="82"/>
      <c r="C112" s="81"/>
      <c r="D112" s="82"/>
      <c r="E112" s="81"/>
      <c r="F112" s="79"/>
      <c r="G112" s="82"/>
      <c r="H112" s="81"/>
      <c r="I112" s="84"/>
      <c r="J112" s="84"/>
      <c r="K112" s="84"/>
      <c r="L112" s="79"/>
      <c r="M112" s="186"/>
      <c r="N112" s="84"/>
      <c r="O112" s="84"/>
      <c r="P112" s="84"/>
    </row>
    <row r="113" spans="1:16" ht="15.75" customHeight="1">
      <c r="A113" s="185"/>
      <c r="B113" s="82"/>
      <c r="C113" s="81"/>
      <c r="D113" s="82"/>
      <c r="E113" s="81"/>
      <c r="F113" s="79"/>
      <c r="G113" s="82"/>
      <c r="H113" s="81"/>
      <c r="I113" s="84"/>
      <c r="J113" s="84"/>
      <c r="K113" s="84"/>
      <c r="L113" s="79"/>
      <c r="M113" s="186"/>
      <c r="N113" s="84"/>
      <c r="O113" s="84"/>
      <c r="P113" s="84"/>
    </row>
    <row r="114" spans="1:16" ht="15.75" customHeight="1">
      <c r="A114" s="185"/>
      <c r="B114" s="82"/>
      <c r="C114" s="81"/>
      <c r="D114" s="82"/>
      <c r="E114" s="81"/>
      <c r="F114" s="79"/>
      <c r="G114" s="82"/>
      <c r="H114" s="81"/>
      <c r="I114" s="84"/>
      <c r="J114" s="84"/>
      <c r="K114" s="84"/>
      <c r="L114" s="79"/>
      <c r="M114" s="186"/>
      <c r="N114" s="84"/>
      <c r="O114" s="84"/>
      <c r="P114" s="84"/>
    </row>
    <row r="115" spans="1:16" ht="15.75" customHeight="1">
      <c r="A115" s="185"/>
      <c r="B115" s="82"/>
      <c r="C115" s="81"/>
      <c r="D115" s="82"/>
      <c r="E115" s="81"/>
      <c r="F115" s="79"/>
      <c r="G115" s="82"/>
      <c r="H115" s="81"/>
      <c r="I115" s="84"/>
      <c r="J115" s="84"/>
      <c r="K115" s="84"/>
      <c r="L115" s="79"/>
      <c r="M115" s="186"/>
      <c r="N115" s="84"/>
      <c r="O115" s="84"/>
      <c r="P115" s="84"/>
    </row>
    <row r="116" spans="1:16" ht="15.75" customHeight="1">
      <c r="A116" s="185"/>
      <c r="B116" s="82"/>
      <c r="C116" s="81"/>
      <c r="D116" s="82"/>
      <c r="E116" s="81"/>
      <c r="F116" s="79"/>
      <c r="G116" s="82"/>
      <c r="H116" s="81"/>
      <c r="I116" s="84"/>
      <c r="J116" s="84"/>
      <c r="K116" s="84"/>
      <c r="L116" s="79"/>
      <c r="M116" s="186"/>
      <c r="N116" s="84"/>
      <c r="O116" s="84"/>
      <c r="P116" s="84"/>
    </row>
    <row r="117" spans="1:16" ht="15.75" customHeight="1">
      <c r="A117" s="185"/>
      <c r="B117" s="82"/>
      <c r="C117" s="81"/>
      <c r="D117" s="82"/>
      <c r="E117" s="81"/>
      <c r="F117" s="79"/>
      <c r="G117" s="82"/>
      <c r="H117" s="81"/>
      <c r="I117" s="84"/>
      <c r="J117" s="84"/>
      <c r="K117" s="84"/>
      <c r="L117" s="79"/>
      <c r="M117" s="186"/>
      <c r="N117" s="84"/>
      <c r="O117" s="84"/>
      <c r="P117" s="84"/>
    </row>
    <row r="118" spans="1:16" ht="15.75" customHeight="1">
      <c r="A118" s="185"/>
      <c r="B118" s="82"/>
      <c r="C118" s="81"/>
      <c r="D118" s="82"/>
      <c r="E118" s="81"/>
      <c r="F118" s="79"/>
      <c r="G118" s="82"/>
      <c r="H118" s="81"/>
      <c r="I118" s="84"/>
      <c r="J118" s="84"/>
      <c r="K118" s="84"/>
      <c r="L118" s="79"/>
      <c r="M118" s="186"/>
      <c r="N118" s="84"/>
      <c r="O118" s="84"/>
      <c r="P118" s="84"/>
    </row>
    <row r="119" spans="1:16" ht="15.75" customHeight="1">
      <c r="A119" s="185"/>
      <c r="B119" s="82"/>
      <c r="C119" s="81"/>
      <c r="D119" s="82"/>
      <c r="E119" s="81"/>
      <c r="F119" s="79"/>
      <c r="G119" s="82"/>
      <c r="H119" s="81"/>
      <c r="I119" s="84"/>
      <c r="J119" s="84"/>
      <c r="K119" s="84"/>
      <c r="L119" s="79"/>
      <c r="M119" s="186"/>
      <c r="N119" s="84"/>
      <c r="O119" s="84"/>
      <c r="P119" s="84"/>
    </row>
    <row r="120" spans="1:16" ht="15.75" customHeight="1">
      <c r="A120" s="185"/>
      <c r="B120" s="82"/>
      <c r="C120" s="81"/>
      <c r="D120" s="82"/>
      <c r="E120" s="81"/>
      <c r="F120" s="79"/>
      <c r="G120" s="82"/>
      <c r="H120" s="81"/>
      <c r="I120" s="84"/>
      <c r="J120" s="84"/>
      <c r="K120" s="84"/>
      <c r="L120" s="79"/>
      <c r="M120" s="186"/>
      <c r="N120" s="84"/>
      <c r="O120" s="84"/>
      <c r="P120" s="84"/>
    </row>
    <row r="121" spans="1:16" ht="15.75" customHeight="1">
      <c r="A121" s="185"/>
      <c r="B121" s="82"/>
      <c r="C121" s="81"/>
      <c r="D121" s="82"/>
      <c r="E121" s="81"/>
      <c r="F121" s="79"/>
      <c r="G121" s="82"/>
      <c r="H121" s="81"/>
      <c r="I121" s="84"/>
      <c r="J121" s="84"/>
      <c r="K121" s="84"/>
      <c r="L121" s="79"/>
      <c r="M121" s="186"/>
      <c r="N121" s="84"/>
      <c r="O121" s="84"/>
      <c r="P121" s="84"/>
    </row>
    <row r="122" spans="1:16" ht="15.75" customHeight="1">
      <c r="A122" s="185"/>
      <c r="B122" s="82"/>
      <c r="C122" s="81"/>
      <c r="D122" s="82"/>
      <c r="E122" s="81"/>
      <c r="F122" s="79"/>
      <c r="G122" s="82"/>
      <c r="H122" s="81"/>
      <c r="I122" s="84"/>
      <c r="J122" s="84"/>
      <c r="K122" s="84"/>
      <c r="L122" s="79"/>
      <c r="M122" s="186"/>
      <c r="N122" s="84"/>
      <c r="O122" s="84"/>
      <c r="P122" s="84"/>
    </row>
    <row r="123" spans="1:16" ht="15.75" customHeight="1">
      <c r="A123" s="185"/>
      <c r="B123" s="82"/>
      <c r="C123" s="81"/>
      <c r="D123" s="82"/>
      <c r="E123" s="81"/>
      <c r="F123" s="79"/>
      <c r="G123" s="82"/>
      <c r="H123" s="81"/>
      <c r="I123" s="84"/>
      <c r="J123" s="84"/>
      <c r="K123" s="84"/>
      <c r="L123" s="79"/>
      <c r="M123" s="186"/>
      <c r="N123" s="84"/>
      <c r="O123" s="84"/>
      <c r="P123" s="84"/>
    </row>
    <row r="124" spans="1:16" ht="15.75" customHeight="1">
      <c r="A124" s="185"/>
      <c r="B124" s="82"/>
      <c r="C124" s="81"/>
      <c r="D124" s="82"/>
      <c r="E124" s="81"/>
      <c r="F124" s="79"/>
      <c r="G124" s="82"/>
      <c r="H124" s="81"/>
      <c r="I124" s="84"/>
      <c r="J124" s="84"/>
      <c r="K124" s="84"/>
      <c r="L124" s="79"/>
      <c r="M124" s="186"/>
      <c r="N124" s="84"/>
      <c r="O124" s="84"/>
      <c r="P124" s="84"/>
    </row>
    <row r="125" spans="1:16" ht="15.75" customHeight="1">
      <c r="A125" s="185"/>
      <c r="B125" s="82"/>
      <c r="C125" s="81"/>
      <c r="D125" s="82"/>
      <c r="E125" s="81"/>
      <c r="F125" s="79"/>
      <c r="G125" s="82"/>
      <c r="H125" s="81"/>
      <c r="I125" s="84"/>
      <c r="J125" s="84"/>
      <c r="K125" s="84"/>
      <c r="L125" s="79"/>
      <c r="M125" s="186"/>
      <c r="N125" s="84"/>
      <c r="O125" s="84"/>
      <c r="P125" s="84"/>
    </row>
    <row r="126" spans="1:16" ht="15.75" customHeight="1">
      <c r="A126" s="185"/>
      <c r="B126" s="82"/>
      <c r="C126" s="81"/>
      <c r="D126" s="82"/>
      <c r="E126" s="81"/>
      <c r="F126" s="79"/>
      <c r="G126" s="82"/>
      <c r="H126" s="81"/>
      <c r="I126" s="84"/>
      <c r="J126" s="84"/>
      <c r="K126" s="84"/>
      <c r="L126" s="79"/>
      <c r="M126" s="186"/>
      <c r="N126" s="84"/>
      <c r="O126" s="84"/>
      <c r="P126" s="84"/>
    </row>
    <row r="127" spans="1:16" ht="15.75" customHeight="1">
      <c r="A127" s="185"/>
      <c r="B127" s="82"/>
      <c r="C127" s="81"/>
      <c r="D127" s="82"/>
      <c r="E127" s="81"/>
      <c r="F127" s="79"/>
      <c r="G127" s="82"/>
      <c r="H127" s="81"/>
      <c r="I127" s="84"/>
      <c r="J127" s="84"/>
      <c r="K127" s="84"/>
      <c r="L127" s="79"/>
      <c r="M127" s="186"/>
      <c r="N127" s="84"/>
      <c r="O127" s="84"/>
      <c r="P127" s="84"/>
    </row>
    <row r="128" spans="1:16" ht="15.75" customHeight="1">
      <c r="A128" s="185"/>
      <c r="B128" s="82"/>
      <c r="C128" s="81"/>
      <c r="D128" s="82"/>
      <c r="E128" s="81"/>
      <c r="F128" s="79"/>
      <c r="G128" s="82"/>
      <c r="H128" s="81"/>
      <c r="I128" s="84"/>
      <c r="J128" s="84"/>
      <c r="K128" s="84"/>
      <c r="L128" s="79"/>
      <c r="M128" s="186"/>
      <c r="N128" s="84"/>
      <c r="O128" s="84"/>
      <c r="P128" s="84"/>
    </row>
    <row r="129" spans="1:16" ht="15.75" customHeight="1">
      <c r="A129" s="185"/>
      <c r="B129" s="82"/>
      <c r="C129" s="81"/>
      <c r="D129" s="82"/>
      <c r="E129" s="81"/>
      <c r="F129" s="79"/>
      <c r="G129" s="82"/>
      <c r="H129" s="81"/>
      <c r="I129" s="84"/>
      <c r="J129" s="84"/>
      <c r="K129" s="84"/>
      <c r="L129" s="79"/>
      <c r="M129" s="186"/>
      <c r="N129" s="84"/>
      <c r="O129" s="84"/>
      <c r="P129" s="84"/>
    </row>
    <row r="130" spans="1:16" ht="15.75" customHeight="1">
      <c r="A130" s="185"/>
      <c r="B130" s="82"/>
      <c r="C130" s="81"/>
      <c r="D130" s="82"/>
      <c r="E130" s="81"/>
      <c r="F130" s="79"/>
      <c r="G130" s="82"/>
      <c r="H130" s="81"/>
      <c r="I130" s="84"/>
      <c r="J130" s="84"/>
      <c r="K130" s="84"/>
      <c r="L130" s="79"/>
      <c r="M130" s="186"/>
      <c r="N130" s="84"/>
      <c r="O130" s="84"/>
      <c r="P130" s="84"/>
    </row>
    <row r="131" spans="1:16" ht="15.75" customHeight="1">
      <c r="A131" s="185"/>
      <c r="B131" s="82"/>
      <c r="C131" s="81"/>
      <c r="D131" s="82"/>
      <c r="E131" s="81"/>
      <c r="F131" s="79"/>
      <c r="G131" s="82"/>
      <c r="H131" s="81"/>
      <c r="I131" s="84"/>
      <c r="J131" s="84"/>
      <c r="K131" s="84"/>
      <c r="L131" s="79"/>
      <c r="M131" s="186"/>
      <c r="N131" s="84"/>
      <c r="O131" s="84"/>
      <c r="P131" s="84"/>
    </row>
    <row r="132" spans="1:16" ht="15.75" customHeight="1">
      <c r="A132" s="185"/>
      <c r="B132" s="82"/>
      <c r="C132" s="81"/>
      <c r="D132" s="82"/>
      <c r="E132" s="81"/>
      <c r="F132" s="79"/>
      <c r="G132" s="82"/>
      <c r="H132" s="81"/>
      <c r="I132" s="84"/>
      <c r="J132" s="84"/>
      <c r="K132" s="84"/>
      <c r="L132" s="79"/>
      <c r="M132" s="186"/>
      <c r="N132" s="84"/>
      <c r="O132" s="84"/>
      <c r="P132" s="84"/>
    </row>
    <row r="133" spans="1:16" ht="15.75" customHeight="1">
      <c r="A133" s="185"/>
      <c r="B133" s="82"/>
      <c r="C133" s="81"/>
      <c r="D133" s="82"/>
      <c r="E133" s="81"/>
      <c r="F133" s="79"/>
      <c r="G133" s="82"/>
      <c r="H133" s="81"/>
      <c r="I133" s="84"/>
      <c r="J133" s="84"/>
      <c r="K133" s="84"/>
      <c r="L133" s="79"/>
      <c r="M133" s="186"/>
      <c r="N133" s="84"/>
      <c r="O133" s="84"/>
      <c r="P133" s="84"/>
    </row>
    <row r="134" spans="1:16" ht="15.75" customHeight="1">
      <c r="A134" s="185"/>
      <c r="B134" s="82"/>
      <c r="C134" s="81"/>
      <c r="D134" s="82"/>
      <c r="E134" s="81"/>
      <c r="F134" s="79"/>
      <c r="G134" s="82"/>
      <c r="H134" s="81"/>
      <c r="I134" s="84"/>
      <c r="J134" s="84"/>
      <c r="K134" s="84"/>
      <c r="L134" s="79"/>
      <c r="M134" s="186"/>
      <c r="N134" s="84"/>
      <c r="O134" s="84"/>
      <c r="P134" s="84"/>
    </row>
    <row r="135" spans="1:16" ht="15.75" customHeight="1">
      <c r="A135" s="185"/>
      <c r="B135" s="82"/>
      <c r="C135" s="81"/>
      <c r="D135" s="82"/>
      <c r="E135" s="81"/>
      <c r="F135" s="79"/>
      <c r="G135" s="82"/>
      <c r="H135" s="81"/>
      <c r="I135" s="84"/>
      <c r="J135" s="84"/>
      <c r="K135" s="84"/>
      <c r="L135" s="79"/>
      <c r="M135" s="186"/>
      <c r="N135" s="84"/>
      <c r="O135" s="84"/>
      <c r="P135" s="84"/>
    </row>
    <row r="136" spans="1:16" ht="15.75" customHeight="1">
      <c r="A136" s="185"/>
      <c r="B136" s="82"/>
      <c r="C136" s="81"/>
      <c r="D136" s="82"/>
      <c r="E136" s="81"/>
      <c r="F136" s="79"/>
      <c r="G136" s="82"/>
      <c r="H136" s="81"/>
      <c r="I136" s="84"/>
      <c r="J136" s="84"/>
      <c r="K136" s="84"/>
      <c r="L136" s="79"/>
      <c r="M136" s="186"/>
      <c r="N136" s="84"/>
      <c r="O136" s="84"/>
      <c r="P136" s="84"/>
    </row>
    <row r="137" spans="1:16" ht="15.75" customHeight="1">
      <c r="A137" s="185"/>
      <c r="B137" s="82"/>
      <c r="C137" s="81"/>
      <c r="D137" s="82"/>
      <c r="E137" s="81"/>
      <c r="F137" s="79"/>
      <c r="G137" s="82"/>
      <c r="H137" s="81"/>
      <c r="I137" s="84"/>
      <c r="J137" s="84"/>
      <c r="K137" s="84"/>
      <c r="L137" s="79"/>
      <c r="M137" s="186"/>
      <c r="N137" s="84"/>
      <c r="O137" s="84"/>
      <c r="P137" s="84"/>
    </row>
    <row r="138" spans="1:16" ht="15.75" customHeight="1">
      <c r="A138" s="185"/>
      <c r="B138" s="82"/>
      <c r="C138" s="81"/>
      <c r="D138" s="82"/>
      <c r="E138" s="81"/>
      <c r="F138" s="79"/>
      <c r="G138" s="82"/>
      <c r="H138" s="81"/>
      <c r="I138" s="84"/>
      <c r="J138" s="84"/>
      <c r="K138" s="84"/>
      <c r="L138" s="79"/>
      <c r="M138" s="186"/>
      <c r="N138" s="84"/>
      <c r="O138" s="84"/>
      <c r="P138" s="84"/>
    </row>
    <row r="139" spans="1:16" ht="15.75" customHeight="1">
      <c r="A139" s="185"/>
      <c r="B139" s="82"/>
      <c r="C139" s="81"/>
      <c r="D139" s="82"/>
      <c r="E139" s="81"/>
      <c r="F139" s="79"/>
      <c r="G139" s="82"/>
      <c r="H139" s="81"/>
      <c r="I139" s="84"/>
      <c r="J139" s="84"/>
      <c r="K139" s="84"/>
      <c r="L139" s="79"/>
      <c r="M139" s="186"/>
      <c r="N139" s="84"/>
      <c r="O139" s="84"/>
      <c r="P139" s="84"/>
    </row>
    <row r="140" spans="1:16" ht="15.75" customHeight="1">
      <c r="A140" s="185"/>
      <c r="B140" s="82"/>
      <c r="C140" s="81"/>
      <c r="D140" s="82"/>
      <c r="E140" s="81"/>
      <c r="F140" s="79"/>
      <c r="G140" s="82"/>
      <c r="H140" s="81"/>
      <c r="I140" s="84"/>
      <c r="J140" s="84"/>
      <c r="K140" s="84"/>
      <c r="L140" s="79"/>
      <c r="M140" s="186"/>
      <c r="N140" s="84"/>
      <c r="O140" s="84"/>
      <c r="P140" s="84"/>
    </row>
    <row r="141" spans="1:16" ht="15.75" customHeight="1">
      <c r="A141" s="185"/>
      <c r="B141" s="82"/>
      <c r="C141" s="81"/>
      <c r="D141" s="82"/>
      <c r="E141" s="81"/>
      <c r="F141" s="79"/>
      <c r="G141" s="82"/>
      <c r="H141" s="81"/>
      <c r="I141" s="84"/>
      <c r="J141" s="84"/>
      <c r="K141" s="84"/>
      <c r="L141" s="79"/>
      <c r="M141" s="186"/>
      <c r="N141" s="84"/>
      <c r="O141" s="84"/>
      <c r="P141" s="84"/>
    </row>
    <row r="142" spans="1:16" ht="15.75" customHeight="1">
      <c r="A142" s="185"/>
      <c r="B142" s="82"/>
      <c r="C142" s="81"/>
      <c r="D142" s="82"/>
      <c r="E142" s="81"/>
      <c r="F142" s="79"/>
      <c r="G142" s="82"/>
      <c r="H142" s="81"/>
      <c r="I142" s="84"/>
      <c r="J142" s="84"/>
      <c r="K142" s="84"/>
      <c r="L142" s="79"/>
      <c r="M142" s="186"/>
      <c r="N142" s="84"/>
      <c r="O142" s="84"/>
      <c r="P142" s="84"/>
    </row>
    <row r="143" spans="1:16" ht="15.75" customHeight="1">
      <c r="A143" s="185"/>
      <c r="B143" s="82"/>
      <c r="C143" s="81"/>
      <c r="D143" s="82"/>
      <c r="E143" s="81"/>
      <c r="F143" s="79"/>
      <c r="G143" s="82"/>
      <c r="H143" s="81"/>
      <c r="I143" s="84"/>
      <c r="J143" s="84"/>
      <c r="K143" s="84"/>
      <c r="L143" s="79"/>
      <c r="M143" s="186"/>
      <c r="N143" s="84"/>
      <c r="O143" s="84"/>
      <c r="P143" s="84"/>
    </row>
    <row r="144" spans="1:16" ht="15.75" customHeight="1">
      <c r="A144" s="185"/>
      <c r="B144" s="82"/>
      <c r="C144" s="81"/>
      <c r="D144" s="82"/>
      <c r="E144" s="81"/>
      <c r="F144" s="79"/>
      <c r="G144" s="82"/>
      <c r="H144" s="81"/>
      <c r="I144" s="84"/>
      <c r="J144" s="84"/>
      <c r="K144" s="84"/>
      <c r="L144" s="79"/>
      <c r="M144" s="186"/>
      <c r="N144" s="84"/>
      <c r="O144" s="84"/>
      <c r="P144" s="84"/>
    </row>
    <row r="145" spans="1:16" ht="15.75" customHeight="1">
      <c r="A145" s="185"/>
      <c r="B145" s="82"/>
      <c r="C145" s="81"/>
      <c r="D145" s="82"/>
      <c r="E145" s="81"/>
      <c r="F145" s="79"/>
      <c r="G145" s="82"/>
      <c r="H145" s="81"/>
      <c r="I145" s="84"/>
      <c r="J145" s="84"/>
      <c r="K145" s="84"/>
      <c r="L145" s="79"/>
      <c r="M145" s="186"/>
      <c r="N145" s="84"/>
      <c r="O145" s="84"/>
      <c r="P145" s="84"/>
    </row>
    <row r="146" spans="1:16" ht="15.75" customHeight="1">
      <c r="A146" s="185"/>
      <c r="B146" s="82"/>
      <c r="C146" s="81"/>
      <c r="D146" s="82"/>
      <c r="E146" s="81"/>
      <c r="F146" s="79"/>
      <c r="G146" s="82"/>
      <c r="H146" s="81"/>
      <c r="I146" s="84"/>
      <c r="J146" s="84"/>
      <c r="K146" s="84"/>
      <c r="L146" s="79"/>
      <c r="M146" s="186"/>
      <c r="N146" s="84"/>
      <c r="O146" s="84"/>
      <c r="P146" s="84"/>
    </row>
    <row r="147" spans="1:16" ht="15.75" customHeight="1">
      <c r="A147" s="185"/>
      <c r="B147" s="82"/>
      <c r="C147" s="81"/>
      <c r="D147" s="82"/>
      <c r="E147" s="81"/>
      <c r="F147" s="79"/>
      <c r="G147" s="82"/>
      <c r="H147" s="81"/>
      <c r="I147" s="84"/>
      <c r="J147" s="84"/>
      <c r="K147" s="84"/>
      <c r="L147" s="79"/>
      <c r="M147" s="186"/>
      <c r="N147" s="84"/>
      <c r="O147" s="84"/>
      <c r="P147" s="84"/>
    </row>
    <row r="148" spans="1:16" ht="15.75" customHeight="1">
      <c r="A148" s="185"/>
      <c r="B148" s="82"/>
      <c r="C148" s="81"/>
      <c r="D148" s="82"/>
      <c r="E148" s="81"/>
      <c r="F148" s="79"/>
      <c r="G148" s="82"/>
      <c r="H148" s="81"/>
      <c r="I148" s="84"/>
      <c r="J148" s="84"/>
      <c r="K148" s="84"/>
      <c r="L148" s="79"/>
      <c r="M148" s="186"/>
      <c r="N148" s="84"/>
      <c r="O148" s="84"/>
      <c r="P148" s="84"/>
    </row>
    <row r="149" spans="1:16" ht="15.75" customHeight="1">
      <c r="A149" s="185"/>
      <c r="B149" s="82"/>
      <c r="C149" s="81"/>
      <c r="D149" s="82"/>
      <c r="E149" s="81"/>
      <c r="F149" s="79"/>
      <c r="G149" s="82"/>
      <c r="H149" s="81"/>
      <c r="I149" s="84"/>
      <c r="J149" s="84"/>
      <c r="K149" s="84"/>
      <c r="L149" s="79"/>
      <c r="M149" s="186"/>
      <c r="N149" s="84"/>
      <c r="O149" s="84"/>
      <c r="P149" s="84"/>
    </row>
    <row r="150" spans="1:16" ht="15.75" customHeight="1">
      <c r="A150" s="185"/>
      <c r="B150" s="82"/>
      <c r="C150" s="81"/>
      <c r="D150" s="82"/>
      <c r="E150" s="81"/>
      <c r="F150" s="79"/>
      <c r="G150" s="82"/>
      <c r="H150" s="81"/>
      <c r="I150" s="84"/>
      <c r="J150" s="84"/>
      <c r="K150" s="84"/>
      <c r="L150" s="79"/>
      <c r="M150" s="186"/>
      <c r="N150" s="84"/>
      <c r="O150" s="84"/>
      <c r="P150" s="84"/>
    </row>
    <row r="151" spans="1:16" ht="15.75" customHeight="1">
      <c r="A151" s="185"/>
      <c r="B151" s="82"/>
      <c r="C151" s="81"/>
      <c r="D151" s="82"/>
      <c r="E151" s="81"/>
      <c r="F151" s="79"/>
      <c r="G151" s="82"/>
      <c r="H151" s="81"/>
      <c r="I151" s="84"/>
      <c r="J151" s="84"/>
      <c r="K151" s="84"/>
      <c r="L151" s="79"/>
      <c r="M151" s="186"/>
      <c r="N151" s="84"/>
      <c r="O151" s="84"/>
      <c r="P151" s="84"/>
    </row>
    <row r="152" spans="1:16" ht="15.75" customHeight="1">
      <c r="A152" s="185"/>
      <c r="B152" s="82"/>
      <c r="C152" s="81"/>
      <c r="D152" s="82"/>
      <c r="E152" s="81"/>
      <c r="F152" s="79"/>
      <c r="G152" s="82"/>
      <c r="H152" s="81"/>
      <c r="I152" s="84"/>
      <c r="J152" s="84"/>
      <c r="K152" s="84"/>
      <c r="L152" s="79"/>
      <c r="M152" s="186"/>
      <c r="N152" s="84"/>
      <c r="O152" s="84"/>
      <c r="P152" s="84"/>
    </row>
    <row r="153" spans="1:16" ht="15.75" customHeight="1">
      <c r="A153" s="185"/>
      <c r="B153" s="82"/>
      <c r="C153" s="81"/>
      <c r="D153" s="82"/>
      <c r="E153" s="81"/>
      <c r="F153" s="79"/>
      <c r="G153" s="82"/>
      <c r="H153" s="81"/>
      <c r="I153" s="84"/>
      <c r="J153" s="84"/>
      <c r="K153" s="84"/>
      <c r="L153" s="79"/>
      <c r="M153" s="186"/>
      <c r="N153" s="84"/>
      <c r="O153" s="84"/>
      <c r="P153" s="84"/>
    </row>
    <row r="154" spans="1:16" ht="15.75" customHeight="1">
      <c r="A154" s="185"/>
      <c r="B154" s="82"/>
      <c r="C154" s="81"/>
      <c r="D154" s="82"/>
      <c r="E154" s="81"/>
      <c r="F154" s="79"/>
      <c r="G154" s="82"/>
      <c r="H154" s="81"/>
      <c r="I154" s="84"/>
      <c r="J154" s="84"/>
      <c r="K154" s="84"/>
      <c r="L154" s="79"/>
      <c r="M154" s="186"/>
      <c r="N154" s="84"/>
      <c r="O154" s="84"/>
      <c r="P154" s="84"/>
    </row>
    <row r="155" spans="1:16" ht="15.75" customHeight="1">
      <c r="A155" s="185"/>
      <c r="B155" s="82"/>
      <c r="C155" s="81"/>
      <c r="D155" s="82"/>
      <c r="E155" s="81"/>
      <c r="F155" s="79"/>
      <c r="G155" s="82"/>
      <c r="H155" s="81"/>
      <c r="I155" s="84"/>
      <c r="J155" s="84"/>
      <c r="K155" s="84"/>
      <c r="L155" s="79"/>
      <c r="M155" s="186"/>
      <c r="N155" s="84"/>
      <c r="O155" s="84"/>
      <c r="P155" s="84"/>
    </row>
    <row r="156" spans="1:16" ht="15.75" customHeight="1">
      <c r="A156" s="185"/>
      <c r="B156" s="82"/>
      <c r="C156" s="81"/>
      <c r="D156" s="82"/>
      <c r="E156" s="81"/>
      <c r="F156" s="79"/>
      <c r="G156" s="82"/>
      <c r="H156" s="81"/>
      <c r="I156" s="84"/>
      <c r="J156" s="84"/>
      <c r="K156" s="84"/>
      <c r="L156" s="79"/>
      <c r="M156" s="186"/>
      <c r="N156" s="84"/>
      <c r="O156" s="84"/>
      <c r="P156" s="84"/>
    </row>
    <row r="157" spans="1:16" ht="15.75" customHeight="1">
      <c r="A157" s="185"/>
      <c r="B157" s="82"/>
      <c r="C157" s="81"/>
      <c r="D157" s="82"/>
      <c r="E157" s="81"/>
      <c r="F157" s="79"/>
      <c r="G157" s="82"/>
      <c r="H157" s="81"/>
      <c r="I157" s="84"/>
      <c r="J157" s="84"/>
      <c r="K157" s="84"/>
      <c r="L157" s="79"/>
      <c r="M157" s="186"/>
      <c r="N157" s="84"/>
      <c r="O157" s="84"/>
      <c r="P157" s="84"/>
    </row>
    <row r="158" spans="1:16" ht="15.75" customHeight="1">
      <c r="A158" s="185"/>
      <c r="B158" s="82"/>
      <c r="C158" s="81"/>
      <c r="D158" s="82"/>
      <c r="E158" s="81"/>
      <c r="F158" s="79"/>
      <c r="G158" s="82"/>
      <c r="H158" s="81"/>
      <c r="I158" s="84"/>
      <c r="J158" s="84"/>
      <c r="K158" s="84"/>
      <c r="L158" s="79"/>
      <c r="M158" s="186"/>
      <c r="N158" s="84"/>
      <c r="O158" s="84"/>
      <c r="P158" s="84"/>
    </row>
    <row r="159" spans="1:16" ht="15.75" customHeight="1">
      <c r="A159" s="185"/>
      <c r="B159" s="82"/>
      <c r="C159" s="81"/>
      <c r="D159" s="82"/>
      <c r="E159" s="81"/>
      <c r="F159" s="79"/>
      <c r="G159" s="82"/>
      <c r="H159" s="81"/>
      <c r="I159" s="84"/>
      <c r="J159" s="84"/>
      <c r="K159" s="84"/>
      <c r="L159" s="79"/>
      <c r="M159" s="186"/>
      <c r="N159" s="84"/>
      <c r="O159" s="84"/>
      <c r="P159" s="84"/>
    </row>
    <row r="160" spans="1:16" ht="15.75" customHeight="1">
      <c r="A160" s="185"/>
      <c r="B160" s="82"/>
      <c r="C160" s="81"/>
      <c r="D160" s="82"/>
      <c r="E160" s="81"/>
      <c r="F160" s="79"/>
      <c r="G160" s="82"/>
      <c r="H160" s="81"/>
      <c r="I160" s="84"/>
      <c r="J160" s="84"/>
      <c r="K160" s="84"/>
      <c r="L160" s="79"/>
      <c r="M160" s="186"/>
      <c r="N160" s="84"/>
      <c r="O160" s="84"/>
      <c r="P160" s="84"/>
    </row>
    <row r="161" spans="1:16" ht="15.75" customHeight="1">
      <c r="A161" s="185"/>
      <c r="B161" s="82"/>
      <c r="C161" s="81"/>
      <c r="D161" s="82"/>
      <c r="E161" s="81"/>
      <c r="F161" s="79"/>
      <c r="G161" s="82"/>
      <c r="H161" s="81"/>
      <c r="I161" s="84"/>
      <c r="J161" s="84"/>
      <c r="K161" s="84"/>
      <c r="L161" s="79"/>
      <c r="M161" s="186"/>
      <c r="N161" s="84"/>
      <c r="O161" s="84"/>
      <c r="P161" s="84"/>
    </row>
    <row r="162" spans="1:16" ht="15.75" customHeight="1">
      <c r="A162" s="185"/>
      <c r="B162" s="82"/>
      <c r="C162" s="81"/>
      <c r="D162" s="82"/>
      <c r="E162" s="81"/>
      <c r="F162" s="79"/>
      <c r="G162" s="82"/>
      <c r="H162" s="81"/>
      <c r="I162" s="84"/>
      <c r="J162" s="84"/>
      <c r="K162" s="84"/>
      <c r="L162" s="79"/>
      <c r="M162" s="186"/>
      <c r="N162" s="84"/>
      <c r="O162" s="84"/>
      <c r="P162" s="84"/>
    </row>
    <row r="163" spans="1:16" ht="15.75" customHeight="1">
      <c r="A163" s="185"/>
      <c r="B163" s="82"/>
      <c r="C163" s="81"/>
      <c r="D163" s="82"/>
      <c r="E163" s="81"/>
      <c r="F163" s="79"/>
      <c r="G163" s="82"/>
      <c r="H163" s="81"/>
      <c r="I163" s="84"/>
      <c r="J163" s="84"/>
      <c r="K163" s="84"/>
      <c r="L163" s="79"/>
      <c r="M163" s="186"/>
      <c r="N163" s="84"/>
      <c r="O163" s="84"/>
      <c r="P163" s="84"/>
    </row>
    <row r="164" spans="1:16" ht="15.75" customHeight="1">
      <c r="A164" s="185"/>
      <c r="B164" s="82"/>
      <c r="C164" s="81"/>
      <c r="D164" s="82"/>
      <c r="E164" s="81"/>
      <c r="F164" s="79"/>
      <c r="G164" s="82"/>
      <c r="H164" s="81"/>
      <c r="I164" s="84"/>
      <c r="J164" s="84"/>
      <c r="K164" s="84"/>
      <c r="L164" s="79"/>
      <c r="M164" s="186"/>
      <c r="N164" s="84"/>
      <c r="O164" s="84"/>
      <c r="P164" s="84"/>
    </row>
    <row r="165" spans="1:16" ht="15.75" customHeight="1">
      <c r="A165" s="185"/>
      <c r="B165" s="82"/>
      <c r="C165" s="81"/>
      <c r="D165" s="82"/>
      <c r="E165" s="81"/>
      <c r="F165" s="79"/>
      <c r="G165" s="82"/>
      <c r="H165" s="81"/>
      <c r="I165" s="84"/>
      <c r="J165" s="84"/>
      <c r="K165" s="84"/>
      <c r="L165" s="79"/>
      <c r="M165" s="186"/>
      <c r="N165" s="84"/>
      <c r="O165" s="84"/>
      <c r="P165" s="84"/>
    </row>
    <row r="166" spans="1:16" ht="15.75" customHeight="1">
      <c r="A166" s="185"/>
      <c r="B166" s="82"/>
      <c r="C166" s="81"/>
      <c r="D166" s="82"/>
      <c r="E166" s="81"/>
      <c r="F166" s="79"/>
      <c r="G166" s="82"/>
      <c r="H166" s="81"/>
      <c r="I166" s="84"/>
      <c r="J166" s="84"/>
      <c r="K166" s="84"/>
      <c r="L166" s="79"/>
      <c r="M166" s="186"/>
      <c r="N166" s="84"/>
      <c r="O166" s="84"/>
      <c r="P166" s="84"/>
    </row>
    <row r="167" spans="1:16" ht="15.75" customHeight="1">
      <c r="A167" s="185"/>
      <c r="B167" s="82"/>
      <c r="C167" s="81"/>
      <c r="D167" s="82"/>
      <c r="E167" s="81"/>
      <c r="F167" s="79"/>
      <c r="G167" s="82"/>
      <c r="H167" s="81"/>
      <c r="I167" s="84"/>
      <c r="J167" s="84"/>
      <c r="K167" s="84"/>
      <c r="L167" s="79"/>
      <c r="M167" s="186"/>
      <c r="N167" s="84"/>
      <c r="O167" s="84"/>
      <c r="P167" s="84"/>
    </row>
    <row r="168" spans="1:16" ht="15.75" customHeight="1">
      <c r="A168" s="185"/>
      <c r="B168" s="82"/>
      <c r="C168" s="81"/>
      <c r="D168" s="82"/>
      <c r="E168" s="81"/>
      <c r="F168" s="79"/>
      <c r="G168" s="82"/>
      <c r="H168" s="81"/>
      <c r="I168" s="84"/>
      <c r="J168" s="84"/>
      <c r="K168" s="84"/>
      <c r="L168" s="79"/>
      <c r="M168" s="186"/>
      <c r="N168" s="84"/>
      <c r="O168" s="84"/>
      <c r="P168" s="84"/>
    </row>
    <row r="169" spans="1:16" ht="15.75" customHeight="1">
      <c r="A169" s="185"/>
      <c r="B169" s="82"/>
      <c r="C169" s="81"/>
      <c r="D169" s="82"/>
      <c r="E169" s="81"/>
      <c r="F169" s="79"/>
      <c r="G169" s="82"/>
      <c r="H169" s="81"/>
      <c r="I169" s="84"/>
      <c r="J169" s="84"/>
      <c r="K169" s="84"/>
      <c r="L169" s="79"/>
      <c r="M169" s="186"/>
      <c r="N169" s="84"/>
      <c r="O169" s="84"/>
      <c r="P169" s="84"/>
    </row>
    <row r="170" spans="1:16" ht="15.75" customHeight="1">
      <c r="A170" s="185"/>
      <c r="B170" s="82"/>
      <c r="C170" s="81"/>
      <c r="D170" s="82"/>
      <c r="E170" s="81"/>
      <c r="F170" s="79"/>
      <c r="G170" s="82"/>
      <c r="H170" s="81"/>
      <c r="I170" s="84"/>
      <c r="J170" s="84"/>
      <c r="K170" s="84"/>
      <c r="L170" s="79"/>
      <c r="M170" s="186"/>
      <c r="N170" s="84"/>
      <c r="O170" s="84"/>
      <c r="P170" s="84"/>
    </row>
    <row r="171" spans="1:16" ht="15.75" customHeight="1">
      <c r="A171" s="185"/>
      <c r="B171" s="82"/>
      <c r="C171" s="81"/>
      <c r="D171" s="82"/>
      <c r="E171" s="81"/>
      <c r="F171" s="79"/>
      <c r="G171" s="82"/>
      <c r="H171" s="81"/>
      <c r="I171" s="84"/>
      <c r="J171" s="84"/>
      <c r="K171" s="84"/>
      <c r="L171" s="79"/>
      <c r="M171" s="186"/>
      <c r="N171" s="84"/>
      <c r="O171" s="84"/>
      <c r="P171" s="84"/>
    </row>
    <row r="172" spans="1:16" ht="15.75" customHeight="1">
      <c r="A172" s="185"/>
      <c r="B172" s="82"/>
      <c r="C172" s="81"/>
      <c r="D172" s="82"/>
      <c r="E172" s="81"/>
      <c r="F172" s="79"/>
      <c r="G172" s="82"/>
      <c r="H172" s="81"/>
      <c r="I172" s="84"/>
      <c r="J172" s="84"/>
      <c r="K172" s="84"/>
      <c r="L172" s="79"/>
      <c r="M172" s="186"/>
      <c r="N172" s="84"/>
      <c r="O172" s="84"/>
      <c r="P172" s="84"/>
    </row>
    <row r="173" spans="1:16" ht="15.75" customHeight="1">
      <c r="A173" s="185"/>
      <c r="B173" s="82"/>
      <c r="C173" s="81"/>
      <c r="D173" s="82"/>
      <c r="E173" s="81"/>
      <c r="F173" s="79"/>
      <c r="G173" s="82"/>
      <c r="H173" s="81"/>
      <c r="I173" s="84"/>
      <c r="J173" s="84"/>
      <c r="K173" s="84"/>
      <c r="L173" s="79"/>
      <c r="M173" s="186"/>
      <c r="N173" s="84"/>
      <c r="O173" s="84"/>
      <c r="P173" s="84"/>
    </row>
    <row r="174" spans="1:16" ht="15.75" customHeight="1">
      <c r="A174" s="185"/>
      <c r="B174" s="82"/>
      <c r="C174" s="81"/>
      <c r="D174" s="82"/>
      <c r="E174" s="81"/>
      <c r="F174" s="79"/>
      <c r="G174" s="82"/>
      <c r="H174" s="81"/>
      <c r="I174" s="84"/>
      <c r="J174" s="84"/>
      <c r="K174" s="84"/>
      <c r="L174" s="79"/>
      <c r="M174" s="186"/>
      <c r="N174" s="84"/>
      <c r="O174" s="84"/>
      <c r="P174" s="84"/>
    </row>
    <row r="175" spans="1:16" ht="15.75" customHeight="1">
      <c r="A175" s="185"/>
      <c r="B175" s="82"/>
      <c r="C175" s="81"/>
      <c r="D175" s="82"/>
      <c r="E175" s="81"/>
      <c r="F175" s="79"/>
      <c r="G175" s="82"/>
      <c r="H175" s="81"/>
      <c r="I175" s="84"/>
      <c r="J175" s="84"/>
      <c r="K175" s="84"/>
      <c r="L175" s="79"/>
      <c r="M175" s="186"/>
      <c r="N175" s="84"/>
      <c r="O175" s="84"/>
      <c r="P175" s="84"/>
    </row>
    <row r="176" spans="1:16" ht="15.75" customHeight="1">
      <c r="A176" s="185"/>
      <c r="B176" s="82"/>
      <c r="C176" s="81"/>
      <c r="D176" s="82"/>
      <c r="E176" s="81"/>
      <c r="F176" s="79"/>
      <c r="G176" s="82"/>
      <c r="H176" s="81"/>
      <c r="I176" s="84"/>
      <c r="J176" s="84"/>
      <c r="K176" s="84"/>
      <c r="L176" s="79"/>
      <c r="M176" s="186"/>
      <c r="N176" s="84"/>
      <c r="O176" s="84"/>
      <c r="P176" s="84"/>
    </row>
    <row r="177" spans="1:16" ht="15.75" customHeight="1">
      <c r="A177" s="185"/>
      <c r="B177" s="82"/>
      <c r="C177" s="81"/>
      <c r="D177" s="82"/>
      <c r="E177" s="81"/>
      <c r="F177" s="79"/>
      <c r="G177" s="82"/>
      <c r="H177" s="81"/>
      <c r="I177" s="84"/>
      <c r="J177" s="84"/>
      <c r="K177" s="84"/>
      <c r="L177" s="79"/>
      <c r="M177" s="186"/>
      <c r="N177" s="84"/>
      <c r="O177" s="84"/>
      <c r="P177" s="84"/>
    </row>
    <row r="178" spans="1:16" ht="15.75" customHeight="1">
      <c r="A178" s="185"/>
      <c r="B178" s="82"/>
      <c r="C178" s="81"/>
      <c r="D178" s="82"/>
      <c r="E178" s="81"/>
      <c r="F178" s="79"/>
      <c r="G178" s="82"/>
      <c r="H178" s="81"/>
      <c r="I178" s="84"/>
      <c r="J178" s="84"/>
      <c r="K178" s="84"/>
      <c r="L178" s="79"/>
      <c r="M178" s="186"/>
      <c r="N178" s="84"/>
      <c r="O178" s="84"/>
      <c r="P178" s="84"/>
    </row>
    <row r="179" spans="1:16" ht="15.75" customHeight="1">
      <c r="A179" s="185"/>
      <c r="B179" s="82"/>
      <c r="C179" s="81"/>
      <c r="D179" s="82"/>
      <c r="E179" s="81"/>
      <c r="F179" s="79"/>
      <c r="G179" s="82"/>
      <c r="H179" s="81"/>
      <c r="I179" s="84"/>
      <c r="J179" s="84"/>
      <c r="K179" s="84"/>
      <c r="L179" s="79"/>
      <c r="M179" s="186"/>
      <c r="N179" s="84"/>
      <c r="O179" s="84"/>
      <c r="P179" s="84"/>
    </row>
    <row r="180" spans="1:16" ht="15.75" customHeight="1">
      <c r="A180" s="185"/>
      <c r="B180" s="82"/>
      <c r="C180" s="81"/>
      <c r="D180" s="82"/>
      <c r="E180" s="81"/>
      <c r="F180" s="79"/>
      <c r="G180" s="82"/>
      <c r="H180" s="81"/>
      <c r="I180" s="84"/>
      <c r="J180" s="84"/>
      <c r="K180" s="84"/>
      <c r="L180" s="79"/>
      <c r="M180" s="186"/>
      <c r="N180" s="84"/>
      <c r="O180" s="84"/>
      <c r="P180" s="84"/>
    </row>
    <row r="181" spans="1:16" ht="15.75" customHeight="1">
      <c r="A181" s="185"/>
      <c r="B181" s="82"/>
      <c r="C181" s="81"/>
      <c r="D181" s="82"/>
      <c r="E181" s="81"/>
      <c r="F181" s="79"/>
      <c r="G181" s="82"/>
      <c r="H181" s="81"/>
      <c r="I181" s="84"/>
      <c r="J181" s="84"/>
      <c r="K181" s="84"/>
      <c r="L181" s="79"/>
      <c r="M181" s="186"/>
      <c r="N181" s="84"/>
      <c r="O181" s="84"/>
      <c r="P181" s="84"/>
    </row>
    <row r="182" spans="1:16" ht="15.75" customHeight="1">
      <c r="A182" s="185"/>
      <c r="B182" s="82"/>
      <c r="C182" s="81"/>
      <c r="D182" s="82"/>
      <c r="E182" s="81"/>
      <c r="F182" s="79"/>
      <c r="G182" s="82"/>
      <c r="H182" s="81"/>
      <c r="I182" s="84"/>
      <c r="J182" s="84"/>
      <c r="K182" s="84"/>
      <c r="L182" s="79"/>
      <c r="M182" s="186"/>
      <c r="N182" s="84"/>
      <c r="O182" s="84"/>
      <c r="P182" s="84"/>
    </row>
    <row r="183" spans="1:16" ht="15.75" customHeight="1">
      <c r="A183" s="185"/>
      <c r="B183" s="82"/>
      <c r="C183" s="81"/>
      <c r="D183" s="82"/>
      <c r="E183" s="81"/>
      <c r="F183" s="79"/>
      <c r="G183" s="82"/>
      <c r="H183" s="81"/>
      <c r="I183" s="84"/>
      <c r="J183" s="84"/>
      <c r="K183" s="84"/>
      <c r="L183" s="79"/>
      <c r="M183" s="186"/>
      <c r="N183" s="84"/>
      <c r="O183" s="84"/>
      <c r="P183" s="84"/>
    </row>
    <row r="184" spans="1:16" ht="15.75" customHeight="1">
      <c r="A184" s="185"/>
      <c r="B184" s="82"/>
      <c r="C184" s="81"/>
      <c r="D184" s="82"/>
      <c r="E184" s="81"/>
      <c r="F184" s="79"/>
      <c r="G184" s="82"/>
      <c r="H184" s="81"/>
      <c r="I184" s="84"/>
      <c r="J184" s="84"/>
      <c r="K184" s="84"/>
      <c r="L184" s="79"/>
      <c r="M184" s="186"/>
      <c r="N184" s="84"/>
      <c r="O184" s="84"/>
      <c r="P184" s="84"/>
    </row>
    <row r="185" spans="1:16" ht="15.75" customHeight="1">
      <c r="A185" s="185"/>
      <c r="B185" s="82"/>
      <c r="C185" s="81"/>
      <c r="D185" s="82"/>
      <c r="E185" s="81"/>
      <c r="F185" s="79"/>
      <c r="G185" s="82"/>
      <c r="H185" s="81"/>
      <c r="I185" s="84"/>
      <c r="J185" s="84"/>
      <c r="K185" s="84"/>
      <c r="L185" s="79"/>
      <c r="M185" s="186"/>
      <c r="N185" s="84"/>
      <c r="O185" s="84"/>
      <c r="P185" s="84"/>
    </row>
    <row r="186" spans="1:16" ht="15.75" customHeight="1">
      <c r="A186" s="185"/>
      <c r="B186" s="82"/>
      <c r="C186" s="81"/>
      <c r="D186" s="82"/>
      <c r="E186" s="81"/>
      <c r="F186" s="79"/>
      <c r="G186" s="82"/>
      <c r="H186" s="81"/>
      <c r="I186" s="84"/>
      <c r="J186" s="84"/>
      <c r="K186" s="84"/>
      <c r="L186" s="79"/>
      <c r="M186" s="186"/>
      <c r="N186" s="84"/>
      <c r="O186" s="84"/>
      <c r="P186" s="84"/>
    </row>
    <row r="187" spans="1:16" ht="15.75" customHeight="1">
      <c r="A187" s="185"/>
      <c r="B187" s="82"/>
      <c r="C187" s="81"/>
      <c r="D187" s="82"/>
      <c r="E187" s="81"/>
      <c r="F187" s="79"/>
      <c r="G187" s="82"/>
      <c r="H187" s="81"/>
      <c r="I187" s="84"/>
      <c r="J187" s="84"/>
      <c r="K187" s="84"/>
      <c r="L187" s="79"/>
      <c r="M187" s="186"/>
      <c r="N187" s="84"/>
      <c r="O187" s="84"/>
      <c r="P187" s="84"/>
    </row>
    <row r="188" spans="1:16" ht="15.75" customHeight="1">
      <c r="A188" s="185"/>
      <c r="B188" s="82"/>
      <c r="C188" s="81"/>
      <c r="D188" s="82"/>
      <c r="E188" s="81"/>
      <c r="F188" s="79"/>
      <c r="G188" s="82"/>
      <c r="H188" s="81"/>
      <c r="I188" s="84"/>
      <c r="J188" s="84"/>
      <c r="K188" s="84"/>
      <c r="L188" s="79"/>
      <c r="M188" s="186"/>
      <c r="N188" s="84"/>
      <c r="O188" s="84"/>
      <c r="P188" s="84"/>
    </row>
    <row r="189" spans="1:16" ht="15.75" customHeight="1">
      <c r="A189" s="185"/>
      <c r="B189" s="82"/>
      <c r="C189" s="81"/>
      <c r="D189" s="82"/>
      <c r="E189" s="81"/>
      <c r="F189" s="79"/>
      <c r="G189" s="82"/>
      <c r="H189" s="81"/>
      <c r="I189" s="84"/>
      <c r="J189" s="84"/>
      <c r="K189" s="84"/>
      <c r="L189" s="79"/>
      <c r="M189" s="186"/>
      <c r="N189" s="84"/>
      <c r="O189" s="84"/>
      <c r="P189" s="84"/>
    </row>
    <row r="190" spans="1:16" ht="15.75" customHeight="1">
      <c r="A190" s="185"/>
      <c r="B190" s="82"/>
      <c r="C190" s="81"/>
      <c r="D190" s="82"/>
      <c r="E190" s="81"/>
      <c r="F190" s="79"/>
      <c r="G190" s="82"/>
      <c r="H190" s="81"/>
      <c r="I190" s="84"/>
      <c r="J190" s="84"/>
      <c r="K190" s="84"/>
      <c r="L190" s="79"/>
      <c r="M190" s="186"/>
      <c r="N190" s="84"/>
      <c r="O190" s="84"/>
      <c r="P190" s="84"/>
    </row>
    <row r="191" spans="1:16" ht="15.75" customHeight="1">
      <c r="A191" s="185"/>
      <c r="B191" s="82"/>
      <c r="C191" s="81"/>
      <c r="D191" s="82"/>
      <c r="E191" s="81"/>
      <c r="F191" s="79"/>
      <c r="G191" s="82"/>
      <c r="H191" s="81"/>
      <c r="I191" s="84"/>
      <c r="J191" s="84"/>
      <c r="K191" s="84"/>
      <c r="L191" s="79"/>
      <c r="M191" s="186"/>
      <c r="N191" s="84"/>
      <c r="O191" s="84"/>
      <c r="P191" s="84"/>
    </row>
    <row r="192" spans="1:16" ht="15.75" customHeight="1">
      <c r="A192" s="185"/>
      <c r="B192" s="82"/>
      <c r="C192" s="81"/>
      <c r="D192" s="82"/>
      <c r="E192" s="81"/>
      <c r="F192" s="79"/>
      <c r="G192" s="82"/>
      <c r="H192" s="81"/>
      <c r="I192" s="84"/>
      <c r="J192" s="84"/>
      <c r="K192" s="84"/>
      <c r="L192" s="79"/>
      <c r="M192" s="186"/>
      <c r="N192" s="84"/>
      <c r="O192" s="84"/>
      <c r="P192" s="84"/>
    </row>
    <row r="193" spans="1:16" ht="15.75" customHeight="1">
      <c r="A193" s="185"/>
      <c r="B193" s="82"/>
      <c r="C193" s="81"/>
      <c r="D193" s="82"/>
      <c r="E193" s="81"/>
      <c r="F193" s="79"/>
      <c r="G193" s="82"/>
      <c r="H193" s="81"/>
      <c r="I193" s="84"/>
      <c r="J193" s="84"/>
      <c r="K193" s="84"/>
      <c r="L193" s="79"/>
      <c r="M193" s="186"/>
      <c r="N193" s="84"/>
      <c r="O193" s="84"/>
      <c r="P193" s="84"/>
    </row>
    <row r="194" spans="1:16" ht="15.75" customHeight="1">
      <c r="A194" s="185"/>
      <c r="B194" s="82"/>
      <c r="C194" s="81"/>
      <c r="D194" s="82"/>
      <c r="E194" s="81"/>
      <c r="F194" s="79"/>
      <c r="G194" s="82"/>
      <c r="H194" s="81"/>
      <c r="I194" s="84"/>
      <c r="J194" s="84"/>
      <c r="K194" s="84"/>
      <c r="L194" s="79"/>
      <c r="M194" s="186"/>
      <c r="N194" s="84"/>
      <c r="O194" s="84"/>
      <c r="P194" s="84"/>
    </row>
    <row r="195" spans="1:16" ht="15.75" customHeight="1">
      <c r="A195" s="185"/>
      <c r="B195" s="82"/>
      <c r="C195" s="81"/>
      <c r="D195" s="82"/>
      <c r="E195" s="81"/>
      <c r="F195" s="79"/>
      <c r="G195" s="82"/>
      <c r="H195" s="81"/>
      <c r="I195" s="84"/>
      <c r="J195" s="84"/>
      <c r="K195" s="84"/>
      <c r="L195" s="79"/>
      <c r="M195" s="186"/>
      <c r="N195" s="84"/>
      <c r="O195" s="84"/>
      <c r="P195" s="84"/>
    </row>
    <row r="196" spans="1:16" ht="15.75" customHeight="1">
      <c r="A196" s="185"/>
      <c r="B196" s="82"/>
      <c r="C196" s="81"/>
      <c r="D196" s="82"/>
      <c r="E196" s="81"/>
      <c r="F196" s="79"/>
      <c r="G196" s="82"/>
      <c r="H196" s="81"/>
      <c r="I196" s="84"/>
      <c r="J196" s="84"/>
      <c r="K196" s="84"/>
      <c r="L196" s="79"/>
      <c r="M196" s="186"/>
      <c r="N196" s="84"/>
      <c r="O196" s="84"/>
      <c r="P196" s="84"/>
    </row>
    <row r="197" spans="1:16" ht="15.75" customHeight="1">
      <c r="A197" s="185"/>
      <c r="B197" s="82"/>
      <c r="C197" s="81"/>
      <c r="D197" s="82"/>
      <c r="E197" s="81"/>
      <c r="F197" s="79"/>
      <c r="G197" s="82"/>
      <c r="H197" s="81"/>
      <c r="I197" s="84"/>
      <c r="J197" s="84"/>
      <c r="K197" s="84"/>
      <c r="L197" s="79"/>
      <c r="M197" s="186"/>
      <c r="N197" s="84"/>
      <c r="O197" s="84"/>
      <c r="P197" s="84"/>
    </row>
    <row r="198" spans="1:16" ht="15.75" customHeight="1">
      <c r="A198" s="185"/>
      <c r="B198" s="82"/>
      <c r="C198" s="81"/>
      <c r="D198" s="82"/>
      <c r="E198" s="81"/>
      <c r="F198" s="79"/>
      <c r="G198" s="82"/>
      <c r="H198" s="81"/>
      <c r="I198" s="84"/>
      <c r="J198" s="84"/>
      <c r="K198" s="84"/>
      <c r="L198" s="79"/>
      <c r="M198" s="186"/>
      <c r="N198" s="84"/>
      <c r="O198" s="84"/>
      <c r="P198" s="84"/>
    </row>
    <row r="199" spans="1:16" ht="15.75" customHeight="1">
      <c r="A199" s="185"/>
      <c r="B199" s="82"/>
      <c r="C199" s="81"/>
      <c r="D199" s="82"/>
      <c r="E199" s="81"/>
      <c r="F199" s="79"/>
      <c r="G199" s="82"/>
      <c r="H199" s="81"/>
      <c r="I199" s="84"/>
      <c r="J199" s="84"/>
      <c r="K199" s="84"/>
      <c r="L199" s="79"/>
      <c r="M199" s="186"/>
      <c r="N199" s="84"/>
      <c r="O199" s="84"/>
      <c r="P199" s="84"/>
    </row>
    <row r="200" spans="1:16" ht="15.75" customHeight="1">
      <c r="A200" s="185"/>
      <c r="B200" s="82"/>
      <c r="C200" s="81"/>
      <c r="D200" s="82"/>
      <c r="E200" s="81"/>
      <c r="F200" s="79"/>
      <c r="G200" s="82"/>
      <c r="H200" s="81"/>
      <c r="I200" s="84"/>
      <c r="J200" s="84"/>
      <c r="K200" s="84"/>
      <c r="L200" s="79"/>
      <c r="M200" s="186"/>
      <c r="N200" s="84"/>
      <c r="O200" s="84"/>
      <c r="P200" s="84"/>
    </row>
    <row r="201" spans="1:16" ht="15.75" customHeight="1">
      <c r="A201" s="185"/>
      <c r="B201" s="82"/>
      <c r="C201" s="81"/>
      <c r="D201" s="82"/>
      <c r="E201" s="81"/>
      <c r="F201" s="79"/>
      <c r="G201" s="82"/>
      <c r="H201" s="81"/>
      <c r="I201" s="84"/>
      <c r="J201" s="84"/>
      <c r="K201" s="84"/>
      <c r="L201" s="79"/>
      <c r="M201" s="186"/>
      <c r="N201" s="84"/>
      <c r="O201" s="84"/>
      <c r="P201" s="84"/>
    </row>
    <row r="202" spans="1:16" ht="15.75" customHeight="1">
      <c r="A202" s="185"/>
      <c r="B202" s="82"/>
      <c r="C202" s="81"/>
      <c r="D202" s="82"/>
      <c r="E202" s="81"/>
      <c r="F202" s="79"/>
      <c r="G202" s="82"/>
      <c r="H202" s="81"/>
      <c r="I202" s="84"/>
      <c r="J202" s="84"/>
      <c r="K202" s="84"/>
      <c r="L202" s="79"/>
      <c r="M202" s="186"/>
      <c r="N202" s="84"/>
      <c r="O202" s="84"/>
      <c r="P202" s="84"/>
    </row>
    <row r="203" spans="1:16" ht="15.75" customHeight="1">
      <c r="A203" s="185"/>
      <c r="B203" s="82"/>
      <c r="C203" s="81"/>
      <c r="D203" s="82"/>
      <c r="E203" s="81"/>
      <c r="F203" s="79"/>
      <c r="G203" s="82"/>
      <c r="H203" s="81"/>
      <c r="I203" s="84"/>
      <c r="J203" s="84"/>
      <c r="K203" s="84"/>
      <c r="L203" s="79"/>
      <c r="M203" s="186"/>
      <c r="N203" s="84"/>
      <c r="O203" s="84"/>
      <c r="P203" s="84"/>
    </row>
    <row r="204" spans="1:16" ht="15.75" customHeight="1">
      <c r="A204" s="185"/>
      <c r="B204" s="82"/>
      <c r="C204" s="81"/>
      <c r="D204" s="82"/>
      <c r="E204" s="81"/>
      <c r="F204" s="79"/>
      <c r="G204" s="82"/>
      <c r="H204" s="81"/>
      <c r="I204" s="84"/>
      <c r="J204" s="84"/>
      <c r="K204" s="84"/>
      <c r="L204" s="79"/>
      <c r="M204" s="186"/>
      <c r="N204" s="84"/>
      <c r="O204" s="84"/>
      <c r="P204" s="84"/>
    </row>
    <row r="205" spans="1:16" ht="15.75" customHeight="1">
      <c r="A205" s="185"/>
      <c r="B205" s="82"/>
      <c r="C205" s="81"/>
      <c r="D205" s="82"/>
      <c r="E205" s="81"/>
      <c r="F205" s="79"/>
      <c r="G205" s="82"/>
      <c r="H205" s="81"/>
      <c r="I205" s="84"/>
      <c r="J205" s="84"/>
      <c r="K205" s="84"/>
      <c r="L205" s="79"/>
      <c r="M205" s="186"/>
      <c r="N205" s="84"/>
      <c r="O205" s="84"/>
      <c r="P205" s="84"/>
    </row>
    <row r="206" spans="1:16" ht="15.75" customHeight="1">
      <c r="A206" s="185"/>
      <c r="B206" s="82"/>
      <c r="C206" s="81"/>
      <c r="D206" s="82"/>
      <c r="E206" s="81"/>
      <c r="F206" s="79"/>
      <c r="G206" s="82"/>
      <c r="H206" s="81"/>
      <c r="I206" s="84"/>
      <c r="J206" s="84"/>
      <c r="K206" s="84"/>
      <c r="L206" s="79"/>
      <c r="M206" s="186"/>
      <c r="N206" s="84"/>
      <c r="O206" s="84"/>
      <c r="P206" s="84"/>
    </row>
    <row r="207" spans="1:16" ht="15.75" customHeight="1">
      <c r="A207" s="185"/>
      <c r="B207" s="82"/>
      <c r="C207" s="81"/>
      <c r="D207" s="82"/>
      <c r="E207" s="81"/>
      <c r="F207" s="79"/>
      <c r="G207" s="82"/>
      <c r="H207" s="81"/>
      <c r="I207" s="84"/>
      <c r="J207" s="84"/>
      <c r="K207" s="84"/>
      <c r="L207" s="79"/>
      <c r="M207" s="186"/>
      <c r="N207" s="84"/>
      <c r="O207" s="84"/>
      <c r="P207" s="84"/>
    </row>
    <row r="208" spans="1:16" ht="15.75" customHeight="1">
      <c r="A208" s="185"/>
      <c r="B208" s="82"/>
      <c r="C208" s="81"/>
      <c r="D208" s="82"/>
      <c r="E208" s="81"/>
      <c r="F208" s="79"/>
      <c r="G208" s="82"/>
      <c r="H208" s="81"/>
      <c r="I208" s="84"/>
      <c r="J208" s="84"/>
      <c r="K208" s="84"/>
      <c r="L208" s="79"/>
      <c r="M208" s="186"/>
      <c r="N208" s="84"/>
      <c r="O208" s="84"/>
      <c r="P208" s="84"/>
    </row>
    <row r="209" spans="1:16" ht="15.75" customHeight="1">
      <c r="A209" s="185"/>
      <c r="B209" s="82"/>
      <c r="C209" s="81"/>
      <c r="D209" s="82"/>
      <c r="E209" s="81"/>
      <c r="F209" s="79"/>
      <c r="G209" s="82"/>
      <c r="H209" s="81"/>
      <c r="I209" s="84"/>
      <c r="J209" s="84"/>
      <c r="K209" s="84"/>
      <c r="L209" s="79"/>
      <c r="M209" s="186"/>
      <c r="N209" s="84"/>
      <c r="O209" s="84"/>
      <c r="P209" s="84"/>
    </row>
    <row r="210" spans="1:16" ht="15.75" customHeight="1">
      <c r="A210" s="185"/>
      <c r="B210" s="82"/>
      <c r="C210" s="81"/>
      <c r="D210" s="82"/>
      <c r="E210" s="81"/>
      <c r="F210" s="79"/>
      <c r="G210" s="82"/>
      <c r="H210" s="81"/>
      <c r="I210" s="84"/>
      <c r="J210" s="84"/>
      <c r="K210" s="84"/>
      <c r="L210" s="79"/>
      <c r="M210" s="186"/>
      <c r="N210" s="84"/>
      <c r="O210" s="84"/>
      <c r="P210" s="84"/>
    </row>
    <row r="211" spans="1:16" ht="15.75" customHeight="1">
      <c r="A211" s="185"/>
      <c r="B211" s="82"/>
      <c r="C211" s="81"/>
      <c r="D211" s="82"/>
      <c r="E211" s="81"/>
      <c r="F211" s="79"/>
      <c r="G211" s="82"/>
      <c r="H211" s="81"/>
      <c r="I211" s="84"/>
      <c r="J211" s="84"/>
      <c r="K211" s="84"/>
      <c r="L211" s="79"/>
      <c r="M211" s="186"/>
      <c r="N211" s="84"/>
      <c r="O211" s="84"/>
      <c r="P211" s="84"/>
    </row>
    <row r="212" spans="1:16" ht="15.75" customHeight="1">
      <c r="A212" s="185"/>
      <c r="B212" s="82"/>
      <c r="C212" s="81"/>
      <c r="D212" s="82"/>
      <c r="E212" s="81"/>
      <c r="F212" s="79"/>
      <c r="G212" s="82"/>
      <c r="H212" s="81"/>
      <c r="I212" s="84"/>
      <c r="J212" s="84"/>
      <c r="K212" s="84"/>
      <c r="L212" s="79"/>
      <c r="M212" s="186"/>
      <c r="N212" s="84"/>
      <c r="O212" s="84"/>
      <c r="P212" s="84"/>
    </row>
    <row r="213" spans="1:16" ht="15.75" customHeight="1">
      <c r="A213" s="185"/>
      <c r="B213" s="82"/>
      <c r="C213" s="81"/>
      <c r="D213" s="82"/>
      <c r="E213" s="81"/>
      <c r="F213" s="79"/>
      <c r="G213" s="82"/>
      <c r="H213" s="81"/>
      <c r="I213" s="84"/>
      <c r="J213" s="84"/>
      <c r="K213" s="84"/>
      <c r="L213" s="79"/>
      <c r="M213" s="186"/>
      <c r="N213" s="84"/>
      <c r="O213" s="84"/>
      <c r="P213" s="84"/>
    </row>
    <row r="214" spans="1:16" ht="15.75" customHeight="1">
      <c r="A214" s="185"/>
      <c r="B214" s="82"/>
      <c r="C214" s="81"/>
      <c r="D214" s="82"/>
      <c r="E214" s="81"/>
      <c r="F214" s="79"/>
      <c r="G214" s="82"/>
      <c r="H214" s="81"/>
      <c r="I214" s="84"/>
      <c r="J214" s="84"/>
      <c r="K214" s="84"/>
      <c r="L214" s="79"/>
      <c r="M214" s="186"/>
      <c r="N214" s="84"/>
      <c r="O214" s="84"/>
      <c r="P214" s="84"/>
    </row>
    <row r="215" spans="1:16" ht="15.75" customHeight="1">
      <c r="A215" s="185"/>
      <c r="B215" s="82"/>
      <c r="C215" s="81"/>
      <c r="D215" s="82"/>
      <c r="E215" s="81"/>
      <c r="F215" s="79"/>
      <c r="G215" s="82"/>
      <c r="H215" s="81"/>
      <c r="I215" s="84"/>
      <c r="J215" s="84"/>
      <c r="K215" s="84"/>
      <c r="L215" s="79"/>
      <c r="M215" s="186"/>
      <c r="N215" s="84"/>
      <c r="O215" s="84"/>
      <c r="P215" s="84"/>
    </row>
    <row r="216" spans="1:16" ht="15.75" customHeight="1">
      <c r="A216" s="185"/>
      <c r="B216" s="82"/>
      <c r="C216" s="81"/>
      <c r="D216" s="82"/>
      <c r="E216" s="81"/>
      <c r="F216" s="79"/>
      <c r="G216" s="82"/>
      <c r="H216" s="81"/>
      <c r="I216" s="84"/>
      <c r="J216" s="84"/>
      <c r="K216" s="84"/>
      <c r="L216" s="79"/>
      <c r="M216" s="186"/>
      <c r="N216" s="84"/>
      <c r="O216" s="84"/>
      <c r="P216" s="84"/>
    </row>
    <row r="217" spans="1:16" ht="15.75" customHeight="1">
      <c r="A217" s="185"/>
      <c r="B217" s="82"/>
      <c r="C217" s="81"/>
      <c r="D217" s="82"/>
      <c r="E217" s="81"/>
      <c r="F217" s="79"/>
      <c r="G217" s="82"/>
      <c r="H217" s="81"/>
      <c r="I217" s="84"/>
      <c r="J217" s="84"/>
      <c r="K217" s="84"/>
      <c r="L217" s="79"/>
      <c r="M217" s="186"/>
      <c r="N217" s="84"/>
      <c r="O217" s="84"/>
      <c r="P217" s="84"/>
    </row>
    <row r="218" spans="1:16" ht="15.75" customHeight="1">
      <c r="A218" s="185"/>
      <c r="B218" s="82"/>
      <c r="C218" s="81"/>
      <c r="D218" s="82"/>
      <c r="E218" s="81"/>
      <c r="F218" s="79"/>
      <c r="G218" s="82"/>
      <c r="H218" s="81"/>
      <c r="I218" s="84"/>
      <c r="J218" s="84"/>
      <c r="K218" s="84"/>
      <c r="L218" s="79"/>
      <c r="M218" s="186"/>
      <c r="N218" s="84"/>
      <c r="O218" s="84"/>
      <c r="P218" s="84"/>
    </row>
    <row r="219" spans="1:16" ht="15.75" customHeight="1">
      <c r="A219" s="185"/>
      <c r="B219" s="82"/>
      <c r="C219" s="81"/>
      <c r="D219" s="82"/>
      <c r="E219" s="81"/>
      <c r="F219" s="79"/>
      <c r="G219" s="82"/>
      <c r="H219" s="81"/>
      <c r="I219" s="84"/>
      <c r="J219" s="84"/>
      <c r="K219" s="84"/>
      <c r="L219" s="79"/>
      <c r="M219" s="186"/>
      <c r="N219" s="84"/>
      <c r="O219" s="84"/>
      <c r="P219" s="84"/>
    </row>
    <row r="220" spans="1:16" ht="15.75" customHeight="1">
      <c r="A220" s="185"/>
      <c r="B220" s="82"/>
      <c r="C220" s="81"/>
      <c r="D220" s="82"/>
      <c r="E220" s="81"/>
      <c r="F220" s="79"/>
      <c r="G220" s="82"/>
      <c r="H220" s="81"/>
      <c r="I220" s="84"/>
      <c r="J220" s="84"/>
      <c r="K220" s="84"/>
      <c r="L220" s="79"/>
      <c r="M220" s="186"/>
      <c r="N220" s="84"/>
      <c r="O220" s="84"/>
      <c r="P220" s="84"/>
    </row>
    <row r="221" spans="1:16" ht="15.75" customHeight="1">
      <c r="A221" s="185"/>
      <c r="B221" s="82"/>
      <c r="C221" s="81"/>
      <c r="D221" s="82"/>
      <c r="E221" s="81"/>
      <c r="F221" s="79"/>
      <c r="G221" s="82"/>
      <c r="H221" s="81"/>
      <c r="I221" s="84"/>
      <c r="J221" s="84"/>
      <c r="K221" s="84"/>
      <c r="L221" s="79"/>
      <c r="M221" s="186"/>
      <c r="N221" s="84"/>
      <c r="O221" s="84"/>
      <c r="P221" s="84"/>
    </row>
    <row r="222" spans="1:16" ht="15.75" customHeight="1">
      <c r="A222" s="185"/>
      <c r="B222" s="82"/>
      <c r="C222" s="81"/>
      <c r="D222" s="82"/>
      <c r="E222" s="81"/>
      <c r="F222" s="79"/>
      <c r="G222" s="82"/>
      <c r="H222" s="81"/>
      <c r="I222" s="84"/>
      <c r="J222" s="84"/>
      <c r="K222" s="84"/>
      <c r="L222" s="79"/>
      <c r="M222" s="186"/>
      <c r="N222" s="84"/>
      <c r="O222" s="84"/>
      <c r="P222" s="84"/>
    </row>
    <row r="223" spans="1:16" ht="15.75" customHeight="1">
      <c r="A223" s="185"/>
      <c r="B223" s="82"/>
      <c r="C223" s="81"/>
      <c r="D223" s="82"/>
      <c r="E223" s="81"/>
      <c r="F223" s="79"/>
      <c r="G223" s="82"/>
      <c r="H223" s="81"/>
      <c r="I223" s="84"/>
      <c r="J223" s="84"/>
      <c r="K223" s="84"/>
      <c r="L223" s="79"/>
      <c r="M223" s="186"/>
      <c r="N223" s="84"/>
      <c r="O223" s="84"/>
      <c r="P223" s="84"/>
    </row>
    <row r="224" spans="1:16" ht="15.75" customHeight="1">
      <c r="A224" s="185"/>
      <c r="B224" s="82"/>
      <c r="C224" s="81"/>
      <c r="D224" s="82"/>
      <c r="E224" s="81"/>
      <c r="F224" s="79"/>
      <c r="G224" s="82"/>
      <c r="H224" s="81"/>
      <c r="I224" s="84"/>
      <c r="J224" s="84"/>
      <c r="K224" s="84"/>
      <c r="L224" s="79"/>
      <c r="M224" s="186"/>
      <c r="N224" s="84"/>
      <c r="O224" s="84"/>
      <c r="P224" s="84"/>
    </row>
    <row r="225" spans="1:16" ht="15.75" customHeight="1">
      <c r="A225" s="185"/>
      <c r="B225" s="82"/>
      <c r="C225" s="81"/>
      <c r="D225" s="82"/>
      <c r="E225" s="81"/>
      <c r="F225" s="79"/>
      <c r="G225" s="82"/>
      <c r="H225" s="81"/>
      <c r="I225" s="84"/>
      <c r="J225" s="84"/>
      <c r="K225" s="84"/>
      <c r="L225" s="79"/>
      <c r="M225" s="186"/>
      <c r="N225" s="84"/>
      <c r="O225" s="84"/>
      <c r="P225" s="84"/>
    </row>
    <row r="226" spans="1:16" ht="15.75" customHeight="1">
      <c r="A226" s="185"/>
      <c r="B226" s="82"/>
      <c r="C226" s="81"/>
      <c r="D226" s="82"/>
      <c r="E226" s="81"/>
      <c r="F226" s="79"/>
      <c r="G226" s="82"/>
      <c r="H226" s="81"/>
      <c r="I226" s="84"/>
      <c r="J226" s="84"/>
      <c r="K226" s="84"/>
      <c r="L226" s="79"/>
      <c r="M226" s="186"/>
      <c r="N226" s="84"/>
      <c r="O226" s="84"/>
      <c r="P226" s="84"/>
    </row>
    <row r="227" spans="1:16" ht="15.75" customHeight="1">
      <c r="A227" s="185"/>
      <c r="B227" s="82"/>
      <c r="C227" s="81"/>
      <c r="D227" s="82"/>
      <c r="E227" s="81"/>
      <c r="F227" s="79"/>
      <c r="G227" s="82"/>
      <c r="H227" s="81"/>
      <c r="I227" s="84"/>
      <c r="J227" s="84"/>
      <c r="K227" s="84"/>
      <c r="L227" s="79"/>
      <c r="M227" s="186"/>
      <c r="N227" s="84"/>
      <c r="O227" s="84"/>
      <c r="P227" s="84"/>
    </row>
    <row r="228" spans="1:16" ht="15.75" customHeight="1">
      <c r="A228" s="185"/>
      <c r="B228" s="82"/>
      <c r="C228" s="81"/>
      <c r="D228" s="82"/>
      <c r="E228" s="81"/>
      <c r="F228" s="79"/>
      <c r="G228" s="82"/>
      <c r="H228" s="81"/>
      <c r="I228" s="84"/>
      <c r="J228" s="84"/>
      <c r="K228" s="84"/>
      <c r="L228" s="79"/>
      <c r="M228" s="186"/>
      <c r="N228" s="84"/>
      <c r="O228" s="84"/>
      <c r="P228" s="84"/>
    </row>
    <row r="229" spans="1:16" ht="15.75" customHeight="1">
      <c r="A229" s="185"/>
      <c r="B229" s="82"/>
      <c r="C229" s="81"/>
      <c r="D229" s="82"/>
      <c r="E229" s="81"/>
      <c r="F229" s="79"/>
      <c r="G229" s="82"/>
      <c r="H229" s="81"/>
      <c r="I229" s="84"/>
      <c r="J229" s="84"/>
      <c r="K229" s="84"/>
      <c r="L229" s="79"/>
      <c r="M229" s="186"/>
      <c r="N229" s="84"/>
      <c r="O229" s="84"/>
      <c r="P229" s="84"/>
    </row>
    <row r="230" spans="1:16" ht="15.75" customHeight="1">
      <c r="A230" s="185"/>
      <c r="B230" s="82"/>
      <c r="C230" s="81"/>
      <c r="D230" s="82"/>
      <c r="E230" s="81"/>
      <c r="F230" s="79"/>
      <c r="G230" s="82"/>
      <c r="H230" s="81"/>
      <c r="I230" s="84"/>
      <c r="J230" s="84"/>
      <c r="K230" s="84"/>
      <c r="L230" s="79"/>
      <c r="M230" s="186"/>
      <c r="N230" s="84"/>
      <c r="O230" s="84"/>
      <c r="P230" s="84"/>
    </row>
    <row r="231" spans="1:16" ht="15.75" customHeight="1">
      <c r="A231" s="185"/>
      <c r="B231" s="82"/>
      <c r="C231" s="81"/>
      <c r="D231" s="82"/>
      <c r="E231" s="81"/>
      <c r="F231" s="79"/>
      <c r="G231" s="82"/>
      <c r="H231" s="81"/>
      <c r="I231" s="84"/>
      <c r="J231" s="84"/>
      <c r="K231" s="84"/>
      <c r="L231" s="79"/>
      <c r="M231" s="186"/>
      <c r="N231" s="84"/>
      <c r="O231" s="84"/>
      <c r="P231" s="84"/>
    </row>
    <row r="232" spans="1:16" ht="15.75" customHeight="1">
      <c r="A232" s="185"/>
      <c r="B232" s="82"/>
      <c r="C232" s="81"/>
      <c r="D232" s="82"/>
      <c r="E232" s="81"/>
      <c r="F232" s="79"/>
      <c r="G232" s="82"/>
      <c r="H232" s="81"/>
      <c r="I232" s="84"/>
      <c r="J232" s="84"/>
      <c r="K232" s="84"/>
      <c r="L232" s="79"/>
      <c r="M232" s="186"/>
      <c r="N232" s="84"/>
      <c r="O232" s="84"/>
      <c r="P232" s="84"/>
    </row>
    <row r="233" spans="1:16" ht="15.75" customHeight="1">
      <c r="A233" s="185"/>
      <c r="B233" s="82"/>
      <c r="C233" s="81"/>
      <c r="D233" s="82"/>
      <c r="E233" s="81"/>
      <c r="F233" s="79"/>
      <c r="G233" s="82"/>
      <c r="H233" s="81"/>
      <c r="I233" s="84"/>
      <c r="J233" s="84"/>
      <c r="K233" s="84"/>
      <c r="L233" s="79"/>
      <c r="M233" s="186"/>
      <c r="N233" s="84"/>
      <c r="O233" s="84"/>
      <c r="P233" s="84"/>
    </row>
    <row r="234" spans="1:16" ht="15.75" customHeight="1">
      <c r="A234" s="185"/>
      <c r="B234" s="82"/>
      <c r="C234" s="81"/>
      <c r="D234" s="82"/>
      <c r="E234" s="81"/>
      <c r="F234" s="79"/>
      <c r="G234" s="82"/>
      <c r="H234" s="81"/>
      <c r="I234" s="84"/>
      <c r="J234" s="84"/>
      <c r="K234" s="84"/>
      <c r="L234" s="79"/>
      <c r="M234" s="186"/>
      <c r="N234" s="84"/>
      <c r="O234" s="84"/>
      <c r="P234" s="84"/>
    </row>
    <row r="235" spans="1:16" ht="15.75" customHeight="1">
      <c r="A235" s="185"/>
      <c r="B235" s="82"/>
      <c r="C235" s="81"/>
      <c r="D235" s="82"/>
      <c r="E235" s="81"/>
      <c r="F235" s="79"/>
      <c r="G235" s="82"/>
      <c r="H235" s="81"/>
      <c r="I235" s="84"/>
      <c r="J235" s="84"/>
      <c r="K235" s="84"/>
      <c r="L235" s="79"/>
      <c r="M235" s="186"/>
      <c r="N235" s="84"/>
      <c r="O235" s="84"/>
      <c r="P235" s="84"/>
    </row>
    <row r="236" spans="1:16" ht="15.75" customHeight="1">
      <c r="A236" s="185"/>
      <c r="B236" s="82"/>
      <c r="C236" s="81"/>
      <c r="D236" s="82"/>
      <c r="E236" s="81"/>
      <c r="F236" s="79"/>
      <c r="G236" s="82"/>
      <c r="H236" s="81"/>
      <c r="I236" s="84"/>
      <c r="J236" s="84"/>
      <c r="K236" s="84"/>
      <c r="L236" s="79"/>
      <c r="M236" s="186"/>
      <c r="N236" s="84"/>
      <c r="O236" s="84"/>
      <c r="P236" s="84"/>
    </row>
    <row r="237" spans="1:16" ht="15.75" customHeight="1">
      <c r="A237" s="185"/>
      <c r="B237" s="82"/>
      <c r="C237" s="81"/>
      <c r="D237" s="82"/>
      <c r="E237" s="81"/>
      <c r="F237" s="79"/>
      <c r="G237" s="82"/>
      <c r="H237" s="81"/>
      <c r="I237" s="84"/>
      <c r="J237" s="84"/>
      <c r="K237" s="84"/>
      <c r="L237" s="79"/>
      <c r="M237" s="186"/>
      <c r="N237" s="84"/>
      <c r="O237" s="84"/>
      <c r="P237" s="84"/>
    </row>
    <row r="238" spans="1:16" ht="15.75" customHeight="1">
      <c r="A238" s="185"/>
      <c r="B238" s="82"/>
      <c r="C238" s="81"/>
      <c r="D238" s="82"/>
      <c r="E238" s="81"/>
      <c r="F238" s="79"/>
      <c r="G238" s="82"/>
      <c r="H238" s="81"/>
      <c r="I238" s="84"/>
      <c r="J238" s="84"/>
      <c r="K238" s="84"/>
      <c r="L238" s="79"/>
      <c r="M238" s="186"/>
      <c r="N238" s="84"/>
      <c r="O238" s="84"/>
      <c r="P238" s="84"/>
    </row>
    <row r="239" spans="1:16" ht="15.75" customHeight="1">
      <c r="A239" s="185"/>
      <c r="B239" s="82"/>
      <c r="C239" s="81"/>
      <c r="D239" s="82"/>
      <c r="E239" s="81"/>
      <c r="F239" s="79"/>
      <c r="G239" s="82"/>
      <c r="H239" s="81"/>
      <c r="I239" s="84"/>
      <c r="J239" s="84"/>
      <c r="K239" s="84"/>
      <c r="L239" s="79"/>
      <c r="M239" s="186"/>
      <c r="N239" s="84"/>
      <c r="O239" s="84"/>
      <c r="P239" s="84"/>
    </row>
    <row r="240" spans="1:16" ht="15.75" customHeight="1">
      <c r="A240" s="185"/>
      <c r="B240" s="82"/>
      <c r="C240" s="81"/>
      <c r="D240" s="82"/>
      <c r="E240" s="81"/>
      <c r="F240" s="79"/>
      <c r="G240" s="82"/>
      <c r="H240" s="81"/>
      <c r="I240" s="84"/>
      <c r="J240" s="84"/>
      <c r="K240" s="84"/>
      <c r="L240" s="79"/>
      <c r="M240" s="186"/>
      <c r="N240" s="84"/>
      <c r="O240" s="84"/>
      <c r="P240" s="84"/>
    </row>
    <row r="241" spans="1:16" ht="15.75" customHeight="1">
      <c r="A241" s="185"/>
      <c r="B241" s="82"/>
      <c r="C241" s="81"/>
      <c r="D241" s="82"/>
      <c r="E241" s="81"/>
      <c r="F241" s="79"/>
      <c r="G241" s="82"/>
      <c r="H241" s="81"/>
      <c r="I241" s="84"/>
      <c r="J241" s="84"/>
      <c r="K241" s="84"/>
      <c r="L241" s="79"/>
      <c r="M241" s="186"/>
      <c r="N241" s="84"/>
      <c r="O241" s="84"/>
      <c r="P241" s="84"/>
    </row>
    <row r="242" spans="1:16" ht="15.75" customHeight="1">
      <c r="A242" s="185"/>
      <c r="B242" s="82"/>
      <c r="C242" s="81"/>
      <c r="D242" s="82"/>
      <c r="E242" s="81"/>
      <c r="F242" s="79"/>
      <c r="G242" s="82"/>
      <c r="H242" s="81"/>
      <c r="I242" s="84"/>
      <c r="J242" s="84"/>
      <c r="K242" s="84"/>
      <c r="L242" s="79"/>
      <c r="M242" s="186"/>
      <c r="N242" s="84"/>
      <c r="O242" s="84"/>
      <c r="P242" s="84"/>
    </row>
    <row r="243" spans="1:16" ht="15.75" customHeight="1">
      <c r="A243" s="185"/>
      <c r="B243" s="82"/>
      <c r="C243" s="81"/>
      <c r="D243" s="82"/>
      <c r="E243" s="81"/>
      <c r="F243" s="79"/>
      <c r="G243" s="82"/>
      <c r="H243" s="81"/>
      <c r="I243" s="84"/>
      <c r="J243" s="84"/>
      <c r="K243" s="84"/>
      <c r="L243" s="79"/>
      <c r="M243" s="186"/>
      <c r="N243" s="84"/>
      <c r="O243" s="84"/>
      <c r="P243" s="84"/>
    </row>
    <row r="244" spans="1:16" ht="15.75" customHeight="1">
      <c r="A244" s="185"/>
      <c r="B244" s="82"/>
      <c r="C244" s="81"/>
      <c r="D244" s="82"/>
      <c r="E244" s="81"/>
      <c r="F244" s="79"/>
      <c r="G244" s="82"/>
      <c r="H244" s="81"/>
      <c r="I244" s="84"/>
      <c r="J244" s="84"/>
      <c r="K244" s="84"/>
      <c r="L244" s="79"/>
      <c r="M244" s="186"/>
      <c r="N244" s="84"/>
      <c r="O244" s="84"/>
      <c r="P244" s="84"/>
    </row>
    <row r="245" spans="1:16" ht="15.75" customHeight="1">
      <c r="A245" s="185"/>
      <c r="B245" s="82"/>
      <c r="C245" s="81"/>
      <c r="D245" s="82"/>
      <c r="E245" s="81"/>
      <c r="F245" s="79"/>
      <c r="G245" s="82"/>
      <c r="H245" s="81"/>
      <c r="I245" s="84"/>
      <c r="J245" s="84"/>
      <c r="K245" s="84"/>
      <c r="L245" s="79"/>
      <c r="M245" s="186"/>
      <c r="N245" s="84"/>
      <c r="O245" s="84"/>
      <c r="P245" s="84"/>
    </row>
    <row r="246" spans="1:16" ht="15.75" customHeight="1">
      <c r="A246" s="185"/>
      <c r="B246" s="82"/>
      <c r="C246" s="81"/>
      <c r="D246" s="82"/>
      <c r="E246" s="81"/>
      <c r="F246" s="79"/>
      <c r="G246" s="82"/>
      <c r="H246" s="81"/>
      <c r="I246" s="84"/>
      <c r="J246" s="84"/>
      <c r="K246" s="84"/>
      <c r="L246" s="79"/>
      <c r="M246" s="186"/>
      <c r="N246" s="84"/>
      <c r="O246" s="84"/>
      <c r="P246" s="84"/>
    </row>
    <row r="247" spans="1:16" ht="15.75" customHeight="1">
      <c r="A247" s="185"/>
      <c r="B247" s="82"/>
      <c r="C247" s="81"/>
      <c r="D247" s="82"/>
      <c r="E247" s="81"/>
      <c r="F247" s="79"/>
      <c r="G247" s="82"/>
      <c r="H247" s="81"/>
      <c r="I247" s="84"/>
      <c r="J247" s="84"/>
      <c r="K247" s="84"/>
      <c r="L247" s="79"/>
      <c r="M247" s="186"/>
      <c r="N247" s="84"/>
      <c r="O247" s="84"/>
      <c r="P247" s="84"/>
    </row>
    <row r="248" spans="1:16" ht="15.75" customHeight="1">
      <c r="A248" s="185"/>
      <c r="B248" s="82"/>
      <c r="C248" s="81"/>
      <c r="D248" s="82"/>
      <c r="E248" s="81"/>
      <c r="F248" s="79"/>
      <c r="G248" s="82"/>
      <c r="H248" s="81"/>
      <c r="I248" s="84"/>
      <c r="J248" s="84"/>
      <c r="K248" s="84"/>
      <c r="L248" s="79"/>
      <c r="M248" s="186"/>
      <c r="N248" s="84"/>
      <c r="O248" s="84"/>
      <c r="P248" s="84"/>
    </row>
    <row r="249" spans="1:16" ht="15.75" customHeight="1">
      <c r="A249" s="185"/>
      <c r="B249" s="82"/>
      <c r="C249" s="81"/>
      <c r="D249" s="82"/>
      <c r="E249" s="81"/>
      <c r="F249" s="79"/>
      <c r="G249" s="82"/>
      <c r="H249" s="81"/>
      <c r="I249" s="84"/>
      <c r="J249" s="84"/>
      <c r="K249" s="84"/>
      <c r="L249" s="79"/>
      <c r="M249" s="186"/>
      <c r="N249" s="84"/>
      <c r="O249" s="84"/>
      <c r="P249" s="84"/>
    </row>
    <row r="250" spans="1:16" ht="15.75" customHeight="1">
      <c r="A250" s="185"/>
      <c r="B250" s="82"/>
      <c r="C250" s="81"/>
      <c r="D250" s="82"/>
      <c r="E250" s="81"/>
      <c r="F250" s="79"/>
      <c r="G250" s="82"/>
      <c r="H250" s="81"/>
      <c r="I250" s="84"/>
      <c r="J250" s="84"/>
      <c r="K250" s="84"/>
      <c r="L250" s="79"/>
      <c r="M250" s="186"/>
      <c r="N250" s="84"/>
      <c r="O250" s="84"/>
      <c r="P250" s="84"/>
    </row>
    <row r="251" spans="1:16" ht="15.75" customHeight="1">
      <c r="A251" s="185"/>
      <c r="B251" s="82"/>
      <c r="C251" s="81"/>
      <c r="D251" s="82"/>
      <c r="E251" s="81"/>
      <c r="F251" s="79"/>
      <c r="G251" s="82"/>
      <c r="H251" s="81"/>
      <c r="I251" s="84"/>
      <c r="J251" s="84"/>
      <c r="K251" s="84"/>
      <c r="L251" s="79"/>
      <c r="M251" s="186"/>
      <c r="N251" s="84"/>
      <c r="O251" s="84"/>
      <c r="P251" s="84"/>
    </row>
    <row r="252" spans="1:16" ht="15.75" customHeight="1">
      <c r="A252" s="185"/>
      <c r="B252" s="82"/>
      <c r="C252" s="81"/>
      <c r="D252" s="82"/>
      <c r="E252" s="81"/>
      <c r="F252" s="79"/>
      <c r="G252" s="82"/>
      <c r="H252" s="81"/>
      <c r="I252" s="84"/>
      <c r="J252" s="84"/>
      <c r="K252" s="84"/>
      <c r="L252" s="79"/>
      <c r="M252" s="186"/>
      <c r="N252" s="84"/>
      <c r="O252" s="84"/>
      <c r="P252" s="84"/>
    </row>
    <row r="253" spans="1:16" ht="15.75" customHeight="1">
      <c r="A253" s="185"/>
      <c r="B253" s="82"/>
      <c r="C253" s="81"/>
      <c r="D253" s="82"/>
      <c r="E253" s="81"/>
      <c r="F253" s="79"/>
      <c r="G253" s="82"/>
      <c r="H253" s="81"/>
      <c r="I253" s="84"/>
      <c r="J253" s="84"/>
      <c r="K253" s="84"/>
      <c r="L253" s="79"/>
      <c r="M253" s="186"/>
      <c r="N253" s="84"/>
      <c r="O253" s="84"/>
      <c r="P253" s="84"/>
    </row>
    <row r="254" spans="1:16" ht="15.75" customHeight="1">
      <c r="A254" s="185"/>
      <c r="B254" s="82"/>
      <c r="C254" s="81"/>
      <c r="D254" s="82"/>
      <c r="E254" s="81"/>
      <c r="F254" s="79"/>
      <c r="G254" s="82"/>
      <c r="H254" s="81"/>
      <c r="I254" s="84"/>
      <c r="J254" s="84"/>
      <c r="K254" s="84"/>
      <c r="L254" s="79"/>
      <c r="M254" s="186"/>
      <c r="N254" s="84"/>
      <c r="O254" s="84"/>
      <c r="P254" s="84"/>
    </row>
    <row r="255" spans="1:16" ht="15.75" customHeight="1">
      <c r="A255" s="185"/>
      <c r="B255" s="82"/>
      <c r="C255" s="81"/>
      <c r="D255" s="82"/>
      <c r="E255" s="81"/>
      <c r="F255" s="79"/>
      <c r="G255" s="82"/>
      <c r="H255" s="81"/>
      <c r="I255" s="84"/>
      <c r="J255" s="84"/>
      <c r="K255" s="84"/>
      <c r="L255" s="79"/>
      <c r="M255" s="186"/>
      <c r="N255" s="84"/>
      <c r="O255" s="84"/>
      <c r="P255" s="84"/>
    </row>
    <row r="256" spans="1:16" ht="15.75" customHeight="1">
      <c r="A256" s="185"/>
      <c r="B256" s="82"/>
      <c r="C256" s="81"/>
      <c r="D256" s="82"/>
      <c r="E256" s="81"/>
      <c r="F256" s="79"/>
      <c r="G256" s="82"/>
      <c r="H256" s="81"/>
      <c r="I256" s="84"/>
      <c r="J256" s="84"/>
      <c r="K256" s="84"/>
      <c r="L256" s="79"/>
      <c r="M256" s="186"/>
      <c r="N256" s="84"/>
      <c r="O256" s="84"/>
      <c r="P256" s="84"/>
    </row>
    <row r="257" spans="1:16" ht="15.75" customHeight="1">
      <c r="A257" s="185"/>
      <c r="B257" s="82"/>
      <c r="C257" s="81"/>
      <c r="D257" s="82"/>
      <c r="E257" s="81"/>
      <c r="F257" s="79"/>
      <c r="G257" s="82"/>
      <c r="H257" s="81"/>
      <c r="I257" s="84"/>
      <c r="J257" s="84"/>
      <c r="K257" s="84"/>
      <c r="L257" s="79"/>
      <c r="M257" s="186"/>
      <c r="N257" s="84"/>
      <c r="O257" s="84"/>
      <c r="P257" s="84"/>
    </row>
    <row r="258" spans="1:16" ht="15.75" customHeight="1">
      <c r="A258" s="185"/>
      <c r="B258" s="82"/>
      <c r="C258" s="81"/>
      <c r="D258" s="82"/>
      <c r="E258" s="81"/>
      <c r="F258" s="79"/>
      <c r="G258" s="82"/>
      <c r="H258" s="81"/>
      <c r="I258" s="84"/>
      <c r="J258" s="84"/>
      <c r="K258" s="84"/>
      <c r="L258" s="79"/>
      <c r="M258" s="186"/>
      <c r="N258" s="84"/>
      <c r="O258" s="84"/>
      <c r="P258" s="84"/>
    </row>
    <row r="259" spans="1:16" ht="15.75" customHeight="1">
      <c r="A259" s="185"/>
      <c r="B259" s="82"/>
      <c r="C259" s="81"/>
      <c r="D259" s="82"/>
      <c r="E259" s="81"/>
      <c r="F259" s="79"/>
      <c r="G259" s="82"/>
      <c r="H259" s="81"/>
      <c r="I259" s="84"/>
      <c r="J259" s="84"/>
      <c r="K259" s="84"/>
      <c r="L259" s="79"/>
      <c r="M259" s="186"/>
      <c r="N259" s="84"/>
      <c r="O259" s="84"/>
      <c r="P259" s="84"/>
    </row>
    <row r="260" spans="1:16" ht="15.75" customHeight="1">
      <c r="A260" s="185"/>
      <c r="B260" s="82"/>
      <c r="C260" s="81"/>
      <c r="D260" s="82"/>
      <c r="E260" s="81"/>
      <c r="F260" s="79"/>
      <c r="G260" s="82"/>
      <c r="H260" s="81"/>
      <c r="I260" s="84"/>
      <c r="J260" s="84"/>
      <c r="K260" s="84"/>
      <c r="L260" s="79"/>
      <c r="M260" s="186"/>
      <c r="N260" s="84"/>
      <c r="O260" s="84"/>
      <c r="P260" s="84"/>
    </row>
    <row r="261" spans="1:16" ht="15.75" customHeight="1">
      <c r="A261" s="185"/>
      <c r="B261" s="82"/>
      <c r="C261" s="81"/>
      <c r="D261" s="82"/>
      <c r="E261" s="81"/>
      <c r="F261" s="79"/>
      <c r="G261" s="82"/>
      <c r="H261" s="81"/>
      <c r="I261" s="84"/>
      <c r="J261" s="84"/>
      <c r="K261" s="84"/>
      <c r="L261" s="79"/>
      <c r="M261" s="186"/>
      <c r="N261" s="84"/>
      <c r="O261" s="84"/>
      <c r="P261" s="84"/>
    </row>
    <row r="262" spans="1:16" ht="15.75" customHeight="1">
      <c r="A262" s="185"/>
      <c r="B262" s="82"/>
      <c r="C262" s="81"/>
      <c r="D262" s="82"/>
      <c r="E262" s="81"/>
      <c r="F262" s="79"/>
      <c r="G262" s="82"/>
      <c r="H262" s="81"/>
      <c r="I262" s="84"/>
      <c r="J262" s="84"/>
      <c r="K262" s="84"/>
      <c r="L262" s="79"/>
      <c r="M262" s="186"/>
      <c r="N262" s="84"/>
      <c r="O262" s="84"/>
      <c r="P262" s="84"/>
    </row>
    <row r="263" spans="1:16" ht="15.75" customHeight="1">
      <c r="A263" s="185"/>
      <c r="B263" s="82"/>
      <c r="C263" s="81"/>
      <c r="D263" s="82"/>
      <c r="E263" s="81"/>
      <c r="F263" s="79"/>
      <c r="G263" s="82"/>
      <c r="H263" s="81"/>
      <c r="I263" s="84"/>
      <c r="J263" s="84"/>
      <c r="K263" s="84"/>
      <c r="L263" s="79"/>
      <c r="M263" s="186"/>
      <c r="N263" s="84"/>
      <c r="O263" s="84"/>
      <c r="P263" s="84"/>
    </row>
    <row r="264" spans="1:16" ht="15.75" customHeight="1">
      <c r="A264" s="185"/>
      <c r="B264" s="82"/>
      <c r="C264" s="81"/>
      <c r="D264" s="82"/>
      <c r="E264" s="81"/>
      <c r="F264" s="79"/>
      <c r="G264" s="82"/>
      <c r="H264" s="81"/>
      <c r="I264" s="84"/>
      <c r="J264" s="84"/>
      <c r="K264" s="84"/>
      <c r="L264" s="79"/>
      <c r="M264" s="186"/>
      <c r="N264" s="84"/>
      <c r="O264" s="84"/>
      <c r="P264" s="84"/>
    </row>
    <row r="265" spans="1:16" ht="15.75" customHeight="1">
      <c r="A265" s="185"/>
      <c r="B265" s="82"/>
      <c r="C265" s="81"/>
      <c r="D265" s="82"/>
      <c r="E265" s="81"/>
      <c r="F265" s="79"/>
      <c r="G265" s="82"/>
      <c r="H265" s="81"/>
      <c r="I265" s="84"/>
      <c r="J265" s="84"/>
      <c r="K265" s="84"/>
      <c r="L265" s="79"/>
      <c r="M265" s="186"/>
      <c r="N265" s="84"/>
      <c r="O265" s="84"/>
      <c r="P265" s="84"/>
    </row>
    <row r="266" spans="1:16" ht="15.75" customHeight="1">
      <c r="A266" s="185"/>
      <c r="B266" s="82"/>
      <c r="C266" s="81"/>
      <c r="D266" s="82"/>
      <c r="E266" s="81"/>
      <c r="F266" s="79"/>
      <c r="G266" s="82"/>
      <c r="H266" s="81"/>
      <c r="I266" s="84"/>
      <c r="J266" s="84"/>
      <c r="K266" s="84"/>
      <c r="L266" s="79"/>
      <c r="M266" s="186"/>
      <c r="N266" s="84"/>
      <c r="O266" s="84"/>
      <c r="P266" s="84"/>
    </row>
    <row r="267" spans="1:16" ht="15.75" customHeight="1">
      <c r="A267" s="185"/>
      <c r="B267" s="82"/>
      <c r="C267" s="81"/>
      <c r="D267" s="82"/>
      <c r="E267" s="81"/>
      <c r="F267" s="79"/>
      <c r="G267" s="82"/>
      <c r="H267" s="81"/>
      <c r="I267" s="84"/>
      <c r="J267" s="84"/>
      <c r="K267" s="84"/>
      <c r="L267" s="79"/>
      <c r="M267" s="186"/>
      <c r="N267" s="84"/>
      <c r="O267" s="84"/>
      <c r="P267" s="84"/>
    </row>
    <row r="268" spans="1:16" ht="15.75" customHeight="1">
      <c r="A268" s="185"/>
      <c r="B268" s="82"/>
      <c r="C268" s="81"/>
      <c r="D268" s="82"/>
      <c r="E268" s="81"/>
      <c r="F268" s="79"/>
      <c r="G268" s="82"/>
      <c r="H268" s="81"/>
      <c r="I268" s="84"/>
      <c r="J268" s="84"/>
      <c r="K268" s="84"/>
      <c r="L268" s="79"/>
      <c r="M268" s="186"/>
      <c r="N268" s="84"/>
      <c r="O268" s="84"/>
      <c r="P268" s="84"/>
    </row>
    <row r="269" spans="1:16" ht="15.75" customHeight="1">
      <c r="A269" s="185"/>
      <c r="B269" s="82"/>
      <c r="C269" s="81"/>
      <c r="D269" s="82"/>
      <c r="E269" s="81"/>
      <c r="F269" s="79"/>
      <c r="G269" s="82"/>
      <c r="H269" s="81"/>
      <c r="I269" s="84"/>
      <c r="J269" s="84"/>
      <c r="K269" s="84"/>
      <c r="L269" s="79"/>
      <c r="M269" s="186"/>
      <c r="N269" s="84"/>
      <c r="O269" s="84"/>
      <c r="P269" s="84"/>
    </row>
    <row r="270" spans="1:16" ht="15.75" customHeight="1">
      <c r="A270" s="185"/>
      <c r="B270" s="82"/>
      <c r="C270" s="81"/>
      <c r="D270" s="82"/>
      <c r="E270" s="81"/>
      <c r="F270" s="79"/>
      <c r="G270" s="82"/>
      <c r="H270" s="81"/>
      <c r="I270" s="84"/>
      <c r="J270" s="84"/>
      <c r="K270" s="84"/>
      <c r="L270" s="79"/>
      <c r="M270" s="186"/>
      <c r="N270" s="84"/>
      <c r="O270" s="84"/>
      <c r="P270" s="84"/>
    </row>
    <row r="271" spans="1:16" ht="15.75" customHeight="1">
      <c r="A271" s="185"/>
      <c r="B271" s="82"/>
      <c r="C271" s="81"/>
      <c r="D271" s="82"/>
      <c r="E271" s="81"/>
      <c r="F271" s="79"/>
      <c r="G271" s="82"/>
      <c r="H271" s="81"/>
      <c r="I271" s="84"/>
      <c r="J271" s="84"/>
      <c r="K271" s="84"/>
      <c r="L271" s="79"/>
      <c r="M271" s="186"/>
      <c r="N271" s="84"/>
      <c r="O271" s="84"/>
      <c r="P271" s="84"/>
    </row>
    <row r="272" spans="1:16" ht="15.75" customHeight="1">
      <c r="A272" s="185"/>
      <c r="B272" s="82"/>
      <c r="C272" s="81"/>
      <c r="D272" s="82"/>
      <c r="E272" s="81"/>
      <c r="F272" s="79"/>
      <c r="G272" s="82"/>
      <c r="H272" s="81"/>
      <c r="I272" s="84"/>
      <c r="J272" s="84"/>
      <c r="K272" s="84"/>
      <c r="L272" s="79"/>
      <c r="M272" s="186"/>
      <c r="N272" s="84"/>
      <c r="O272" s="84"/>
      <c r="P272" s="84"/>
    </row>
    <row r="273" spans="1:16" ht="15.75" customHeight="1">
      <c r="A273" s="185"/>
      <c r="B273" s="82"/>
      <c r="C273" s="81"/>
      <c r="D273" s="82"/>
      <c r="E273" s="81"/>
      <c r="F273" s="79"/>
      <c r="G273" s="82"/>
      <c r="H273" s="81"/>
      <c r="I273" s="84"/>
      <c r="J273" s="84"/>
      <c r="K273" s="84"/>
      <c r="L273" s="79"/>
      <c r="M273" s="186"/>
      <c r="N273" s="84"/>
      <c r="O273" s="84"/>
      <c r="P273" s="84"/>
    </row>
    <row r="274" spans="1:16" ht="15.75" customHeight="1">
      <c r="A274" s="185"/>
      <c r="B274" s="82"/>
      <c r="C274" s="81"/>
      <c r="D274" s="82"/>
      <c r="E274" s="81"/>
      <c r="F274" s="79"/>
      <c r="G274" s="82"/>
      <c r="H274" s="81"/>
      <c r="I274" s="84"/>
      <c r="J274" s="84"/>
      <c r="K274" s="84"/>
      <c r="L274" s="79"/>
      <c r="M274" s="186"/>
      <c r="N274" s="84"/>
      <c r="O274" s="84"/>
      <c r="P274" s="84"/>
    </row>
    <row r="275" spans="1:16" ht="15.75" customHeight="1">
      <c r="A275" s="185"/>
      <c r="B275" s="82"/>
      <c r="C275" s="81"/>
      <c r="D275" s="82"/>
      <c r="E275" s="81"/>
      <c r="F275" s="79"/>
      <c r="G275" s="82"/>
      <c r="H275" s="81"/>
      <c r="I275" s="84"/>
      <c r="J275" s="84"/>
      <c r="K275" s="84"/>
      <c r="L275" s="79"/>
      <c r="M275" s="186"/>
      <c r="N275" s="84"/>
      <c r="O275" s="84"/>
      <c r="P275" s="84"/>
    </row>
    <row r="276" spans="1:16" ht="15.75" customHeight="1">
      <c r="A276" s="185"/>
      <c r="B276" s="82"/>
      <c r="C276" s="81"/>
      <c r="D276" s="82"/>
      <c r="E276" s="81"/>
      <c r="F276" s="79"/>
      <c r="G276" s="82"/>
      <c r="H276" s="81"/>
      <c r="I276" s="84"/>
      <c r="J276" s="84"/>
      <c r="K276" s="84"/>
      <c r="L276" s="79"/>
      <c r="M276" s="186"/>
      <c r="N276" s="84"/>
      <c r="O276" s="84"/>
      <c r="P276" s="84"/>
    </row>
    <row r="277" spans="1:16" ht="15.75" customHeight="1">
      <c r="A277" s="185"/>
      <c r="B277" s="82"/>
      <c r="C277" s="81"/>
      <c r="D277" s="82"/>
      <c r="E277" s="81"/>
      <c r="F277" s="79"/>
      <c r="G277" s="82"/>
      <c r="H277" s="81"/>
      <c r="I277" s="84"/>
      <c r="J277" s="84"/>
      <c r="K277" s="84"/>
      <c r="L277" s="79"/>
      <c r="M277" s="186"/>
      <c r="N277" s="84"/>
      <c r="O277" s="84"/>
      <c r="P277" s="84"/>
    </row>
    <row r="278" spans="1:16" ht="15.75" customHeight="1">
      <c r="A278" s="185"/>
      <c r="B278" s="82"/>
      <c r="C278" s="81"/>
      <c r="D278" s="82"/>
      <c r="E278" s="81"/>
      <c r="F278" s="79"/>
      <c r="G278" s="82"/>
      <c r="H278" s="81"/>
      <c r="I278" s="84"/>
      <c r="J278" s="84"/>
      <c r="K278" s="84"/>
      <c r="L278" s="79"/>
      <c r="M278" s="186"/>
      <c r="N278" s="84"/>
      <c r="O278" s="84"/>
      <c r="P278" s="84"/>
    </row>
    <row r="279" spans="1:16" ht="15.75" customHeight="1">
      <c r="A279" s="185"/>
      <c r="B279" s="82"/>
      <c r="C279" s="81"/>
      <c r="D279" s="82"/>
      <c r="E279" s="81"/>
      <c r="F279" s="79"/>
      <c r="G279" s="82"/>
      <c r="H279" s="81"/>
      <c r="I279" s="84"/>
      <c r="J279" s="84"/>
      <c r="K279" s="84"/>
      <c r="L279" s="79"/>
      <c r="M279" s="186"/>
      <c r="N279" s="84"/>
      <c r="O279" s="84"/>
      <c r="P279" s="84"/>
    </row>
    <row r="280" spans="1:16" ht="15.75" customHeight="1">
      <c r="A280" s="185"/>
      <c r="B280" s="82"/>
      <c r="C280" s="81"/>
      <c r="D280" s="82"/>
      <c r="E280" s="81"/>
      <c r="F280" s="79"/>
      <c r="G280" s="82"/>
      <c r="H280" s="81"/>
      <c r="I280" s="84"/>
      <c r="J280" s="84"/>
      <c r="K280" s="84"/>
      <c r="L280" s="79"/>
      <c r="M280" s="186"/>
      <c r="N280" s="84"/>
      <c r="O280" s="84"/>
      <c r="P280" s="84"/>
    </row>
    <row r="281" spans="1:16" ht="15.75" customHeight="1">
      <c r="A281" s="185"/>
      <c r="B281" s="82"/>
      <c r="C281" s="81"/>
      <c r="D281" s="82"/>
      <c r="E281" s="81"/>
      <c r="F281" s="79"/>
      <c r="G281" s="82"/>
      <c r="H281" s="81"/>
      <c r="I281" s="84"/>
      <c r="J281" s="84"/>
      <c r="K281" s="84"/>
      <c r="L281" s="79"/>
      <c r="M281" s="186"/>
      <c r="N281" s="84"/>
      <c r="O281" s="84"/>
      <c r="P281" s="84"/>
    </row>
    <row r="282" spans="1:16" ht="15.75" customHeight="1">
      <c r="A282" s="185"/>
      <c r="B282" s="82"/>
      <c r="C282" s="81"/>
      <c r="D282" s="82"/>
      <c r="E282" s="81"/>
      <c r="F282" s="79"/>
      <c r="G282" s="82"/>
      <c r="H282" s="81"/>
      <c r="I282" s="84"/>
      <c r="J282" s="84"/>
      <c r="K282" s="84"/>
      <c r="L282" s="79"/>
      <c r="M282" s="186"/>
      <c r="N282" s="84"/>
      <c r="O282" s="84"/>
      <c r="P282" s="84"/>
    </row>
    <row r="283" spans="1:16" ht="15.75" customHeight="1">
      <c r="A283" s="185"/>
      <c r="B283" s="82"/>
      <c r="C283" s="81"/>
      <c r="D283" s="82"/>
      <c r="E283" s="81"/>
      <c r="F283" s="79"/>
      <c r="G283" s="82"/>
      <c r="H283" s="81"/>
      <c r="I283" s="84"/>
      <c r="J283" s="84"/>
      <c r="K283" s="84"/>
      <c r="L283" s="79"/>
      <c r="M283" s="186"/>
      <c r="N283" s="84"/>
      <c r="O283" s="84"/>
      <c r="P283" s="84"/>
    </row>
    <row r="284" spans="1:16" ht="15.75" customHeight="1">
      <c r="A284" s="185"/>
      <c r="B284" s="82"/>
      <c r="C284" s="81"/>
      <c r="D284" s="82"/>
      <c r="E284" s="81"/>
      <c r="F284" s="79"/>
      <c r="G284" s="82"/>
      <c r="H284" s="81"/>
      <c r="I284" s="84"/>
      <c r="J284" s="84"/>
      <c r="K284" s="84"/>
      <c r="L284" s="79"/>
      <c r="M284" s="186"/>
      <c r="N284" s="84"/>
      <c r="O284" s="84"/>
      <c r="P284" s="84"/>
    </row>
    <row r="285" spans="1:16" ht="15.75" customHeight="1">
      <c r="A285" s="185"/>
      <c r="B285" s="82"/>
      <c r="C285" s="81"/>
      <c r="D285" s="82"/>
      <c r="E285" s="81"/>
      <c r="F285" s="79"/>
      <c r="G285" s="82"/>
      <c r="H285" s="81"/>
      <c r="I285" s="84"/>
      <c r="J285" s="84"/>
      <c r="K285" s="84"/>
      <c r="L285" s="79"/>
      <c r="M285" s="186"/>
      <c r="N285" s="84"/>
      <c r="O285" s="84"/>
      <c r="P285" s="84"/>
    </row>
    <row r="286" spans="1:16" ht="15.75" customHeight="1">
      <c r="A286" s="185"/>
      <c r="B286" s="82"/>
      <c r="C286" s="81"/>
      <c r="D286" s="82"/>
      <c r="E286" s="81"/>
      <c r="F286" s="79"/>
      <c r="G286" s="82"/>
      <c r="H286" s="81"/>
      <c r="I286" s="84"/>
      <c r="J286" s="84"/>
      <c r="K286" s="84"/>
      <c r="L286" s="79"/>
      <c r="M286" s="186"/>
      <c r="N286" s="84"/>
      <c r="O286" s="84"/>
      <c r="P286" s="84"/>
    </row>
    <row r="287" spans="1:16" ht="15.75" customHeight="1">
      <c r="A287" s="185"/>
      <c r="B287" s="82"/>
      <c r="C287" s="81"/>
      <c r="D287" s="82"/>
      <c r="E287" s="81"/>
      <c r="F287" s="79"/>
      <c r="G287" s="82"/>
      <c r="H287" s="81"/>
      <c r="I287" s="84"/>
      <c r="J287" s="84"/>
      <c r="K287" s="84"/>
      <c r="L287" s="79"/>
      <c r="M287" s="186"/>
      <c r="N287" s="84"/>
      <c r="O287" s="84"/>
      <c r="P287" s="84"/>
    </row>
    <row r="288" spans="1:16" ht="15.75" customHeight="1">
      <c r="A288" s="185"/>
      <c r="B288" s="82"/>
      <c r="C288" s="81"/>
      <c r="D288" s="82"/>
      <c r="E288" s="81"/>
      <c r="F288" s="79"/>
      <c r="G288" s="82"/>
      <c r="H288" s="81"/>
      <c r="I288" s="84"/>
      <c r="J288" s="84"/>
      <c r="K288" s="84"/>
      <c r="L288" s="79"/>
      <c r="M288" s="186"/>
      <c r="N288" s="84"/>
      <c r="O288" s="84"/>
      <c r="P288" s="84"/>
    </row>
    <row r="289" spans="1:16" ht="15.75" customHeight="1">
      <c r="A289" s="185"/>
      <c r="B289" s="82"/>
      <c r="C289" s="81"/>
      <c r="D289" s="82"/>
      <c r="E289" s="81"/>
      <c r="F289" s="79"/>
      <c r="G289" s="82"/>
      <c r="H289" s="81"/>
      <c r="I289" s="84"/>
      <c r="J289" s="84"/>
      <c r="K289" s="84"/>
      <c r="L289" s="79"/>
      <c r="M289" s="186"/>
      <c r="N289" s="84"/>
      <c r="O289" s="84"/>
      <c r="P289" s="84"/>
    </row>
    <row r="290" spans="1:16" ht="15.75" customHeight="1">
      <c r="A290" s="185"/>
      <c r="B290" s="82"/>
      <c r="C290" s="81"/>
      <c r="D290" s="82"/>
      <c r="E290" s="81"/>
      <c r="F290" s="79"/>
      <c r="G290" s="82"/>
      <c r="H290" s="81"/>
      <c r="I290" s="84"/>
      <c r="J290" s="84"/>
      <c r="K290" s="84"/>
      <c r="L290" s="79"/>
      <c r="M290" s="186"/>
      <c r="N290" s="84"/>
      <c r="O290" s="84"/>
      <c r="P290" s="84"/>
    </row>
    <row r="291" spans="1:16" ht="15.75" customHeight="1">
      <c r="A291" s="185"/>
      <c r="B291" s="82"/>
      <c r="C291" s="81"/>
      <c r="D291" s="82"/>
      <c r="E291" s="81"/>
      <c r="F291" s="79"/>
      <c r="G291" s="82"/>
      <c r="H291" s="81"/>
      <c r="I291" s="84"/>
      <c r="J291" s="84"/>
      <c r="K291" s="84"/>
      <c r="L291" s="79"/>
      <c r="M291" s="186"/>
      <c r="N291" s="84"/>
      <c r="O291" s="84"/>
      <c r="P291" s="84"/>
    </row>
    <row r="292" spans="1:16" ht="15.75" customHeight="1">
      <c r="A292" s="185"/>
      <c r="B292" s="82"/>
      <c r="C292" s="81"/>
      <c r="D292" s="82"/>
      <c r="E292" s="81"/>
      <c r="F292" s="79"/>
      <c r="G292" s="82"/>
      <c r="H292" s="81"/>
      <c r="I292" s="84"/>
      <c r="J292" s="84"/>
      <c r="K292" s="84"/>
      <c r="L292" s="79"/>
      <c r="M292" s="186"/>
      <c r="N292" s="84"/>
      <c r="O292" s="84"/>
      <c r="P292" s="84"/>
    </row>
    <row r="293" spans="1:16" ht="15.75" customHeight="1">
      <c r="A293" s="185"/>
      <c r="B293" s="82"/>
      <c r="C293" s="81"/>
      <c r="D293" s="82"/>
      <c r="E293" s="81"/>
      <c r="F293" s="79"/>
      <c r="G293" s="82"/>
      <c r="H293" s="81"/>
      <c r="I293" s="84"/>
      <c r="J293" s="84"/>
      <c r="K293" s="84"/>
      <c r="L293" s="79"/>
      <c r="M293" s="186"/>
      <c r="N293" s="84"/>
      <c r="O293" s="84"/>
      <c r="P293" s="84"/>
    </row>
    <row r="294" spans="1:16" ht="15.75" customHeight="1">
      <c r="A294" s="185"/>
      <c r="B294" s="82"/>
      <c r="C294" s="81"/>
      <c r="D294" s="82"/>
      <c r="E294" s="81"/>
      <c r="F294" s="79"/>
      <c r="G294" s="82"/>
      <c r="H294" s="81"/>
      <c r="I294" s="84"/>
      <c r="J294" s="84"/>
      <c r="K294" s="84"/>
      <c r="L294" s="79"/>
      <c r="M294" s="186"/>
      <c r="N294" s="84"/>
      <c r="O294" s="84"/>
      <c r="P294" s="84"/>
    </row>
    <row r="295" spans="1:16" ht="15.75" customHeight="1">
      <c r="A295" s="185"/>
      <c r="B295" s="82"/>
      <c r="C295" s="81"/>
      <c r="D295" s="82"/>
      <c r="E295" s="81"/>
      <c r="F295" s="79"/>
      <c r="G295" s="82"/>
      <c r="H295" s="81"/>
      <c r="I295" s="84"/>
      <c r="J295" s="84"/>
      <c r="K295" s="84"/>
      <c r="L295" s="79"/>
      <c r="M295" s="186"/>
      <c r="N295" s="84"/>
      <c r="O295" s="84"/>
      <c r="P295" s="84"/>
    </row>
    <row r="296" spans="1:16" ht="15.75" customHeight="1">
      <c r="A296" s="185"/>
      <c r="B296" s="82"/>
      <c r="C296" s="81"/>
      <c r="D296" s="82"/>
      <c r="E296" s="81"/>
      <c r="F296" s="79"/>
      <c r="G296" s="82"/>
      <c r="H296" s="81"/>
      <c r="I296" s="84"/>
      <c r="J296" s="84"/>
      <c r="K296" s="84"/>
      <c r="L296" s="79"/>
      <c r="M296" s="186"/>
      <c r="N296" s="84"/>
      <c r="O296" s="84"/>
      <c r="P296" s="84"/>
    </row>
    <row r="297" spans="1:16" ht="15.75" customHeight="1">
      <c r="A297" s="185"/>
      <c r="B297" s="82"/>
      <c r="C297" s="81"/>
      <c r="D297" s="82"/>
      <c r="E297" s="81"/>
      <c r="F297" s="79"/>
      <c r="G297" s="82"/>
      <c r="H297" s="81"/>
      <c r="I297" s="84"/>
      <c r="J297" s="84"/>
      <c r="K297" s="84"/>
      <c r="L297" s="79"/>
      <c r="M297" s="186"/>
      <c r="N297" s="84"/>
      <c r="O297" s="84"/>
      <c r="P297" s="84"/>
    </row>
    <row r="298" spans="1:16" ht="15.75" customHeight="1">
      <c r="A298" s="185"/>
      <c r="B298" s="82"/>
      <c r="C298" s="81"/>
      <c r="D298" s="82"/>
      <c r="E298" s="81"/>
      <c r="F298" s="79"/>
      <c r="G298" s="82"/>
      <c r="H298" s="81"/>
      <c r="I298" s="84"/>
      <c r="J298" s="84"/>
      <c r="K298" s="84"/>
      <c r="L298" s="79"/>
      <c r="M298" s="186"/>
      <c r="N298" s="84"/>
      <c r="O298" s="84"/>
      <c r="P298" s="84"/>
    </row>
    <row r="299" spans="1:16" ht="15.75" customHeight="1">
      <c r="A299" s="185"/>
      <c r="B299" s="82"/>
      <c r="C299" s="81"/>
      <c r="D299" s="82"/>
      <c r="E299" s="81"/>
      <c r="F299" s="79"/>
      <c r="G299" s="82"/>
      <c r="H299" s="81"/>
      <c r="I299" s="84"/>
      <c r="J299" s="84"/>
      <c r="K299" s="84"/>
      <c r="L299" s="79"/>
      <c r="M299" s="186"/>
      <c r="N299" s="84"/>
      <c r="O299" s="84"/>
      <c r="P299" s="84"/>
    </row>
    <row r="300" spans="1:16" ht="15.75" customHeight="1">
      <c r="A300" s="185"/>
      <c r="B300" s="82"/>
      <c r="C300" s="81"/>
      <c r="D300" s="82"/>
      <c r="E300" s="81"/>
      <c r="F300" s="79"/>
      <c r="G300" s="82"/>
      <c r="H300" s="81"/>
      <c r="I300" s="84"/>
      <c r="J300" s="84"/>
      <c r="K300" s="84"/>
      <c r="L300" s="79"/>
      <c r="M300" s="186"/>
      <c r="N300" s="84"/>
      <c r="O300" s="84"/>
      <c r="P300" s="84"/>
    </row>
    <row r="301" spans="1:16" ht="15.75" customHeight="1">
      <c r="A301" s="185"/>
      <c r="B301" s="82"/>
      <c r="C301" s="81"/>
      <c r="D301" s="82"/>
      <c r="E301" s="81"/>
      <c r="F301" s="79"/>
      <c r="G301" s="82"/>
      <c r="H301" s="81"/>
      <c r="I301" s="84"/>
      <c r="J301" s="84"/>
      <c r="K301" s="84"/>
      <c r="L301" s="79"/>
      <c r="M301" s="186"/>
      <c r="N301" s="84"/>
      <c r="O301" s="84"/>
      <c r="P301" s="84"/>
    </row>
    <row r="302" spans="1:16" ht="15.75" customHeight="1">
      <c r="A302" s="185"/>
      <c r="B302" s="82"/>
      <c r="C302" s="81"/>
      <c r="D302" s="82"/>
      <c r="E302" s="81"/>
      <c r="F302" s="79"/>
      <c r="G302" s="82"/>
      <c r="H302" s="81"/>
      <c r="I302" s="84"/>
      <c r="J302" s="84"/>
      <c r="K302" s="84"/>
      <c r="L302" s="79"/>
      <c r="M302" s="186"/>
      <c r="N302" s="84"/>
      <c r="O302" s="84"/>
      <c r="P302" s="84"/>
    </row>
    <row r="303" spans="1:16" ht="15.75" customHeight="1">
      <c r="A303" s="185"/>
      <c r="B303" s="82"/>
      <c r="C303" s="81"/>
      <c r="D303" s="82"/>
      <c r="E303" s="81"/>
      <c r="F303" s="79"/>
      <c r="G303" s="82"/>
      <c r="H303" s="81"/>
      <c r="I303" s="84"/>
      <c r="J303" s="84"/>
      <c r="K303" s="84"/>
      <c r="L303" s="79"/>
      <c r="M303" s="186"/>
      <c r="N303" s="84"/>
      <c r="O303" s="84"/>
      <c r="P303" s="84"/>
    </row>
    <row r="304" spans="1:16" ht="15.75" customHeight="1">
      <c r="A304" s="185"/>
      <c r="B304" s="82"/>
      <c r="C304" s="81"/>
      <c r="D304" s="82"/>
      <c r="E304" s="81"/>
      <c r="F304" s="79"/>
      <c r="G304" s="82"/>
      <c r="H304" s="81"/>
      <c r="I304" s="84"/>
      <c r="J304" s="84"/>
      <c r="K304" s="84"/>
      <c r="L304" s="79"/>
      <c r="M304" s="186"/>
      <c r="N304" s="84"/>
      <c r="O304" s="84"/>
      <c r="P304" s="84"/>
    </row>
    <row r="305" spans="1:16" ht="15.75" customHeight="1">
      <c r="A305" s="185"/>
      <c r="B305" s="82"/>
      <c r="C305" s="81"/>
      <c r="D305" s="82"/>
      <c r="E305" s="81"/>
      <c r="F305" s="79"/>
      <c r="G305" s="82"/>
      <c r="H305" s="81"/>
      <c r="I305" s="84"/>
      <c r="J305" s="84"/>
      <c r="K305" s="84"/>
      <c r="L305" s="79"/>
      <c r="M305" s="186"/>
      <c r="N305" s="84"/>
      <c r="O305" s="84"/>
      <c r="P305" s="84"/>
    </row>
    <row r="306" spans="1:16" ht="15.75" customHeight="1">
      <c r="A306" s="185"/>
      <c r="B306" s="82"/>
      <c r="C306" s="81"/>
      <c r="D306" s="82"/>
      <c r="E306" s="81"/>
      <c r="F306" s="79"/>
      <c r="G306" s="82"/>
      <c r="H306" s="81"/>
      <c r="I306" s="84"/>
      <c r="J306" s="84"/>
      <c r="K306" s="84"/>
      <c r="L306" s="79"/>
      <c r="M306" s="186"/>
      <c r="N306" s="84"/>
      <c r="O306" s="84"/>
      <c r="P306" s="84"/>
    </row>
    <row r="307" spans="1:16" ht="15.75" customHeight="1">
      <c r="A307" s="185"/>
      <c r="B307" s="82"/>
      <c r="C307" s="81"/>
      <c r="D307" s="82"/>
      <c r="E307" s="81"/>
      <c r="F307" s="79"/>
      <c r="G307" s="82"/>
      <c r="H307" s="81"/>
      <c r="I307" s="84"/>
      <c r="J307" s="84"/>
      <c r="K307" s="84"/>
      <c r="L307" s="79"/>
      <c r="M307" s="186"/>
      <c r="N307" s="84"/>
      <c r="O307" s="84"/>
      <c r="P307" s="84"/>
    </row>
    <row r="308" spans="1:16" ht="15.75" customHeight="1">
      <c r="A308" s="185"/>
      <c r="B308" s="82"/>
      <c r="C308" s="81"/>
      <c r="D308" s="82"/>
      <c r="E308" s="81"/>
      <c r="F308" s="79"/>
      <c r="G308" s="82"/>
      <c r="H308" s="81"/>
      <c r="I308" s="84"/>
      <c r="J308" s="84"/>
      <c r="K308" s="84"/>
      <c r="L308" s="79"/>
      <c r="M308" s="186"/>
      <c r="N308" s="84"/>
      <c r="O308" s="84"/>
      <c r="P308" s="84"/>
    </row>
    <row r="309" spans="1:16" ht="15.75" customHeight="1">
      <c r="A309" s="185"/>
      <c r="B309" s="82"/>
      <c r="C309" s="81"/>
      <c r="D309" s="82"/>
      <c r="E309" s="81"/>
      <c r="F309" s="79"/>
      <c r="G309" s="82"/>
      <c r="H309" s="81"/>
      <c r="I309" s="84"/>
      <c r="J309" s="84"/>
      <c r="K309" s="84"/>
      <c r="L309" s="79"/>
      <c r="M309" s="186"/>
      <c r="N309" s="84"/>
      <c r="O309" s="84"/>
      <c r="P309" s="84"/>
    </row>
    <row r="310" spans="1:16" ht="15.75" customHeight="1">
      <c r="A310" s="185"/>
      <c r="B310" s="82"/>
      <c r="C310" s="81"/>
      <c r="D310" s="82"/>
      <c r="E310" s="81"/>
      <c r="F310" s="79"/>
      <c r="G310" s="82"/>
      <c r="H310" s="81"/>
      <c r="I310" s="84"/>
      <c r="J310" s="84"/>
      <c r="K310" s="84"/>
      <c r="L310" s="79"/>
      <c r="M310" s="186"/>
      <c r="N310" s="84"/>
      <c r="O310" s="84"/>
      <c r="P310" s="84"/>
    </row>
    <row r="311" spans="1:16" ht="15.75" customHeight="1">
      <c r="A311" s="185"/>
      <c r="B311" s="82"/>
      <c r="C311" s="81"/>
      <c r="D311" s="82"/>
      <c r="E311" s="81"/>
      <c r="F311" s="79"/>
      <c r="G311" s="82"/>
      <c r="H311" s="81"/>
      <c r="I311" s="84"/>
      <c r="J311" s="84"/>
      <c r="K311" s="84"/>
      <c r="L311" s="79"/>
      <c r="M311" s="186"/>
      <c r="N311" s="84"/>
      <c r="O311" s="84"/>
      <c r="P311" s="84"/>
    </row>
    <row r="312" spans="1:16" ht="15.75" customHeight="1">
      <c r="A312" s="185"/>
      <c r="B312" s="82"/>
      <c r="C312" s="81"/>
      <c r="D312" s="82"/>
      <c r="E312" s="81"/>
      <c r="F312" s="79"/>
      <c r="G312" s="82"/>
      <c r="H312" s="81"/>
      <c r="I312" s="84"/>
      <c r="J312" s="84"/>
      <c r="K312" s="84"/>
      <c r="L312" s="79"/>
      <c r="M312" s="186"/>
      <c r="N312" s="84"/>
      <c r="O312" s="84"/>
      <c r="P312" s="84"/>
    </row>
    <row r="313" spans="1:16" ht="15.75" customHeight="1">
      <c r="A313" s="185"/>
      <c r="B313" s="82"/>
      <c r="C313" s="81"/>
      <c r="D313" s="82"/>
      <c r="E313" s="81"/>
      <c r="F313" s="79"/>
      <c r="G313" s="82"/>
      <c r="H313" s="81"/>
      <c r="I313" s="84"/>
      <c r="J313" s="84"/>
      <c r="K313" s="84"/>
      <c r="L313" s="79"/>
      <c r="M313" s="186"/>
      <c r="N313" s="84"/>
      <c r="O313" s="84"/>
      <c r="P313" s="84"/>
    </row>
    <row r="314" spans="1:16" ht="15.75" customHeight="1">
      <c r="A314" s="185"/>
      <c r="B314" s="82"/>
      <c r="C314" s="81"/>
      <c r="D314" s="82"/>
      <c r="E314" s="81"/>
      <c r="F314" s="79"/>
      <c r="G314" s="82"/>
      <c r="H314" s="81"/>
      <c r="I314" s="84"/>
      <c r="J314" s="84"/>
      <c r="K314" s="84"/>
      <c r="L314" s="79"/>
      <c r="M314" s="186"/>
      <c r="N314" s="84"/>
      <c r="O314" s="84"/>
      <c r="P314" s="84"/>
    </row>
    <row r="315" spans="1:16" ht="15.75" customHeight="1">
      <c r="A315" s="185"/>
      <c r="B315" s="82"/>
      <c r="C315" s="81"/>
      <c r="D315" s="82"/>
      <c r="E315" s="81"/>
      <c r="F315" s="79"/>
      <c r="G315" s="82"/>
      <c r="H315" s="81"/>
      <c r="I315" s="84"/>
      <c r="J315" s="84"/>
      <c r="K315" s="84"/>
      <c r="L315" s="79"/>
      <c r="M315" s="186"/>
      <c r="N315" s="84"/>
      <c r="O315" s="84"/>
      <c r="P315" s="84"/>
    </row>
    <row r="316" spans="1:16" ht="15.75" customHeight="1">
      <c r="A316" s="185"/>
      <c r="B316" s="82"/>
      <c r="C316" s="81"/>
      <c r="D316" s="82"/>
      <c r="E316" s="81"/>
      <c r="F316" s="79"/>
      <c r="G316" s="82"/>
      <c r="H316" s="81"/>
      <c r="I316" s="84"/>
      <c r="J316" s="84"/>
      <c r="K316" s="84"/>
      <c r="L316" s="79"/>
      <c r="M316" s="186"/>
      <c r="N316" s="84"/>
      <c r="O316" s="84"/>
      <c r="P316" s="84"/>
    </row>
    <row r="317" spans="1:16" ht="15.75" customHeight="1">
      <c r="A317" s="185"/>
      <c r="B317" s="82"/>
      <c r="C317" s="81"/>
      <c r="D317" s="82"/>
      <c r="E317" s="81"/>
      <c r="F317" s="79"/>
      <c r="G317" s="82"/>
      <c r="H317" s="81"/>
      <c r="I317" s="84"/>
      <c r="J317" s="84"/>
      <c r="K317" s="84"/>
      <c r="L317" s="79"/>
      <c r="M317" s="186"/>
      <c r="N317" s="84"/>
      <c r="O317" s="84"/>
      <c r="P317" s="84"/>
    </row>
    <row r="318" spans="1:16" ht="15.75" customHeight="1">
      <c r="A318" s="185"/>
      <c r="B318" s="82"/>
      <c r="C318" s="81"/>
      <c r="D318" s="82"/>
      <c r="E318" s="81"/>
      <c r="F318" s="79"/>
      <c r="G318" s="82"/>
      <c r="H318" s="81"/>
      <c r="I318" s="84"/>
      <c r="J318" s="84"/>
      <c r="K318" s="84"/>
      <c r="L318" s="79"/>
      <c r="M318" s="186"/>
      <c r="N318" s="84"/>
      <c r="O318" s="84"/>
      <c r="P318" s="84"/>
    </row>
    <row r="319" spans="1:16" ht="15.75" customHeight="1">
      <c r="A319" s="185"/>
      <c r="B319" s="82"/>
      <c r="C319" s="81"/>
      <c r="D319" s="82"/>
      <c r="E319" s="81"/>
      <c r="F319" s="79"/>
      <c r="G319" s="82"/>
      <c r="H319" s="81"/>
      <c r="I319" s="84"/>
      <c r="J319" s="84"/>
      <c r="K319" s="84"/>
      <c r="L319" s="79"/>
      <c r="M319" s="186"/>
      <c r="N319" s="84"/>
      <c r="O319" s="84"/>
      <c r="P319" s="84"/>
    </row>
    <row r="320" spans="1:16" ht="15.75" customHeight="1">
      <c r="A320" s="185"/>
      <c r="B320" s="82"/>
      <c r="C320" s="81"/>
      <c r="D320" s="82"/>
      <c r="E320" s="81"/>
      <c r="F320" s="79"/>
      <c r="G320" s="82"/>
      <c r="H320" s="81"/>
      <c r="I320" s="84"/>
      <c r="J320" s="84"/>
      <c r="K320" s="84"/>
      <c r="L320" s="79"/>
      <c r="M320" s="186"/>
      <c r="N320" s="84"/>
      <c r="O320" s="84"/>
      <c r="P320" s="84"/>
    </row>
    <row r="321" spans="1:16" ht="15.75" customHeight="1">
      <c r="A321" s="185"/>
      <c r="B321" s="82"/>
      <c r="C321" s="81"/>
      <c r="D321" s="82"/>
      <c r="E321" s="81"/>
      <c r="F321" s="79"/>
      <c r="G321" s="82"/>
      <c r="H321" s="81"/>
      <c r="I321" s="84"/>
      <c r="J321" s="84"/>
      <c r="K321" s="84"/>
      <c r="L321" s="79"/>
      <c r="M321" s="186"/>
      <c r="N321" s="84"/>
      <c r="O321" s="84"/>
      <c r="P321" s="84"/>
    </row>
    <row r="322" spans="1:16" ht="15.75" customHeight="1">
      <c r="A322" s="185"/>
      <c r="B322" s="82"/>
      <c r="C322" s="81"/>
      <c r="D322" s="82"/>
      <c r="E322" s="81"/>
      <c r="F322" s="79"/>
      <c r="G322" s="82"/>
      <c r="H322" s="81"/>
      <c r="I322" s="84"/>
      <c r="J322" s="84"/>
      <c r="K322" s="84"/>
      <c r="L322" s="79"/>
      <c r="M322" s="186"/>
      <c r="N322" s="84"/>
      <c r="O322" s="84"/>
      <c r="P322" s="84"/>
    </row>
    <row r="323" spans="1:16" ht="15.75" customHeight="1">
      <c r="A323" s="185"/>
      <c r="B323" s="82"/>
      <c r="C323" s="81"/>
      <c r="D323" s="82"/>
      <c r="E323" s="81"/>
      <c r="F323" s="79"/>
      <c r="G323" s="82"/>
      <c r="H323" s="81"/>
      <c r="I323" s="84"/>
      <c r="J323" s="84"/>
      <c r="K323" s="84"/>
      <c r="L323" s="79"/>
      <c r="M323" s="186"/>
      <c r="N323" s="84"/>
      <c r="O323" s="84"/>
      <c r="P323" s="84"/>
    </row>
    <row r="324" spans="1:16" ht="15.75" customHeight="1">
      <c r="A324" s="185"/>
      <c r="B324" s="82"/>
      <c r="C324" s="81"/>
      <c r="D324" s="82"/>
      <c r="E324" s="81"/>
      <c r="F324" s="79"/>
      <c r="G324" s="82"/>
      <c r="H324" s="81"/>
      <c r="I324" s="84"/>
      <c r="J324" s="84"/>
      <c r="K324" s="84"/>
      <c r="L324" s="79"/>
      <c r="M324" s="186"/>
      <c r="N324" s="84"/>
      <c r="O324" s="84"/>
      <c r="P324" s="84"/>
    </row>
    <row r="325" spans="1:16" ht="15.75" customHeight="1">
      <c r="A325" s="185"/>
      <c r="B325" s="82"/>
      <c r="C325" s="81"/>
      <c r="D325" s="82"/>
      <c r="E325" s="81"/>
      <c r="F325" s="79"/>
      <c r="G325" s="82"/>
      <c r="H325" s="81"/>
      <c r="I325" s="84"/>
      <c r="J325" s="84"/>
      <c r="K325" s="84"/>
      <c r="L325" s="79"/>
      <c r="M325" s="186"/>
      <c r="N325" s="84"/>
      <c r="O325" s="84"/>
      <c r="P325" s="84"/>
    </row>
    <row r="326" spans="1:16" ht="15.75" customHeight="1">
      <c r="A326" s="185"/>
      <c r="B326" s="82"/>
      <c r="C326" s="81"/>
      <c r="D326" s="82"/>
      <c r="E326" s="81"/>
      <c r="F326" s="79"/>
      <c r="G326" s="82"/>
      <c r="H326" s="81"/>
      <c r="I326" s="84"/>
      <c r="J326" s="84"/>
      <c r="K326" s="84"/>
      <c r="L326" s="79"/>
      <c r="M326" s="186"/>
      <c r="N326" s="84"/>
      <c r="O326" s="84"/>
      <c r="P326" s="84"/>
    </row>
    <row r="327" spans="1:16" ht="15.75" customHeight="1">
      <c r="A327" s="185"/>
      <c r="B327" s="82"/>
      <c r="C327" s="81"/>
      <c r="D327" s="82"/>
      <c r="E327" s="81"/>
      <c r="F327" s="79"/>
      <c r="G327" s="82"/>
      <c r="H327" s="81"/>
      <c r="I327" s="84"/>
      <c r="J327" s="84"/>
      <c r="K327" s="84"/>
      <c r="L327" s="79"/>
      <c r="M327" s="186"/>
      <c r="N327" s="84"/>
      <c r="O327" s="84"/>
      <c r="P327" s="84"/>
    </row>
    <row r="328" spans="1:16" ht="15.75" customHeight="1">
      <c r="A328" s="185"/>
      <c r="B328" s="82"/>
      <c r="C328" s="81"/>
      <c r="D328" s="82"/>
      <c r="E328" s="81"/>
      <c r="F328" s="79"/>
      <c r="G328" s="82"/>
      <c r="H328" s="81"/>
      <c r="I328" s="84"/>
      <c r="J328" s="84"/>
      <c r="K328" s="84"/>
      <c r="L328" s="79"/>
      <c r="M328" s="186"/>
      <c r="N328" s="84"/>
      <c r="O328" s="84"/>
      <c r="P328" s="84"/>
    </row>
    <row r="329" spans="1:16" ht="15.75" customHeight="1">
      <c r="A329" s="185"/>
      <c r="B329" s="82"/>
      <c r="C329" s="81"/>
      <c r="D329" s="82"/>
      <c r="E329" s="81"/>
      <c r="F329" s="79"/>
      <c r="G329" s="82"/>
      <c r="H329" s="81"/>
      <c r="I329" s="84"/>
      <c r="J329" s="84"/>
      <c r="K329" s="84"/>
      <c r="L329" s="79"/>
      <c r="M329" s="186"/>
      <c r="N329" s="84"/>
      <c r="O329" s="84"/>
      <c r="P329" s="84"/>
    </row>
    <row r="330" spans="1:16" ht="15.75" customHeight="1">
      <c r="A330" s="185"/>
      <c r="B330" s="82"/>
      <c r="C330" s="81"/>
      <c r="D330" s="82"/>
      <c r="E330" s="81"/>
      <c r="F330" s="79"/>
      <c r="G330" s="82"/>
      <c r="H330" s="81"/>
      <c r="I330" s="84"/>
      <c r="J330" s="84"/>
      <c r="K330" s="84"/>
      <c r="L330" s="79"/>
      <c r="M330" s="186"/>
      <c r="N330" s="84"/>
      <c r="O330" s="84"/>
      <c r="P330" s="84"/>
    </row>
    <row r="331" spans="1:16" ht="15.75" customHeight="1">
      <c r="A331" s="185"/>
      <c r="B331" s="82"/>
      <c r="C331" s="81"/>
      <c r="D331" s="82"/>
      <c r="E331" s="81"/>
      <c r="F331" s="79"/>
      <c r="G331" s="82"/>
      <c r="H331" s="81"/>
      <c r="I331" s="84"/>
      <c r="J331" s="84"/>
      <c r="K331" s="84"/>
      <c r="L331" s="79"/>
      <c r="M331" s="186"/>
      <c r="N331" s="84"/>
      <c r="O331" s="84"/>
      <c r="P331" s="84"/>
    </row>
    <row r="332" spans="1:16" ht="15.75" customHeight="1">
      <c r="A332" s="185"/>
      <c r="B332" s="82"/>
      <c r="C332" s="81"/>
      <c r="D332" s="82"/>
      <c r="E332" s="81"/>
      <c r="F332" s="79"/>
      <c r="G332" s="82"/>
      <c r="H332" s="81"/>
      <c r="I332" s="84"/>
      <c r="J332" s="84"/>
      <c r="K332" s="84"/>
      <c r="L332" s="79"/>
      <c r="M332" s="186"/>
      <c r="N332" s="84"/>
      <c r="O332" s="84"/>
      <c r="P332" s="84"/>
    </row>
    <row r="333" spans="1:16" ht="15.75" customHeight="1">
      <c r="A333" s="185"/>
      <c r="B333" s="82"/>
      <c r="C333" s="81"/>
      <c r="D333" s="82"/>
      <c r="E333" s="81"/>
      <c r="F333" s="79"/>
      <c r="G333" s="82"/>
      <c r="H333" s="81"/>
      <c r="I333" s="84"/>
      <c r="J333" s="84"/>
      <c r="K333" s="84"/>
      <c r="L333" s="79"/>
      <c r="M333" s="186"/>
      <c r="N333" s="84"/>
      <c r="O333" s="84"/>
      <c r="P333" s="84"/>
    </row>
    <row r="334" spans="1:16" ht="15.75" customHeight="1">
      <c r="A334" s="185"/>
      <c r="B334" s="82"/>
      <c r="C334" s="81"/>
      <c r="D334" s="82"/>
      <c r="E334" s="81"/>
      <c r="F334" s="79"/>
      <c r="G334" s="82"/>
      <c r="H334" s="81"/>
      <c r="I334" s="84"/>
      <c r="J334" s="84"/>
      <c r="K334" s="84"/>
      <c r="L334" s="79"/>
      <c r="M334" s="186"/>
      <c r="N334" s="84"/>
      <c r="O334" s="84"/>
      <c r="P334" s="84"/>
    </row>
    <row r="335" spans="1:16" ht="15.75" customHeight="1">
      <c r="A335" s="185"/>
      <c r="B335" s="82"/>
      <c r="C335" s="81"/>
      <c r="D335" s="82"/>
      <c r="E335" s="81"/>
      <c r="F335" s="79"/>
      <c r="G335" s="82"/>
      <c r="H335" s="81"/>
      <c r="I335" s="84"/>
      <c r="J335" s="84"/>
      <c r="K335" s="84"/>
      <c r="L335" s="79"/>
      <c r="M335" s="186"/>
      <c r="N335" s="84"/>
      <c r="O335" s="84"/>
      <c r="P335" s="84"/>
    </row>
    <row r="336" spans="1:16" ht="15.75" customHeight="1">
      <c r="A336" s="185"/>
      <c r="B336" s="82"/>
      <c r="C336" s="81"/>
      <c r="D336" s="82"/>
      <c r="E336" s="81"/>
      <c r="F336" s="79"/>
      <c r="G336" s="82"/>
      <c r="H336" s="81"/>
      <c r="I336" s="84"/>
      <c r="J336" s="84"/>
      <c r="K336" s="84"/>
      <c r="L336" s="79"/>
      <c r="M336" s="186"/>
      <c r="N336" s="84"/>
      <c r="O336" s="84"/>
      <c r="P336" s="84"/>
    </row>
    <row r="337" spans="1:16" ht="15.75" customHeight="1">
      <c r="A337" s="185"/>
      <c r="B337" s="82"/>
      <c r="C337" s="81"/>
      <c r="D337" s="82"/>
      <c r="E337" s="81"/>
      <c r="F337" s="79"/>
      <c r="G337" s="82"/>
      <c r="H337" s="81"/>
      <c r="I337" s="84"/>
      <c r="J337" s="84"/>
      <c r="K337" s="84"/>
      <c r="L337" s="79"/>
      <c r="M337" s="186"/>
      <c r="N337" s="84"/>
      <c r="O337" s="84"/>
      <c r="P337" s="84"/>
    </row>
    <row r="338" spans="1:16" ht="15.75" customHeight="1">
      <c r="A338" s="185"/>
      <c r="B338" s="82"/>
      <c r="C338" s="81"/>
      <c r="D338" s="82"/>
      <c r="E338" s="81"/>
      <c r="F338" s="79"/>
      <c r="G338" s="82"/>
      <c r="H338" s="81"/>
      <c r="I338" s="84"/>
      <c r="J338" s="84"/>
      <c r="K338" s="84"/>
      <c r="L338" s="79"/>
      <c r="M338" s="186"/>
      <c r="N338" s="84"/>
      <c r="O338" s="84"/>
      <c r="P338" s="84"/>
    </row>
    <row r="339" spans="1:16" ht="15.75" customHeight="1">
      <c r="A339" s="185"/>
      <c r="B339" s="82"/>
      <c r="C339" s="81"/>
      <c r="D339" s="82"/>
      <c r="E339" s="81"/>
      <c r="F339" s="79"/>
      <c r="G339" s="82"/>
      <c r="H339" s="81"/>
      <c r="I339" s="84"/>
      <c r="J339" s="84"/>
      <c r="K339" s="84"/>
      <c r="L339" s="79"/>
      <c r="M339" s="186"/>
      <c r="N339" s="84"/>
      <c r="O339" s="84"/>
      <c r="P339" s="84"/>
    </row>
    <row r="340" spans="1:16" ht="15.75" customHeight="1">
      <c r="A340" s="185"/>
      <c r="B340" s="82"/>
      <c r="C340" s="81"/>
      <c r="D340" s="82"/>
      <c r="E340" s="81"/>
      <c r="F340" s="79"/>
      <c r="G340" s="82"/>
      <c r="H340" s="81"/>
      <c r="I340" s="84"/>
      <c r="J340" s="84"/>
      <c r="K340" s="84"/>
      <c r="L340" s="79"/>
      <c r="M340" s="186"/>
      <c r="N340" s="84"/>
      <c r="O340" s="84"/>
      <c r="P340" s="84"/>
    </row>
    <row r="341" spans="1:16" ht="15.75" customHeight="1">
      <c r="A341" s="185"/>
      <c r="B341" s="82"/>
      <c r="C341" s="81"/>
      <c r="D341" s="82"/>
      <c r="E341" s="81"/>
      <c r="F341" s="79"/>
      <c r="G341" s="82"/>
      <c r="H341" s="81"/>
      <c r="I341" s="84"/>
      <c r="J341" s="84"/>
      <c r="K341" s="84"/>
      <c r="L341" s="79"/>
      <c r="M341" s="186"/>
      <c r="N341" s="84"/>
      <c r="O341" s="84"/>
      <c r="P341" s="84"/>
    </row>
    <row r="342" spans="1:16" ht="15.75" customHeight="1">
      <c r="A342" s="185"/>
      <c r="B342" s="82"/>
      <c r="C342" s="81"/>
      <c r="D342" s="82"/>
      <c r="E342" s="81"/>
      <c r="F342" s="79"/>
      <c r="G342" s="82"/>
      <c r="H342" s="81"/>
      <c r="I342" s="84"/>
      <c r="J342" s="84"/>
      <c r="K342" s="84"/>
      <c r="L342" s="79"/>
      <c r="M342" s="186"/>
      <c r="N342" s="84"/>
      <c r="O342" s="84"/>
      <c r="P342" s="84"/>
    </row>
    <row r="343" spans="1:16" ht="15.75" customHeight="1">
      <c r="A343" s="185"/>
      <c r="B343" s="82"/>
      <c r="C343" s="81"/>
      <c r="D343" s="82"/>
      <c r="E343" s="81"/>
      <c r="F343" s="79"/>
      <c r="G343" s="82"/>
      <c r="H343" s="81"/>
      <c r="I343" s="84"/>
      <c r="J343" s="84"/>
      <c r="K343" s="84"/>
      <c r="L343" s="79"/>
      <c r="M343" s="186"/>
      <c r="N343" s="84"/>
      <c r="O343" s="84"/>
      <c r="P343" s="84"/>
    </row>
    <row r="344" spans="1:16" ht="15.75" customHeight="1">
      <c r="A344" s="185"/>
      <c r="B344" s="82"/>
      <c r="C344" s="81"/>
      <c r="D344" s="82"/>
      <c r="E344" s="81"/>
      <c r="F344" s="79"/>
      <c r="G344" s="82"/>
      <c r="H344" s="81"/>
      <c r="I344" s="84"/>
      <c r="J344" s="84"/>
      <c r="K344" s="84"/>
      <c r="L344" s="79"/>
      <c r="M344" s="186"/>
      <c r="N344" s="84"/>
      <c r="O344" s="84"/>
      <c r="P344" s="84"/>
    </row>
    <row r="345" spans="1:16" ht="15.75" customHeight="1">
      <c r="A345" s="185"/>
      <c r="B345" s="82"/>
      <c r="C345" s="81"/>
      <c r="D345" s="82"/>
      <c r="E345" s="81"/>
      <c r="F345" s="79"/>
      <c r="G345" s="82"/>
      <c r="H345" s="81"/>
      <c r="I345" s="84"/>
      <c r="J345" s="84"/>
      <c r="K345" s="84"/>
      <c r="L345" s="79"/>
      <c r="M345" s="186"/>
      <c r="N345" s="84"/>
      <c r="O345" s="84"/>
      <c r="P345" s="84"/>
    </row>
    <row r="346" spans="1:16" ht="15.75" customHeight="1">
      <c r="A346" s="185"/>
      <c r="B346" s="82"/>
      <c r="C346" s="81"/>
      <c r="D346" s="82"/>
      <c r="E346" s="81"/>
      <c r="F346" s="79"/>
      <c r="G346" s="82"/>
      <c r="H346" s="81"/>
      <c r="I346" s="84"/>
      <c r="J346" s="84"/>
      <c r="K346" s="84"/>
      <c r="L346" s="79"/>
      <c r="M346" s="186"/>
      <c r="N346" s="84"/>
      <c r="O346" s="84"/>
      <c r="P346" s="84"/>
    </row>
    <row r="347" spans="1:16" ht="15.75" customHeight="1">
      <c r="A347" s="185"/>
      <c r="B347" s="82"/>
      <c r="C347" s="81"/>
      <c r="D347" s="82"/>
      <c r="E347" s="81"/>
      <c r="F347" s="79"/>
      <c r="G347" s="82"/>
      <c r="H347" s="81"/>
      <c r="I347" s="84"/>
      <c r="J347" s="84"/>
      <c r="K347" s="84"/>
      <c r="L347" s="79"/>
      <c r="M347" s="186"/>
      <c r="N347" s="84"/>
      <c r="O347" s="84"/>
      <c r="P347" s="84"/>
    </row>
    <row r="348" spans="1:16" ht="15.75" customHeight="1">
      <c r="A348" s="185"/>
      <c r="B348" s="82"/>
      <c r="C348" s="81"/>
      <c r="D348" s="82"/>
      <c r="E348" s="81"/>
      <c r="F348" s="79"/>
      <c r="G348" s="82"/>
      <c r="H348" s="81"/>
      <c r="I348" s="84"/>
      <c r="J348" s="84"/>
      <c r="K348" s="84"/>
      <c r="L348" s="79"/>
      <c r="M348" s="186"/>
      <c r="N348" s="84"/>
      <c r="O348" s="84"/>
      <c r="P348" s="84"/>
    </row>
    <row r="349" spans="1:16" ht="15.75" customHeight="1">
      <c r="A349" s="185"/>
      <c r="B349" s="82"/>
      <c r="C349" s="81"/>
      <c r="D349" s="82"/>
      <c r="E349" s="81"/>
      <c r="F349" s="79"/>
      <c r="G349" s="82"/>
      <c r="H349" s="81"/>
      <c r="I349" s="84"/>
      <c r="J349" s="84"/>
      <c r="K349" s="84"/>
      <c r="L349" s="79"/>
      <c r="M349" s="186"/>
      <c r="N349" s="84"/>
      <c r="O349" s="84"/>
      <c r="P349" s="84"/>
    </row>
    <row r="350" spans="1:16" ht="15.75" customHeight="1">
      <c r="A350" s="185"/>
      <c r="B350" s="82"/>
      <c r="C350" s="81"/>
      <c r="D350" s="82"/>
      <c r="E350" s="81"/>
      <c r="F350" s="79"/>
      <c r="G350" s="82"/>
      <c r="H350" s="81"/>
      <c r="I350" s="84"/>
      <c r="J350" s="84"/>
      <c r="K350" s="84"/>
      <c r="L350" s="79"/>
      <c r="M350" s="186"/>
      <c r="N350" s="84"/>
      <c r="O350" s="84"/>
      <c r="P350" s="84"/>
    </row>
    <row r="351" spans="1:16" ht="15.75" customHeight="1">
      <c r="A351" s="185"/>
      <c r="B351" s="82"/>
      <c r="C351" s="81"/>
      <c r="D351" s="82"/>
      <c r="E351" s="81"/>
      <c r="F351" s="79"/>
      <c r="G351" s="82"/>
      <c r="H351" s="81"/>
      <c r="I351" s="84"/>
      <c r="J351" s="84"/>
      <c r="K351" s="84"/>
      <c r="L351" s="79"/>
      <c r="M351" s="186"/>
      <c r="N351" s="84"/>
      <c r="O351" s="84"/>
      <c r="P351" s="84"/>
    </row>
    <row r="352" spans="1:16" ht="15.75" customHeight="1">
      <c r="A352" s="185"/>
      <c r="B352" s="82"/>
      <c r="C352" s="81"/>
      <c r="D352" s="82"/>
      <c r="E352" s="81"/>
      <c r="F352" s="79"/>
      <c r="G352" s="82"/>
      <c r="H352" s="81"/>
      <c r="I352" s="84"/>
      <c r="J352" s="84"/>
      <c r="K352" s="84"/>
      <c r="L352" s="79"/>
      <c r="M352" s="186"/>
      <c r="N352" s="84"/>
      <c r="O352" s="84"/>
      <c r="P352" s="84"/>
    </row>
    <row r="353" spans="1:16" ht="15.75" customHeight="1">
      <c r="A353" s="185"/>
      <c r="B353" s="82"/>
      <c r="C353" s="81"/>
      <c r="D353" s="82"/>
      <c r="E353" s="81"/>
      <c r="F353" s="79"/>
      <c r="G353" s="82"/>
      <c r="H353" s="81"/>
      <c r="I353" s="84"/>
      <c r="J353" s="84"/>
      <c r="K353" s="84"/>
      <c r="L353" s="79"/>
      <c r="M353" s="186"/>
      <c r="N353" s="84"/>
      <c r="O353" s="84"/>
      <c r="P353" s="84"/>
    </row>
    <row r="354" spans="1:16" ht="15.75" customHeight="1">
      <c r="A354" s="185"/>
      <c r="B354" s="82"/>
      <c r="C354" s="81"/>
      <c r="D354" s="82"/>
      <c r="E354" s="81"/>
      <c r="F354" s="79"/>
      <c r="G354" s="82"/>
      <c r="H354" s="81"/>
      <c r="I354" s="84"/>
      <c r="J354" s="84"/>
      <c r="K354" s="84"/>
      <c r="L354" s="79"/>
      <c r="M354" s="186"/>
      <c r="N354" s="84"/>
      <c r="O354" s="84"/>
      <c r="P354" s="84"/>
    </row>
    <row r="355" spans="1:16" ht="15.75" customHeight="1">
      <c r="A355" s="185"/>
      <c r="B355" s="82"/>
      <c r="C355" s="81"/>
      <c r="D355" s="82"/>
      <c r="E355" s="81"/>
      <c r="F355" s="79"/>
      <c r="G355" s="82"/>
      <c r="H355" s="81"/>
      <c r="I355" s="84"/>
      <c r="J355" s="84"/>
      <c r="K355" s="84"/>
      <c r="L355" s="79"/>
      <c r="M355" s="186"/>
      <c r="N355" s="84"/>
      <c r="O355" s="84"/>
      <c r="P355" s="84"/>
    </row>
    <row r="356" spans="1:16" ht="15.75" customHeight="1">
      <c r="A356" s="185"/>
      <c r="B356" s="82"/>
      <c r="C356" s="81"/>
      <c r="D356" s="82"/>
      <c r="E356" s="81"/>
      <c r="F356" s="79"/>
      <c r="G356" s="82"/>
      <c r="H356" s="81"/>
      <c r="I356" s="84"/>
      <c r="J356" s="84"/>
      <c r="K356" s="84"/>
      <c r="L356" s="79"/>
      <c r="M356" s="186"/>
      <c r="N356" s="84"/>
      <c r="O356" s="84"/>
      <c r="P356" s="84"/>
    </row>
    <row r="357" spans="1:16" ht="15.75" customHeight="1">
      <c r="A357" s="185"/>
      <c r="B357" s="82"/>
      <c r="C357" s="81"/>
      <c r="D357" s="82"/>
      <c r="E357" s="81"/>
      <c r="F357" s="79"/>
      <c r="G357" s="82"/>
      <c r="H357" s="81"/>
      <c r="I357" s="84"/>
      <c r="J357" s="84"/>
      <c r="K357" s="84"/>
      <c r="L357" s="79"/>
      <c r="M357" s="186"/>
      <c r="N357" s="84"/>
      <c r="O357" s="84"/>
      <c r="P357" s="84"/>
    </row>
    <row r="358" spans="1:16" ht="15.75" customHeight="1">
      <c r="A358" s="185"/>
      <c r="B358" s="82"/>
      <c r="C358" s="81"/>
      <c r="D358" s="82"/>
      <c r="E358" s="81"/>
      <c r="F358" s="79"/>
      <c r="G358" s="82"/>
      <c r="H358" s="81"/>
      <c r="I358" s="84"/>
      <c r="J358" s="84"/>
      <c r="K358" s="84"/>
      <c r="L358" s="79"/>
      <c r="M358" s="186"/>
      <c r="N358" s="84"/>
      <c r="O358" s="84"/>
      <c r="P358" s="84"/>
    </row>
    <row r="359" spans="1:16" ht="15.75" customHeight="1">
      <c r="A359" s="185"/>
      <c r="B359" s="82"/>
      <c r="C359" s="81"/>
      <c r="D359" s="82"/>
      <c r="E359" s="81"/>
      <c r="F359" s="79"/>
      <c r="G359" s="82"/>
      <c r="H359" s="81"/>
      <c r="I359" s="84"/>
      <c r="J359" s="84"/>
      <c r="K359" s="84"/>
      <c r="L359" s="79"/>
      <c r="M359" s="186"/>
      <c r="N359" s="84"/>
      <c r="O359" s="84"/>
      <c r="P359" s="84"/>
    </row>
    <row r="360" spans="1:16" ht="15.75" customHeight="1">
      <c r="A360" s="185"/>
      <c r="B360" s="82"/>
      <c r="C360" s="81"/>
      <c r="D360" s="82"/>
      <c r="E360" s="81"/>
      <c r="F360" s="79"/>
      <c r="G360" s="82"/>
      <c r="H360" s="81"/>
      <c r="I360" s="84"/>
      <c r="J360" s="84"/>
      <c r="K360" s="84"/>
      <c r="L360" s="79"/>
      <c r="M360" s="186"/>
      <c r="N360" s="84"/>
      <c r="O360" s="84"/>
      <c r="P360" s="84"/>
    </row>
    <row r="361" spans="1:16" ht="15.75" customHeight="1">
      <c r="A361" s="185"/>
      <c r="B361" s="82"/>
      <c r="C361" s="81"/>
      <c r="D361" s="82"/>
      <c r="E361" s="81"/>
      <c r="F361" s="79"/>
      <c r="G361" s="82"/>
      <c r="H361" s="81"/>
      <c r="I361" s="84"/>
      <c r="J361" s="84"/>
      <c r="K361" s="84"/>
      <c r="L361" s="79"/>
      <c r="M361" s="186"/>
      <c r="N361" s="84"/>
      <c r="O361" s="84"/>
      <c r="P361" s="84"/>
    </row>
    <row r="362" spans="1:16" ht="15.75" customHeight="1">
      <c r="A362" s="185"/>
      <c r="B362" s="82"/>
      <c r="C362" s="81"/>
      <c r="D362" s="82"/>
      <c r="E362" s="81"/>
      <c r="F362" s="79"/>
      <c r="G362" s="82"/>
      <c r="H362" s="81"/>
      <c r="I362" s="84"/>
      <c r="J362" s="84"/>
      <c r="K362" s="84"/>
      <c r="L362" s="79"/>
      <c r="M362" s="186"/>
      <c r="N362" s="84"/>
      <c r="O362" s="84"/>
      <c r="P362" s="84"/>
    </row>
    <row r="363" spans="1:16" ht="15.75" customHeight="1">
      <c r="A363" s="185"/>
      <c r="B363" s="82"/>
      <c r="C363" s="81"/>
      <c r="D363" s="82"/>
      <c r="E363" s="81"/>
      <c r="F363" s="79"/>
      <c r="G363" s="82"/>
      <c r="H363" s="81"/>
      <c r="I363" s="84"/>
      <c r="J363" s="84"/>
      <c r="K363" s="84"/>
      <c r="L363" s="79"/>
      <c r="M363" s="186"/>
      <c r="N363" s="84"/>
      <c r="O363" s="84"/>
      <c r="P363" s="84"/>
    </row>
    <row r="364" spans="1:16" ht="15.75" customHeight="1">
      <c r="A364" s="185"/>
      <c r="B364" s="82"/>
      <c r="C364" s="81"/>
      <c r="D364" s="82"/>
      <c r="E364" s="81"/>
      <c r="F364" s="79"/>
      <c r="G364" s="82"/>
      <c r="H364" s="81"/>
      <c r="I364" s="84"/>
      <c r="J364" s="84"/>
      <c r="K364" s="84"/>
      <c r="L364" s="79"/>
      <c r="M364" s="186"/>
      <c r="N364" s="84"/>
      <c r="O364" s="84"/>
      <c r="P364" s="84"/>
    </row>
    <row r="365" spans="1:16" ht="15.75" customHeight="1">
      <c r="A365" s="185"/>
      <c r="B365" s="82"/>
      <c r="C365" s="81"/>
      <c r="D365" s="82"/>
      <c r="E365" s="81"/>
      <c r="F365" s="79"/>
      <c r="G365" s="82"/>
      <c r="H365" s="81"/>
      <c r="I365" s="84"/>
      <c r="J365" s="84"/>
      <c r="K365" s="84"/>
      <c r="L365" s="79"/>
      <c r="M365" s="186"/>
      <c r="N365" s="84"/>
      <c r="O365" s="84"/>
      <c r="P365" s="84"/>
    </row>
    <row r="366" spans="1:16" ht="15.75" customHeight="1">
      <c r="A366" s="185"/>
      <c r="B366" s="82"/>
      <c r="C366" s="81"/>
      <c r="D366" s="82"/>
      <c r="E366" s="81"/>
      <c r="F366" s="79"/>
      <c r="G366" s="82"/>
      <c r="H366" s="81"/>
      <c r="I366" s="84"/>
      <c r="J366" s="84"/>
      <c r="K366" s="84"/>
      <c r="L366" s="79"/>
      <c r="M366" s="186"/>
      <c r="N366" s="84"/>
      <c r="O366" s="84"/>
      <c r="P366" s="84"/>
    </row>
    <row r="367" spans="1:16" ht="15.75" customHeight="1">
      <c r="A367" s="185"/>
      <c r="B367" s="82"/>
      <c r="C367" s="81"/>
      <c r="D367" s="82"/>
      <c r="E367" s="81"/>
      <c r="F367" s="79"/>
      <c r="G367" s="82"/>
      <c r="H367" s="81"/>
      <c r="I367" s="84"/>
      <c r="J367" s="84"/>
      <c r="K367" s="84"/>
      <c r="L367" s="79"/>
      <c r="M367" s="186"/>
      <c r="N367" s="84"/>
      <c r="O367" s="84"/>
      <c r="P367" s="84"/>
    </row>
    <row r="368" spans="1:16" ht="15.75" customHeight="1">
      <c r="A368" s="185"/>
      <c r="B368" s="82"/>
      <c r="C368" s="81"/>
      <c r="D368" s="82"/>
      <c r="E368" s="81"/>
      <c r="F368" s="79"/>
      <c r="G368" s="82"/>
      <c r="H368" s="81"/>
      <c r="I368" s="84"/>
      <c r="J368" s="84"/>
      <c r="K368" s="84"/>
      <c r="L368" s="79"/>
      <c r="M368" s="186"/>
      <c r="N368" s="84"/>
      <c r="O368" s="84"/>
      <c r="P368" s="84"/>
    </row>
    <row r="369" spans="1:16" ht="15.75" customHeight="1">
      <c r="A369" s="185"/>
      <c r="B369" s="82"/>
      <c r="C369" s="81"/>
      <c r="D369" s="82"/>
      <c r="E369" s="81"/>
      <c r="F369" s="79"/>
      <c r="G369" s="82"/>
      <c r="H369" s="81"/>
      <c r="I369" s="84"/>
      <c r="J369" s="84"/>
      <c r="K369" s="84"/>
      <c r="L369" s="79"/>
      <c r="M369" s="186"/>
      <c r="N369" s="84"/>
      <c r="O369" s="84"/>
      <c r="P369" s="84"/>
    </row>
    <row r="370" spans="1:16" ht="15.75" customHeight="1">
      <c r="A370" s="185"/>
      <c r="B370" s="82"/>
      <c r="C370" s="81"/>
      <c r="D370" s="82"/>
      <c r="E370" s="81"/>
      <c r="F370" s="79"/>
      <c r="G370" s="82"/>
      <c r="H370" s="81"/>
      <c r="I370" s="84"/>
      <c r="J370" s="84"/>
      <c r="K370" s="84"/>
      <c r="L370" s="79"/>
      <c r="M370" s="186"/>
      <c r="N370" s="84"/>
      <c r="O370" s="84"/>
      <c r="P370" s="84"/>
    </row>
    <row r="371" spans="1:16" ht="15.75" customHeight="1">
      <c r="A371" s="185"/>
      <c r="B371" s="82"/>
      <c r="C371" s="81"/>
      <c r="D371" s="82"/>
      <c r="E371" s="81"/>
      <c r="F371" s="79"/>
      <c r="G371" s="82"/>
      <c r="H371" s="81"/>
      <c r="I371" s="84"/>
      <c r="J371" s="84"/>
      <c r="K371" s="84"/>
      <c r="L371" s="79"/>
      <c r="M371" s="186"/>
      <c r="N371" s="84"/>
      <c r="O371" s="84"/>
      <c r="P371" s="84"/>
    </row>
    <row r="372" spans="1:16" ht="15.75" customHeight="1">
      <c r="A372" s="185"/>
      <c r="B372" s="82"/>
      <c r="C372" s="81"/>
      <c r="D372" s="82"/>
      <c r="E372" s="81"/>
      <c r="F372" s="79"/>
      <c r="G372" s="82"/>
      <c r="H372" s="81"/>
      <c r="I372" s="84"/>
      <c r="J372" s="84"/>
      <c r="K372" s="84"/>
      <c r="L372" s="79"/>
      <c r="M372" s="186"/>
      <c r="N372" s="84"/>
      <c r="O372" s="84"/>
      <c r="P372" s="84"/>
    </row>
    <row r="373" spans="1:16" ht="15.75" customHeight="1">
      <c r="A373" s="185"/>
      <c r="B373" s="82"/>
      <c r="C373" s="81"/>
      <c r="D373" s="82"/>
      <c r="E373" s="81"/>
      <c r="F373" s="79"/>
      <c r="G373" s="82"/>
      <c r="H373" s="81"/>
      <c r="I373" s="84"/>
      <c r="J373" s="84"/>
      <c r="K373" s="84"/>
      <c r="L373" s="79"/>
      <c r="M373" s="186"/>
      <c r="N373" s="84"/>
      <c r="O373" s="84"/>
      <c r="P373" s="84"/>
    </row>
    <row r="374" spans="1:16" ht="15.75" customHeight="1">
      <c r="A374" s="185"/>
      <c r="B374" s="82"/>
      <c r="C374" s="81"/>
      <c r="D374" s="82"/>
      <c r="E374" s="81"/>
      <c r="F374" s="79"/>
      <c r="G374" s="82"/>
      <c r="H374" s="81"/>
      <c r="I374" s="84"/>
      <c r="J374" s="84"/>
      <c r="K374" s="84"/>
      <c r="L374" s="79"/>
      <c r="M374" s="186"/>
      <c r="N374" s="84"/>
      <c r="O374" s="84"/>
      <c r="P374" s="84"/>
    </row>
    <row r="375" spans="1:16" ht="15.75" customHeight="1">
      <c r="A375" s="185"/>
      <c r="B375" s="82"/>
      <c r="C375" s="81"/>
      <c r="D375" s="82"/>
      <c r="E375" s="81"/>
      <c r="F375" s="79"/>
      <c r="G375" s="82"/>
      <c r="H375" s="81"/>
      <c r="I375" s="84"/>
      <c r="J375" s="84"/>
      <c r="K375" s="84"/>
      <c r="L375" s="79"/>
      <c r="M375" s="186"/>
      <c r="N375" s="84"/>
      <c r="O375" s="84"/>
      <c r="P375" s="84"/>
    </row>
    <row r="376" spans="1:16" ht="15.75" customHeight="1">
      <c r="A376" s="185"/>
      <c r="B376" s="82"/>
      <c r="C376" s="81"/>
      <c r="D376" s="82"/>
      <c r="E376" s="81"/>
      <c r="F376" s="79"/>
      <c r="G376" s="82"/>
      <c r="H376" s="81"/>
      <c r="I376" s="84"/>
      <c r="J376" s="84"/>
      <c r="K376" s="84"/>
      <c r="L376" s="79"/>
      <c r="M376" s="186"/>
      <c r="N376" s="84"/>
      <c r="O376" s="84"/>
      <c r="P376" s="84"/>
    </row>
    <row r="377" spans="1:16" ht="15.75" customHeight="1">
      <c r="A377" s="185"/>
      <c r="B377" s="82"/>
      <c r="C377" s="81"/>
      <c r="D377" s="82"/>
      <c r="E377" s="81"/>
      <c r="F377" s="79"/>
      <c r="G377" s="82"/>
      <c r="H377" s="81"/>
      <c r="I377" s="84"/>
      <c r="J377" s="84"/>
      <c r="K377" s="84"/>
      <c r="L377" s="79"/>
      <c r="M377" s="186"/>
      <c r="N377" s="84"/>
      <c r="O377" s="84"/>
      <c r="P377" s="84"/>
    </row>
    <row r="378" spans="1:16" ht="15.75" customHeight="1">
      <c r="A378" s="185"/>
      <c r="B378" s="82"/>
      <c r="C378" s="81"/>
      <c r="D378" s="82"/>
      <c r="E378" s="81"/>
      <c r="F378" s="79"/>
      <c r="G378" s="82"/>
      <c r="H378" s="81"/>
      <c r="I378" s="84"/>
      <c r="J378" s="84"/>
      <c r="K378" s="84"/>
      <c r="L378" s="79"/>
      <c r="M378" s="186"/>
      <c r="N378" s="84"/>
      <c r="O378" s="84"/>
      <c r="P378" s="84"/>
    </row>
    <row r="379" spans="1:16" ht="15.75" customHeight="1">
      <c r="A379" s="185"/>
      <c r="B379" s="82"/>
      <c r="C379" s="81"/>
      <c r="D379" s="82"/>
      <c r="E379" s="81"/>
      <c r="F379" s="79"/>
      <c r="G379" s="82"/>
      <c r="H379" s="81"/>
      <c r="I379" s="84"/>
      <c r="J379" s="84"/>
      <c r="K379" s="84"/>
      <c r="L379" s="79"/>
      <c r="M379" s="186"/>
      <c r="N379" s="84"/>
      <c r="O379" s="84"/>
      <c r="P379" s="84"/>
    </row>
    <row r="380" spans="1:16" ht="15.75" customHeight="1">
      <c r="A380" s="185"/>
      <c r="B380" s="82"/>
      <c r="C380" s="81"/>
      <c r="D380" s="82"/>
      <c r="E380" s="81"/>
      <c r="F380" s="79"/>
      <c r="G380" s="82"/>
      <c r="H380" s="81"/>
      <c r="I380" s="84"/>
      <c r="J380" s="84"/>
      <c r="K380" s="84"/>
      <c r="L380" s="79"/>
      <c r="M380" s="186"/>
      <c r="N380" s="84"/>
      <c r="O380" s="84"/>
      <c r="P380" s="84"/>
    </row>
    <row r="381" spans="1:16" ht="15.75" customHeight="1">
      <c r="A381" s="185"/>
      <c r="B381" s="82"/>
      <c r="C381" s="81"/>
      <c r="D381" s="82"/>
      <c r="E381" s="81"/>
      <c r="F381" s="79"/>
      <c r="G381" s="82"/>
      <c r="H381" s="81"/>
      <c r="I381" s="84"/>
      <c r="J381" s="84"/>
      <c r="K381" s="84"/>
      <c r="L381" s="79"/>
      <c r="M381" s="186"/>
      <c r="N381" s="84"/>
      <c r="O381" s="84"/>
      <c r="P381" s="84"/>
    </row>
    <row r="382" spans="1:16" ht="15.75" customHeight="1">
      <c r="A382" s="185"/>
      <c r="B382" s="82"/>
      <c r="C382" s="81"/>
      <c r="D382" s="82"/>
      <c r="E382" s="81"/>
      <c r="F382" s="79"/>
      <c r="G382" s="82"/>
      <c r="H382" s="81"/>
      <c r="I382" s="84"/>
      <c r="J382" s="84"/>
      <c r="K382" s="84"/>
      <c r="L382" s="79"/>
      <c r="M382" s="186"/>
      <c r="N382" s="84"/>
      <c r="O382" s="84"/>
      <c r="P382" s="84"/>
    </row>
    <row r="383" spans="1:16" ht="15.75" customHeight="1">
      <c r="A383" s="185"/>
      <c r="B383" s="82"/>
      <c r="C383" s="81"/>
      <c r="D383" s="82"/>
      <c r="E383" s="81"/>
      <c r="F383" s="79"/>
      <c r="G383" s="82"/>
      <c r="H383" s="81"/>
      <c r="I383" s="84"/>
      <c r="J383" s="84"/>
      <c r="K383" s="84"/>
      <c r="L383" s="79"/>
      <c r="M383" s="186"/>
      <c r="N383" s="84"/>
      <c r="O383" s="84"/>
      <c r="P383" s="84"/>
    </row>
    <row r="384" spans="1:16" ht="15.75" customHeight="1">
      <c r="A384" s="185"/>
      <c r="B384" s="82"/>
      <c r="C384" s="81"/>
      <c r="D384" s="82"/>
      <c r="E384" s="81"/>
      <c r="F384" s="79"/>
      <c r="G384" s="82"/>
      <c r="H384" s="81"/>
      <c r="I384" s="84"/>
      <c r="J384" s="84"/>
      <c r="K384" s="84"/>
      <c r="L384" s="79"/>
      <c r="M384" s="186"/>
      <c r="N384" s="84"/>
      <c r="O384" s="84"/>
      <c r="P384" s="84"/>
    </row>
    <row r="385" spans="1:16" ht="15.75" customHeight="1">
      <c r="A385" s="185"/>
      <c r="B385" s="82"/>
      <c r="C385" s="81"/>
      <c r="D385" s="82"/>
      <c r="E385" s="81"/>
      <c r="F385" s="79"/>
      <c r="G385" s="82"/>
      <c r="H385" s="81"/>
      <c r="I385" s="84"/>
      <c r="J385" s="84"/>
      <c r="K385" s="84"/>
      <c r="L385" s="79"/>
      <c r="M385" s="186"/>
      <c r="N385" s="84"/>
      <c r="O385" s="84"/>
      <c r="P385" s="84"/>
    </row>
    <row r="386" spans="1:16" ht="15.75" customHeight="1">
      <c r="A386" s="185"/>
      <c r="B386" s="82"/>
      <c r="C386" s="81"/>
      <c r="D386" s="82"/>
      <c r="E386" s="81"/>
      <c r="F386" s="79"/>
      <c r="G386" s="82"/>
      <c r="H386" s="81"/>
      <c r="I386" s="84"/>
      <c r="J386" s="84"/>
      <c r="K386" s="84"/>
      <c r="L386" s="79"/>
      <c r="M386" s="186"/>
      <c r="N386" s="84"/>
      <c r="O386" s="84"/>
      <c r="P386" s="84"/>
    </row>
    <row r="387" spans="1:16" ht="15.75" customHeight="1">
      <c r="A387" s="185"/>
      <c r="B387" s="82"/>
      <c r="C387" s="81"/>
      <c r="D387" s="82"/>
      <c r="E387" s="81"/>
      <c r="F387" s="79"/>
      <c r="G387" s="82"/>
      <c r="H387" s="81"/>
      <c r="I387" s="84"/>
      <c r="J387" s="84"/>
      <c r="K387" s="84"/>
      <c r="L387" s="79"/>
      <c r="M387" s="186"/>
      <c r="N387" s="84"/>
      <c r="O387" s="84"/>
      <c r="P387" s="84"/>
    </row>
    <row r="388" spans="1:16" ht="15.75" customHeight="1">
      <c r="A388" s="185"/>
      <c r="B388" s="82"/>
      <c r="C388" s="81"/>
      <c r="D388" s="82"/>
      <c r="E388" s="81"/>
      <c r="F388" s="79"/>
      <c r="G388" s="82"/>
      <c r="H388" s="81"/>
      <c r="I388" s="84"/>
      <c r="J388" s="84"/>
      <c r="K388" s="84"/>
      <c r="L388" s="79"/>
      <c r="M388" s="186"/>
      <c r="N388" s="84"/>
      <c r="O388" s="84"/>
      <c r="P388" s="84"/>
    </row>
    <row r="389" spans="1:16" ht="15.75" customHeight="1">
      <c r="A389" s="185"/>
      <c r="B389" s="82"/>
      <c r="C389" s="81"/>
      <c r="D389" s="82"/>
      <c r="E389" s="81"/>
      <c r="F389" s="79"/>
      <c r="G389" s="82"/>
      <c r="H389" s="81"/>
      <c r="I389" s="84"/>
      <c r="J389" s="84"/>
      <c r="K389" s="84"/>
      <c r="L389" s="79"/>
      <c r="M389" s="186"/>
      <c r="N389" s="84"/>
      <c r="O389" s="84"/>
      <c r="P389" s="84"/>
    </row>
    <row r="390" spans="1:16" ht="15.75" customHeight="1">
      <c r="A390" s="185"/>
      <c r="B390" s="82"/>
      <c r="C390" s="81"/>
      <c r="D390" s="82"/>
      <c r="E390" s="81"/>
      <c r="F390" s="79"/>
      <c r="G390" s="82"/>
      <c r="H390" s="81"/>
      <c r="I390" s="84"/>
      <c r="J390" s="84"/>
      <c r="K390" s="84"/>
      <c r="L390" s="79"/>
      <c r="M390" s="186"/>
      <c r="N390" s="84"/>
      <c r="O390" s="84"/>
      <c r="P390" s="84"/>
    </row>
    <row r="391" spans="1:16" ht="15.75" customHeight="1">
      <c r="A391" s="185"/>
      <c r="B391" s="82"/>
      <c r="C391" s="81"/>
      <c r="D391" s="82"/>
      <c r="E391" s="81"/>
      <c r="F391" s="79"/>
      <c r="G391" s="82"/>
      <c r="H391" s="81"/>
      <c r="I391" s="84"/>
      <c r="J391" s="84"/>
      <c r="K391" s="84"/>
      <c r="L391" s="79"/>
      <c r="M391" s="186"/>
      <c r="N391" s="84"/>
      <c r="O391" s="84"/>
      <c r="P391" s="84"/>
    </row>
    <row r="392" spans="1:16" ht="15.75" customHeight="1">
      <c r="A392" s="185"/>
      <c r="B392" s="82"/>
      <c r="C392" s="81"/>
      <c r="D392" s="82"/>
      <c r="E392" s="81"/>
      <c r="F392" s="79"/>
      <c r="G392" s="82"/>
      <c r="H392" s="81"/>
      <c r="I392" s="84"/>
      <c r="J392" s="84"/>
      <c r="K392" s="84"/>
      <c r="L392" s="79"/>
      <c r="M392" s="186"/>
      <c r="N392" s="84"/>
      <c r="O392" s="84"/>
      <c r="P392" s="84"/>
    </row>
    <row r="393" spans="1:16" ht="15.75" customHeight="1">
      <c r="A393" s="185"/>
      <c r="B393" s="82"/>
      <c r="C393" s="81"/>
      <c r="D393" s="82"/>
      <c r="E393" s="81"/>
      <c r="F393" s="79"/>
      <c r="G393" s="82"/>
      <c r="H393" s="81"/>
      <c r="I393" s="84"/>
      <c r="J393" s="84"/>
      <c r="K393" s="84"/>
      <c r="L393" s="79"/>
      <c r="M393" s="186"/>
      <c r="N393" s="84"/>
      <c r="O393" s="84"/>
      <c r="P393" s="84"/>
    </row>
    <row r="394" spans="1:16" ht="15.75" customHeight="1">
      <c r="A394" s="185"/>
      <c r="B394" s="82"/>
      <c r="C394" s="81"/>
      <c r="D394" s="82"/>
      <c r="E394" s="81"/>
      <c r="F394" s="79"/>
      <c r="G394" s="82"/>
      <c r="H394" s="81"/>
      <c r="I394" s="84"/>
      <c r="J394" s="84"/>
      <c r="K394" s="84"/>
      <c r="L394" s="79"/>
      <c r="M394" s="186"/>
      <c r="N394" s="84"/>
      <c r="O394" s="84"/>
      <c r="P394" s="84"/>
    </row>
    <row r="395" spans="1:16" ht="15.75" customHeight="1">
      <c r="A395" s="185"/>
      <c r="B395" s="82"/>
      <c r="C395" s="81"/>
      <c r="D395" s="82"/>
      <c r="E395" s="81"/>
      <c r="F395" s="79"/>
      <c r="G395" s="82"/>
      <c r="H395" s="81"/>
      <c r="I395" s="84"/>
      <c r="J395" s="84"/>
      <c r="K395" s="84"/>
      <c r="L395" s="79"/>
      <c r="M395" s="186"/>
      <c r="N395" s="84"/>
      <c r="O395" s="84"/>
      <c r="P395" s="84"/>
    </row>
    <row r="396" spans="1:16" ht="15.75" customHeight="1">
      <c r="A396" s="185"/>
      <c r="B396" s="82"/>
      <c r="C396" s="81"/>
      <c r="D396" s="82"/>
      <c r="E396" s="81"/>
      <c r="F396" s="79"/>
      <c r="G396" s="82"/>
      <c r="H396" s="81"/>
      <c r="I396" s="84"/>
      <c r="J396" s="84"/>
      <c r="K396" s="84"/>
      <c r="L396" s="79"/>
      <c r="M396" s="186"/>
      <c r="N396" s="84"/>
      <c r="O396" s="84"/>
      <c r="P396" s="84"/>
    </row>
    <row r="397" spans="1:16" ht="15.75" customHeight="1">
      <c r="A397" s="185"/>
      <c r="B397" s="82"/>
      <c r="C397" s="81"/>
      <c r="D397" s="82"/>
      <c r="E397" s="81"/>
      <c r="F397" s="79"/>
      <c r="G397" s="82"/>
      <c r="H397" s="81"/>
      <c r="I397" s="84"/>
      <c r="J397" s="84"/>
      <c r="K397" s="84"/>
      <c r="L397" s="79"/>
      <c r="M397" s="186"/>
      <c r="N397" s="84"/>
      <c r="O397" s="84"/>
      <c r="P397" s="84"/>
    </row>
    <row r="398" spans="1:16" ht="15.75" customHeight="1">
      <c r="A398" s="185"/>
      <c r="B398" s="82"/>
      <c r="C398" s="81"/>
      <c r="D398" s="82"/>
      <c r="E398" s="81"/>
      <c r="F398" s="79"/>
      <c r="G398" s="82"/>
      <c r="H398" s="81"/>
      <c r="I398" s="84"/>
      <c r="J398" s="84"/>
      <c r="K398" s="84"/>
      <c r="L398" s="79"/>
      <c r="M398" s="186"/>
      <c r="N398" s="84"/>
      <c r="O398" s="84"/>
      <c r="P398" s="84"/>
    </row>
    <row r="399" spans="1:16" ht="15.75" customHeight="1">
      <c r="A399" s="185"/>
      <c r="B399" s="82"/>
      <c r="C399" s="81"/>
      <c r="D399" s="82"/>
      <c r="E399" s="81"/>
      <c r="F399" s="79"/>
      <c r="G399" s="82"/>
      <c r="H399" s="81"/>
      <c r="I399" s="84"/>
      <c r="J399" s="84"/>
      <c r="K399" s="84"/>
      <c r="L399" s="79"/>
      <c r="M399" s="186"/>
      <c r="N399" s="84"/>
      <c r="O399" s="84"/>
      <c r="P399" s="84"/>
    </row>
    <row r="400" spans="1:16" ht="15.75" customHeight="1">
      <c r="A400" s="185"/>
      <c r="B400" s="82"/>
      <c r="C400" s="81"/>
      <c r="D400" s="82"/>
      <c r="E400" s="81"/>
      <c r="F400" s="79"/>
      <c r="G400" s="82"/>
      <c r="H400" s="81"/>
      <c r="I400" s="84"/>
      <c r="J400" s="84"/>
      <c r="K400" s="84"/>
      <c r="L400" s="79"/>
      <c r="M400" s="186"/>
      <c r="N400" s="84"/>
      <c r="O400" s="84"/>
      <c r="P400" s="84"/>
    </row>
    <row r="401" spans="1:16" ht="15.75" customHeight="1">
      <c r="A401" s="185"/>
      <c r="B401" s="82"/>
      <c r="C401" s="81"/>
      <c r="D401" s="82"/>
      <c r="E401" s="81"/>
      <c r="F401" s="79"/>
      <c r="G401" s="82"/>
      <c r="H401" s="81"/>
      <c r="I401" s="84"/>
      <c r="J401" s="84"/>
      <c r="K401" s="84"/>
      <c r="L401" s="79"/>
      <c r="M401" s="186"/>
      <c r="N401" s="84"/>
      <c r="O401" s="84"/>
      <c r="P401" s="84"/>
    </row>
    <row r="402" spans="1:16" ht="15.75" customHeight="1">
      <c r="A402" s="185"/>
      <c r="B402" s="82"/>
      <c r="C402" s="81"/>
      <c r="D402" s="82"/>
      <c r="E402" s="81"/>
      <c r="F402" s="79"/>
      <c r="G402" s="82"/>
      <c r="H402" s="81"/>
      <c r="I402" s="84"/>
      <c r="J402" s="84"/>
      <c r="K402" s="84"/>
      <c r="L402" s="79"/>
      <c r="M402" s="186"/>
      <c r="N402" s="84"/>
      <c r="O402" s="84"/>
      <c r="P402" s="84"/>
    </row>
    <row r="403" spans="1:16" ht="15.75" customHeight="1">
      <c r="A403" s="185"/>
      <c r="B403" s="82"/>
      <c r="C403" s="81"/>
      <c r="D403" s="82"/>
      <c r="E403" s="81"/>
      <c r="F403" s="79"/>
      <c r="G403" s="82"/>
      <c r="H403" s="81"/>
      <c r="I403" s="84"/>
      <c r="J403" s="84"/>
      <c r="K403" s="84"/>
      <c r="L403" s="79"/>
      <c r="M403" s="186"/>
      <c r="N403" s="84"/>
      <c r="O403" s="84"/>
      <c r="P403" s="84"/>
    </row>
    <row r="404" spans="1:16" ht="15.75" customHeight="1">
      <c r="A404" s="185"/>
      <c r="B404" s="82"/>
      <c r="C404" s="81"/>
      <c r="D404" s="82"/>
      <c r="E404" s="81"/>
      <c r="F404" s="79"/>
      <c r="G404" s="82"/>
      <c r="H404" s="81"/>
      <c r="I404" s="84"/>
      <c r="J404" s="84"/>
      <c r="K404" s="84"/>
      <c r="L404" s="79"/>
      <c r="M404" s="186"/>
      <c r="N404" s="84"/>
      <c r="O404" s="84"/>
      <c r="P404" s="84"/>
    </row>
    <row r="405" spans="1:16" ht="15.75" customHeight="1">
      <c r="A405" s="185"/>
      <c r="B405" s="82"/>
      <c r="C405" s="81"/>
      <c r="D405" s="82"/>
      <c r="E405" s="81"/>
      <c r="F405" s="79"/>
      <c r="G405" s="82"/>
      <c r="H405" s="81"/>
      <c r="I405" s="84"/>
      <c r="J405" s="84"/>
      <c r="K405" s="84"/>
      <c r="L405" s="79"/>
      <c r="M405" s="186"/>
      <c r="N405" s="84"/>
      <c r="O405" s="84"/>
      <c r="P405" s="84"/>
    </row>
    <row r="406" spans="1:16" ht="15.75" customHeight="1">
      <c r="A406" s="185"/>
      <c r="B406" s="82"/>
      <c r="C406" s="81"/>
      <c r="D406" s="82"/>
      <c r="E406" s="81"/>
      <c r="F406" s="79"/>
      <c r="G406" s="82"/>
      <c r="H406" s="81"/>
      <c r="I406" s="84"/>
      <c r="J406" s="84"/>
      <c r="K406" s="84"/>
      <c r="L406" s="79"/>
      <c r="M406" s="186"/>
      <c r="N406" s="84"/>
      <c r="O406" s="84"/>
      <c r="P406" s="84"/>
    </row>
    <row r="407" spans="1:16" ht="15.75" customHeight="1">
      <c r="A407" s="185"/>
      <c r="B407" s="82"/>
      <c r="C407" s="81"/>
      <c r="D407" s="82"/>
      <c r="E407" s="81"/>
      <c r="F407" s="79"/>
      <c r="G407" s="82"/>
      <c r="H407" s="81"/>
      <c r="I407" s="84"/>
      <c r="J407" s="84"/>
      <c r="K407" s="84"/>
      <c r="L407" s="79"/>
      <c r="M407" s="186"/>
      <c r="N407" s="84"/>
      <c r="O407" s="84"/>
      <c r="P407" s="84"/>
    </row>
    <row r="408" spans="1:16" ht="15.75" customHeight="1">
      <c r="A408" s="185"/>
      <c r="B408" s="82"/>
      <c r="C408" s="81"/>
      <c r="D408" s="82"/>
      <c r="E408" s="81"/>
      <c r="F408" s="79"/>
      <c r="G408" s="82"/>
      <c r="H408" s="81"/>
      <c r="I408" s="84"/>
      <c r="J408" s="84"/>
      <c r="K408" s="84"/>
      <c r="L408" s="79"/>
      <c r="M408" s="186"/>
      <c r="N408" s="84"/>
      <c r="O408" s="84"/>
      <c r="P408" s="84"/>
    </row>
    <row r="409" spans="1:16" ht="15.75" customHeight="1">
      <c r="A409" s="185"/>
      <c r="B409" s="82"/>
      <c r="C409" s="81"/>
      <c r="D409" s="82"/>
      <c r="E409" s="81"/>
      <c r="F409" s="79"/>
      <c r="G409" s="82"/>
      <c r="H409" s="81"/>
      <c r="I409" s="84"/>
      <c r="J409" s="84"/>
      <c r="K409" s="84"/>
      <c r="L409" s="79"/>
      <c r="M409" s="186"/>
      <c r="N409" s="84"/>
      <c r="O409" s="84"/>
      <c r="P409" s="84"/>
    </row>
    <row r="410" spans="1:16" ht="15.75" customHeight="1">
      <c r="A410" s="185"/>
      <c r="B410" s="82"/>
      <c r="C410" s="81"/>
      <c r="D410" s="82"/>
      <c r="E410" s="81"/>
      <c r="F410" s="79"/>
      <c r="G410" s="82"/>
      <c r="H410" s="81"/>
      <c r="I410" s="84"/>
      <c r="J410" s="84"/>
      <c r="K410" s="84"/>
      <c r="L410" s="79"/>
      <c r="M410" s="186"/>
      <c r="N410" s="84"/>
      <c r="O410" s="84"/>
      <c r="P410" s="84"/>
    </row>
    <row r="411" spans="1:16" ht="15.75" customHeight="1">
      <c r="A411" s="185"/>
      <c r="B411" s="82"/>
      <c r="C411" s="81"/>
      <c r="D411" s="82"/>
      <c r="E411" s="81"/>
      <c r="F411" s="79"/>
      <c r="G411" s="82"/>
      <c r="H411" s="81"/>
      <c r="I411" s="84"/>
      <c r="J411" s="84"/>
      <c r="K411" s="84"/>
      <c r="L411" s="79"/>
      <c r="M411" s="186"/>
      <c r="N411" s="84"/>
      <c r="O411" s="84"/>
      <c r="P411" s="84"/>
    </row>
    <row r="412" spans="1:16" ht="15.75" customHeight="1">
      <c r="A412" s="185"/>
      <c r="B412" s="82"/>
      <c r="C412" s="81"/>
      <c r="D412" s="82"/>
      <c r="E412" s="81"/>
      <c r="F412" s="79"/>
      <c r="G412" s="82"/>
      <c r="H412" s="81"/>
      <c r="I412" s="84"/>
      <c r="J412" s="84"/>
      <c r="K412" s="84"/>
      <c r="L412" s="79"/>
      <c r="M412" s="186"/>
      <c r="N412" s="84"/>
      <c r="O412" s="84"/>
      <c r="P412" s="84"/>
    </row>
    <row r="413" spans="1:16" ht="15.75" customHeight="1">
      <c r="A413" s="185"/>
      <c r="B413" s="82"/>
      <c r="C413" s="81"/>
      <c r="D413" s="82"/>
      <c r="E413" s="81"/>
      <c r="F413" s="79"/>
      <c r="G413" s="82"/>
      <c r="H413" s="81"/>
      <c r="I413" s="84"/>
      <c r="J413" s="84"/>
      <c r="K413" s="84"/>
      <c r="L413" s="79"/>
      <c r="M413" s="186"/>
      <c r="N413" s="84"/>
      <c r="O413" s="84"/>
      <c r="P413" s="84"/>
    </row>
    <row r="414" spans="1:16" ht="15.75" customHeight="1">
      <c r="A414" s="185"/>
      <c r="B414" s="82"/>
      <c r="C414" s="81"/>
      <c r="D414" s="82"/>
      <c r="E414" s="81"/>
      <c r="F414" s="79"/>
      <c r="G414" s="82"/>
      <c r="H414" s="81"/>
      <c r="I414" s="84"/>
      <c r="J414" s="84"/>
      <c r="K414" s="84"/>
      <c r="L414" s="79"/>
      <c r="M414" s="186"/>
      <c r="N414" s="84"/>
      <c r="O414" s="84"/>
      <c r="P414" s="84"/>
    </row>
    <row r="415" spans="1:16" ht="15.75" customHeight="1">
      <c r="A415" s="185"/>
      <c r="B415" s="82"/>
      <c r="C415" s="81"/>
      <c r="D415" s="82"/>
      <c r="E415" s="81"/>
      <c r="F415" s="79"/>
      <c r="G415" s="82"/>
      <c r="H415" s="81"/>
      <c r="I415" s="84"/>
      <c r="J415" s="84"/>
      <c r="K415" s="84"/>
      <c r="L415" s="79"/>
      <c r="M415" s="186"/>
      <c r="N415" s="84"/>
      <c r="O415" s="84"/>
      <c r="P415" s="84"/>
    </row>
    <row r="416" spans="1:16" ht="15.75" customHeight="1">
      <c r="A416" s="185"/>
      <c r="B416" s="82"/>
      <c r="C416" s="81"/>
      <c r="D416" s="82"/>
      <c r="E416" s="81"/>
      <c r="F416" s="79"/>
      <c r="G416" s="82"/>
      <c r="H416" s="81"/>
      <c r="I416" s="84"/>
      <c r="J416" s="84"/>
      <c r="K416" s="84"/>
      <c r="L416" s="79"/>
      <c r="M416" s="186"/>
      <c r="N416" s="84"/>
      <c r="O416" s="84"/>
      <c r="P416" s="84"/>
    </row>
    <row r="417" spans="1:16" ht="15.75" customHeight="1">
      <c r="A417" s="185"/>
      <c r="B417" s="82"/>
      <c r="C417" s="81"/>
      <c r="D417" s="82"/>
      <c r="E417" s="81"/>
      <c r="F417" s="79"/>
      <c r="G417" s="82"/>
      <c r="H417" s="81"/>
      <c r="I417" s="84"/>
      <c r="J417" s="84"/>
      <c r="K417" s="84"/>
      <c r="L417" s="79"/>
      <c r="M417" s="186"/>
      <c r="N417" s="84"/>
      <c r="O417" s="84"/>
      <c r="P417" s="84"/>
    </row>
    <row r="418" spans="1:16" ht="15.75" customHeight="1">
      <c r="A418" s="185"/>
      <c r="B418" s="82"/>
      <c r="C418" s="81"/>
      <c r="D418" s="82"/>
      <c r="E418" s="81"/>
      <c r="F418" s="79"/>
      <c r="G418" s="82"/>
      <c r="H418" s="81"/>
      <c r="I418" s="84"/>
      <c r="J418" s="84"/>
      <c r="K418" s="84"/>
      <c r="L418" s="79"/>
      <c r="M418" s="186"/>
      <c r="N418" s="84"/>
      <c r="O418" s="84"/>
      <c r="P418" s="84"/>
    </row>
    <row r="419" spans="1:16" ht="15.75" customHeight="1">
      <c r="A419" s="185"/>
      <c r="B419" s="82"/>
      <c r="C419" s="81"/>
      <c r="D419" s="82"/>
      <c r="E419" s="81"/>
      <c r="F419" s="79"/>
      <c r="G419" s="82"/>
      <c r="H419" s="81"/>
      <c r="I419" s="84"/>
      <c r="J419" s="84"/>
      <c r="K419" s="84"/>
      <c r="L419" s="79"/>
      <c r="M419" s="186"/>
      <c r="N419" s="84"/>
      <c r="O419" s="84"/>
      <c r="P419" s="84"/>
    </row>
    <row r="420" spans="1:16" ht="15.75" customHeight="1">
      <c r="A420" s="185"/>
      <c r="B420" s="82"/>
      <c r="C420" s="81"/>
      <c r="D420" s="82"/>
      <c r="E420" s="81"/>
      <c r="F420" s="79"/>
      <c r="G420" s="82"/>
      <c r="H420" s="81"/>
      <c r="I420" s="84"/>
      <c r="J420" s="84"/>
      <c r="K420" s="84"/>
      <c r="L420" s="79"/>
      <c r="M420" s="186"/>
      <c r="N420" s="84"/>
      <c r="O420" s="84"/>
      <c r="P420" s="84"/>
    </row>
    <row r="421" spans="1:16" ht="15.75" customHeight="1">
      <c r="A421" s="185"/>
      <c r="B421" s="82"/>
      <c r="C421" s="81"/>
      <c r="D421" s="82"/>
      <c r="E421" s="81"/>
      <c r="F421" s="79"/>
      <c r="G421" s="82"/>
      <c r="H421" s="81"/>
      <c r="I421" s="84"/>
      <c r="J421" s="84"/>
      <c r="K421" s="84"/>
      <c r="L421" s="79"/>
      <c r="M421" s="186"/>
      <c r="N421" s="84"/>
      <c r="O421" s="84"/>
      <c r="P421" s="84"/>
    </row>
    <row r="422" spans="1:16" ht="15.75" customHeight="1">
      <c r="A422" s="185"/>
      <c r="B422" s="82"/>
      <c r="C422" s="81"/>
      <c r="D422" s="82"/>
      <c r="E422" s="81"/>
      <c r="F422" s="79"/>
      <c r="G422" s="82"/>
      <c r="H422" s="81"/>
      <c r="I422" s="84"/>
      <c r="J422" s="84"/>
      <c r="K422" s="84"/>
      <c r="L422" s="79"/>
      <c r="M422" s="186"/>
      <c r="N422" s="84"/>
      <c r="O422" s="84"/>
      <c r="P422" s="84"/>
    </row>
    <row r="423" spans="1:16" ht="15.75" customHeight="1">
      <c r="A423" s="185"/>
      <c r="B423" s="82"/>
      <c r="C423" s="81"/>
      <c r="D423" s="82"/>
      <c r="E423" s="81"/>
      <c r="F423" s="79"/>
      <c r="G423" s="82"/>
      <c r="H423" s="81"/>
      <c r="I423" s="84"/>
      <c r="J423" s="84"/>
      <c r="K423" s="84"/>
      <c r="L423" s="79"/>
      <c r="M423" s="186"/>
      <c r="N423" s="84"/>
      <c r="O423" s="84"/>
      <c r="P423" s="84"/>
    </row>
    <row r="424" spans="1:16" ht="15.75" customHeight="1">
      <c r="A424" s="185"/>
      <c r="B424" s="82"/>
      <c r="C424" s="81"/>
      <c r="D424" s="82"/>
      <c r="E424" s="81"/>
      <c r="F424" s="79"/>
      <c r="G424" s="82"/>
      <c r="H424" s="81"/>
      <c r="I424" s="84"/>
      <c r="J424" s="84"/>
      <c r="K424" s="84"/>
      <c r="L424" s="79"/>
      <c r="M424" s="186"/>
      <c r="N424" s="84"/>
      <c r="O424" s="84"/>
      <c r="P424" s="84"/>
    </row>
    <row r="425" spans="1:16" ht="15.75" customHeight="1">
      <c r="A425" s="185"/>
      <c r="B425" s="82"/>
      <c r="C425" s="81"/>
      <c r="D425" s="82"/>
      <c r="E425" s="81"/>
      <c r="F425" s="79"/>
      <c r="G425" s="82"/>
      <c r="H425" s="81"/>
      <c r="I425" s="84"/>
      <c r="J425" s="84"/>
      <c r="K425" s="84"/>
      <c r="L425" s="79"/>
      <c r="M425" s="186"/>
      <c r="N425" s="84"/>
      <c r="O425" s="84"/>
      <c r="P425" s="84"/>
    </row>
    <row r="426" spans="1:16" ht="15.75" customHeight="1">
      <c r="A426" s="185"/>
      <c r="B426" s="82"/>
      <c r="C426" s="81"/>
      <c r="D426" s="82"/>
      <c r="E426" s="81"/>
      <c r="F426" s="79"/>
      <c r="G426" s="82"/>
      <c r="H426" s="81"/>
      <c r="I426" s="84"/>
      <c r="J426" s="84"/>
      <c r="K426" s="84"/>
      <c r="L426" s="79"/>
      <c r="M426" s="186"/>
      <c r="N426" s="84"/>
      <c r="O426" s="84"/>
      <c r="P426" s="84"/>
    </row>
    <row r="427" spans="1:16" ht="15.75" customHeight="1">
      <c r="A427" s="185"/>
      <c r="B427" s="82"/>
      <c r="C427" s="81"/>
      <c r="D427" s="82"/>
      <c r="E427" s="81"/>
      <c r="F427" s="79"/>
      <c r="G427" s="82"/>
      <c r="H427" s="81"/>
      <c r="I427" s="84"/>
      <c r="J427" s="84"/>
      <c r="K427" s="84"/>
      <c r="L427" s="79"/>
      <c r="M427" s="186"/>
      <c r="N427" s="84"/>
      <c r="O427" s="84"/>
      <c r="P427" s="84"/>
    </row>
    <row r="428" spans="1:16" ht="15.75" customHeight="1">
      <c r="A428" s="185"/>
      <c r="B428" s="82"/>
      <c r="C428" s="81"/>
      <c r="D428" s="82"/>
      <c r="E428" s="81"/>
      <c r="F428" s="79"/>
      <c r="G428" s="82"/>
      <c r="H428" s="81"/>
      <c r="I428" s="84"/>
      <c r="J428" s="84"/>
      <c r="K428" s="84"/>
      <c r="L428" s="79"/>
      <c r="M428" s="186"/>
      <c r="N428" s="84"/>
      <c r="O428" s="84"/>
      <c r="P428" s="84"/>
    </row>
    <row r="429" spans="1:16" ht="15.75" customHeight="1">
      <c r="A429" s="185"/>
      <c r="B429" s="82"/>
      <c r="C429" s="81"/>
      <c r="D429" s="82"/>
      <c r="E429" s="81"/>
      <c r="F429" s="79"/>
      <c r="G429" s="82"/>
      <c r="H429" s="81"/>
      <c r="I429" s="84"/>
      <c r="J429" s="84"/>
      <c r="K429" s="84"/>
      <c r="L429" s="79"/>
      <c r="M429" s="186"/>
      <c r="N429" s="84"/>
      <c r="O429" s="84"/>
      <c r="P429" s="84"/>
    </row>
    <row r="430" spans="1:16" ht="15.75" customHeight="1">
      <c r="A430" s="185"/>
      <c r="B430" s="82"/>
      <c r="C430" s="81"/>
      <c r="D430" s="82"/>
      <c r="E430" s="81"/>
      <c r="F430" s="79"/>
      <c r="G430" s="82"/>
      <c r="H430" s="81"/>
      <c r="I430" s="84"/>
      <c r="J430" s="84"/>
      <c r="K430" s="84"/>
      <c r="L430" s="79"/>
      <c r="M430" s="186"/>
      <c r="N430" s="84"/>
      <c r="O430" s="84"/>
      <c r="P430" s="84"/>
    </row>
    <row r="431" spans="1:16" ht="15.75" customHeight="1">
      <c r="A431" s="185"/>
      <c r="B431" s="82"/>
      <c r="C431" s="81"/>
      <c r="D431" s="82"/>
      <c r="E431" s="81"/>
      <c r="F431" s="79"/>
      <c r="G431" s="82"/>
      <c r="H431" s="81"/>
      <c r="I431" s="84"/>
      <c r="J431" s="84"/>
      <c r="K431" s="84"/>
      <c r="L431" s="79"/>
      <c r="M431" s="186"/>
      <c r="N431" s="84"/>
      <c r="O431" s="84"/>
      <c r="P431" s="84"/>
    </row>
    <row r="432" spans="1:16" ht="15.75" customHeight="1">
      <c r="A432" s="185"/>
      <c r="B432" s="82"/>
      <c r="C432" s="81"/>
      <c r="D432" s="82"/>
      <c r="E432" s="81"/>
      <c r="F432" s="79"/>
      <c r="G432" s="82"/>
      <c r="H432" s="81"/>
      <c r="I432" s="84"/>
      <c r="J432" s="84"/>
      <c r="K432" s="84"/>
      <c r="L432" s="79"/>
      <c r="M432" s="186"/>
      <c r="N432" s="84"/>
      <c r="O432" s="84"/>
      <c r="P432" s="84"/>
    </row>
    <row r="433" spans="1:16" ht="15.75" customHeight="1">
      <c r="A433" s="185"/>
      <c r="B433" s="82"/>
      <c r="C433" s="81"/>
      <c r="D433" s="82"/>
      <c r="E433" s="81"/>
      <c r="F433" s="79"/>
      <c r="G433" s="82"/>
      <c r="H433" s="81"/>
      <c r="I433" s="84"/>
      <c r="J433" s="84"/>
      <c r="K433" s="84"/>
      <c r="L433" s="79"/>
      <c r="M433" s="186"/>
      <c r="N433" s="84"/>
      <c r="O433" s="84"/>
      <c r="P433" s="84"/>
    </row>
    <row r="434" spans="1:16" ht="15.75" customHeight="1">
      <c r="A434" s="185"/>
      <c r="B434" s="82"/>
      <c r="C434" s="81"/>
      <c r="D434" s="82"/>
      <c r="E434" s="81"/>
      <c r="F434" s="79"/>
      <c r="G434" s="82"/>
      <c r="H434" s="81"/>
      <c r="I434" s="84"/>
      <c r="J434" s="84"/>
      <c r="K434" s="84"/>
      <c r="L434" s="79"/>
      <c r="M434" s="186"/>
      <c r="N434" s="84"/>
      <c r="O434" s="84"/>
      <c r="P434" s="84"/>
    </row>
    <row r="435" spans="1:16" ht="15.75" customHeight="1">
      <c r="A435" s="185"/>
      <c r="B435" s="82"/>
      <c r="C435" s="81"/>
      <c r="D435" s="82"/>
      <c r="E435" s="81"/>
      <c r="F435" s="79"/>
      <c r="G435" s="82"/>
      <c r="H435" s="81"/>
      <c r="I435" s="84"/>
      <c r="J435" s="84"/>
      <c r="K435" s="84"/>
      <c r="L435" s="79"/>
      <c r="M435" s="186"/>
      <c r="N435" s="84"/>
      <c r="O435" s="84"/>
      <c r="P435" s="84"/>
    </row>
    <row r="436" spans="1:16" ht="15.75" customHeight="1">
      <c r="A436" s="185"/>
      <c r="B436" s="82"/>
      <c r="C436" s="81"/>
      <c r="D436" s="82"/>
      <c r="E436" s="81"/>
      <c r="F436" s="79"/>
      <c r="G436" s="82"/>
      <c r="H436" s="81"/>
      <c r="I436" s="84"/>
      <c r="J436" s="84"/>
      <c r="K436" s="84"/>
      <c r="L436" s="79"/>
      <c r="M436" s="186"/>
      <c r="N436" s="84"/>
      <c r="O436" s="84"/>
      <c r="P436" s="84"/>
    </row>
    <row r="437" spans="1:16" ht="15.75" customHeight="1">
      <c r="A437" s="185"/>
      <c r="B437" s="82"/>
      <c r="C437" s="81"/>
      <c r="D437" s="82"/>
      <c r="E437" s="81"/>
      <c r="F437" s="79"/>
      <c r="G437" s="82"/>
      <c r="H437" s="81"/>
      <c r="I437" s="84"/>
      <c r="J437" s="84"/>
      <c r="K437" s="84"/>
      <c r="L437" s="79"/>
      <c r="M437" s="186"/>
      <c r="N437" s="84"/>
      <c r="O437" s="84"/>
      <c r="P437" s="84"/>
    </row>
    <row r="438" spans="1:16" ht="15.75" customHeight="1">
      <c r="A438" s="185"/>
      <c r="B438" s="82"/>
      <c r="C438" s="81"/>
      <c r="D438" s="82"/>
      <c r="E438" s="81"/>
      <c r="F438" s="79"/>
      <c r="G438" s="82"/>
      <c r="H438" s="81"/>
      <c r="I438" s="84"/>
      <c r="J438" s="84"/>
      <c r="K438" s="84"/>
      <c r="L438" s="79"/>
      <c r="M438" s="186"/>
      <c r="N438" s="84"/>
      <c r="O438" s="84"/>
      <c r="P438" s="84"/>
    </row>
    <row r="439" spans="1:16" ht="15.75" customHeight="1">
      <c r="A439" s="185"/>
      <c r="B439" s="82"/>
      <c r="C439" s="81"/>
      <c r="D439" s="82"/>
      <c r="E439" s="81"/>
      <c r="F439" s="79"/>
      <c r="G439" s="82"/>
      <c r="H439" s="81"/>
      <c r="I439" s="84"/>
      <c r="J439" s="84"/>
      <c r="K439" s="84"/>
      <c r="L439" s="79"/>
      <c r="M439" s="186"/>
      <c r="N439" s="84"/>
      <c r="O439" s="84"/>
      <c r="P439" s="84"/>
    </row>
    <row r="440" spans="1:16" ht="15.75" customHeight="1">
      <c r="A440" s="185"/>
      <c r="B440" s="82"/>
      <c r="C440" s="81"/>
      <c r="D440" s="82"/>
      <c r="E440" s="81"/>
      <c r="F440" s="79"/>
      <c r="G440" s="82"/>
      <c r="H440" s="81"/>
      <c r="I440" s="84"/>
      <c r="J440" s="84"/>
      <c r="K440" s="84"/>
      <c r="L440" s="79"/>
      <c r="M440" s="186"/>
      <c r="N440" s="84"/>
      <c r="O440" s="84"/>
      <c r="P440" s="84"/>
    </row>
    <row r="441" spans="1:16" ht="15.75" customHeight="1">
      <c r="A441" s="185"/>
      <c r="B441" s="82"/>
      <c r="C441" s="81"/>
      <c r="D441" s="82"/>
      <c r="E441" s="81"/>
      <c r="F441" s="79"/>
      <c r="G441" s="82"/>
      <c r="H441" s="81"/>
      <c r="I441" s="84"/>
      <c r="J441" s="84"/>
      <c r="K441" s="84"/>
      <c r="L441" s="79"/>
      <c r="M441" s="186"/>
      <c r="N441" s="84"/>
      <c r="O441" s="84"/>
      <c r="P441" s="84"/>
    </row>
    <row r="442" spans="1:16" ht="15.75" customHeight="1">
      <c r="A442" s="185"/>
      <c r="B442" s="82"/>
      <c r="C442" s="81"/>
      <c r="D442" s="82"/>
      <c r="E442" s="81"/>
      <c r="F442" s="79"/>
      <c r="G442" s="82"/>
      <c r="H442" s="81"/>
      <c r="I442" s="84"/>
      <c r="J442" s="84"/>
      <c r="K442" s="84"/>
      <c r="L442" s="79"/>
      <c r="M442" s="186"/>
      <c r="N442" s="84"/>
      <c r="O442" s="84"/>
      <c r="P442" s="84"/>
    </row>
    <row r="443" spans="1:16" ht="15.75" customHeight="1">
      <c r="A443" s="185"/>
      <c r="B443" s="82"/>
      <c r="C443" s="81"/>
      <c r="D443" s="82"/>
      <c r="E443" s="81"/>
      <c r="F443" s="79"/>
      <c r="G443" s="82"/>
      <c r="H443" s="81"/>
      <c r="I443" s="84"/>
      <c r="J443" s="84"/>
      <c r="K443" s="84"/>
      <c r="L443" s="79"/>
      <c r="M443" s="186"/>
      <c r="N443" s="84"/>
      <c r="O443" s="84"/>
      <c r="P443" s="84"/>
    </row>
    <row r="444" spans="1:16" ht="15.75" customHeight="1">
      <c r="A444" s="185"/>
      <c r="B444" s="82"/>
      <c r="C444" s="81"/>
      <c r="D444" s="82"/>
      <c r="E444" s="81"/>
      <c r="F444" s="79"/>
      <c r="G444" s="82"/>
      <c r="H444" s="81"/>
      <c r="I444" s="84"/>
      <c r="J444" s="84"/>
      <c r="K444" s="84"/>
      <c r="L444" s="79"/>
      <c r="M444" s="186"/>
      <c r="N444" s="84"/>
      <c r="O444" s="84"/>
      <c r="P444" s="84"/>
    </row>
    <row r="445" spans="1:16" ht="15.75" customHeight="1">
      <c r="A445" s="185"/>
      <c r="B445" s="82"/>
      <c r="C445" s="81"/>
      <c r="D445" s="82"/>
      <c r="E445" s="81"/>
      <c r="F445" s="79"/>
      <c r="G445" s="82"/>
      <c r="H445" s="81"/>
      <c r="I445" s="84"/>
      <c r="J445" s="84"/>
      <c r="K445" s="84"/>
      <c r="L445" s="79"/>
      <c r="M445" s="186"/>
      <c r="N445" s="84"/>
      <c r="O445" s="84"/>
      <c r="P445" s="84"/>
    </row>
    <row r="446" spans="1:16" ht="15.75" customHeight="1">
      <c r="A446" s="185"/>
      <c r="B446" s="82"/>
      <c r="C446" s="81"/>
      <c r="D446" s="82"/>
      <c r="E446" s="81"/>
      <c r="F446" s="79"/>
      <c r="G446" s="82"/>
      <c r="H446" s="81"/>
      <c r="I446" s="84"/>
      <c r="J446" s="84"/>
      <c r="K446" s="84"/>
      <c r="L446" s="79"/>
      <c r="M446" s="186"/>
      <c r="N446" s="84"/>
      <c r="O446" s="84"/>
      <c r="P446" s="84"/>
    </row>
    <row r="447" spans="1:16" ht="15.75" customHeight="1">
      <c r="A447" s="185"/>
      <c r="B447" s="82"/>
      <c r="C447" s="81"/>
      <c r="D447" s="82"/>
      <c r="E447" s="81"/>
      <c r="F447" s="79"/>
      <c r="G447" s="82"/>
      <c r="H447" s="81"/>
      <c r="I447" s="84"/>
      <c r="J447" s="84"/>
      <c r="K447" s="84"/>
      <c r="L447" s="79"/>
      <c r="M447" s="186"/>
      <c r="N447" s="84"/>
      <c r="O447" s="84"/>
      <c r="P447" s="84"/>
    </row>
    <row r="448" spans="1:16" ht="15.75" customHeight="1">
      <c r="A448" s="185"/>
      <c r="B448" s="82"/>
      <c r="C448" s="81"/>
      <c r="D448" s="82"/>
      <c r="E448" s="81"/>
      <c r="F448" s="79"/>
      <c r="G448" s="82"/>
      <c r="H448" s="81"/>
      <c r="I448" s="84"/>
      <c r="J448" s="84"/>
      <c r="K448" s="84"/>
      <c r="L448" s="79"/>
      <c r="M448" s="186"/>
      <c r="N448" s="84"/>
      <c r="O448" s="84"/>
      <c r="P448" s="84"/>
    </row>
    <row r="449" spans="1:16" ht="15.75" customHeight="1">
      <c r="A449" s="185"/>
      <c r="B449" s="82"/>
      <c r="C449" s="81"/>
      <c r="D449" s="82"/>
      <c r="E449" s="81"/>
      <c r="F449" s="79"/>
      <c r="G449" s="82"/>
      <c r="H449" s="81"/>
      <c r="I449" s="84"/>
      <c r="J449" s="84"/>
      <c r="K449" s="84"/>
      <c r="L449" s="79"/>
      <c r="M449" s="186"/>
      <c r="N449" s="84"/>
      <c r="O449" s="84"/>
      <c r="P449" s="84"/>
    </row>
    <row r="450" spans="1:16" ht="15.75" customHeight="1">
      <c r="A450" s="185"/>
      <c r="B450" s="82"/>
      <c r="C450" s="81"/>
      <c r="D450" s="82"/>
      <c r="E450" s="81"/>
      <c r="F450" s="79"/>
      <c r="G450" s="82"/>
      <c r="H450" s="81"/>
      <c r="I450" s="84"/>
      <c r="J450" s="84"/>
      <c r="K450" s="84"/>
      <c r="L450" s="79"/>
      <c r="M450" s="186"/>
      <c r="N450" s="84"/>
      <c r="O450" s="84"/>
      <c r="P450" s="84"/>
    </row>
    <row r="451" spans="1:16" ht="15.75" customHeight="1">
      <c r="A451" s="185"/>
      <c r="B451" s="82"/>
      <c r="C451" s="81"/>
      <c r="D451" s="82"/>
      <c r="E451" s="81"/>
      <c r="F451" s="79"/>
      <c r="G451" s="82"/>
      <c r="H451" s="81"/>
      <c r="I451" s="84"/>
      <c r="J451" s="84"/>
      <c r="K451" s="84"/>
      <c r="L451" s="79"/>
      <c r="M451" s="186"/>
      <c r="N451" s="84"/>
      <c r="O451" s="84"/>
      <c r="P451" s="84"/>
    </row>
    <row r="452" spans="1:16" ht="15.75" customHeight="1">
      <c r="A452" s="185"/>
      <c r="B452" s="82"/>
      <c r="C452" s="81"/>
      <c r="D452" s="82"/>
      <c r="E452" s="81"/>
      <c r="F452" s="79"/>
      <c r="G452" s="82"/>
      <c r="H452" s="81"/>
      <c r="I452" s="84"/>
      <c r="J452" s="84"/>
      <c r="K452" s="84"/>
      <c r="L452" s="79"/>
      <c r="M452" s="186"/>
      <c r="N452" s="84"/>
      <c r="O452" s="84"/>
      <c r="P452" s="84"/>
    </row>
    <row r="453" spans="1:16" ht="15.75" customHeight="1">
      <c r="A453" s="185"/>
      <c r="B453" s="82"/>
      <c r="C453" s="81"/>
      <c r="D453" s="82"/>
      <c r="E453" s="81"/>
      <c r="F453" s="79"/>
      <c r="G453" s="82"/>
      <c r="H453" s="81"/>
      <c r="I453" s="84"/>
      <c r="J453" s="84"/>
      <c r="K453" s="84"/>
      <c r="L453" s="79"/>
      <c r="M453" s="186"/>
      <c r="N453" s="84"/>
      <c r="O453" s="84"/>
      <c r="P453" s="84"/>
    </row>
    <row r="454" spans="1:16" ht="15.75" customHeight="1">
      <c r="A454" s="185"/>
      <c r="B454" s="82"/>
      <c r="C454" s="81"/>
      <c r="D454" s="82"/>
      <c r="E454" s="81"/>
      <c r="F454" s="79"/>
      <c r="G454" s="82"/>
      <c r="H454" s="81"/>
      <c r="I454" s="84"/>
      <c r="J454" s="84"/>
      <c r="K454" s="84"/>
      <c r="L454" s="79"/>
      <c r="M454" s="186"/>
      <c r="N454" s="84"/>
      <c r="O454" s="84"/>
      <c r="P454" s="84"/>
    </row>
    <row r="455" spans="1:16" ht="15.75" customHeight="1">
      <c r="A455" s="185"/>
      <c r="B455" s="82"/>
      <c r="C455" s="81"/>
      <c r="D455" s="82"/>
      <c r="E455" s="81"/>
      <c r="F455" s="79"/>
      <c r="G455" s="82"/>
      <c r="H455" s="81"/>
      <c r="I455" s="84"/>
      <c r="J455" s="84"/>
      <c r="K455" s="84"/>
      <c r="L455" s="79"/>
      <c r="M455" s="186"/>
      <c r="N455" s="84"/>
      <c r="O455" s="84"/>
      <c r="P455" s="84"/>
    </row>
    <row r="456" spans="1:16" ht="15.75" customHeight="1">
      <c r="A456" s="185"/>
      <c r="B456" s="82"/>
      <c r="C456" s="81"/>
      <c r="D456" s="82"/>
      <c r="E456" s="81"/>
      <c r="F456" s="79"/>
      <c r="G456" s="82"/>
      <c r="H456" s="81"/>
      <c r="I456" s="84"/>
      <c r="J456" s="84"/>
      <c r="K456" s="84"/>
      <c r="L456" s="79"/>
      <c r="M456" s="186"/>
      <c r="N456" s="84"/>
      <c r="O456" s="84"/>
      <c r="P456" s="84"/>
    </row>
    <row r="457" spans="1:16" ht="15.75" customHeight="1">
      <c r="A457" s="185"/>
      <c r="B457" s="82"/>
      <c r="C457" s="81"/>
      <c r="D457" s="82"/>
      <c r="E457" s="81"/>
      <c r="F457" s="79"/>
      <c r="G457" s="82"/>
      <c r="H457" s="81"/>
      <c r="I457" s="84"/>
      <c r="J457" s="84"/>
      <c r="K457" s="84"/>
      <c r="L457" s="79"/>
      <c r="M457" s="186"/>
      <c r="N457" s="84"/>
      <c r="O457" s="84"/>
      <c r="P457" s="84"/>
    </row>
    <row r="458" spans="1:16" ht="15.75" customHeight="1">
      <c r="A458" s="185"/>
      <c r="B458" s="82"/>
      <c r="C458" s="81"/>
      <c r="D458" s="82"/>
      <c r="E458" s="81"/>
      <c r="F458" s="79"/>
      <c r="G458" s="82"/>
      <c r="H458" s="81"/>
      <c r="I458" s="84"/>
      <c r="J458" s="84"/>
      <c r="K458" s="84"/>
      <c r="L458" s="79"/>
      <c r="M458" s="186"/>
      <c r="N458" s="84"/>
      <c r="O458" s="84"/>
      <c r="P458" s="84"/>
    </row>
    <row r="459" spans="1:16" ht="15.75" customHeight="1">
      <c r="A459" s="185"/>
      <c r="B459" s="82"/>
      <c r="C459" s="81"/>
      <c r="D459" s="82"/>
      <c r="E459" s="81"/>
      <c r="F459" s="79"/>
      <c r="G459" s="82"/>
      <c r="H459" s="81"/>
      <c r="I459" s="84"/>
      <c r="J459" s="84"/>
      <c r="K459" s="84"/>
      <c r="L459" s="79"/>
      <c r="M459" s="186"/>
      <c r="N459" s="84"/>
      <c r="O459" s="84"/>
      <c r="P459" s="84"/>
    </row>
    <row r="460" spans="1:16" ht="15.75" customHeight="1">
      <c r="A460" s="185"/>
      <c r="B460" s="82"/>
      <c r="C460" s="81"/>
      <c r="D460" s="82"/>
      <c r="E460" s="81"/>
      <c r="F460" s="79"/>
      <c r="G460" s="82"/>
      <c r="H460" s="81"/>
      <c r="I460" s="84"/>
      <c r="J460" s="84"/>
      <c r="K460" s="84"/>
      <c r="L460" s="79"/>
      <c r="M460" s="186"/>
      <c r="N460" s="84"/>
      <c r="O460" s="84"/>
      <c r="P460" s="84"/>
    </row>
    <row r="461" spans="1:16" ht="15.75" customHeight="1">
      <c r="A461" s="185"/>
      <c r="B461" s="82"/>
      <c r="C461" s="81"/>
      <c r="D461" s="82"/>
      <c r="E461" s="81"/>
      <c r="F461" s="79"/>
      <c r="G461" s="82"/>
      <c r="H461" s="81"/>
      <c r="I461" s="84"/>
      <c r="J461" s="84"/>
      <c r="K461" s="84"/>
      <c r="L461" s="79"/>
      <c r="M461" s="186"/>
      <c r="N461" s="84"/>
      <c r="O461" s="84"/>
      <c r="P461" s="84"/>
    </row>
    <row r="462" spans="1:16" ht="15.75" customHeight="1">
      <c r="A462" s="185"/>
      <c r="B462" s="82"/>
      <c r="C462" s="81"/>
      <c r="D462" s="82"/>
      <c r="E462" s="81"/>
      <c r="F462" s="79"/>
      <c r="G462" s="82"/>
      <c r="H462" s="81"/>
      <c r="I462" s="84"/>
      <c r="J462" s="84"/>
      <c r="K462" s="84"/>
      <c r="L462" s="79"/>
      <c r="M462" s="186"/>
      <c r="N462" s="84"/>
      <c r="O462" s="84"/>
      <c r="P462" s="84"/>
    </row>
    <row r="463" spans="1:16" ht="15.75" customHeight="1">
      <c r="A463" s="185"/>
      <c r="B463" s="82"/>
      <c r="C463" s="81"/>
      <c r="D463" s="82"/>
      <c r="E463" s="81"/>
      <c r="F463" s="79"/>
      <c r="G463" s="82"/>
      <c r="H463" s="81"/>
      <c r="I463" s="84"/>
      <c r="J463" s="84"/>
      <c r="K463" s="84"/>
      <c r="L463" s="79"/>
      <c r="M463" s="186"/>
      <c r="N463" s="84"/>
      <c r="O463" s="84"/>
      <c r="P463" s="84"/>
    </row>
    <row r="464" spans="1:16" ht="15.75" customHeight="1">
      <c r="A464" s="185"/>
      <c r="B464" s="82"/>
      <c r="C464" s="81"/>
      <c r="D464" s="82"/>
      <c r="E464" s="81"/>
      <c r="F464" s="79"/>
      <c r="G464" s="82"/>
      <c r="H464" s="81"/>
      <c r="I464" s="84"/>
      <c r="J464" s="84"/>
      <c r="K464" s="84"/>
      <c r="L464" s="79"/>
      <c r="M464" s="186"/>
      <c r="N464" s="84"/>
      <c r="O464" s="84"/>
      <c r="P464" s="84"/>
    </row>
    <row r="465" spans="1:16" ht="15.75" customHeight="1">
      <c r="A465" s="185"/>
      <c r="B465" s="82"/>
      <c r="C465" s="81"/>
      <c r="D465" s="82"/>
      <c r="E465" s="81"/>
      <c r="F465" s="79"/>
      <c r="G465" s="82"/>
      <c r="H465" s="81"/>
      <c r="I465" s="84"/>
      <c r="J465" s="84"/>
      <c r="K465" s="84"/>
      <c r="L465" s="79"/>
      <c r="M465" s="186"/>
      <c r="N465" s="84"/>
      <c r="O465" s="84"/>
      <c r="P465" s="84"/>
    </row>
    <row r="466" spans="1:16" ht="15.75" customHeight="1">
      <c r="A466" s="185"/>
      <c r="B466" s="82"/>
      <c r="C466" s="81"/>
      <c r="D466" s="82"/>
      <c r="E466" s="81"/>
      <c r="F466" s="79"/>
      <c r="G466" s="82"/>
      <c r="H466" s="81"/>
      <c r="I466" s="84"/>
      <c r="J466" s="84"/>
      <c r="K466" s="84"/>
      <c r="L466" s="79"/>
      <c r="M466" s="186"/>
      <c r="N466" s="84"/>
      <c r="O466" s="84"/>
      <c r="P466" s="84"/>
    </row>
    <row r="467" spans="1:16" ht="15.75" customHeight="1">
      <c r="A467" s="185"/>
      <c r="B467" s="82"/>
      <c r="C467" s="81"/>
      <c r="D467" s="82"/>
      <c r="E467" s="81"/>
      <c r="F467" s="79"/>
      <c r="G467" s="82"/>
      <c r="H467" s="81"/>
      <c r="I467" s="84"/>
      <c r="J467" s="84"/>
      <c r="K467" s="84"/>
      <c r="L467" s="79"/>
      <c r="M467" s="186"/>
      <c r="N467" s="84"/>
      <c r="O467" s="84"/>
      <c r="P467" s="84"/>
    </row>
    <row r="468" spans="1:16" ht="15.75" customHeight="1">
      <c r="A468" s="185"/>
      <c r="B468" s="82"/>
      <c r="C468" s="81"/>
      <c r="D468" s="82"/>
      <c r="E468" s="81"/>
      <c r="F468" s="79"/>
      <c r="G468" s="82"/>
      <c r="H468" s="81"/>
      <c r="I468" s="84"/>
      <c r="J468" s="84"/>
      <c r="K468" s="84"/>
      <c r="L468" s="79"/>
      <c r="M468" s="186"/>
      <c r="N468" s="84"/>
      <c r="O468" s="84"/>
      <c r="P468" s="84"/>
    </row>
    <row r="469" spans="1:16" ht="15.75" customHeight="1">
      <c r="A469" s="185"/>
      <c r="B469" s="82"/>
      <c r="C469" s="81"/>
      <c r="D469" s="82"/>
      <c r="E469" s="81"/>
      <c r="F469" s="79"/>
      <c r="G469" s="82"/>
      <c r="H469" s="81"/>
      <c r="I469" s="84"/>
      <c r="J469" s="84"/>
      <c r="K469" s="84"/>
      <c r="L469" s="79"/>
      <c r="M469" s="186"/>
      <c r="N469" s="84"/>
      <c r="O469" s="84"/>
      <c r="P469" s="84"/>
    </row>
    <row r="470" spans="1:16" ht="15.75" customHeight="1">
      <c r="A470" s="185"/>
      <c r="B470" s="82"/>
      <c r="C470" s="81"/>
      <c r="D470" s="82"/>
      <c r="E470" s="81"/>
      <c r="F470" s="79"/>
      <c r="G470" s="82"/>
      <c r="H470" s="81"/>
      <c r="I470" s="84"/>
      <c r="J470" s="84"/>
      <c r="K470" s="84"/>
      <c r="L470" s="79"/>
      <c r="M470" s="186"/>
      <c r="N470" s="84"/>
      <c r="O470" s="84"/>
      <c r="P470" s="84"/>
    </row>
    <row r="471" spans="1:16" ht="15.75" customHeight="1">
      <c r="A471" s="185"/>
      <c r="B471" s="82"/>
      <c r="C471" s="81"/>
      <c r="D471" s="82"/>
      <c r="E471" s="81"/>
      <c r="F471" s="79"/>
      <c r="G471" s="82"/>
      <c r="H471" s="81"/>
      <c r="I471" s="84"/>
      <c r="J471" s="84"/>
      <c r="K471" s="84"/>
      <c r="L471" s="79"/>
      <c r="M471" s="186"/>
      <c r="N471" s="84"/>
      <c r="O471" s="84"/>
      <c r="P471" s="84"/>
    </row>
    <row r="472" spans="1:16" ht="15.75" customHeight="1">
      <c r="A472" s="185"/>
      <c r="B472" s="82"/>
      <c r="C472" s="81"/>
      <c r="D472" s="82"/>
      <c r="E472" s="81"/>
      <c r="F472" s="79"/>
      <c r="G472" s="82"/>
      <c r="H472" s="81"/>
      <c r="I472" s="84"/>
      <c r="J472" s="84"/>
      <c r="K472" s="84"/>
      <c r="L472" s="79"/>
      <c r="M472" s="186"/>
      <c r="N472" s="84"/>
      <c r="O472" s="84"/>
      <c r="P472" s="84"/>
    </row>
    <row r="473" spans="1:16" ht="15.75" customHeight="1">
      <c r="A473" s="185"/>
      <c r="B473" s="82"/>
      <c r="C473" s="81"/>
      <c r="D473" s="82"/>
      <c r="E473" s="81"/>
      <c r="F473" s="79"/>
      <c r="G473" s="82"/>
      <c r="H473" s="81"/>
      <c r="I473" s="84"/>
      <c r="J473" s="84"/>
      <c r="K473" s="84"/>
      <c r="L473" s="79"/>
      <c r="M473" s="186"/>
      <c r="N473" s="84"/>
      <c r="O473" s="84"/>
      <c r="P473" s="84"/>
    </row>
    <row r="474" spans="1:16" ht="15.75" customHeight="1">
      <c r="A474" s="185"/>
      <c r="B474" s="82"/>
      <c r="C474" s="81"/>
      <c r="D474" s="82"/>
      <c r="E474" s="81"/>
      <c r="F474" s="79"/>
      <c r="G474" s="82"/>
      <c r="H474" s="81"/>
      <c r="I474" s="84"/>
      <c r="J474" s="84"/>
      <c r="K474" s="84"/>
      <c r="L474" s="79"/>
      <c r="M474" s="186"/>
      <c r="N474" s="84"/>
      <c r="O474" s="84"/>
      <c r="P474" s="84"/>
    </row>
    <row r="475" spans="1:16" ht="15.75" customHeight="1">
      <c r="A475" s="185"/>
      <c r="B475" s="82"/>
      <c r="C475" s="81"/>
      <c r="D475" s="82"/>
      <c r="E475" s="81"/>
      <c r="F475" s="79"/>
      <c r="G475" s="82"/>
      <c r="H475" s="81"/>
      <c r="I475" s="84"/>
      <c r="J475" s="84"/>
      <c r="K475" s="84"/>
      <c r="L475" s="79"/>
      <c r="M475" s="186"/>
      <c r="N475" s="84"/>
      <c r="O475" s="84"/>
      <c r="P475" s="84"/>
    </row>
    <row r="476" spans="1:16" ht="15.75" customHeight="1">
      <c r="A476" s="185"/>
      <c r="B476" s="82"/>
      <c r="C476" s="81"/>
      <c r="D476" s="82"/>
      <c r="E476" s="81"/>
      <c r="F476" s="79"/>
      <c r="G476" s="82"/>
      <c r="H476" s="81"/>
      <c r="I476" s="84"/>
      <c r="J476" s="84"/>
      <c r="K476" s="84"/>
      <c r="L476" s="79"/>
      <c r="M476" s="186"/>
      <c r="N476" s="84"/>
      <c r="O476" s="84"/>
      <c r="P476" s="84"/>
    </row>
    <row r="477" spans="1:16" ht="15.75" customHeight="1">
      <c r="A477" s="185"/>
      <c r="B477" s="82"/>
      <c r="C477" s="81"/>
      <c r="D477" s="82"/>
      <c r="E477" s="81"/>
      <c r="F477" s="79"/>
      <c r="G477" s="82"/>
      <c r="H477" s="81"/>
      <c r="I477" s="84"/>
      <c r="J477" s="84"/>
      <c r="K477" s="84"/>
      <c r="L477" s="79"/>
      <c r="M477" s="186"/>
      <c r="N477" s="84"/>
      <c r="O477" s="84"/>
      <c r="P477" s="84"/>
    </row>
    <row r="478" spans="1:16" ht="15.75" customHeight="1">
      <c r="A478" s="185"/>
      <c r="B478" s="82"/>
      <c r="C478" s="81"/>
      <c r="D478" s="82"/>
      <c r="E478" s="81"/>
      <c r="F478" s="79"/>
      <c r="G478" s="82"/>
      <c r="H478" s="81"/>
      <c r="I478" s="84"/>
      <c r="J478" s="84"/>
      <c r="K478" s="84"/>
      <c r="L478" s="79"/>
      <c r="M478" s="186"/>
      <c r="N478" s="84"/>
      <c r="O478" s="84"/>
      <c r="P478" s="84"/>
    </row>
    <row r="479" spans="1:16" ht="15.75" customHeight="1">
      <c r="A479" s="185"/>
      <c r="B479" s="82"/>
      <c r="C479" s="81"/>
      <c r="D479" s="82"/>
      <c r="E479" s="81"/>
      <c r="F479" s="79"/>
      <c r="G479" s="82"/>
      <c r="H479" s="81"/>
      <c r="I479" s="84"/>
      <c r="J479" s="84"/>
      <c r="K479" s="84"/>
      <c r="L479" s="79"/>
      <c r="M479" s="186"/>
      <c r="N479" s="84"/>
      <c r="O479" s="84"/>
      <c r="P479" s="84"/>
    </row>
    <row r="480" spans="1:16" ht="15.75" customHeight="1">
      <c r="A480" s="185"/>
      <c r="B480" s="82"/>
      <c r="C480" s="81"/>
      <c r="D480" s="82"/>
      <c r="E480" s="81"/>
      <c r="F480" s="79"/>
      <c r="G480" s="82"/>
      <c r="H480" s="81"/>
      <c r="I480" s="84"/>
      <c r="J480" s="84"/>
      <c r="K480" s="84"/>
      <c r="L480" s="79"/>
      <c r="M480" s="186"/>
      <c r="N480" s="84"/>
      <c r="O480" s="84"/>
      <c r="P480" s="84"/>
    </row>
    <row r="481" spans="1:16" ht="15.75" customHeight="1">
      <c r="A481" s="185"/>
      <c r="B481" s="82"/>
      <c r="C481" s="81"/>
      <c r="D481" s="82"/>
      <c r="E481" s="81"/>
      <c r="F481" s="79"/>
      <c r="G481" s="82"/>
      <c r="H481" s="81"/>
      <c r="I481" s="84"/>
      <c r="J481" s="84"/>
      <c r="K481" s="84"/>
      <c r="L481" s="79"/>
      <c r="M481" s="186"/>
      <c r="N481" s="84"/>
      <c r="O481" s="84"/>
      <c r="P481" s="84"/>
    </row>
    <row r="482" spans="1:16" ht="15.75" customHeight="1">
      <c r="A482" s="185"/>
      <c r="B482" s="82"/>
      <c r="C482" s="81"/>
      <c r="D482" s="82"/>
      <c r="E482" s="81"/>
      <c r="F482" s="79"/>
      <c r="G482" s="82"/>
      <c r="H482" s="81"/>
      <c r="I482" s="84"/>
      <c r="J482" s="84"/>
      <c r="K482" s="84"/>
      <c r="L482" s="79"/>
      <c r="M482" s="186"/>
      <c r="N482" s="84"/>
      <c r="O482" s="84"/>
      <c r="P482" s="84"/>
    </row>
    <row r="483" spans="1:16" ht="15.75" customHeight="1">
      <c r="A483" s="185"/>
      <c r="B483" s="82"/>
      <c r="C483" s="81"/>
      <c r="D483" s="82"/>
      <c r="E483" s="81"/>
      <c r="F483" s="79"/>
      <c r="G483" s="82"/>
      <c r="H483" s="81"/>
      <c r="I483" s="84"/>
      <c r="J483" s="84"/>
      <c r="K483" s="84"/>
      <c r="L483" s="79"/>
      <c r="M483" s="186"/>
      <c r="N483" s="84"/>
      <c r="O483" s="84"/>
      <c r="P483" s="84"/>
    </row>
    <row r="484" spans="1:16" ht="15.75" customHeight="1">
      <c r="A484" s="185"/>
      <c r="B484" s="82"/>
      <c r="C484" s="81"/>
      <c r="D484" s="82"/>
      <c r="E484" s="81"/>
      <c r="F484" s="79"/>
      <c r="G484" s="82"/>
      <c r="H484" s="81"/>
      <c r="I484" s="84"/>
      <c r="J484" s="84"/>
      <c r="K484" s="84"/>
      <c r="L484" s="79"/>
      <c r="M484" s="186"/>
      <c r="N484" s="84"/>
      <c r="O484" s="84"/>
      <c r="P484" s="84"/>
    </row>
    <row r="485" spans="1:16" ht="15.75" customHeight="1">
      <c r="A485" s="185"/>
      <c r="B485" s="82"/>
      <c r="C485" s="81"/>
      <c r="D485" s="82"/>
      <c r="E485" s="81"/>
      <c r="F485" s="79"/>
      <c r="G485" s="82"/>
      <c r="H485" s="81"/>
      <c r="I485" s="84"/>
      <c r="J485" s="84"/>
      <c r="K485" s="84"/>
      <c r="L485" s="79"/>
      <c r="M485" s="186"/>
      <c r="N485" s="84"/>
      <c r="O485" s="84"/>
      <c r="P485" s="84"/>
    </row>
    <row r="486" spans="1:16" ht="15.75" customHeight="1">
      <c r="A486" s="185"/>
      <c r="B486" s="82"/>
      <c r="C486" s="81"/>
      <c r="D486" s="82"/>
      <c r="E486" s="81"/>
      <c r="F486" s="79"/>
      <c r="G486" s="82"/>
      <c r="H486" s="81"/>
      <c r="I486" s="84"/>
      <c r="J486" s="84"/>
      <c r="K486" s="84"/>
      <c r="L486" s="79"/>
      <c r="M486" s="186"/>
      <c r="N486" s="84"/>
      <c r="O486" s="84"/>
      <c r="P486" s="84"/>
    </row>
    <row r="487" spans="1:16" ht="15.75" customHeight="1">
      <c r="A487" s="185"/>
      <c r="B487" s="82"/>
      <c r="C487" s="81"/>
      <c r="D487" s="82"/>
      <c r="E487" s="81"/>
      <c r="F487" s="79"/>
      <c r="G487" s="82"/>
      <c r="H487" s="81"/>
      <c r="I487" s="84"/>
      <c r="J487" s="84"/>
      <c r="K487" s="84"/>
      <c r="L487" s="79"/>
      <c r="M487" s="186"/>
      <c r="N487" s="84"/>
      <c r="O487" s="84"/>
      <c r="P487" s="84"/>
    </row>
    <row r="488" spans="1:16" ht="15.75" customHeight="1">
      <c r="A488" s="185"/>
      <c r="B488" s="82"/>
      <c r="C488" s="81"/>
      <c r="D488" s="82"/>
      <c r="E488" s="81"/>
      <c r="F488" s="79"/>
      <c r="G488" s="82"/>
      <c r="H488" s="81"/>
      <c r="I488" s="84"/>
      <c r="J488" s="84"/>
      <c r="K488" s="84"/>
      <c r="L488" s="79"/>
      <c r="M488" s="186"/>
      <c r="N488" s="84"/>
      <c r="O488" s="84"/>
      <c r="P488" s="84"/>
    </row>
    <row r="489" spans="1:16" ht="15.75" customHeight="1">
      <c r="A489" s="185"/>
      <c r="B489" s="82"/>
      <c r="C489" s="81"/>
      <c r="D489" s="82"/>
      <c r="E489" s="81"/>
      <c r="F489" s="79"/>
      <c r="G489" s="82"/>
      <c r="H489" s="81"/>
      <c r="I489" s="84"/>
      <c r="J489" s="84"/>
      <c r="K489" s="84"/>
      <c r="L489" s="79"/>
      <c r="M489" s="186"/>
      <c r="N489" s="84"/>
      <c r="O489" s="84"/>
      <c r="P489" s="84"/>
    </row>
    <row r="490" spans="1:16" ht="15.75" customHeight="1">
      <c r="A490" s="185"/>
      <c r="B490" s="82"/>
      <c r="C490" s="81"/>
      <c r="D490" s="82"/>
      <c r="E490" s="81"/>
      <c r="F490" s="79"/>
      <c r="G490" s="82"/>
      <c r="H490" s="81"/>
      <c r="I490" s="84"/>
      <c r="J490" s="84"/>
      <c r="K490" s="84"/>
      <c r="L490" s="79"/>
      <c r="M490" s="186"/>
      <c r="N490" s="84"/>
      <c r="O490" s="84"/>
      <c r="P490" s="84"/>
    </row>
    <row r="491" spans="1:16" ht="15.75" customHeight="1">
      <c r="A491" s="185"/>
      <c r="B491" s="82"/>
      <c r="C491" s="81"/>
      <c r="D491" s="82"/>
      <c r="E491" s="81"/>
      <c r="F491" s="79"/>
      <c r="G491" s="82"/>
      <c r="H491" s="81"/>
      <c r="I491" s="84"/>
      <c r="J491" s="84"/>
      <c r="K491" s="84"/>
      <c r="L491" s="79"/>
      <c r="M491" s="186"/>
      <c r="N491" s="84"/>
      <c r="O491" s="84"/>
      <c r="P491" s="84"/>
    </row>
    <row r="492" spans="1:16" ht="15.75" customHeight="1">
      <c r="A492" s="185"/>
      <c r="B492" s="82"/>
      <c r="C492" s="81"/>
      <c r="D492" s="82"/>
      <c r="E492" s="81"/>
      <c r="F492" s="79"/>
      <c r="G492" s="82"/>
      <c r="H492" s="81"/>
      <c r="I492" s="84"/>
      <c r="J492" s="84"/>
      <c r="K492" s="84"/>
      <c r="L492" s="79"/>
      <c r="M492" s="186"/>
      <c r="N492" s="84"/>
      <c r="O492" s="84"/>
      <c r="P492" s="84"/>
    </row>
    <row r="493" spans="1:16" ht="15.75" customHeight="1">
      <c r="A493" s="185"/>
      <c r="B493" s="82"/>
      <c r="C493" s="81"/>
      <c r="D493" s="82"/>
      <c r="E493" s="81"/>
      <c r="F493" s="79"/>
      <c r="G493" s="82"/>
      <c r="H493" s="81"/>
      <c r="I493" s="84"/>
      <c r="J493" s="84"/>
      <c r="K493" s="84"/>
      <c r="L493" s="79"/>
      <c r="M493" s="186"/>
      <c r="N493" s="84"/>
      <c r="O493" s="84"/>
      <c r="P493" s="84"/>
    </row>
    <row r="494" spans="1:16" ht="15.75" customHeight="1">
      <c r="A494" s="185"/>
      <c r="B494" s="82"/>
      <c r="C494" s="81"/>
      <c r="D494" s="82"/>
      <c r="E494" s="81"/>
      <c r="F494" s="79"/>
      <c r="G494" s="82"/>
      <c r="H494" s="81"/>
      <c r="I494" s="84"/>
      <c r="J494" s="84"/>
      <c r="K494" s="84"/>
      <c r="L494" s="79"/>
      <c r="M494" s="186"/>
      <c r="N494" s="84"/>
      <c r="O494" s="84"/>
      <c r="P494" s="84"/>
    </row>
    <row r="495" spans="1:16" ht="15.75" customHeight="1">
      <c r="A495" s="185"/>
      <c r="B495" s="82"/>
      <c r="C495" s="81"/>
      <c r="D495" s="82"/>
      <c r="E495" s="81"/>
      <c r="F495" s="79"/>
      <c r="G495" s="82"/>
      <c r="H495" s="81"/>
      <c r="I495" s="84"/>
      <c r="J495" s="84"/>
      <c r="K495" s="84"/>
      <c r="L495" s="79"/>
      <c r="M495" s="186"/>
      <c r="N495" s="84"/>
      <c r="O495" s="84"/>
      <c r="P495" s="84"/>
    </row>
    <row r="496" spans="1:16" ht="15.75" customHeight="1">
      <c r="A496" s="185"/>
      <c r="B496" s="82"/>
      <c r="C496" s="81"/>
      <c r="D496" s="82"/>
      <c r="E496" s="81"/>
      <c r="F496" s="79"/>
      <c r="G496" s="82"/>
      <c r="H496" s="81"/>
      <c r="I496" s="84"/>
      <c r="J496" s="84"/>
      <c r="K496" s="84"/>
      <c r="L496" s="79"/>
      <c r="M496" s="186"/>
      <c r="N496" s="84"/>
      <c r="O496" s="84"/>
      <c r="P496" s="84"/>
    </row>
    <row r="497" spans="1:16" ht="15.75" customHeight="1">
      <c r="A497" s="185"/>
      <c r="B497" s="82"/>
      <c r="C497" s="81"/>
      <c r="D497" s="82"/>
      <c r="E497" s="81"/>
      <c r="F497" s="79"/>
      <c r="G497" s="82"/>
      <c r="H497" s="81"/>
      <c r="I497" s="84"/>
      <c r="J497" s="84"/>
      <c r="K497" s="84"/>
      <c r="L497" s="79"/>
      <c r="M497" s="186"/>
      <c r="N497" s="84"/>
      <c r="O497" s="84"/>
      <c r="P497" s="84"/>
    </row>
    <row r="498" spans="1:16" ht="15.75" customHeight="1">
      <c r="A498" s="185"/>
      <c r="B498" s="82"/>
      <c r="C498" s="81"/>
      <c r="D498" s="82"/>
      <c r="E498" s="81"/>
      <c r="F498" s="79"/>
      <c r="G498" s="82"/>
      <c r="H498" s="81"/>
      <c r="I498" s="84"/>
      <c r="J498" s="84"/>
      <c r="K498" s="84"/>
      <c r="L498" s="79"/>
      <c r="M498" s="186"/>
      <c r="N498" s="84"/>
      <c r="O498" s="84"/>
      <c r="P498" s="84"/>
    </row>
    <row r="499" spans="1:16" ht="15.75" customHeight="1">
      <c r="A499" s="185"/>
      <c r="B499" s="82"/>
      <c r="C499" s="81"/>
      <c r="D499" s="82"/>
      <c r="E499" s="81"/>
      <c r="F499" s="79"/>
      <c r="G499" s="82"/>
      <c r="H499" s="81"/>
      <c r="I499" s="84"/>
      <c r="J499" s="84"/>
      <c r="K499" s="84"/>
      <c r="L499" s="79"/>
      <c r="M499" s="186"/>
      <c r="N499" s="84"/>
      <c r="O499" s="84"/>
      <c r="P499" s="84"/>
    </row>
    <row r="500" spans="1:16" ht="15.75" customHeight="1">
      <c r="A500" s="185"/>
      <c r="B500" s="82"/>
      <c r="C500" s="81"/>
      <c r="D500" s="82"/>
      <c r="E500" s="81"/>
      <c r="F500" s="79"/>
      <c r="G500" s="82"/>
      <c r="H500" s="81"/>
      <c r="I500" s="84"/>
      <c r="J500" s="84"/>
      <c r="K500" s="84"/>
      <c r="L500" s="79"/>
      <c r="M500" s="186"/>
      <c r="N500" s="84"/>
      <c r="O500" s="84"/>
      <c r="P500" s="84"/>
    </row>
    <row r="501" spans="1:16" ht="15.75" customHeight="1">
      <c r="A501" s="185"/>
      <c r="B501" s="82"/>
      <c r="C501" s="81"/>
      <c r="D501" s="82"/>
      <c r="E501" s="81"/>
      <c r="F501" s="79"/>
      <c r="G501" s="82"/>
      <c r="H501" s="81"/>
      <c r="I501" s="84"/>
      <c r="J501" s="84"/>
      <c r="K501" s="84"/>
      <c r="L501" s="79"/>
      <c r="M501" s="186"/>
      <c r="N501" s="84"/>
      <c r="O501" s="84"/>
      <c r="P501" s="84"/>
    </row>
    <row r="502" spans="1:16" ht="15.75" customHeight="1">
      <c r="A502" s="185"/>
      <c r="B502" s="82"/>
      <c r="C502" s="81"/>
      <c r="D502" s="82"/>
      <c r="E502" s="81"/>
      <c r="F502" s="79"/>
      <c r="G502" s="82"/>
      <c r="H502" s="81"/>
      <c r="I502" s="84"/>
      <c r="J502" s="84"/>
      <c r="K502" s="84"/>
      <c r="L502" s="79"/>
      <c r="M502" s="186"/>
      <c r="N502" s="84"/>
      <c r="O502" s="84"/>
      <c r="P502" s="84"/>
    </row>
    <row r="503" spans="1:16" ht="15.75" customHeight="1">
      <c r="A503" s="185"/>
      <c r="B503" s="82"/>
      <c r="C503" s="81"/>
      <c r="D503" s="82"/>
      <c r="E503" s="81"/>
      <c r="F503" s="79"/>
      <c r="G503" s="82"/>
      <c r="H503" s="81"/>
      <c r="I503" s="84"/>
      <c r="J503" s="84"/>
      <c r="K503" s="84"/>
      <c r="L503" s="79"/>
      <c r="M503" s="186"/>
      <c r="N503" s="84"/>
      <c r="O503" s="84"/>
      <c r="P503" s="84"/>
    </row>
    <row r="504" spans="1:16" ht="15.75" customHeight="1">
      <c r="A504" s="185"/>
      <c r="B504" s="82"/>
      <c r="C504" s="81"/>
      <c r="D504" s="82"/>
      <c r="E504" s="81"/>
      <c r="F504" s="79"/>
      <c r="G504" s="82"/>
      <c r="H504" s="81"/>
      <c r="I504" s="84"/>
      <c r="J504" s="84"/>
      <c r="K504" s="84"/>
      <c r="L504" s="79"/>
      <c r="M504" s="186"/>
      <c r="N504" s="84"/>
      <c r="O504" s="84"/>
      <c r="P504" s="84"/>
    </row>
    <row r="505" spans="1:16" ht="15.75" customHeight="1">
      <c r="A505" s="185"/>
      <c r="B505" s="82"/>
      <c r="C505" s="81"/>
      <c r="D505" s="82"/>
      <c r="E505" s="81"/>
      <c r="F505" s="79"/>
      <c r="G505" s="82"/>
      <c r="H505" s="81"/>
      <c r="I505" s="84"/>
      <c r="J505" s="84"/>
      <c r="K505" s="84"/>
      <c r="L505" s="79"/>
      <c r="M505" s="186"/>
      <c r="N505" s="84"/>
      <c r="O505" s="84"/>
      <c r="P505" s="84"/>
    </row>
    <row r="506" spans="1:16" ht="15.75" customHeight="1">
      <c r="A506" s="185"/>
      <c r="B506" s="82"/>
      <c r="C506" s="81"/>
      <c r="D506" s="82"/>
      <c r="E506" s="81"/>
      <c r="F506" s="79"/>
      <c r="G506" s="82"/>
      <c r="H506" s="81"/>
      <c r="I506" s="84"/>
      <c r="J506" s="84"/>
      <c r="K506" s="84"/>
      <c r="L506" s="79"/>
      <c r="M506" s="186"/>
      <c r="N506" s="84"/>
      <c r="O506" s="84"/>
      <c r="P506" s="84"/>
    </row>
    <row r="507" spans="1:16" ht="15.75" customHeight="1">
      <c r="A507" s="185"/>
      <c r="B507" s="82"/>
      <c r="C507" s="81"/>
      <c r="D507" s="82"/>
      <c r="E507" s="81"/>
      <c r="F507" s="79"/>
      <c r="G507" s="82"/>
      <c r="H507" s="81"/>
      <c r="I507" s="84"/>
      <c r="J507" s="84"/>
      <c r="K507" s="84"/>
      <c r="L507" s="79"/>
      <c r="M507" s="186"/>
      <c r="N507" s="84"/>
      <c r="O507" s="84"/>
      <c r="P507" s="84"/>
    </row>
    <row r="508" spans="1:16" ht="15.75" customHeight="1">
      <c r="A508" s="185"/>
      <c r="B508" s="82"/>
      <c r="C508" s="81"/>
      <c r="D508" s="82"/>
      <c r="E508" s="81"/>
      <c r="F508" s="79"/>
      <c r="G508" s="82"/>
      <c r="H508" s="81"/>
      <c r="I508" s="84"/>
      <c r="J508" s="84"/>
      <c r="K508" s="84"/>
      <c r="L508" s="79"/>
      <c r="M508" s="186"/>
      <c r="N508" s="84"/>
      <c r="O508" s="84"/>
      <c r="P508" s="84"/>
    </row>
    <row r="509" spans="1:16" ht="15.75" customHeight="1">
      <c r="A509" s="185"/>
      <c r="B509" s="82"/>
      <c r="C509" s="81"/>
      <c r="D509" s="82"/>
      <c r="E509" s="81"/>
      <c r="F509" s="79"/>
      <c r="G509" s="82"/>
      <c r="H509" s="81"/>
      <c r="I509" s="84"/>
      <c r="J509" s="84"/>
      <c r="K509" s="84"/>
      <c r="L509" s="79"/>
      <c r="M509" s="186"/>
      <c r="N509" s="84"/>
      <c r="O509" s="84"/>
      <c r="P509" s="84"/>
    </row>
    <row r="510" spans="1:16" ht="15.75" customHeight="1">
      <c r="A510" s="185"/>
      <c r="B510" s="82"/>
      <c r="C510" s="81"/>
      <c r="D510" s="82"/>
      <c r="E510" s="81"/>
      <c r="F510" s="79"/>
      <c r="G510" s="82"/>
      <c r="H510" s="81"/>
      <c r="I510" s="84"/>
      <c r="J510" s="84"/>
      <c r="K510" s="84"/>
      <c r="L510" s="79"/>
      <c r="M510" s="186"/>
      <c r="N510" s="84"/>
      <c r="O510" s="84"/>
      <c r="P510" s="84"/>
    </row>
    <row r="511" spans="1:16" ht="15.75" customHeight="1">
      <c r="A511" s="185"/>
      <c r="B511" s="82"/>
      <c r="C511" s="81"/>
      <c r="D511" s="82"/>
      <c r="E511" s="81"/>
      <c r="F511" s="79"/>
      <c r="G511" s="82"/>
      <c r="H511" s="81"/>
      <c r="I511" s="84"/>
      <c r="J511" s="84"/>
      <c r="K511" s="84"/>
      <c r="L511" s="79"/>
      <c r="M511" s="186"/>
      <c r="N511" s="84"/>
      <c r="O511" s="84"/>
      <c r="P511" s="84"/>
    </row>
    <row r="512" spans="1:16" ht="15.75" customHeight="1">
      <c r="A512" s="185"/>
      <c r="B512" s="82"/>
      <c r="C512" s="81"/>
      <c r="D512" s="82"/>
      <c r="E512" s="81"/>
      <c r="F512" s="79"/>
      <c r="G512" s="82"/>
      <c r="H512" s="81"/>
      <c r="I512" s="84"/>
      <c r="J512" s="84"/>
      <c r="K512" s="84"/>
      <c r="L512" s="79"/>
      <c r="M512" s="186"/>
      <c r="N512" s="84"/>
      <c r="O512" s="84"/>
      <c r="P512" s="84"/>
    </row>
    <row r="513" spans="1:16" ht="15.75" customHeight="1">
      <c r="A513" s="185"/>
      <c r="B513" s="82"/>
      <c r="C513" s="81"/>
      <c r="D513" s="82"/>
      <c r="E513" s="81"/>
      <c r="F513" s="79"/>
      <c r="G513" s="82"/>
      <c r="H513" s="81"/>
      <c r="I513" s="84"/>
      <c r="J513" s="84"/>
      <c r="K513" s="84"/>
      <c r="L513" s="79"/>
      <c r="M513" s="186"/>
      <c r="N513" s="84"/>
      <c r="O513" s="84"/>
      <c r="P513" s="84"/>
    </row>
    <row r="514" spans="1:16" ht="15.75" customHeight="1">
      <c r="A514" s="185"/>
      <c r="B514" s="82"/>
      <c r="C514" s="81"/>
      <c r="D514" s="82"/>
      <c r="E514" s="81"/>
      <c r="F514" s="79"/>
      <c r="G514" s="82"/>
      <c r="H514" s="81"/>
      <c r="I514" s="84"/>
      <c r="J514" s="84"/>
      <c r="K514" s="84"/>
      <c r="L514" s="79"/>
      <c r="M514" s="186"/>
      <c r="N514" s="84"/>
      <c r="O514" s="84"/>
      <c r="P514" s="84"/>
    </row>
    <row r="515" spans="1:16" ht="15.75" customHeight="1">
      <c r="A515" s="185"/>
      <c r="B515" s="82"/>
      <c r="C515" s="81"/>
      <c r="D515" s="82"/>
      <c r="E515" s="81"/>
      <c r="F515" s="79"/>
      <c r="G515" s="82"/>
      <c r="H515" s="81"/>
      <c r="I515" s="84"/>
      <c r="J515" s="84"/>
      <c r="K515" s="84"/>
      <c r="L515" s="79"/>
      <c r="M515" s="186"/>
      <c r="N515" s="84"/>
      <c r="O515" s="84"/>
      <c r="P515" s="84"/>
    </row>
    <row r="516" spans="1:16" ht="15.75" customHeight="1">
      <c r="A516" s="185"/>
      <c r="B516" s="82"/>
      <c r="C516" s="81"/>
      <c r="D516" s="82"/>
      <c r="E516" s="81"/>
      <c r="F516" s="79"/>
      <c r="G516" s="82"/>
      <c r="H516" s="81"/>
      <c r="I516" s="84"/>
      <c r="J516" s="84"/>
      <c r="K516" s="84"/>
      <c r="L516" s="79"/>
      <c r="M516" s="186"/>
      <c r="N516" s="84"/>
      <c r="O516" s="84"/>
      <c r="P516" s="84"/>
    </row>
    <row r="517" spans="1:16" ht="15.75" customHeight="1">
      <c r="A517" s="185"/>
      <c r="B517" s="82"/>
      <c r="C517" s="81"/>
      <c r="D517" s="82"/>
      <c r="E517" s="81"/>
      <c r="F517" s="79"/>
      <c r="G517" s="82"/>
      <c r="H517" s="81"/>
      <c r="I517" s="84"/>
      <c r="J517" s="84"/>
      <c r="K517" s="84"/>
      <c r="L517" s="79"/>
      <c r="M517" s="186"/>
      <c r="N517" s="84"/>
      <c r="O517" s="84"/>
      <c r="P517" s="84"/>
    </row>
    <row r="518" spans="1:16" ht="15.75" customHeight="1">
      <c r="A518" s="185"/>
      <c r="B518" s="82"/>
      <c r="C518" s="81"/>
      <c r="D518" s="82"/>
      <c r="E518" s="81"/>
      <c r="F518" s="79"/>
      <c r="G518" s="82"/>
      <c r="H518" s="81"/>
      <c r="I518" s="84"/>
      <c r="J518" s="84"/>
      <c r="K518" s="84"/>
      <c r="L518" s="79"/>
      <c r="M518" s="186"/>
      <c r="N518" s="84"/>
      <c r="O518" s="84"/>
      <c r="P518" s="84"/>
    </row>
    <row r="519" spans="1:16" ht="15.75" customHeight="1">
      <c r="A519" s="185"/>
      <c r="B519" s="82"/>
      <c r="C519" s="81"/>
      <c r="D519" s="82"/>
      <c r="E519" s="81"/>
      <c r="F519" s="79"/>
      <c r="G519" s="82"/>
      <c r="H519" s="81"/>
      <c r="I519" s="84"/>
      <c r="J519" s="84"/>
      <c r="K519" s="84"/>
      <c r="L519" s="79"/>
      <c r="M519" s="186"/>
      <c r="N519" s="84"/>
      <c r="O519" s="84"/>
      <c r="P519" s="84"/>
    </row>
    <row r="520" spans="1:16" ht="15.75" customHeight="1">
      <c r="A520" s="185"/>
      <c r="B520" s="82"/>
      <c r="C520" s="81"/>
      <c r="D520" s="82"/>
      <c r="E520" s="81"/>
      <c r="F520" s="79"/>
      <c r="G520" s="82"/>
      <c r="H520" s="81"/>
      <c r="I520" s="84"/>
      <c r="J520" s="84"/>
      <c r="K520" s="84"/>
      <c r="L520" s="79"/>
      <c r="M520" s="186"/>
      <c r="N520" s="84"/>
      <c r="O520" s="84"/>
      <c r="P520" s="84"/>
    </row>
    <row r="521" spans="1:16" ht="15.75" customHeight="1">
      <c r="A521" s="185"/>
      <c r="B521" s="82"/>
      <c r="C521" s="81"/>
      <c r="D521" s="82"/>
      <c r="E521" s="81"/>
      <c r="F521" s="79"/>
      <c r="G521" s="82"/>
      <c r="H521" s="81"/>
      <c r="I521" s="84"/>
      <c r="J521" s="84"/>
      <c r="K521" s="84"/>
      <c r="L521" s="79"/>
      <c r="M521" s="186"/>
      <c r="N521" s="84"/>
      <c r="O521" s="84"/>
      <c r="P521" s="84"/>
    </row>
    <row r="522" spans="1:16" ht="15.75" customHeight="1">
      <c r="A522" s="185"/>
      <c r="B522" s="82"/>
      <c r="C522" s="81"/>
      <c r="D522" s="82"/>
      <c r="E522" s="81"/>
      <c r="F522" s="79"/>
      <c r="G522" s="82"/>
      <c r="H522" s="81"/>
      <c r="I522" s="84"/>
      <c r="J522" s="84"/>
      <c r="K522" s="84"/>
      <c r="L522" s="79"/>
      <c r="M522" s="186"/>
      <c r="N522" s="84"/>
      <c r="O522" s="84"/>
      <c r="P522" s="84"/>
    </row>
    <row r="523" spans="1:16" ht="15.75" customHeight="1">
      <c r="A523" s="185"/>
      <c r="B523" s="82"/>
      <c r="C523" s="81"/>
      <c r="D523" s="82"/>
      <c r="E523" s="81"/>
      <c r="F523" s="79"/>
      <c r="G523" s="82"/>
      <c r="H523" s="81"/>
      <c r="I523" s="84"/>
      <c r="J523" s="84"/>
      <c r="K523" s="84"/>
      <c r="L523" s="79"/>
      <c r="M523" s="186"/>
      <c r="N523" s="84"/>
      <c r="O523" s="84"/>
      <c r="P523" s="84"/>
    </row>
    <row r="524" spans="1:16" ht="15.75" customHeight="1">
      <c r="A524" s="185"/>
      <c r="B524" s="82"/>
      <c r="C524" s="81"/>
      <c r="D524" s="82"/>
      <c r="E524" s="81"/>
      <c r="F524" s="79"/>
      <c r="G524" s="82"/>
      <c r="H524" s="81"/>
      <c r="I524" s="84"/>
      <c r="J524" s="84"/>
      <c r="K524" s="84"/>
      <c r="L524" s="79"/>
      <c r="M524" s="186"/>
      <c r="N524" s="84"/>
      <c r="O524" s="84"/>
      <c r="P524" s="84"/>
    </row>
    <row r="525" spans="1:16" ht="15.75" customHeight="1">
      <c r="A525" s="185"/>
      <c r="B525" s="82"/>
      <c r="C525" s="81"/>
      <c r="D525" s="82"/>
      <c r="E525" s="81"/>
      <c r="F525" s="79"/>
      <c r="G525" s="82"/>
      <c r="H525" s="81"/>
      <c r="I525" s="84"/>
      <c r="J525" s="84"/>
      <c r="K525" s="84"/>
      <c r="L525" s="79"/>
      <c r="M525" s="186"/>
      <c r="N525" s="84"/>
      <c r="O525" s="84"/>
      <c r="P525" s="84"/>
    </row>
    <row r="526" spans="1:16" ht="15.75" customHeight="1">
      <c r="A526" s="185"/>
      <c r="B526" s="82"/>
      <c r="C526" s="81"/>
      <c r="D526" s="82"/>
      <c r="E526" s="81"/>
      <c r="F526" s="79"/>
      <c r="G526" s="82"/>
      <c r="H526" s="81"/>
      <c r="I526" s="84"/>
      <c r="J526" s="84"/>
      <c r="K526" s="84"/>
      <c r="L526" s="79"/>
      <c r="M526" s="186"/>
      <c r="N526" s="84"/>
      <c r="O526" s="84"/>
      <c r="P526" s="84"/>
    </row>
    <row r="527" spans="1:16" ht="15.75" customHeight="1">
      <c r="A527" s="185"/>
      <c r="B527" s="82"/>
      <c r="C527" s="81"/>
      <c r="D527" s="82"/>
      <c r="E527" s="81"/>
      <c r="F527" s="79"/>
      <c r="G527" s="82"/>
      <c r="H527" s="81"/>
      <c r="I527" s="84"/>
      <c r="J527" s="84"/>
      <c r="K527" s="84"/>
      <c r="L527" s="79"/>
      <c r="M527" s="186"/>
      <c r="N527" s="84"/>
      <c r="O527" s="84"/>
      <c r="P527" s="84"/>
    </row>
    <row r="528" spans="1:16" ht="15.75" customHeight="1">
      <c r="A528" s="185"/>
      <c r="B528" s="82"/>
      <c r="C528" s="81"/>
      <c r="D528" s="82"/>
      <c r="E528" s="81"/>
      <c r="F528" s="79"/>
      <c r="G528" s="82"/>
      <c r="H528" s="81"/>
      <c r="I528" s="84"/>
      <c r="J528" s="84"/>
      <c r="K528" s="84"/>
      <c r="L528" s="79"/>
      <c r="M528" s="186"/>
      <c r="N528" s="84"/>
      <c r="O528" s="84"/>
      <c r="P528" s="84"/>
    </row>
    <row r="529" spans="1:16" ht="15.75" customHeight="1">
      <c r="A529" s="185"/>
      <c r="B529" s="82"/>
      <c r="C529" s="81"/>
      <c r="D529" s="82"/>
      <c r="E529" s="81"/>
      <c r="F529" s="79"/>
      <c r="G529" s="82"/>
      <c r="H529" s="81"/>
      <c r="I529" s="84"/>
      <c r="J529" s="84"/>
      <c r="K529" s="84"/>
      <c r="L529" s="79"/>
      <c r="M529" s="186"/>
      <c r="N529" s="84"/>
      <c r="O529" s="84"/>
      <c r="P529" s="84"/>
    </row>
    <row r="530" spans="1:16" ht="15.75" customHeight="1">
      <c r="A530" s="185"/>
      <c r="B530" s="82"/>
      <c r="C530" s="81"/>
      <c r="D530" s="82"/>
      <c r="E530" s="81"/>
      <c r="F530" s="79"/>
      <c r="G530" s="82"/>
      <c r="H530" s="81"/>
      <c r="I530" s="84"/>
      <c r="J530" s="84"/>
      <c r="K530" s="84"/>
      <c r="L530" s="79"/>
      <c r="M530" s="186"/>
      <c r="N530" s="84"/>
      <c r="O530" s="84"/>
      <c r="P530" s="84"/>
    </row>
    <row r="531" spans="1:16" ht="15.75" customHeight="1">
      <c r="A531" s="185"/>
      <c r="B531" s="82"/>
      <c r="C531" s="81"/>
      <c r="D531" s="82"/>
      <c r="E531" s="81"/>
      <c r="F531" s="79"/>
      <c r="G531" s="82"/>
      <c r="H531" s="81"/>
      <c r="I531" s="84"/>
      <c r="J531" s="84"/>
      <c r="K531" s="84"/>
      <c r="L531" s="79"/>
      <c r="M531" s="186"/>
      <c r="N531" s="84"/>
      <c r="O531" s="84"/>
      <c r="P531" s="84"/>
    </row>
    <row r="532" spans="1:16" ht="15.75" customHeight="1">
      <c r="A532" s="185"/>
      <c r="B532" s="82"/>
      <c r="C532" s="81"/>
      <c r="D532" s="82"/>
      <c r="E532" s="81"/>
      <c r="F532" s="79"/>
      <c r="G532" s="82"/>
      <c r="H532" s="81"/>
      <c r="I532" s="84"/>
      <c r="J532" s="84"/>
      <c r="K532" s="84"/>
      <c r="L532" s="79"/>
      <c r="M532" s="186"/>
      <c r="N532" s="84"/>
      <c r="O532" s="84"/>
      <c r="P532" s="84"/>
    </row>
    <row r="533" spans="1:16" ht="15.75" customHeight="1">
      <c r="A533" s="185"/>
      <c r="B533" s="82"/>
      <c r="C533" s="81"/>
      <c r="D533" s="82"/>
      <c r="E533" s="81"/>
      <c r="F533" s="79"/>
      <c r="G533" s="82"/>
      <c r="H533" s="81"/>
      <c r="I533" s="84"/>
      <c r="J533" s="84"/>
      <c r="K533" s="84"/>
      <c r="L533" s="79"/>
      <c r="M533" s="186"/>
      <c r="N533" s="84"/>
      <c r="O533" s="84"/>
      <c r="P533" s="84"/>
    </row>
    <row r="534" spans="1:16" ht="15.75" customHeight="1">
      <c r="A534" s="185"/>
      <c r="B534" s="82"/>
      <c r="C534" s="81"/>
      <c r="D534" s="82"/>
      <c r="E534" s="81"/>
      <c r="F534" s="79"/>
      <c r="G534" s="82"/>
      <c r="H534" s="81"/>
      <c r="I534" s="84"/>
      <c r="J534" s="84"/>
      <c r="K534" s="84"/>
      <c r="L534" s="79"/>
      <c r="M534" s="186"/>
      <c r="N534" s="84"/>
      <c r="O534" s="84"/>
      <c r="P534" s="84"/>
    </row>
    <row r="535" spans="1:16" ht="15.75" customHeight="1">
      <c r="A535" s="185"/>
      <c r="B535" s="82"/>
      <c r="C535" s="81"/>
      <c r="D535" s="82"/>
      <c r="E535" s="81"/>
      <c r="F535" s="79"/>
      <c r="G535" s="82"/>
      <c r="H535" s="81"/>
      <c r="I535" s="84"/>
      <c r="J535" s="84"/>
      <c r="K535" s="84"/>
      <c r="L535" s="79"/>
      <c r="M535" s="186"/>
      <c r="N535" s="84"/>
      <c r="O535" s="84"/>
      <c r="P535" s="84"/>
    </row>
    <row r="536" spans="1:16" ht="15.75" customHeight="1">
      <c r="A536" s="185"/>
      <c r="B536" s="82"/>
      <c r="C536" s="81"/>
      <c r="D536" s="82"/>
      <c r="E536" s="81"/>
      <c r="F536" s="79"/>
      <c r="G536" s="82"/>
      <c r="H536" s="81"/>
      <c r="I536" s="84"/>
      <c r="J536" s="84"/>
      <c r="K536" s="84"/>
      <c r="L536" s="79"/>
      <c r="M536" s="186"/>
      <c r="N536" s="84"/>
      <c r="O536" s="84"/>
      <c r="P536" s="84"/>
    </row>
    <row r="537" spans="1:16" ht="15.75" customHeight="1">
      <c r="A537" s="185"/>
      <c r="B537" s="82"/>
      <c r="C537" s="81"/>
      <c r="D537" s="82"/>
      <c r="E537" s="81"/>
      <c r="F537" s="79"/>
      <c r="G537" s="82"/>
      <c r="H537" s="81"/>
      <c r="I537" s="84"/>
      <c r="J537" s="84"/>
      <c r="K537" s="84"/>
      <c r="L537" s="79"/>
      <c r="M537" s="186"/>
      <c r="N537" s="84"/>
      <c r="O537" s="84"/>
      <c r="P537" s="84"/>
    </row>
    <row r="538" spans="1:16" ht="15.75" customHeight="1">
      <c r="A538" s="185"/>
      <c r="B538" s="82"/>
      <c r="C538" s="81"/>
      <c r="D538" s="82"/>
      <c r="E538" s="81"/>
      <c r="F538" s="79"/>
      <c r="G538" s="82"/>
      <c r="H538" s="81"/>
      <c r="I538" s="84"/>
      <c r="J538" s="84"/>
      <c r="K538" s="84"/>
      <c r="L538" s="79"/>
      <c r="M538" s="186"/>
      <c r="N538" s="84"/>
      <c r="O538" s="84"/>
      <c r="P538" s="84"/>
    </row>
    <row r="539" spans="1:16" ht="15.75" customHeight="1">
      <c r="A539" s="185"/>
      <c r="B539" s="82"/>
      <c r="C539" s="81"/>
      <c r="D539" s="82"/>
      <c r="E539" s="81"/>
      <c r="F539" s="79"/>
      <c r="G539" s="82"/>
      <c r="H539" s="81"/>
      <c r="I539" s="84"/>
      <c r="J539" s="84"/>
      <c r="K539" s="84"/>
      <c r="L539" s="79"/>
      <c r="M539" s="186"/>
      <c r="N539" s="84"/>
      <c r="O539" s="84"/>
      <c r="P539" s="84"/>
    </row>
    <row r="540" spans="1:16" ht="15.75" customHeight="1">
      <c r="A540" s="185"/>
      <c r="B540" s="82"/>
      <c r="C540" s="81"/>
      <c r="D540" s="82"/>
      <c r="E540" s="81"/>
      <c r="F540" s="79"/>
      <c r="G540" s="82"/>
      <c r="H540" s="81"/>
      <c r="I540" s="84"/>
      <c r="J540" s="84"/>
      <c r="K540" s="84"/>
      <c r="L540" s="79"/>
      <c r="M540" s="186"/>
      <c r="N540" s="84"/>
      <c r="O540" s="84"/>
      <c r="P540" s="84"/>
    </row>
    <row r="541" spans="1:16" ht="15.75" customHeight="1">
      <c r="A541" s="185"/>
      <c r="B541" s="82"/>
      <c r="C541" s="81"/>
      <c r="D541" s="82"/>
      <c r="E541" s="81"/>
      <c r="F541" s="79"/>
      <c r="G541" s="82"/>
      <c r="H541" s="81"/>
      <c r="I541" s="84"/>
      <c r="J541" s="84"/>
      <c r="K541" s="84"/>
      <c r="L541" s="79"/>
      <c r="M541" s="186"/>
      <c r="N541" s="84"/>
      <c r="O541" s="84"/>
      <c r="P541" s="84"/>
    </row>
    <row r="542" spans="1:16" ht="15.75" customHeight="1">
      <c r="A542" s="185"/>
      <c r="B542" s="82"/>
      <c r="C542" s="81"/>
      <c r="D542" s="82"/>
      <c r="E542" s="81"/>
      <c r="F542" s="79"/>
      <c r="G542" s="82"/>
      <c r="H542" s="81"/>
      <c r="I542" s="84"/>
      <c r="J542" s="84"/>
      <c r="K542" s="84"/>
      <c r="L542" s="79"/>
      <c r="M542" s="186"/>
      <c r="N542" s="84"/>
      <c r="O542" s="84"/>
      <c r="P542" s="84"/>
    </row>
    <row r="543" spans="1:16" ht="15.75" customHeight="1">
      <c r="A543" s="185"/>
      <c r="B543" s="82"/>
      <c r="C543" s="81"/>
      <c r="D543" s="82"/>
      <c r="E543" s="81"/>
      <c r="F543" s="79"/>
      <c r="G543" s="82"/>
      <c r="H543" s="81"/>
      <c r="I543" s="84"/>
      <c r="J543" s="84"/>
      <c r="K543" s="84"/>
      <c r="L543" s="79"/>
      <c r="M543" s="186"/>
      <c r="N543" s="84"/>
      <c r="O543" s="84"/>
      <c r="P543" s="84"/>
    </row>
    <row r="544" spans="1:16" ht="15.75" customHeight="1">
      <c r="A544" s="185"/>
      <c r="B544" s="82"/>
      <c r="C544" s="81"/>
      <c r="D544" s="82"/>
      <c r="E544" s="81"/>
      <c r="F544" s="79"/>
      <c r="G544" s="82"/>
      <c r="H544" s="81"/>
      <c r="I544" s="84"/>
      <c r="J544" s="84"/>
      <c r="K544" s="84"/>
      <c r="L544" s="79"/>
      <c r="M544" s="186"/>
      <c r="N544" s="84"/>
      <c r="O544" s="84"/>
      <c r="P544" s="84"/>
    </row>
    <row r="545" spans="1:16" ht="15.75" customHeight="1">
      <c r="A545" s="185"/>
      <c r="B545" s="82"/>
      <c r="C545" s="81"/>
      <c r="D545" s="82"/>
      <c r="E545" s="81"/>
      <c r="F545" s="79"/>
      <c r="G545" s="82"/>
      <c r="H545" s="81"/>
      <c r="I545" s="84"/>
      <c r="J545" s="84"/>
      <c r="K545" s="84"/>
      <c r="L545" s="79"/>
      <c r="M545" s="186"/>
      <c r="N545" s="84"/>
      <c r="O545" s="84"/>
      <c r="P545" s="84"/>
    </row>
    <row r="546" spans="1:16" ht="15.75" customHeight="1">
      <c r="A546" s="185"/>
      <c r="B546" s="82"/>
      <c r="C546" s="81"/>
      <c r="D546" s="82"/>
      <c r="E546" s="81"/>
      <c r="F546" s="79"/>
      <c r="G546" s="82"/>
      <c r="H546" s="81"/>
      <c r="I546" s="84"/>
      <c r="J546" s="84"/>
      <c r="K546" s="84"/>
      <c r="L546" s="79"/>
      <c r="M546" s="186"/>
      <c r="N546" s="84"/>
      <c r="O546" s="84"/>
      <c r="P546" s="84"/>
    </row>
    <row r="547" spans="1:16" ht="15.75" customHeight="1">
      <c r="A547" s="185"/>
      <c r="B547" s="82"/>
      <c r="C547" s="81"/>
      <c r="D547" s="82"/>
      <c r="E547" s="81"/>
      <c r="F547" s="79"/>
      <c r="G547" s="82"/>
      <c r="H547" s="81"/>
      <c r="I547" s="84"/>
      <c r="J547" s="84"/>
      <c r="K547" s="84"/>
      <c r="L547" s="79"/>
      <c r="M547" s="186"/>
      <c r="N547" s="84"/>
      <c r="O547" s="84"/>
      <c r="P547" s="84"/>
    </row>
    <row r="548" spans="1:16" ht="15.75" customHeight="1">
      <c r="A548" s="185"/>
      <c r="B548" s="82"/>
      <c r="C548" s="81"/>
      <c r="D548" s="82"/>
      <c r="E548" s="81"/>
      <c r="F548" s="79"/>
      <c r="G548" s="82"/>
      <c r="H548" s="81"/>
      <c r="I548" s="84"/>
      <c r="J548" s="84"/>
      <c r="K548" s="84"/>
      <c r="L548" s="79"/>
      <c r="M548" s="186"/>
      <c r="N548" s="84"/>
      <c r="O548" s="84"/>
      <c r="P548" s="84"/>
    </row>
    <row r="549" spans="1:16" ht="15.75" customHeight="1">
      <c r="A549" s="185"/>
      <c r="B549" s="82"/>
      <c r="C549" s="81"/>
      <c r="D549" s="82"/>
      <c r="E549" s="81"/>
      <c r="F549" s="79"/>
      <c r="G549" s="82"/>
      <c r="H549" s="81"/>
      <c r="I549" s="84"/>
      <c r="J549" s="84"/>
      <c r="K549" s="84"/>
      <c r="L549" s="79"/>
      <c r="M549" s="186"/>
      <c r="N549" s="84"/>
      <c r="O549" s="84"/>
      <c r="P549" s="84"/>
    </row>
    <row r="550" spans="1:16" ht="15.75" customHeight="1">
      <c r="A550" s="185"/>
      <c r="B550" s="82"/>
      <c r="C550" s="81"/>
      <c r="D550" s="82"/>
      <c r="E550" s="81"/>
      <c r="F550" s="79"/>
      <c r="G550" s="82"/>
      <c r="H550" s="81"/>
      <c r="I550" s="84"/>
      <c r="J550" s="84"/>
      <c r="K550" s="84"/>
      <c r="L550" s="79"/>
      <c r="M550" s="186"/>
      <c r="N550" s="84"/>
      <c r="O550" s="84"/>
      <c r="P550" s="84"/>
    </row>
    <row r="551" spans="1:16" ht="15.75" customHeight="1">
      <c r="A551" s="185"/>
      <c r="B551" s="82"/>
      <c r="C551" s="81"/>
      <c r="D551" s="82"/>
      <c r="E551" s="81"/>
      <c r="F551" s="79"/>
      <c r="G551" s="82"/>
      <c r="H551" s="81"/>
      <c r="I551" s="84"/>
      <c r="J551" s="84"/>
      <c r="K551" s="84"/>
      <c r="L551" s="79"/>
      <c r="M551" s="186"/>
      <c r="N551" s="84"/>
      <c r="O551" s="84"/>
      <c r="P551" s="84"/>
    </row>
    <row r="552" spans="1:16" ht="15.75" customHeight="1">
      <c r="A552" s="185"/>
      <c r="B552" s="82"/>
      <c r="C552" s="81"/>
      <c r="D552" s="82"/>
      <c r="E552" s="81"/>
      <c r="F552" s="79"/>
      <c r="G552" s="82"/>
      <c r="H552" s="81"/>
      <c r="I552" s="84"/>
      <c r="J552" s="84"/>
      <c r="K552" s="84"/>
      <c r="L552" s="79"/>
      <c r="M552" s="186"/>
      <c r="N552" s="84"/>
      <c r="O552" s="84"/>
      <c r="P552" s="84"/>
    </row>
    <row r="553" spans="1:16" ht="15.75" customHeight="1">
      <c r="A553" s="185"/>
      <c r="B553" s="82"/>
      <c r="C553" s="81"/>
      <c r="D553" s="82"/>
      <c r="E553" s="81"/>
      <c r="F553" s="79"/>
      <c r="G553" s="82"/>
      <c r="H553" s="81"/>
      <c r="I553" s="84"/>
      <c r="J553" s="84"/>
      <c r="K553" s="84"/>
      <c r="L553" s="79"/>
      <c r="M553" s="186"/>
      <c r="N553" s="84"/>
      <c r="O553" s="84"/>
      <c r="P553" s="84"/>
    </row>
    <row r="554" spans="1:16" ht="15.75" customHeight="1">
      <c r="A554" s="185"/>
      <c r="B554" s="82"/>
      <c r="C554" s="81"/>
      <c r="D554" s="82"/>
      <c r="E554" s="81"/>
      <c r="F554" s="79"/>
      <c r="G554" s="82"/>
      <c r="H554" s="81"/>
      <c r="I554" s="84"/>
      <c r="J554" s="84"/>
      <c r="K554" s="84"/>
      <c r="L554" s="79"/>
      <c r="M554" s="186"/>
      <c r="N554" s="84"/>
      <c r="O554" s="84"/>
      <c r="P554" s="84"/>
    </row>
    <row r="555" spans="1:16" ht="15.75" customHeight="1">
      <c r="A555" s="185"/>
      <c r="B555" s="82"/>
      <c r="C555" s="81"/>
      <c r="D555" s="82"/>
      <c r="E555" s="81"/>
      <c r="F555" s="79"/>
      <c r="G555" s="82"/>
      <c r="H555" s="81"/>
      <c r="I555" s="84"/>
      <c r="J555" s="84"/>
      <c r="K555" s="84"/>
      <c r="L555" s="79"/>
      <c r="M555" s="186"/>
      <c r="N555" s="84"/>
      <c r="O555" s="84"/>
      <c r="P555" s="84"/>
    </row>
    <row r="556" spans="1:16" ht="15.75" customHeight="1">
      <c r="A556" s="185"/>
      <c r="B556" s="82"/>
      <c r="C556" s="81"/>
      <c r="D556" s="82"/>
      <c r="E556" s="81"/>
      <c r="F556" s="79"/>
      <c r="G556" s="82"/>
      <c r="H556" s="81"/>
      <c r="I556" s="84"/>
      <c r="J556" s="84"/>
      <c r="K556" s="84"/>
      <c r="L556" s="79"/>
      <c r="M556" s="186"/>
      <c r="N556" s="84"/>
      <c r="O556" s="84"/>
      <c r="P556" s="84"/>
    </row>
    <row r="557" spans="1:16" ht="15.75" customHeight="1">
      <c r="A557" s="185"/>
      <c r="B557" s="82"/>
      <c r="C557" s="81"/>
      <c r="D557" s="82"/>
      <c r="E557" s="81"/>
      <c r="F557" s="79"/>
      <c r="G557" s="82"/>
      <c r="H557" s="81"/>
      <c r="I557" s="84"/>
      <c r="J557" s="84"/>
      <c r="K557" s="84"/>
      <c r="L557" s="79"/>
      <c r="M557" s="186"/>
      <c r="N557" s="84"/>
      <c r="O557" s="84"/>
      <c r="P557" s="84"/>
    </row>
    <row r="558" spans="1:16" ht="15.75" customHeight="1">
      <c r="A558" s="185"/>
      <c r="B558" s="82"/>
      <c r="C558" s="81"/>
      <c r="D558" s="82"/>
      <c r="E558" s="81"/>
      <c r="F558" s="79"/>
      <c r="G558" s="82"/>
      <c r="H558" s="81"/>
      <c r="I558" s="84"/>
      <c r="J558" s="84"/>
      <c r="K558" s="84"/>
      <c r="L558" s="79"/>
      <c r="M558" s="186"/>
      <c r="N558" s="84"/>
      <c r="O558" s="84"/>
      <c r="P558" s="84"/>
    </row>
    <row r="559" spans="1:16" ht="15.75" customHeight="1">
      <c r="A559" s="185"/>
      <c r="B559" s="82"/>
      <c r="C559" s="81"/>
      <c r="D559" s="82"/>
      <c r="E559" s="81"/>
      <c r="F559" s="79"/>
      <c r="G559" s="82"/>
      <c r="H559" s="81"/>
      <c r="I559" s="84"/>
      <c r="J559" s="84"/>
      <c r="K559" s="84"/>
      <c r="L559" s="79"/>
      <c r="M559" s="186"/>
      <c r="N559" s="84"/>
      <c r="O559" s="84"/>
      <c r="P559" s="84"/>
    </row>
    <row r="560" spans="1:16" ht="15.75" customHeight="1">
      <c r="A560" s="185"/>
      <c r="B560" s="82"/>
      <c r="C560" s="81"/>
      <c r="D560" s="82"/>
      <c r="E560" s="81"/>
      <c r="F560" s="79"/>
      <c r="G560" s="82"/>
      <c r="H560" s="81"/>
      <c r="I560" s="84"/>
      <c r="J560" s="84"/>
      <c r="K560" s="84"/>
      <c r="L560" s="79"/>
      <c r="M560" s="186"/>
      <c r="N560" s="84"/>
      <c r="O560" s="84"/>
      <c r="P560" s="84"/>
    </row>
    <row r="561" spans="1:16" ht="15.75" customHeight="1">
      <c r="A561" s="185"/>
      <c r="B561" s="82"/>
      <c r="C561" s="81"/>
      <c r="D561" s="82"/>
      <c r="E561" s="81"/>
      <c r="F561" s="79"/>
      <c r="G561" s="82"/>
      <c r="H561" s="81"/>
      <c r="I561" s="84"/>
      <c r="J561" s="84"/>
      <c r="K561" s="84"/>
      <c r="L561" s="79"/>
      <c r="M561" s="186"/>
      <c r="N561" s="84"/>
      <c r="O561" s="84"/>
      <c r="P561" s="84"/>
    </row>
    <row r="562" spans="1:16" ht="15.75" customHeight="1">
      <c r="A562" s="185"/>
      <c r="B562" s="82"/>
      <c r="C562" s="81"/>
      <c r="D562" s="82"/>
      <c r="E562" s="81"/>
      <c r="F562" s="79"/>
      <c r="G562" s="82"/>
      <c r="H562" s="81"/>
      <c r="I562" s="84"/>
      <c r="J562" s="84"/>
      <c r="K562" s="84"/>
      <c r="L562" s="79"/>
      <c r="M562" s="186"/>
      <c r="N562" s="84"/>
      <c r="O562" s="84"/>
      <c r="P562" s="84"/>
    </row>
    <row r="563" spans="1:16" ht="15.75" customHeight="1">
      <c r="A563" s="185"/>
      <c r="B563" s="82"/>
      <c r="C563" s="81"/>
      <c r="D563" s="82"/>
      <c r="E563" s="81"/>
      <c r="F563" s="79"/>
      <c r="G563" s="82"/>
      <c r="H563" s="81"/>
      <c r="I563" s="84"/>
      <c r="J563" s="84"/>
      <c r="K563" s="84"/>
      <c r="L563" s="79"/>
      <c r="M563" s="186"/>
      <c r="N563" s="84"/>
      <c r="O563" s="84"/>
      <c r="P563" s="84"/>
    </row>
    <row r="564" spans="1:16" ht="15.75" customHeight="1">
      <c r="A564" s="185"/>
      <c r="B564" s="82"/>
      <c r="C564" s="81"/>
      <c r="D564" s="82"/>
      <c r="E564" s="81"/>
      <c r="F564" s="79"/>
      <c r="G564" s="82"/>
      <c r="H564" s="81"/>
      <c r="I564" s="84"/>
      <c r="J564" s="84"/>
      <c r="K564" s="84"/>
      <c r="L564" s="79"/>
      <c r="M564" s="186"/>
      <c r="N564" s="84"/>
      <c r="O564" s="84"/>
      <c r="P564" s="84"/>
    </row>
    <row r="565" spans="1:16" ht="15.75" customHeight="1">
      <c r="A565" s="185"/>
      <c r="B565" s="82"/>
      <c r="C565" s="81"/>
      <c r="D565" s="82"/>
      <c r="E565" s="81"/>
      <c r="F565" s="79"/>
      <c r="G565" s="82"/>
      <c r="H565" s="81"/>
      <c r="I565" s="84"/>
      <c r="J565" s="84"/>
      <c r="K565" s="84"/>
      <c r="L565" s="79"/>
      <c r="M565" s="186"/>
      <c r="N565" s="84"/>
      <c r="O565" s="84"/>
      <c r="P565" s="84"/>
    </row>
    <row r="566" spans="1:16" ht="15.75" customHeight="1">
      <c r="A566" s="185"/>
      <c r="B566" s="82"/>
      <c r="C566" s="81"/>
      <c r="D566" s="82"/>
      <c r="E566" s="81"/>
      <c r="F566" s="79"/>
      <c r="G566" s="82"/>
      <c r="H566" s="81"/>
      <c r="I566" s="84"/>
      <c r="J566" s="84"/>
      <c r="K566" s="84"/>
      <c r="L566" s="79"/>
      <c r="M566" s="186"/>
      <c r="N566" s="84"/>
      <c r="O566" s="84"/>
      <c r="P566" s="84"/>
    </row>
    <row r="567" spans="1:16" ht="15.75" customHeight="1">
      <c r="A567" s="185"/>
      <c r="B567" s="82"/>
      <c r="C567" s="81"/>
      <c r="D567" s="82"/>
      <c r="E567" s="81"/>
      <c r="F567" s="79"/>
      <c r="G567" s="82"/>
      <c r="H567" s="81"/>
      <c r="I567" s="84"/>
      <c r="J567" s="84"/>
      <c r="K567" s="84"/>
      <c r="L567" s="79"/>
      <c r="M567" s="186"/>
      <c r="N567" s="84"/>
      <c r="O567" s="84"/>
      <c r="P567" s="84"/>
    </row>
    <row r="568" spans="1:16" ht="15.75" customHeight="1">
      <c r="A568" s="185"/>
      <c r="B568" s="82"/>
      <c r="C568" s="81"/>
      <c r="D568" s="82"/>
      <c r="E568" s="81"/>
      <c r="F568" s="79"/>
      <c r="G568" s="82"/>
      <c r="H568" s="81"/>
      <c r="I568" s="84"/>
      <c r="J568" s="84"/>
      <c r="K568" s="84"/>
      <c r="L568" s="79"/>
      <c r="M568" s="186"/>
      <c r="N568" s="84"/>
      <c r="O568" s="84"/>
      <c r="P568" s="84"/>
    </row>
    <row r="569" spans="1:16" ht="15.75" customHeight="1">
      <c r="A569" s="185"/>
      <c r="B569" s="82"/>
      <c r="C569" s="81"/>
      <c r="D569" s="82"/>
      <c r="E569" s="81"/>
      <c r="F569" s="79"/>
      <c r="G569" s="82"/>
      <c r="H569" s="81"/>
      <c r="I569" s="84"/>
      <c r="J569" s="84"/>
      <c r="K569" s="84"/>
      <c r="L569" s="79"/>
      <c r="M569" s="186"/>
      <c r="N569" s="84"/>
      <c r="O569" s="84"/>
      <c r="P569" s="84"/>
    </row>
    <row r="570" spans="1:16" ht="15.75" customHeight="1">
      <c r="A570" s="185"/>
      <c r="B570" s="82"/>
      <c r="C570" s="81"/>
      <c r="D570" s="82"/>
      <c r="E570" s="81"/>
      <c r="F570" s="79"/>
      <c r="G570" s="82"/>
      <c r="H570" s="81"/>
      <c r="I570" s="84"/>
      <c r="J570" s="84"/>
      <c r="K570" s="84"/>
      <c r="L570" s="79"/>
      <c r="M570" s="186"/>
      <c r="N570" s="84"/>
      <c r="O570" s="84"/>
      <c r="P570" s="84"/>
    </row>
    <row r="571" spans="1:16" ht="15.75" customHeight="1">
      <c r="A571" s="185"/>
      <c r="B571" s="82"/>
      <c r="C571" s="81"/>
      <c r="D571" s="82"/>
      <c r="E571" s="81"/>
      <c r="F571" s="79"/>
      <c r="G571" s="82"/>
      <c r="H571" s="81"/>
      <c r="I571" s="84"/>
      <c r="J571" s="84"/>
      <c r="K571" s="84"/>
      <c r="L571" s="79"/>
      <c r="M571" s="186"/>
      <c r="N571" s="84"/>
      <c r="O571" s="84"/>
      <c r="P571" s="84"/>
    </row>
    <row r="572" spans="1:16" ht="15.75" customHeight="1">
      <c r="A572" s="185"/>
      <c r="B572" s="82"/>
      <c r="C572" s="81"/>
      <c r="D572" s="82"/>
      <c r="E572" s="81"/>
      <c r="F572" s="79"/>
      <c r="G572" s="82"/>
      <c r="H572" s="81"/>
      <c r="I572" s="84"/>
      <c r="J572" s="84"/>
      <c r="K572" s="84"/>
      <c r="L572" s="79"/>
      <c r="M572" s="186"/>
      <c r="N572" s="84"/>
      <c r="O572" s="84"/>
      <c r="P572" s="84"/>
    </row>
    <row r="573" spans="1:16" ht="15.75" customHeight="1">
      <c r="A573" s="185"/>
      <c r="B573" s="82"/>
      <c r="C573" s="81"/>
      <c r="D573" s="82"/>
      <c r="E573" s="81"/>
      <c r="F573" s="79"/>
      <c r="G573" s="82"/>
      <c r="H573" s="81"/>
      <c r="I573" s="84"/>
      <c r="J573" s="84"/>
      <c r="K573" s="84"/>
      <c r="L573" s="79"/>
      <c r="M573" s="186"/>
      <c r="N573" s="84"/>
      <c r="O573" s="84"/>
      <c r="P573" s="84"/>
    </row>
    <row r="574" spans="1:16" ht="15.75" customHeight="1">
      <c r="A574" s="185"/>
      <c r="B574" s="82"/>
      <c r="C574" s="81"/>
      <c r="D574" s="82"/>
      <c r="E574" s="81"/>
      <c r="F574" s="79"/>
      <c r="G574" s="82"/>
      <c r="H574" s="81"/>
      <c r="I574" s="84"/>
      <c r="J574" s="84"/>
      <c r="K574" s="84"/>
      <c r="L574" s="79"/>
      <c r="M574" s="186"/>
      <c r="N574" s="84"/>
      <c r="O574" s="84"/>
      <c r="P574" s="84"/>
    </row>
    <row r="575" spans="1:16" ht="15.75" customHeight="1">
      <c r="A575" s="185"/>
      <c r="B575" s="82"/>
      <c r="C575" s="81"/>
      <c r="D575" s="82"/>
      <c r="E575" s="81"/>
      <c r="F575" s="79"/>
      <c r="G575" s="82"/>
      <c r="H575" s="81"/>
      <c r="I575" s="84"/>
      <c r="J575" s="84"/>
      <c r="K575" s="84"/>
      <c r="L575" s="79"/>
      <c r="M575" s="186"/>
      <c r="N575" s="84"/>
      <c r="O575" s="84"/>
      <c r="P575" s="84"/>
    </row>
    <row r="576" spans="1:16" ht="15.75" customHeight="1">
      <c r="A576" s="185"/>
      <c r="B576" s="82"/>
      <c r="C576" s="81"/>
      <c r="D576" s="82"/>
      <c r="E576" s="81"/>
      <c r="F576" s="79"/>
      <c r="G576" s="82"/>
      <c r="H576" s="81"/>
      <c r="I576" s="84"/>
      <c r="J576" s="84"/>
      <c r="K576" s="84"/>
      <c r="L576" s="79"/>
      <c r="M576" s="186"/>
      <c r="N576" s="84"/>
      <c r="O576" s="84"/>
      <c r="P576" s="84"/>
    </row>
    <row r="577" spans="1:16" ht="15.75" customHeight="1">
      <c r="A577" s="185"/>
      <c r="B577" s="82"/>
      <c r="C577" s="81"/>
      <c r="D577" s="82"/>
      <c r="E577" s="81"/>
      <c r="F577" s="79"/>
      <c r="G577" s="82"/>
      <c r="H577" s="81"/>
      <c r="I577" s="84"/>
      <c r="J577" s="84"/>
      <c r="K577" s="84"/>
      <c r="L577" s="79"/>
      <c r="M577" s="186"/>
      <c r="N577" s="84"/>
      <c r="O577" s="84"/>
      <c r="P577" s="84"/>
    </row>
    <row r="578" spans="1:16" ht="15.75" customHeight="1">
      <c r="A578" s="185"/>
      <c r="B578" s="82"/>
      <c r="C578" s="81"/>
      <c r="D578" s="82"/>
      <c r="E578" s="81"/>
      <c r="F578" s="79"/>
      <c r="G578" s="82"/>
      <c r="H578" s="81"/>
      <c r="I578" s="84"/>
      <c r="J578" s="84"/>
      <c r="K578" s="84"/>
      <c r="L578" s="79"/>
      <c r="M578" s="186"/>
      <c r="N578" s="84"/>
      <c r="O578" s="84"/>
      <c r="P578" s="84"/>
    </row>
    <row r="579" spans="1:16" ht="15.75" customHeight="1">
      <c r="A579" s="185"/>
      <c r="B579" s="82"/>
      <c r="C579" s="81"/>
      <c r="D579" s="82"/>
      <c r="E579" s="81"/>
      <c r="F579" s="79"/>
      <c r="G579" s="82"/>
      <c r="H579" s="81"/>
      <c r="I579" s="84"/>
      <c r="J579" s="84"/>
      <c r="K579" s="84"/>
      <c r="L579" s="79"/>
      <c r="M579" s="186"/>
      <c r="N579" s="84"/>
      <c r="O579" s="84"/>
      <c r="P579" s="84"/>
    </row>
    <row r="580" spans="1:16" ht="15.75" customHeight="1">
      <c r="A580" s="185"/>
      <c r="B580" s="82"/>
      <c r="C580" s="81"/>
      <c r="D580" s="82"/>
      <c r="E580" s="81"/>
      <c r="F580" s="79"/>
      <c r="G580" s="82"/>
      <c r="H580" s="81"/>
      <c r="I580" s="84"/>
      <c r="J580" s="84"/>
      <c r="K580" s="84"/>
      <c r="L580" s="79"/>
      <c r="M580" s="186"/>
      <c r="N580" s="84"/>
      <c r="O580" s="84"/>
      <c r="P580" s="84"/>
    </row>
    <row r="581" spans="1:16" ht="15.75" customHeight="1">
      <c r="A581" s="185"/>
      <c r="B581" s="82"/>
      <c r="C581" s="81"/>
      <c r="D581" s="82"/>
      <c r="E581" s="81"/>
      <c r="F581" s="79"/>
      <c r="G581" s="82"/>
      <c r="H581" s="81"/>
      <c r="I581" s="84"/>
      <c r="J581" s="84"/>
      <c r="K581" s="84"/>
      <c r="L581" s="79"/>
      <c r="M581" s="186"/>
      <c r="N581" s="84"/>
      <c r="O581" s="84"/>
      <c r="P581" s="84"/>
    </row>
    <row r="582" spans="1:16" ht="15.75" customHeight="1">
      <c r="A582" s="185"/>
      <c r="B582" s="82"/>
      <c r="C582" s="81"/>
      <c r="D582" s="82"/>
      <c r="E582" s="81"/>
      <c r="F582" s="79"/>
      <c r="G582" s="82"/>
      <c r="H582" s="81"/>
      <c r="I582" s="84"/>
      <c r="J582" s="84"/>
      <c r="K582" s="84"/>
      <c r="L582" s="79"/>
      <c r="M582" s="186"/>
      <c r="N582" s="84"/>
      <c r="O582" s="84"/>
      <c r="P582" s="84"/>
    </row>
    <row r="583" spans="1:16" ht="15.75" customHeight="1">
      <c r="A583" s="185"/>
      <c r="B583" s="82"/>
      <c r="C583" s="81"/>
      <c r="D583" s="82"/>
      <c r="E583" s="81"/>
      <c r="F583" s="79"/>
      <c r="G583" s="82"/>
      <c r="H583" s="81"/>
      <c r="I583" s="84"/>
      <c r="J583" s="84"/>
      <c r="K583" s="84"/>
      <c r="L583" s="79"/>
      <c r="M583" s="186"/>
      <c r="N583" s="84"/>
      <c r="O583" s="84"/>
      <c r="P583" s="84"/>
    </row>
    <row r="584" spans="1:16" ht="15.75" customHeight="1">
      <c r="A584" s="185"/>
      <c r="B584" s="82"/>
      <c r="C584" s="81"/>
      <c r="D584" s="82"/>
      <c r="E584" s="81"/>
      <c r="F584" s="79"/>
      <c r="G584" s="82"/>
      <c r="H584" s="81"/>
      <c r="I584" s="84"/>
      <c r="J584" s="84"/>
      <c r="K584" s="84"/>
      <c r="L584" s="79"/>
      <c r="M584" s="186"/>
      <c r="N584" s="84"/>
      <c r="O584" s="84"/>
      <c r="P584" s="84"/>
    </row>
    <row r="585" spans="1:16" ht="15.75" customHeight="1">
      <c r="A585" s="185"/>
      <c r="B585" s="82"/>
      <c r="C585" s="81"/>
      <c r="D585" s="82"/>
      <c r="E585" s="81"/>
      <c r="F585" s="79"/>
      <c r="G585" s="82"/>
      <c r="H585" s="81"/>
      <c r="I585" s="84"/>
      <c r="J585" s="84"/>
      <c r="K585" s="84"/>
      <c r="L585" s="79"/>
      <c r="M585" s="186"/>
      <c r="N585" s="84"/>
      <c r="O585" s="84"/>
      <c r="P585" s="84"/>
    </row>
    <row r="586" spans="1:16" ht="15.75" customHeight="1">
      <c r="A586" s="185"/>
      <c r="B586" s="82"/>
      <c r="C586" s="81"/>
      <c r="D586" s="82"/>
      <c r="E586" s="81"/>
      <c r="F586" s="79"/>
      <c r="G586" s="82"/>
      <c r="H586" s="81"/>
      <c r="I586" s="84"/>
      <c r="J586" s="84"/>
      <c r="K586" s="84"/>
      <c r="L586" s="79"/>
      <c r="M586" s="186"/>
      <c r="N586" s="84"/>
      <c r="O586" s="84"/>
      <c r="P586" s="84"/>
    </row>
    <row r="587" spans="1:16" ht="15.75" customHeight="1">
      <c r="A587" s="185"/>
      <c r="B587" s="82"/>
      <c r="C587" s="81"/>
      <c r="D587" s="82"/>
      <c r="E587" s="81"/>
      <c r="F587" s="79"/>
      <c r="G587" s="82"/>
      <c r="H587" s="81"/>
      <c r="I587" s="84"/>
      <c r="J587" s="84"/>
      <c r="K587" s="84"/>
      <c r="L587" s="79"/>
      <c r="M587" s="186"/>
      <c r="N587" s="84"/>
      <c r="O587" s="84"/>
      <c r="P587" s="84"/>
    </row>
    <row r="588" spans="1:16" ht="15.75" customHeight="1">
      <c r="A588" s="185"/>
      <c r="B588" s="82"/>
      <c r="C588" s="81"/>
      <c r="D588" s="82"/>
      <c r="E588" s="81"/>
      <c r="F588" s="79"/>
      <c r="G588" s="82"/>
      <c r="H588" s="81"/>
      <c r="I588" s="84"/>
      <c r="J588" s="84"/>
      <c r="K588" s="84"/>
      <c r="L588" s="79"/>
      <c r="M588" s="186"/>
      <c r="N588" s="84"/>
      <c r="O588" s="84"/>
      <c r="P588" s="84"/>
    </row>
    <row r="589" spans="1:16" ht="15.75" customHeight="1">
      <c r="A589" s="185"/>
      <c r="B589" s="82"/>
      <c r="C589" s="81"/>
      <c r="D589" s="82"/>
      <c r="E589" s="81"/>
      <c r="F589" s="79"/>
      <c r="G589" s="82"/>
      <c r="H589" s="81"/>
      <c r="I589" s="84"/>
      <c r="J589" s="84"/>
      <c r="K589" s="84"/>
      <c r="L589" s="79"/>
      <c r="M589" s="186"/>
      <c r="N589" s="84"/>
      <c r="O589" s="84"/>
      <c r="P589" s="84"/>
    </row>
    <row r="590" spans="1:16" ht="15.75" customHeight="1">
      <c r="A590" s="185"/>
      <c r="B590" s="82"/>
      <c r="C590" s="81"/>
      <c r="D590" s="82"/>
      <c r="E590" s="81"/>
      <c r="F590" s="79"/>
      <c r="G590" s="82"/>
      <c r="H590" s="81"/>
      <c r="I590" s="84"/>
      <c r="J590" s="84"/>
      <c r="K590" s="84"/>
      <c r="L590" s="79"/>
      <c r="M590" s="186"/>
      <c r="N590" s="84"/>
      <c r="O590" s="84"/>
      <c r="P590" s="84"/>
    </row>
    <row r="591" spans="1:16" ht="15.75" customHeight="1">
      <c r="A591" s="185"/>
      <c r="B591" s="82"/>
      <c r="C591" s="81"/>
      <c r="D591" s="82"/>
      <c r="E591" s="81"/>
      <c r="F591" s="79"/>
      <c r="G591" s="82"/>
      <c r="H591" s="81"/>
      <c r="I591" s="84"/>
      <c r="J591" s="84"/>
      <c r="K591" s="84"/>
      <c r="L591" s="79"/>
      <c r="M591" s="186"/>
      <c r="N591" s="84"/>
      <c r="O591" s="84"/>
      <c r="P591" s="84"/>
    </row>
    <row r="592" spans="1:16" ht="15.75" customHeight="1">
      <c r="A592" s="185"/>
      <c r="B592" s="82"/>
      <c r="C592" s="81"/>
      <c r="D592" s="82"/>
      <c r="E592" s="81"/>
      <c r="F592" s="79"/>
      <c r="G592" s="82"/>
      <c r="H592" s="81"/>
      <c r="I592" s="84"/>
      <c r="J592" s="84"/>
      <c r="K592" s="84"/>
      <c r="L592" s="79"/>
      <c r="M592" s="186"/>
      <c r="N592" s="84"/>
      <c r="O592" s="84"/>
      <c r="P592" s="84"/>
    </row>
    <row r="593" spans="1:16" ht="15.75" customHeight="1">
      <c r="A593" s="185"/>
      <c r="B593" s="82"/>
      <c r="C593" s="81"/>
      <c r="D593" s="82"/>
      <c r="E593" s="81"/>
      <c r="F593" s="79"/>
      <c r="G593" s="82"/>
      <c r="H593" s="81"/>
      <c r="I593" s="84"/>
      <c r="J593" s="84"/>
      <c r="K593" s="84"/>
      <c r="L593" s="79"/>
      <c r="M593" s="186"/>
      <c r="N593" s="84"/>
      <c r="O593" s="84"/>
      <c r="P593" s="84"/>
    </row>
    <row r="594" spans="1:16" ht="15.75" customHeight="1">
      <c r="A594" s="185"/>
      <c r="B594" s="82"/>
      <c r="C594" s="81"/>
      <c r="D594" s="82"/>
      <c r="E594" s="81"/>
      <c r="F594" s="79"/>
      <c r="G594" s="82"/>
      <c r="H594" s="81"/>
      <c r="I594" s="84"/>
      <c r="J594" s="84"/>
      <c r="K594" s="84"/>
      <c r="L594" s="79"/>
      <c r="M594" s="186"/>
      <c r="N594" s="84"/>
      <c r="O594" s="84"/>
      <c r="P594" s="84"/>
    </row>
    <row r="595" spans="1:16" ht="15.75" customHeight="1">
      <c r="A595" s="185"/>
      <c r="B595" s="82"/>
      <c r="C595" s="81"/>
      <c r="D595" s="82"/>
      <c r="E595" s="81"/>
      <c r="F595" s="79"/>
      <c r="G595" s="82"/>
      <c r="H595" s="81"/>
      <c r="I595" s="84"/>
      <c r="J595" s="84"/>
      <c r="K595" s="84"/>
      <c r="L595" s="79"/>
      <c r="M595" s="186"/>
      <c r="N595" s="84"/>
      <c r="O595" s="84"/>
      <c r="P595" s="84"/>
    </row>
    <row r="596" spans="1:16" ht="15.75" customHeight="1">
      <c r="A596" s="185"/>
      <c r="B596" s="82"/>
      <c r="C596" s="81"/>
      <c r="D596" s="82"/>
      <c r="E596" s="81"/>
      <c r="F596" s="79"/>
      <c r="G596" s="82"/>
      <c r="H596" s="81"/>
      <c r="I596" s="84"/>
      <c r="J596" s="84"/>
      <c r="K596" s="84"/>
      <c r="L596" s="79"/>
      <c r="M596" s="186"/>
      <c r="N596" s="84"/>
      <c r="O596" s="84"/>
      <c r="P596" s="84"/>
    </row>
    <row r="597" spans="1:16" ht="15.75" customHeight="1">
      <c r="A597" s="185"/>
      <c r="B597" s="82"/>
      <c r="C597" s="81"/>
      <c r="D597" s="82"/>
      <c r="E597" s="81"/>
      <c r="F597" s="79"/>
      <c r="G597" s="82"/>
      <c r="H597" s="81"/>
      <c r="I597" s="84"/>
      <c r="J597" s="84"/>
      <c r="K597" s="84"/>
      <c r="L597" s="79"/>
      <c r="M597" s="186"/>
      <c r="N597" s="84"/>
      <c r="O597" s="84"/>
      <c r="P597" s="84"/>
    </row>
    <row r="598" spans="1:16" ht="15.75" customHeight="1">
      <c r="A598" s="185"/>
      <c r="B598" s="82"/>
      <c r="C598" s="81"/>
      <c r="D598" s="82"/>
      <c r="E598" s="81"/>
      <c r="F598" s="79"/>
      <c r="G598" s="82"/>
      <c r="H598" s="81"/>
      <c r="I598" s="84"/>
      <c r="J598" s="84"/>
      <c r="K598" s="84"/>
      <c r="L598" s="79"/>
      <c r="M598" s="186"/>
      <c r="N598" s="84"/>
      <c r="O598" s="84"/>
      <c r="P598" s="84"/>
    </row>
    <row r="599" spans="1:16" ht="15.75" customHeight="1">
      <c r="A599" s="185"/>
      <c r="B599" s="82"/>
      <c r="C599" s="81"/>
      <c r="D599" s="82"/>
      <c r="E599" s="81"/>
      <c r="F599" s="79"/>
      <c r="G599" s="82"/>
      <c r="H599" s="81"/>
      <c r="I599" s="84"/>
      <c r="J599" s="84"/>
      <c r="K599" s="84"/>
      <c r="L599" s="79"/>
      <c r="M599" s="186"/>
      <c r="N599" s="84"/>
      <c r="O599" s="84"/>
      <c r="P599" s="84"/>
    </row>
    <row r="600" spans="1:16" ht="15.75" customHeight="1">
      <c r="A600" s="185"/>
      <c r="B600" s="82"/>
      <c r="C600" s="81"/>
      <c r="D600" s="82"/>
      <c r="E600" s="81"/>
      <c r="F600" s="79"/>
      <c r="G600" s="82"/>
      <c r="H600" s="81"/>
      <c r="I600" s="84"/>
      <c r="J600" s="84"/>
      <c r="K600" s="84"/>
      <c r="L600" s="79"/>
      <c r="M600" s="186"/>
      <c r="N600" s="84"/>
      <c r="O600" s="84"/>
      <c r="P600" s="84"/>
    </row>
    <row r="601" spans="1:16" ht="15.75" customHeight="1">
      <c r="A601" s="185"/>
      <c r="B601" s="82"/>
      <c r="C601" s="81"/>
      <c r="D601" s="82"/>
      <c r="E601" s="81"/>
      <c r="F601" s="79"/>
      <c r="G601" s="82"/>
      <c r="H601" s="81"/>
      <c r="I601" s="84"/>
      <c r="J601" s="84"/>
      <c r="K601" s="84"/>
      <c r="L601" s="79"/>
      <c r="M601" s="186"/>
      <c r="N601" s="84"/>
      <c r="O601" s="84"/>
      <c r="P601" s="84"/>
    </row>
    <row r="602" spans="1:16" ht="15.75" customHeight="1">
      <c r="A602" s="185"/>
      <c r="B602" s="82"/>
      <c r="C602" s="81"/>
      <c r="D602" s="82"/>
      <c r="E602" s="81"/>
      <c r="F602" s="79"/>
      <c r="G602" s="82"/>
      <c r="H602" s="81"/>
      <c r="I602" s="84"/>
      <c r="J602" s="84"/>
      <c r="K602" s="84"/>
      <c r="L602" s="79"/>
      <c r="M602" s="186"/>
      <c r="N602" s="84"/>
      <c r="O602" s="84"/>
      <c r="P602" s="84"/>
    </row>
    <row r="603" spans="1:16" ht="15.75" customHeight="1">
      <c r="A603" s="185"/>
      <c r="B603" s="82"/>
      <c r="C603" s="81"/>
      <c r="D603" s="82"/>
      <c r="E603" s="81"/>
      <c r="F603" s="79"/>
      <c r="G603" s="82"/>
      <c r="H603" s="81"/>
      <c r="I603" s="84"/>
      <c r="J603" s="84"/>
      <c r="K603" s="84"/>
      <c r="L603" s="79"/>
      <c r="M603" s="186"/>
      <c r="N603" s="84"/>
      <c r="O603" s="84"/>
      <c r="P603" s="84"/>
    </row>
    <row r="604" spans="1:16" ht="15.75" customHeight="1">
      <c r="A604" s="185"/>
      <c r="B604" s="82"/>
      <c r="C604" s="81"/>
      <c r="D604" s="82"/>
      <c r="E604" s="81"/>
      <c r="F604" s="79"/>
      <c r="G604" s="82"/>
      <c r="H604" s="81"/>
      <c r="I604" s="84"/>
      <c r="J604" s="84"/>
      <c r="K604" s="84"/>
      <c r="L604" s="79"/>
      <c r="M604" s="186"/>
      <c r="N604" s="84"/>
      <c r="O604" s="84"/>
      <c r="P604" s="84"/>
    </row>
    <row r="605" spans="1:16" ht="15.75" customHeight="1">
      <c r="A605" s="185"/>
      <c r="B605" s="82"/>
      <c r="C605" s="81"/>
      <c r="D605" s="82"/>
      <c r="E605" s="81"/>
      <c r="F605" s="79"/>
      <c r="G605" s="82"/>
      <c r="H605" s="81"/>
      <c r="I605" s="84"/>
      <c r="J605" s="84"/>
      <c r="K605" s="84"/>
      <c r="L605" s="79"/>
      <c r="M605" s="186"/>
      <c r="N605" s="84"/>
      <c r="O605" s="84"/>
      <c r="P605" s="84"/>
    </row>
    <row r="606" spans="1:16" ht="15.75" customHeight="1">
      <c r="A606" s="185"/>
      <c r="B606" s="82"/>
      <c r="C606" s="81"/>
      <c r="D606" s="82"/>
      <c r="E606" s="81"/>
      <c r="F606" s="79"/>
      <c r="G606" s="82"/>
      <c r="H606" s="81"/>
      <c r="I606" s="84"/>
      <c r="J606" s="84"/>
      <c r="K606" s="84"/>
      <c r="L606" s="79"/>
      <c r="M606" s="186"/>
      <c r="N606" s="84"/>
      <c r="O606" s="84"/>
      <c r="P606" s="84"/>
    </row>
    <row r="607" spans="1:16" ht="15.75" customHeight="1">
      <c r="A607" s="185"/>
      <c r="B607" s="82"/>
      <c r="C607" s="81"/>
      <c r="D607" s="82"/>
      <c r="E607" s="81"/>
      <c r="F607" s="79"/>
      <c r="G607" s="82"/>
      <c r="H607" s="81"/>
      <c r="I607" s="84"/>
      <c r="J607" s="84"/>
      <c r="K607" s="84"/>
      <c r="L607" s="79"/>
      <c r="M607" s="186"/>
      <c r="N607" s="84"/>
      <c r="O607" s="84"/>
      <c r="P607" s="84"/>
    </row>
    <row r="608" spans="1:16" ht="15.75" customHeight="1">
      <c r="A608" s="185"/>
      <c r="B608" s="82"/>
      <c r="C608" s="81"/>
      <c r="D608" s="82"/>
      <c r="E608" s="81"/>
      <c r="F608" s="79"/>
      <c r="G608" s="82"/>
      <c r="H608" s="81"/>
      <c r="I608" s="84"/>
      <c r="J608" s="84"/>
      <c r="K608" s="84"/>
      <c r="L608" s="79"/>
      <c r="M608" s="186"/>
      <c r="N608" s="84"/>
      <c r="O608" s="84"/>
      <c r="P608" s="84"/>
    </row>
    <row r="609" spans="1:16" ht="15.75" customHeight="1">
      <c r="A609" s="185"/>
      <c r="B609" s="82"/>
      <c r="C609" s="81"/>
      <c r="D609" s="82"/>
      <c r="E609" s="81"/>
      <c r="F609" s="79"/>
      <c r="G609" s="82"/>
      <c r="H609" s="81"/>
      <c r="I609" s="84"/>
      <c r="J609" s="84"/>
      <c r="K609" s="84"/>
      <c r="L609" s="79"/>
      <c r="M609" s="186"/>
      <c r="N609" s="84"/>
      <c r="O609" s="84"/>
      <c r="P609" s="84"/>
    </row>
    <row r="610" spans="1:16" ht="15.75" customHeight="1">
      <c r="A610" s="185"/>
      <c r="B610" s="82"/>
      <c r="C610" s="81"/>
      <c r="D610" s="82"/>
      <c r="E610" s="81"/>
      <c r="F610" s="79"/>
      <c r="G610" s="82"/>
      <c r="H610" s="81"/>
      <c r="I610" s="84"/>
      <c r="J610" s="84"/>
      <c r="K610" s="84"/>
      <c r="L610" s="79"/>
      <c r="M610" s="186"/>
      <c r="N610" s="84"/>
      <c r="O610" s="84"/>
      <c r="P610" s="84"/>
    </row>
    <row r="611" spans="1:16" ht="15.75" customHeight="1">
      <c r="A611" s="185"/>
      <c r="B611" s="82"/>
      <c r="C611" s="81"/>
      <c r="D611" s="82"/>
      <c r="E611" s="81"/>
      <c r="F611" s="79"/>
      <c r="G611" s="82"/>
      <c r="H611" s="81"/>
      <c r="I611" s="84"/>
      <c r="J611" s="84"/>
      <c r="K611" s="84"/>
      <c r="L611" s="79"/>
      <c r="M611" s="186"/>
      <c r="N611" s="84"/>
      <c r="O611" s="84"/>
      <c r="P611" s="84"/>
    </row>
    <row r="612" spans="1:16" ht="15.75" customHeight="1">
      <c r="A612" s="185"/>
      <c r="B612" s="82"/>
      <c r="C612" s="81"/>
      <c r="D612" s="82"/>
      <c r="E612" s="81"/>
      <c r="F612" s="79"/>
      <c r="G612" s="82"/>
      <c r="H612" s="81"/>
      <c r="I612" s="84"/>
      <c r="J612" s="84"/>
      <c r="K612" s="84"/>
      <c r="L612" s="79"/>
      <c r="M612" s="186"/>
      <c r="N612" s="84"/>
      <c r="O612" s="84"/>
      <c r="P612" s="84"/>
    </row>
    <row r="613" spans="1:16" ht="15.75" customHeight="1">
      <c r="A613" s="185"/>
      <c r="B613" s="82"/>
      <c r="C613" s="81"/>
      <c r="D613" s="82"/>
      <c r="E613" s="81"/>
      <c r="F613" s="79"/>
      <c r="G613" s="82"/>
      <c r="H613" s="81"/>
      <c r="I613" s="84"/>
      <c r="J613" s="84"/>
      <c r="K613" s="84"/>
      <c r="L613" s="79"/>
      <c r="M613" s="186"/>
      <c r="N613" s="84"/>
      <c r="O613" s="84"/>
      <c r="P613" s="84"/>
    </row>
    <row r="614" spans="1:16" ht="15.75" customHeight="1">
      <c r="A614" s="185"/>
      <c r="B614" s="82"/>
      <c r="C614" s="81"/>
      <c r="D614" s="82"/>
      <c r="E614" s="81"/>
      <c r="F614" s="79"/>
      <c r="G614" s="82"/>
      <c r="H614" s="81"/>
      <c r="I614" s="84"/>
      <c r="J614" s="84"/>
      <c r="K614" s="84"/>
      <c r="L614" s="79"/>
      <c r="M614" s="186"/>
      <c r="N614" s="84"/>
      <c r="O614" s="84"/>
      <c r="P614" s="84"/>
    </row>
    <row r="615" spans="1:16" ht="15.75" customHeight="1">
      <c r="A615" s="185"/>
      <c r="B615" s="82"/>
      <c r="C615" s="81"/>
      <c r="D615" s="82"/>
      <c r="E615" s="81"/>
      <c r="F615" s="79"/>
      <c r="G615" s="82"/>
      <c r="H615" s="81"/>
      <c r="I615" s="84"/>
      <c r="J615" s="84"/>
      <c r="K615" s="84"/>
      <c r="L615" s="79"/>
      <c r="M615" s="186"/>
      <c r="N615" s="84"/>
      <c r="O615" s="84"/>
      <c r="P615" s="84"/>
    </row>
    <row r="616" spans="1:16" ht="15.75" customHeight="1">
      <c r="A616" s="185"/>
      <c r="B616" s="82"/>
      <c r="C616" s="81"/>
      <c r="D616" s="82"/>
      <c r="E616" s="81"/>
      <c r="F616" s="79"/>
      <c r="G616" s="82"/>
      <c r="H616" s="81"/>
      <c r="I616" s="84"/>
      <c r="J616" s="84"/>
      <c r="K616" s="84"/>
      <c r="L616" s="79"/>
      <c r="M616" s="186"/>
      <c r="N616" s="84"/>
      <c r="O616" s="84"/>
      <c r="P616" s="84"/>
    </row>
    <row r="617" spans="1:16" ht="15.75" customHeight="1">
      <c r="A617" s="185"/>
      <c r="B617" s="82"/>
      <c r="C617" s="81"/>
      <c r="D617" s="82"/>
      <c r="E617" s="81"/>
      <c r="F617" s="79"/>
      <c r="G617" s="82"/>
      <c r="H617" s="81"/>
      <c r="I617" s="84"/>
      <c r="J617" s="84"/>
      <c r="K617" s="84"/>
      <c r="L617" s="79"/>
      <c r="M617" s="186"/>
      <c r="N617" s="84"/>
      <c r="O617" s="84"/>
      <c r="P617" s="84"/>
    </row>
    <row r="618" spans="1:16" ht="15.75" customHeight="1">
      <c r="A618" s="185"/>
      <c r="B618" s="82"/>
      <c r="C618" s="81"/>
      <c r="D618" s="82"/>
      <c r="E618" s="81"/>
      <c r="F618" s="79"/>
      <c r="G618" s="82"/>
      <c r="H618" s="81"/>
      <c r="I618" s="84"/>
      <c r="J618" s="84"/>
      <c r="K618" s="84"/>
      <c r="L618" s="79"/>
      <c r="M618" s="186"/>
      <c r="N618" s="84"/>
      <c r="O618" s="84"/>
      <c r="P618" s="84"/>
    </row>
    <row r="619" spans="1:16" ht="15.75" customHeight="1">
      <c r="A619" s="185"/>
      <c r="B619" s="82"/>
      <c r="C619" s="81"/>
      <c r="D619" s="82"/>
      <c r="E619" s="81"/>
      <c r="F619" s="79"/>
      <c r="G619" s="82"/>
      <c r="H619" s="81"/>
      <c r="I619" s="84"/>
      <c r="J619" s="84"/>
      <c r="K619" s="84"/>
      <c r="L619" s="79"/>
      <c r="M619" s="186"/>
      <c r="N619" s="84"/>
      <c r="O619" s="84"/>
      <c r="P619" s="84"/>
    </row>
    <row r="620" spans="1:16" ht="15.75" customHeight="1">
      <c r="A620" s="185"/>
      <c r="B620" s="82"/>
      <c r="C620" s="81"/>
      <c r="D620" s="82"/>
      <c r="E620" s="81"/>
      <c r="F620" s="79"/>
      <c r="G620" s="82"/>
      <c r="H620" s="81"/>
      <c r="I620" s="84"/>
      <c r="J620" s="84"/>
      <c r="K620" s="84"/>
      <c r="L620" s="79"/>
      <c r="M620" s="186"/>
      <c r="N620" s="84"/>
      <c r="O620" s="84"/>
      <c r="P620" s="84"/>
    </row>
    <row r="621" spans="1:16" ht="15.75" customHeight="1">
      <c r="A621" s="185"/>
      <c r="B621" s="82"/>
      <c r="C621" s="81"/>
      <c r="D621" s="82"/>
      <c r="E621" s="81"/>
      <c r="F621" s="79"/>
      <c r="G621" s="82"/>
      <c r="H621" s="81"/>
      <c r="I621" s="84"/>
      <c r="J621" s="84"/>
      <c r="K621" s="84"/>
      <c r="L621" s="79"/>
      <c r="M621" s="186"/>
      <c r="N621" s="84"/>
      <c r="O621" s="84"/>
      <c r="P621" s="84"/>
    </row>
    <row r="622" spans="1:16" ht="15.75" customHeight="1">
      <c r="A622" s="185"/>
      <c r="B622" s="82"/>
      <c r="C622" s="81"/>
      <c r="D622" s="82"/>
      <c r="E622" s="81"/>
      <c r="F622" s="79"/>
      <c r="G622" s="82"/>
      <c r="H622" s="81"/>
      <c r="I622" s="84"/>
      <c r="J622" s="84"/>
      <c r="K622" s="84"/>
      <c r="L622" s="79"/>
      <c r="M622" s="186"/>
      <c r="N622" s="84"/>
      <c r="O622" s="84"/>
      <c r="P622" s="84"/>
    </row>
    <row r="623" spans="1:16" ht="15.75" customHeight="1">
      <c r="A623" s="185"/>
      <c r="B623" s="82"/>
      <c r="C623" s="81"/>
      <c r="D623" s="82"/>
      <c r="E623" s="81"/>
      <c r="F623" s="79"/>
      <c r="G623" s="82"/>
      <c r="H623" s="81"/>
      <c r="I623" s="84"/>
      <c r="J623" s="84"/>
      <c r="K623" s="84"/>
      <c r="L623" s="79"/>
      <c r="M623" s="186"/>
      <c r="N623" s="84"/>
      <c r="O623" s="84"/>
      <c r="P623" s="84"/>
    </row>
    <row r="624" spans="1:16" ht="15.75" customHeight="1">
      <c r="A624" s="185"/>
      <c r="B624" s="82"/>
      <c r="C624" s="81"/>
      <c r="D624" s="82"/>
      <c r="E624" s="81"/>
      <c r="F624" s="79"/>
      <c r="G624" s="82"/>
      <c r="H624" s="81"/>
      <c r="I624" s="84"/>
      <c r="J624" s="84"/>
      <c r="K624" s="84"/>
      <c r="L624" s="79"/>
      <c r="M624" s="186"/>
      <c r="N624" s="84"/>
      <c r="O624" s="84"/>
      <c r="P624" s="84"/>
    </row>
    <row r="625" spans="1:16" ht="15.75" customHeight="1">
      <c r="A625" s="185"/>
      <c r="B625" s="82"/>
      <c r="C625" s="81"/>
      <c r="D625" s="82"/>
      <c r="E625" s="81"/>
      <c r="F625" s="79"/>
      <c r="G625" s="82"/>
      <c r="H625" s="81"/>
      <c r="I625" s="84"/>
      <c r="J625" s="84"/>
      <c r="K625" s="84"/>
      <c r="L625" s="79"/>
      <c r="M625" s="186"/>
      <c r="N625" s="84"/>
      <c r="O625" s="84"/>
      <c r="P625" s="84"/>
    </row>
    <row r="626" spans="1:16" ht="15.75" customHeight="1">
      <c r="A626" s="185"/>
      <c r="B626" s="82"/>
      <c r="C626" s="81"/>
      <c r="D626" s="82"/>
      <c r="E626" s="81"/>
      <c r="F626" s="79"/>
      <c r="G626" s="82"/>
      <c r="H626" s="81"/>
      <c r="I626" s="84"/>
      <c r="J626" s="84"/>
      <c r="K626" s="84"/>
      <c r="L626" s="79"/>
      <c r="M626" s="186"/>
      <c r="N626" s="84"/>
      <c r="O626" s="84"/>
      <c r="P626" s="84"/>
    </row>
    <row r="627" spans="1:16" ht="15.75" customHeight="1">
      <c r="A627" s="185"/>
      <c r="B627" s="82"/>
      <c r="C627" s="81"/>
      <c r="D627" s="82"/>
      <c r="E627" s="81"/>
      <c r="F627" s="79"/>
      <c r="G627" s="82"/>
      <c r="H627" s="81"/>
      <c r="I627" s="84"/>
      <c r="J627" s="84"/>
      <c r="K627" s="84"/>
      <c r="L627" s="79"/>
      <c r="M627" s="186"/>
      <c r="N627" s="84"/>
      <c r="O627" s="84"/>
      <c r="P627" s="84"/>
    </row>
    <row r="628" spans="1:16" ht="15.75" customHeight="1">
      <c r="A628" s="185"/>
      <c r="B628" s="82"/>
      <c r="C628" s="81"/>
      <c r="D628" s="82"/>
      <c r="E628" s="81"/>
      <c r="F628" s="79"/>
      <c r="G628" s="82"/>
      <c r="H628" s="81"/>
      <c r="I628" s="84"/>
      <c r="J628" s="84"/>
      <c r="K628" s="84"/>
      <c r="L628" s="79"/>
      <c r="M628" s="186"/>
      <c r="N628" s="84"/>
      <c r="O628" s="84"/>
      <c r="P628" s="84"/>
    </row>
    <row r="629" spans="1:16" ht="15.75" customHeight="1">
      <c r="A629" s="185"/>
      <c r="B629" s="82"/>
      <c r="C629" s="81"/>
      <c r="D629" s="82"/>
      <c r="E629" s="81"/>
      <c r="F629" s="79"/>
      <c r="G629" s="82"/>
      <c r="H629" s="81"/>
      <c r="I629" s="84"/>
      <c r="J629" s="84"/>
      <c r="K629" s="84"/>
      <c r="L629" s="79"/>
      <c r="M629" s="186"/>
      <c r="N629" s="84"/>
      <c r="O629" s="84"/>
      <c r="P629" s="84"/>
    </row>
    <row r="630" spans="1:16" ht="15.75" customHeight="1">
      <c r="A630" s="185"/>
      <c r="B630" s="82"/>
      <c r="C630" s="81"/>
      <c r="D630" s="82"/>
      <c r="E630" s="81"/>
      <c r="F630" s="79"/>
      <c r="G630" s="82"/>
      <c r="H630" s="81"/>
      <c r="I630" s="84"/>
      <c r="J630" s="84"/>
      <c r="K630" s="84"/>
      <c r="L630" s="79"/>
      <c r="M630" s="186"/>
      <c r="N630" s="84"/>
      <c r="O630" s="84"/>
      <c r="P630" s="84"/>
    </row>
    <row r="631" spans="1:16" ht="15.75" customHeight="1">
      <c r="A631" s="185"/>
      <c r="B631" s="82"/>
      <c r="C631" s="81"/>
      <c r="D631" s="82"/>
      <c r="E631" s="81"/>
      <c r="F631" s="79"/>
      <c r="G631" s="82"/>
      <c r="H631" s="81"/>
      <c r="I631" s="84"/>
      <c r="J631" s="84"/>
      <c r="K631" s="84"/>
      <c r="L631" s="79"/>
      <c r="M631" s="186"/>
      <c r="N631" s="84"/>
      <c r="O631" s="84"/>
      <c r="P631" s="84"/>
    </row>
    <row r="632" spans="1:16" ht="15.75" customHeight="1">
      <c r="A632" s="185"/>
      <c r="B632" s="82"/>
      <c r="C632" s="81"/>
      <c r="D632" s="82"/>
      <c r="E632" s="81"/>
      <c r="F632" s="79"/>
      <c r="G632" s="82"/>
      <c r="H632" s="81"/>
      <c r="I632" s="84"/>
      <c r="J632" s="84"/>
      <c r="K632" s="84"/>
      <c r="L632" s="79"/>
      <c r="M632" s="186"/>
      <c r="N632" s="84"/>
      <c r="O632" s="84"/>
      <c r="P632" s="84"/>
    </row>
    <row r="633" spans="1:16" ht="15.75" customHeight="1">
      <c r="A633" s="185"/>
      <c r="B633" s="82"/>
      <c r="C633" s="81"/>
      <c r="D633" s="82"/>
      <c r="E633" s="81"/>
      <c r="F633" s="79"/>
      <c r="G633" s="82"/>
      <c r="H633" s="81"/>
      <c r="I633" s="84"/>
      <c r="J633" s="84"/>
      <c r="K633" s="84"/>
      <c r="L633" s="79"/>
      <c r="M633" s="186"/>
      <c r="N633" s="84"/>
      <c r="O633" s="84"/>
      <c r="P633" s="84"/>
    </row>
    <row r="634" spans="1:16" ht="15.75" customHeight="1">
      <c r="A634" s="185"/>
      <c r="B634" s="82"/>
      <c r="C634" s="81"/>
      <c r="D634" s="82"/>
      <c r="E634" s="81"/>
      <c r="F634" s="79"/>
      <c r="G634" s="82"/>
      <c r="H634" s="81"/>
      <c r="I634" s="84"/>
      <c r="J634" s="84"/>
      <c r="K634" s="84"/>
      <c r="L634" s="79"/>
      <c r="M634" s="186"/>
      <c r="N634" s="84"/>
      <c r="O634" s="84"/>
      <c r="P634" s="84"/>
    </row>
    <row r="635" spans="1:16" ht="15.75" customHeight="1">
      <c r="A635" s="185"/>
      <c r="B635" s="82"/>
      <c r="C635" s="81"/>
      <c r="D635" s="82"/>
      <c r="E635" s="81"/>
      <c r="F635" s="79"/>
      <c r="G635" s="82"/>
      <c r="H635" s="81"/>
      <c r="I635" s="84"/>
      <c r="J635" s="84"/>
      <c r="K635" s="84"/>
      <c r="L635" s="79"/>
      <c r="M635" s="186"/>
      <c r="N635" s="84"/>
      <c r="O635" s="84"/>
      <c r="P635" s="84"/>
    </row>
    <row r="636" spans="1:16" ht="15.75" customHeight="1">
      <c r="A636" s="185"/>
      <c r="B636" s="82"/>
      <c r="C636" s="81"/>
      <c r="D636" s="82"/>
      <c r="E636" s="81"/>
      <c r="F636" s="79"/>
      <c r="G636" s="82"/>
      <c r="H636" s="81"/>
      <c r="I636" s="84"/>
      <c r="J636" s="84"/>
      <c r="K636" s="84"/>
      <c r="L636" s="79"/>
      <c r="M636" s="186"/>
      <c r="N636" s="84"/>
      <c r="O636" s="84"/>
      <c r="P636" s="84"/>
    </row>
    <row r="637" spans="1:16" ht="15.75" customHeight="1">
      <c r="A637" s="185"/>
      <c r="B637" s="82"/>
      <c r="C637" s="81"/>
      <c r="D637" s="82"/>
      <c r="E637" s="81"/>
      <c r="F637" s="79"/>
      <c r="G637" s="82"/>
      <c r="H637" s="81"/>
      <c r="I637" s="84"/>
      <c r="J637" s="84"/>
      <c r="K637" s="84"/>
      <c r="L637" s="79"/>
      <c r="M637" s="186"/>
      <c r="N637" s="84"/>
      <c r="O637" s="84"/>
      <c r="P637" s="84"/>
    </row>
    <row r="638" spans="1:16" ht="15.75" customHeight="1">
      <c r="A638" s="185"/>
      <c r="B638" s="82"/>
      <c r="C638" s="81"/>
      <c r="D638" s="82"/>
      <c r="E638" s="81"/>
      <c r="F638" s="79"/>
      <c r="G638" s="82"/>
      <c r="H638" s="81"/>
      <c r="I638" s="84"/>
      <c r="J638" s="84"/>
      <c r="K638" s="84"/>
      <c r="L638" s="79"/>
      <c r="M638" s="186"/>
      <c r="N638" s="84"/>
      <c r="O638" s="84"/>
      <c r="P638" s="84"/>
    </row>
    <row r="639" spans="1:16" ht="15.75" customHeight="1">
      <c r="A639" s="185"/>
      <c r="B639" s="82"/>
      <c r="C639" s="81"/>
      <c r="D639" s="82"/>
      <c r="E639" s="81"/>
      <c r="F639" s="79"/>
      <c r="G639" s="82"/>
      <c r="H639" s="81"/>
      <c r="I639" s="84"/>
      <c r="J639" s="84"/>
      <c r="K639" s="84"/>
      <c r="L639" s="79"/>
      <c r="M639" s="186"/>
      <c r="N639" s="84"/>
      <c r="O639" s="84"/>
      <c r="P639" s="84"/>
    </row>
    <row r="640" spans="1:16" ht="15.75" customHeight="1">
      <c r="A640" s="185"/>
      <c r="B640" s="82"/>
      <c r="C640" s="81"/>
      <c r="D640" s="82"/>
      <c r="E640" s="81"/>
      <c r="F640" s="79"/>
      <c r="G640" s="82"/>
      <c r="H640" s="81"/>
      <c r="I640" s="84"/>
      <c r="J640" s="84"/>
      <c r="K640" s="84"/>
      <c r="L640" s="79"/>
      <c r="M640" s="186"/>
      <c r="N640" s="84"/>
      <c r="O640" s="84"/>
      <c r="P640" s="84"/>
    </row>
    <row r="641" spans="1:16" ht="15.75" customHeight="1">
      <c r="A641" s="185"/>
      <c r="B641" s="82"/>
      <c r="C641" s="81"/>
      <c r="D641" s="82"/>
      <c r="E641" s="81"/>
      <c r="F641" s="79"/>
      <c r="G641" s="82"/>
      <c r="H641" s="81"/>
      <c r="I641" s="84"/>
      <c r="J641" s="84"/>
      <c r="K641" s="84"/>
      <c r="L641" s="79"/>
      <c r="M641" s="186"/>
      <c r="N641" s="84"/>
      <c r="O641" s="84"/>
      <c r="P641" s="84"/>
    </row>
    <row r="642" spans="1:16" ht="15.75" customHeight="1">
      <c r="A642" s="185"/>
      <c r="B642" s="82"/>
      <c r="C642" s="81"/>
      <c r="D642" s="82"/>
      <c r="E642" s="81"/>
      <c r="F642" s="79"/>
      <c r="G642" s="82"/>
      <c r="H642" s="81"/>
      <c r="I642" s="84"/>
      <c r="J642" s="84"/>
      <c r="K642" s="84"/>
      <c r="L642" s="79"/>
      <c r="M642" s="186"/>
      <c r="N642" s="84"/>
      <c r="O642" s="84"/>
      <c r="P642" s="84"/>
    </row>
    <row r="643" spans="1:16" ht="15.75" customHeight="1">
      <c r="A643" s="185"/>
      <c r="B643" s="82"/>
      <c r="C643" s="81"/>
      <c r="D643" s="82"/>
      <c r="E643" s="81"/>
      <c r="F643" s="79"/>
      <c r="G643" s="82"/>
      <c r="H643" s="81"/>
      <c r="I643" s="84"/>
      <c r="J643" s="84"/>
      <c r="K643" s="84"/>
      <c r="L643" s="79"/>
      <c r="M643" s="186"/>
      <c r="N643" s="84"/>
      <c r="O643" s="84"/>
      <c r="P643" s="84"/>
    </row>
    <row r="644" spans="1:16" ht="15.75" customHeight="1">
      <c r="A644" s="185"/>
      <c r="B644" s="82"/>
      <c r="C644" s="81"/>
      <c r="D644" s="82"/>
      <c r="E644" s="81"/>
      <c r="F644" s="79"/>
      <c r="G644" s="82"/>
      <c r="H644" s="81"/>
      <c r="I644" s="84"/>
      <c r="J644" s="84"/>
      <c r="K644" s="84"/>
      <c r="L644" s="79"/>
      <c r="M644" s="186"/>
      <c r="N644" s="84"/>
      <c r="O644" s="84"/>
      <c r="P644" s="84"/>
    </row>
    <row r="645" spans="1:16" ht="15.75" customHeight="1">
      <c r="A645" s="185"/>
      <c r="B645" s="82"/>
      <c r="C645" s="81"/>
      <c r="D645" s="82"/>
      <c r="E645" s="81"/>
      <c r="F645" s="79"/>
      <c r="G645" s="82"/>
      <c r="H645" s="81"/>
      <c r="I645" s="84"/>
      <c r="J645" s="84"/>
      <c r="K645" s="84"/>
      <c r="L645" s="79"/>
      <c r="M645" s="186"/>
      <c r="N645" s="84"/>
      <c r="O645" s="84"/>
      <c r="P645" s="84"/>
    </row>
    <row r="646" spans="1:16" ht="15.75" customHeight="1">
      <c r="A646" s="185"/>
      <c r="B646" s="82"/>
      <c r="C646" s="81"/>
      <c r="D646" s="82"/>
      <c r="E646" s="81"/>
      <c r="F646" s="79"/>
      <c r="G646" s="82"/>
      <c r="H646" s="81"/>
      <c r="I646" s="84"/>
      <c r="J646" s="84"/>
      <c r="K646" s="84"/>
      <c r="L646" s="79"/>
      <c r="M646" s="186"/>
      <c r="N646" s="84"/>
      <c r="O646" s="84"/>
      <c r="P646" s="84"/>
    </row>
    <row r="647" spans="1:16" ht="15.75" customHeight="1">
      <c r="A647" s="185"/>
      <c r="B647" s="82"/>
      <c r="C647" s="81"/>
      <c r="D647" s="82"/>
      <c r="E647" s="81"/>
      <c r="F647" s="79"/>
      <c r="G647" s="82"/>
      <c r="H647" s="81"/>
      <c r="I647" s="84"/>
      <c r="J647" s="84"/>
      <c r="K647" s="84"/>
      <c r="L647" s="79"/>
      <c r="M647" s="186"/>
      <c r="N647" s="84"/>
      <c r="O647" s="84"/>
      <c r="P647" s="84"/>
    </row>
    <row r="648" spans="1:16" ht="15.75" customHeight="1">
      <c r="A648" s="185"/>
      <c r="B648" s="82"/>
      <c r="C648" s="81"/>
      <c r="D648" s="82"/>
      <c r="E648" s="81"/>
      <c r="F648" s="79"/>
      <c r="G648" s="82"/>
      <c r="H648" s="81"/>
      <c r="I648" s="84"/>
      <c r="J648" s="84"/>
      <c r="K648" s="84"/>
      <c r="L648" s="79"/>
      <c r="M648" s="186"/>
      <c r="N648" s="84"/>
      <c r="O648" s="84"/>
      <c r="P648" s="84"/>
    </row>
    <row r="649" spans="1:16" ht="15.75" customHeight="1">
      <c r="A649" s="185"/>
      <c r="B649" s="82"/>
      <c r="C649" s="81"/>
      <c r="D649" s="82"/>
      <c r="E649" s="81"/>
      <c r="F649" s="79"/>
      <c r="G649" s="82"/>
      <c r="H649" s="81"/>
      <c r="I649" s="84"/>
      <c r="J649" s="84"/>
      <c r="K649" s="84"/>
      <c r="L649" s="79"/>
      <c r="M649" s="186"/>
      <c r="N649" s="84"/>
      <c r="O649" s="84"/>
      <c r="P649" s="84"/>
    </row>
    <row r="650" spans="1:16" ht="15.75" customHeight="1">
      <c r="A650" s="185"/>
      <c r="B650" s="82"/>
      <c r="C650" s="81"/>
      <c r="D650" s="82"/>
      <c r="E650" s="81"/>
      <c r="F650" s="79"/>
      <c r="G650" s="82"/>
      <c r="H650" s="81"/>
      <c r="I650" s="84"/>
      <c r="J650" s="84"/>
      <c r="K650" s="84"/>
      <c r="L650" s="79"/>
      <c r="M650" s="186"/>
      <c r="N650" s="84"/>
      <c r="O650" s="84"/>
      <c r="P650" s="84"/>
    </row>
    <row r="651" spans="1:16" ht="15.75" customHeight="1">
      <c r="A651" s="185"/>
      <c r="B651" s="82"/>
      <c r="C651" s="81"/>
      <c r="D651" s="82"/>
      <c r="E651" s="81"/>
      <c r="F651" s="79"/>
      <c r="G651" s="82"/>
      <c r="H651" s="81"/>
      <c r="I651" s="84"/>
      <c r="J651" s="84"/>
      <c r="K651" s="84"/>
      <c r="L651" s="79"/>
      <c r="M651" s="186"/>
      <c r="N651" s="84"/>
      <c r="O651" s="84"/>
      <c r="P651" s="84"/>
    </row>
    <row r="652" spans="1:16" ht="15.75" customHeight="1">
      <c r="A652" s="185"/>
      <c r="B652" s="82"/>
      <c r="C652" s="81"/>
      <c r="D652" s="82"/>
      <c r="E652" s="81"/>
      <c r="F652" s="79"/>
      <c r="G652" s="82"/>
      <c r="H652" s="81"/>
      <c r="I652" s="84"/>
      <c r="J652" s="84"/>
      <c r="K652" s="84"/>
      <c r="L652" s="79"/>
      <c r="M652" s="186"/>
      <c r="N652" s="84"/>
      <c r="O652" s="84"/>
      <c r="P652" s="84"/>
    </row>
    <row r="653" spans="1:16" ht="15.75" customHeight="1">
      <c r="A653" s="185"/>
      <c r="B653" s="82"/>
      <c r="C653" s="81"/>
      <c r="D653" s="82"/>
      <c r="E653" s="81"/>
      <c r="F653" s="79"/>
      <c r="G653" s="82"/>
      <c r="H653" s="81"/>
      <c r="I653" s="84"/>
      <c r="J653" s="84"/>
      <c r="K653" s="84"/>
      <c r="L653" s="79"/>
      <c r="M653" s="186"/>
      <c r="N653" s="84"/>
      <c r="O653" s="84"/>
      <c r="P653" s="84"/>
    </row>
    <row r="654" spans="1:16" ht="15.75" customHeight="1">
      <c r="A654" s="185"/>
      <c r="B654" s="82"/>
      <c r="C654" s="81"/>
      <c r="D654" s="82"/>
      <c r="E654" s="81"/>
      <c r="F654" s="79"/>
      <c r="G654" s="82"/>
      <c r="H654" s="81"/>
      <c r="I654" s="84"/>
      <c r="J654" s="84"/>
      <c r="K654" s="84"/>
      <c r="L654" s="79"/>
      <c r="M654" s="186"/>
      <c r="N654" s="84"/>
      <c r="O654" s="84"/>
      <c r="P654" s="84"/>
    </row>
    <row r="655" spans="1:16" ht="15.75" customHeight="1">
      <c r="A655" s="185"/>
      <c r="B655" s="82"/>
      <c r="C655" s="81"/>
      <c r="D655" s="82"/>
      <c r="E655" s="81"/>
      <c r="F655" s="79"/>
      <c r="G655" s="82"/>
      <c r="H655" s="81"/>
      <c r="I655" s="84"/>
      <c r="J655" s="84"/>
      <c r="K655" s="84"/>
      <c r="L655" s="79"/>
      <c r="M655" s="186"/>
      <c r="N655" s="84"/>
      <c r="O655" s="84"/>
      <c r="P655" s="84"/>
    </row>
    <row r="656" spans="1:16" ht="15.75" customHeight="1">
      <c r="A656" s="185"/>
      <c r="B656" s="82"/>
      <c r="C656" s="81"/>
      <c r="D656" s="82"/>
      <c r="E656" s="81"/>
      <c r="F656" s="79"/>
      <c r="G656" s="82"/>
      <c r="H656" s="81"/>
      <c r="I656" s="84"/>
      <c r="J656" s="84"/>
      <c r="K656" s="84"/>
      <c r="L656" s="79"/>
      <c r="M656" s="186"/>
      <c r="N656" s="84"/>
      <c r="O656" s="84"/>
      <c r="P656" s="84"/>
    </row>
    <row r="657" spans="1:16" ht="15.75" customHeight="1">
      <c r="A657" s="185"/>
      <c r="B657" s="82"/>
      <c r="C657" s="81"/>
      <c r="D657" s="82"/>
      <c r="E657" s="81"/>
      <c r="F657" s="79"/>
      <c r="G657" s="82"/>
      <c r="H657" s="81"/>
      <c r="I657" s="84"/>
      <c r="J657" s="84"/>
      <c r="K657" s="84"/>
      <c r="L657" s="79"/>
      <c r="M657" s="186"/>
      <c r="N657" s="84"/>
      <c r="O657" s="84"/>
      <c r="P657" s="84"/>
    </row>
    <row r="658" spans="1:16" ht="15.75" customHeight="1">
      <c r="A658" s="185"/>
      <c r="B658" s="82"/>
      <c r="C658" s="81"/>
      <c r="D658" s="82"/>
      <c r="E658" s="81"/>
      <c r="F658" s="79"/>
      <c r="G658" s="82"/>
      <c r="H658" s="81"/>
      <c r="I658" s="84"/>
      <c r="J658" s="84"/>
      <c r="K658" s="84"/>
      <c r="L658" s="79"/>
      <c r="M658" s="186"/>
      <c r="N658" s="84"/>
      <c r="O658" s="84"/>
      <c r="P658" s="84"/>
    </row>
    <row r="659" spans="1:16" ht="15.75" customHeight="1">
      <c r="A659" s="185"/>
      <c r="B659" s="82"/>
      <c r="C659" s="81"/>
      <c r="D659" s="82"/>
      <c r="E659" s="81"/>
      <c r="F659" s="79"/>
      <c r="G659" s="82"/>
      <c r="H659" s="81"/>
      <c r="I659" s="84"/>
      <c r="J659" s="84"/>
      <c r="K659" s="84"/>
      <c r="L659" s="79"/>
      <c r="M659" s="186"/>
      <c r="N659" s="84"/>
      <c r="O659" s="84"/>
      <c r="P659" s="84"/>
    </row>
    <row r="660" spans="1:16" ht="15.75" customHeight="1">
      <c r="A660" s="185"/>
      <c r="B660" s="82"/>
      <c r="C660" s="81"/>
      <c r="D660" s="82"/>
      <c r="E660" s="81"/>
      <c r="F660" s="79"/>
      <c r="G660" s="82"/>
      <c r="H660" s="81"/>
      <c r="I660" s="84"/>
      <c r="J660" s="84"/>
      <c r="K660" s="84"/>
      <c r="L660" s="79"/>
      <c r="M660" s="186"/>
      <c r="N660" s="84"/>
      <c r="O660" s="84"/>
      <c r="P660" s="84"/>
    </row>
    <row r="661" spans="1:16" ht="15.75" customHeight="1">
      <c r="A661" s="185"/>
      <c r="B661" s="82"/>
      <c r="C661" s="81"/>
      <c r="D661" s="82"/>
      <c r="E661" s="81"/>
      <c r="F661" s="79"/>
      <c r="G661" s="82"/>
      <c r="H661" s="81"/>
      <c r="I661" s="84"/>
      <c r="J661" s="84"/>
      <c r="K661" s="84"/>
      <c r="L661" s="79"/>
      <c r="M661" s="186"/>
      <c r="N661" s="84"/>
      <c r="O661" s="84"/>
      <c r="P661" s="84"/>
    </row>
    <row r="662" spans="1:16" ht="15.75" customHeight="1">
      <c r="A662" s="185"/>
      <c r="B662" s="82"/>
      <c r="C662" s="81"/>
      <c r="D662" s="82"/>
      <c r="E662" s="81"/>
      <c r="F662" s="79"/>
      <c r="G662" s="82"/>
      <c r="H662" s="81"/>
      <c r="I662" s="84"/>
      <c r="J662" s="84"/>
      <c r="K662" s="84"/>
      <c r="L662" s="79"/>
      <c r="M662" s="186"/>
      <c r="N662" s="84"/>
      <c r="O662" s="84"/>
      <c r="P662" s="84"/>
    </row>
    <row r="663" spans="1:16" ht="15.75" customHeight="1">
      <c r="A663" s="185"/>
      <c r="B663" s="82"/>
      <c r="C663" s="81"/>
      <c r="D663" s="82"/>
      <c r="E663" s="81"/>
      <c r="F663" s="79"/>
      <c r="G663" s="82"/>
      <c r="H663" s="81"/>
      <c r="I663" s="84"/>
      <c r="J663" s="84"/>
      <c r="K663" s="84"/>
      <c r="L663" s="79"/>
      <c r="M663" s="186"/>
      <c r="N663" s="84"/>
      <c r="O663" s="84"/>
      <c r="P663" s="84"/>
    </row>
    <row r="664" spans="1:16" ht="15.75" customHeight="1">
      <c r="A664" s="185"/>
      <c r="B664" s="82"/>
      <c r="C664" s="81"/>
      <c r="D664" s="82"/>
      <c r="E664" s="81"/>
      <c r="F664" s="79"/>
      <c r="G664" s="82"/>
      <c r="H664" s="81"/>
      <c r="I664" s="84"/>
      <c r="J664" s="84"/>
      <c r="K664" s="84"/>
      <c r="L664" s="79"/>
      <c r="M664" s="186"/>
      <c r="N664" s="84"/>
      <c r="O664" s="84"/>
      <c r="P664" s="84"/>
    </row>
    <row r="665" spans="1:16" ht="15.75" customHeight="1">
      <c r="A665" s="185"/>
      <c r="B665" s="82"/>
      <c r="C665" s="81"/>
      <c r="D665" s="82"/>
      <c r="E665" s="81"/>
      <c r="F665" s="79"/>
      <c r="G665" s="82"/>
      <c r="H665" s="81"/>
      <c r="I665" s="84"/>
      <c r="J665" s="84"/>
      <c r="K665" s="84"/>
      <c r="L665" s="79"/>
      <c r="M665" s="186"/>
      <c r="N665" s="84"/>
      <c r="O665" s="84"/>
      <c r="P665" s="84"/>
    </row>
    <row r="666" spans="1:16" ht="15.75" customHeight="1">
      <c r="A666" s="185"/>
      <c r="B666" s="82"/>
      <c r="C666" s="81"/>
      <c r="D666" s="82"/>
      <c r="E666" s="81"/>
      <c r="F666" s="79"/>
      <c r="G666" s="82"/>
      <c r="H666" s="81"/>
      <c r="I666" s="84"/>
      <c r="J666" s="84"/>
      <c r="K666" s="84"/>
      <c r="L666" s="79"/>
      <c r="M666" s="186"/>
      <c r="N666" s="84"/>
      <c r="O666" s="84"/>
      <c r="P666" s="84"/>
    </row>
    <row r="667" spans="1:16" ht="15.75" customHeight="1">
      <c r="A667" s="185"/>
      <c r="B667" s="82"/>
      <c r="C667" s="81"/>
      <c r="D667" s="82"/>
      <c r="E667" s="81"/>
      <c r="F667" s="79"/>
      <c r="G667" s="82"/>
      <c r="H667" s="81"/>
      <c r="I667" s="84"/>
      <c r="J667" s="84"/>
      <c r="K667" s="84"/>
      <c r="L667" s="79"/>
      <c r="M667" s="186"/>
      <c r="N667" s="84"/>
      <c r="O667" s="84"/>
      <c r="P667" s="84"/>
    </row>
    <row r="668" spans="1:16" ht="15.75" customHeight="1">
      <c r="A668" s="185"/>
      <c r="B668" s="82"/>
      <c r="C668" s="81"/>
      <c r="D668" s="82"/>
      <c r="E668" s="81"/>
      <c r="F668" s="79"/>
      <c r="G668" s="82"/>
      <c r="H668" s="81"/>
      <c r="I668" s="84"/>
      <c r="J668" s="84"/>
      <c r="K668" s="84"/>
      <c r="L668" s="79"/>
      <c r="M668" s="186"/>
      <c r="N668" s="84"/>
      <c r="O668" s="84"/>
      <c r="P668" s="84"/>
    </row>
    <row r="669" spans="1:16" ht="15.75" customHeight="1">
      <c r="A669" s="185"/>
      <c r="B669" s="82"/>
      <c r="C669" s="81"/>
      <c r="D669" s="82"/>
      <c r="E669" s="81"/>
      <c r="F669" s="79"/>
      <c r="G669" s="82"/>
      <c r="H669" s="81"/>
      <c r="I669" s="84"/>
      <c r="J669" s="84"/>
      <c r="K669" s="84"/>
      <c r="L669" s="79"/>
      <c r="M669" s="186"/>
      <c r="N669" s="84"/>
      <c r="O669" s="84"/>
      <c r="P669" s="84"/>
    </row>
    <row r="670" spans="1:16" ht="15.75" customHeight="1">
      <c r="A670" s="185"/>
      <c r="B670" s="82"/>
      <c r="C670" s="81"/>
      <c r="D670" s="82"/>
      <c r="E670" s="81"/>
      <c r="F670" s="79"/>
      <c r="G670" s="82"/>
      <c r="H670" s="81"/>
      <c r="I670" s="84"/>
      <c r="J670" s="84"/>
      <c r="K670" s="84"/>
      <c r="L670" s="79"/>
      <c r="M670" s="186"/>
      <c r="N670" s="84"/>
      <c r="O670" s="84"/>
      <c r="P670" s="84"/>
    </row>
    <row r="671" spans="1:16" ht="15.75" customHeight="1">
      <c r="A671" s="185"/>
      <c r="B671" s="82"/>
      <c r="C671" s="81"/>
      <c r="D671" s="82"/>
      <c r="E671" s="81"/>
      <c r="F671" s="79"/>
      <c r="G671" s="82"/>
      <c r="H671" s="81"/>
      <c r="I671" s="84"/>
      <c r="J671" s="84"/>
      <c r="K671" s="84"/>
      <c r="L671" s="79"/>
      <c r="M671" s="186"/>
      <c r="N671" s="84"/>
      <c r="O671" s="84"/>
      <c r="P671" s="84"/>
    </row>
    <row r="672" spans="1:16" ht="15.75" customHeight="1">
      <c r="A672" s="185"/>
      <c r="B672" s="82"/>
      <c r="C672" s="81"/>
      <c r="D672" s="82"/>
      <c r="E672" s="81"/>
      <c r="F672" s="79"/>
      <c r="G672" s="82"/>
      <c r="H672" s="81"/>
      <c r="I672" s="84"/>
      <c r="J672" s="84"/>
      <c r="K672" s="84"/>
      <c r="L672" s="79"/>
      <c r="M672" s="186"/>
      <c r="N672" s="84"/>
      <c r="O672" s="84"/>
      <c r="P672" s="84"/>
    </row>
    <row r="673" spans="1:16" ht="15.75" customHeight="1">
      <c r="A673" s="185"/>
      <c r="B673" s="82"/>
      <c r="C673" s="81"/>
      <c r="D673" s="82"/>
      <c r="E673" s="81"/>
      <c r="F673" s="79"/>
      <c r="G673" s="82"/>
      <c r="H673" s="81"/>
      <c r="I673" s="84"/>
      <c r="J673" s="84"/>
      <c r="K673" s="84"/>
      <c r="L673" s="79"/>
      <c r="M673" s="186"/>
      <c r="N673" s="84"/>
      <c r="O673" s="84"/>
      <c r="P673" s="84"/>
    </row>
    <row r="674" spans="1:16" ht="15.75" customHeight="1">
      <c r="A674" s="185"/>
      <c r="B674" s="82"/>
      <c r="C674" s="81"/>
      <c r="D674" s="82"/>
      <c r="E674" s="81"/>
      <c r="F674" s="79"/>
      <c r="G674" s="82"/>
      <c r="H674" s="81"/>
      <c r="I674" s="84"/>
      <c r="J674" s="84"/>
      <c r="K674" s="84"/>
      <c r="L674" s="79"/>
      <c r="M674" s="186"/>
      <c r="N674" s="84"/>
      <c r="O674" s="84"/>
      <c r="P674" s="84"/>
    </row>
    <row r="675" spans="1:16" ht="15.75" customHeight="1">
      <c r="A675" s="185"/>
      <c r="B675" s="82"/>
      <c r="C675" s="81"/>
      <c r="D675" s="82"/>
      <c r="E675" s="81"/>
      <c r="F675" s="79"/>
      <c r="G675" s="82"/>
      <c r="H675" s="81"/>
      <c r="I675" s="84"/>
      <c r="J675" s="84"/>
      <c r="K675" s="84"/>
      <c r="L675" s="79"/>
      <c r="M675" s="186"/>
      <c r="N675" s="84"/>
      <c r="O675" s="84"/>
      <c r="P675" s="84"/>
    </row>
    <row r="676" spans="1:16" ht="15.75" customHeight="1">
      <c r="A676" s="185"/>
      <c r="B676" s="82"/>
      <c r="C676" s="81"/>
      <c r="D676" s="82"/>
      <c r="E676" s="81"/>
      <c r="F676" s="79"/>
      <c r="G676" s="82"/>
      <c r="H676" s="81"/>
      <c r="I676" s="84"/>
      <c r="J676" s="84"/>
      <c r="K676" s="84"/>
      <c r="L676" s="79"/>
      <c r="M676" s="186"/>
      <c r="N676" s="84"/>
      <c r="O676" s="84"/>
      <c r="P676" s="84"/>
    </row>
    <row r="677" spans="1:16" ht="15.75" customHeight="1">
      <c r="A677" s="185"/>
      <c r="B677" s="82"/>
      <c r="C677" s="81"/>
      <c r="D677" s="82"/>
      <c r="E677" s="81"/>
      <c r="F677" s="79"/>
      <c r="G677" s="82"/>
      <c r="H677" s="81"/>
      <c r="I677" s="84"/>
      <c r="J677" s="84"/>
      <c r="K677" s="84"/>
      <c r="L677" s="79"/>
      <c r="M677" s="186"/>
      <c r="N677" s="84"/>
      <c r="O677" s="84"/>
      <c r="P677" s="84"/>
    </row>
    <row r="678" spans="1:16" ht="15.75" customHeight="1">
      <c r="A678" s="185"/>
      <c r="B678" s="82"/>
      <c r="C678" s="81"/>
      <c r="D678" s="82"/>
      <c r="E678" s="81"/>
      <c r="F678" s="79"/>
      <c r="G678" s="82"/>
      <c r="H678" s="81"/>
      <c r="I678" s="84"/>
      <c r="J678" s="84"/>
      <c r="K678" s="84"/>
      <c r="L678" s="79"/>
      <c r="M678" s="186"/>
      <c r="N678" s="84"/>
      <c r="O678" s="84"/>
      <c r="P678" s="84"/>
    </row>
    <row r="679" spans="1:16" ht="15.75" customHeight="1">
      <c r="A679" s="185"/>
      <c r="B679" s="82"/>
      <c r="C679" s="81"/>
      <c r="D679" s="82"/>
      <c r="E679" s="81"/>
      <c r="F679" s="79"/>
      <c r="G679" s="82"/>
      <c r="H679" s="81"/>
      <c r="I679" s="84"/>
      <c r="J679" s="84"/>
      <c r="K679" s="84"/>
      <c r="L679" s="79"/>
      <c r="M679" s="186"/>
      <c r="N679" s="84"/>
      <c r="O679" s="84"/>
      <c r="P679" s="84"/>
    </row>
    <row r="680" spans="1:16" ht="15.75" customHeight="1">
      <c r="A680" s="185"/>
      <c r="B680" s="82"/>
      <c r="C680" s="81"/>
      <c r="D680" s="82"/>
      <c r="E680" s="81"/>
      <c r="F680" s="79"/>
      <c r="G680" s="82"/>
      <c r="H680" s="81"/>
      <c r="I680" s="84"/>
      <c r="J680" s="84"/>
      <c r="K680" s="84"/>
      <c r="L680" s="79"/>
      <c r="M680" s="186"/>
      <c r="N680" s="84"/>
      <c r="O680" s="84"/>
      <c r="P680" s="84"/>
    </row>
    <row r="681" spans="1:16" ht="15.75" customHeight="1">
      <c r="A681" s="185"/>
      <c r="B681" s="82"/>
      <c r="C681" s="81"/>
      <c r="D681" s="82"/>
      <c r="E681" s="81"/>
      <c r="F681" s="79"/>
      <c r="G681" s="82"/>
      <c r="H681" s="81"/>
      <c r="I681" s="84"/>
      <c r="J681" s="84"/>
      <c r="K681" s="84"/>
      <c r="L681" s="79"/>
      <c r="M681" s="186"/>
      <c r="N681" s="84"/>
      <c r="O681" s="84"/>
      <c r="P681" s="84"/>
    </row>
    <row r="682" spans="1:16" ht="15.75" customHeight="1">
      <c r="A682" s="185"/>
      <c r="B682" s="82"/>
      <c r="C682" s="81"/>
      <c r="D682" s="82"/>
      <c r="E682" s="81"/>
      <c r="F682" s="79"/>
      <c r="G682" s="82"/>
      <c r="H682" s="81"/>
      <c r="I682" s="84"/>
      <c r="J682" s="84"/>
      <c r="K682" s="84"/>
      <c r="L682" s="79"/>
      <c r="M682" s="186"/>
      <c r="N682" s="84"/>
      <c r="O682" s="84"/>
      <c r="P682" s="84"/>
    </row>
    <row r="683" spans="1:16" ht="15.75" customHeight="1">
      <c r="A683" s="185"/>
      <c r="B683" s="82"/>
      <c r="C683" s="81"/>
      <c r="D683" s="82"/>
      <c r="E683" s="81"/>
      <c r="F683" s="79"/>
      <c r="G683" s="82"/>
      <c r="H683" s="81"/>
      <c r="I683" s="84"/>
      <c r="J683" s="84"/>
      <c r="K683" s="84"/>
      <c r="L683" s="79"/>
      <c r="M683" s="186"/>
      <c r="N683" s="84"/>
      <c r="O683" s="84"/>
      <c r="P683" s="84"/>
    </row>
    <row r="684" spans="1:16" ht="15.75" customHeight="1">
      <c r="A684" s="185"/>
      <c r="B684" s="82"/>
      <c r="C684" s="81"/>
      <c r="D684" s="82"/>
      <c r="E684" s="81"/>
      <c r="F684" s="79"/>
      <c r="G684" s="82"/>
      <c r="H684" s="81"/>
      <c r="I684" s="84"/>
      <c r="J684" s="84"/>
      <c r="K684" s="84"/>
      <c r="L684" s="79"/>
      <c r="M684" s="186"/>
      <c r="N684" s="84"/>
      <c r="O684" s="84"/>
      <c r="P684" s="84"/>
    </row>
    <row r="685" spans="1:16" ht="15.75" customHeight="1">
      <c r="A685" s="185"/>
      <c r="B685" s="82"/>
      <c r="C685" s="81"/>
      <c r="D685" s="82"/>
      <c r="E685" s="81"/>
      <c r="F685" s="79"/>
      <c r="G685" s="82"/>
      <c r="H685" s="81"/>
      <c r="I685" s="84"/>
      <c r="J685" s="84"/>
      <c r="K685" s="84"/>
      <c r="L685" s="79"/>
      <c r="M685" s="186"/>
      <c r="N685" s="84"/>
      <c r="O685" s="84"/>
      <c r="P685" s="84"/>
    </row>
    <row r="686" spans="1:16" ht="15.75" customHeight="1">
      <c r="A686" s="185"/>
      <c r="B686" s="82"/>
      <c r="C686" s="81"/>
      <c r="D686" s="82"/>
      <c r="E686" s="81"/>
      <c r="F686" s="79"/>
      <c r="G686" s="82"/>
      <c r="H686" s="81"/>
      <c r="I686" s="84"/>
      <c r="J686" s="84"/>
      <c r="K686" s="84"/>
      <c r="L686" s="79"/>
      <c r="M686" s="186"/>
      <c r="N686" s="84"/>
      <c r="O686" s="84"/>
      <c r="P686" s="84"/>
    </row>
    <row r="687" spans="1:16" ht="15.75" customHeight="1">
      <c r="A687" s="185"/>
      <c r="B687" s="82"/>
      <c r="C687" s="81"/>
      <c r="D687" s="82"/>
      <c r="E687" s="81"/>
      <c r="F687" s="79"/>
      <c r="G687" s="82"/>
      <c r="H687" s="81"/>
      <c r="I687" s="84"/>
      <c r="J687" s="84"/>
      <c r="K687" s="84"/>
      <c r="L687" s="79"/>
      <c r="M687" s="186"/>
      <c r="N687" s="84"/>
      <c r="O687" s="84"/>
      <c r="P687" s="84"/>
    </row>
    <row r="688" spans="1:16" ht="15.75" customHeight="1">
      <c r="A688" s="185"/>
      <c r="B688" s="82"/>
      <c r="C688" s="81"/>
      <c r="D688" s="82"/>
      <c r="E688" s="81"/>
      <c r="F688" s="79"/>
      <c r="G688" s="82"/>
      <c r="H688" s="81"/>
      <c r="I688" s="84"/>
      <c r="J688" s="84"/>
      <c r="K688" s="84"/>
      <c r="L688" s="79"/>
      <c r="M688" s="186"/>
      <c r="N688" s="84"/>
      <c r="O688" s="84"/>
      <c r="P688" s="84"/>
    </row>
    <row r="689" spans="1:16" ht="15.75" customHeight="1">
      <c r="A689" s="185"/>
      <c r="B689" s="82"/>
      <c r="C689" s="81"/>
      <c r="D689" s="82"/>
      <c r="E689" s="81"/>
      <c r="F689" s="79"/>
      <c r="G689" s="82"/>
      <c r="H689" s="81"/>
      <c r="I689" s="84"/>
      <c r="J689" s="84"/>
      <c r="K689" s="84"/>
      <c r="L689" s="79"/>
      <c r="M689" s="186"/>
      <c r="N689" s="84"/>
      <c r="O689" s="84"/>
      <c r="P689" s="84"/>
    </row>
    <row r="690" spans="1:16" ht="15.75" customHeight="1">
      <c r="A690" s="185"/>
      <c r="B690" s="82"/>
      <c r="C690" s="81"/>
      <c r="D690" s="82"/>
      <c r="E690" s="81"/>
      <c r="F690" s="79"/>
      <c r="G690" s="82"/>
      <c r="H690" s="81"/>
      <c r="I690" s="84"/>
      <c r="J690" s="84"/>
      <c r="K690" s="84"/>
      <c r="L690" s="79"/>
      <c r="M690" s="186"/>
      <c r="N690" s="84"/>
      <c r="O690" s="84"/>
      <c r="P690" s="84"/>
    </row>
    <row r="691" spans="1:16" ht="15.75" customHeight="1">
      <c r="A691" s="185"/>
      <c r="B691" s="82"/>
      <c r="C691" s="81"/>
      <c r="D691" s="82"/>
      <c r="E691" s="81"/>
      <c r="F691" s="79"/>
      <c r="G691" s="82"/>
      <c r="H691" s="81"/>
      <c r="I691" s="84"/>
      <c r="J691" s="84"/>
      <c r="K691" s="84"/>
      <c r="L691" s="79"/>
      <c r="M691" s="186"/>
      <c r="N691" s="84"/>
      <c r="O691" s="84"/>
      <c r="P691" s="84"/>
    </row>
    <row r="692" spans="1:16" ht="15.75" customHeight="1">
      <c r="A692" s="185"/>
      <c r="B692" s="82"/>
      <c r="C692" s="81"/>
      <c r="D692" s="82"/>
      <c r="E692" s="81"/>
      <c r="F692" s="79"/>
      <c r="G692" s="82"/>
      <c r="H692" s="81"/>
      <c r="I692" s="84"/>
      <c r="J692" s="84"/>
      <c r="K692" s="84"/>
      <c r="L692" s="79"/>
      <c r="M692" s="186"/>
      <c r="N692" s="84"/>
      <c r="O692" s="84"/>
      <c r="P692" s="84"/>
    </row>
    <row r="693" spans="1:16" ht="15.75" customHeight="1">
      <c r="A693" s="185"/>
      <c r="B693" s="82"/>
      <c r="C693" s="81"/>
      <c r="D693" s="82"/>
      <c r="E693" s="81"/>
      <c r="F693" s="79"/>
      <c r="G693" s="82"/>
      <c r="H693" s="81"/>
      <c r="I693" s="84"/>
      <c r="J693" s="84"/>
      <c r="K693" s="84"/>
      <c r="L693" s="79"/>
      <c r="M693" s="186"/>
      <c r="N693" s="84"/>
      <c r="O693" s="84"/>
      <c r="P693" s="84"/>
    </row>
    <row r="694" spans="1:16" ht="15.75" customHeight="1">
      <c r="A694" s="185"/>
      <c r="B694" s="82"/>
      <c r="C694" s="81"/>
      <c r="D694" s="82"/>
      <c r="E694" s="81"/>
      <c r="F694" s="79"/>
      <c r="G694" s="82"/>
      <c r="H694" s="81"/>
      <c r="I694" s="84"/>
      <c r="J694" s="84"/>
      <c r="K694" s="84"/>
      <c r="L694" s="79"/>
      <c r="M694" s="186"/>
      <c r="N694" s="84"/>
      <c r="O694" s="84"/>
      <c r="P694" s="84"/>
    </row>
    <row r="695" spans="1:16" ht="15.75" customHeight="1">
      <c r="A695" s="185"/>
      <c r="B695" s="82"/>
      <c r="C695" s="81"/>
      <c r="D695" s="82"/>
      <c r="E695" s="81"/>
      <c r="F695" s="79"/>
      <c r="G695" s="82"/>
      <c r="H695" s="81"/>
      <c r="I695" s="84"/>
      <c r="J695" s="84"/>
      <c r="K695" s="84"/>
      <c r="L695" s="79"/>
      <c r="M695" s="186"/>
      <c r="N695" s="84"/>
      <c r="O695" s="84"/>
      <c r="P695" s="84"/>
    </row>
    <row r="696" spans="1:16" ht="15.75" customHeight="1">
      <c r="A696" s="185"/>
      <c r="B696" s="82"/>
      <c r="C696" s="81"/>
      <c r="D696" s="82"/>
      <c r="E696" s="81"/>
      <c r="F696" s="79"/>
      <c r="G696" s="82"/>
      <c r="H696" s="81"/>
      <c r="I696" s="84"/>
      <c r="J696" s="84"/>
      <c r="K696" s="84"/>
      <c r="L696" s="79"/>
      <c r="M696" s="186"/>
      <c r="N696" s="84"/>
      <c r="O696" s="84"/>
      <c r="P696" s="84"/>
    </row>
    <row r="697" spans="1:16" ht="15.75" customHeight="1">
      <c r="A697" s="185"/>
      <c r="B697" s="82"/>
      <c r="C697" s="81"/>
      <c r="D697" s="82"/>
      <c r="E697" s="81"/>
      <c r="F697" s="79"/>
      <c r="G697" s="82"/>
      <c r="H697" s="81"/>
      <c r="I697" s="84"/>
      <c r="J697" s="84"/>
      <c r="K697" s="84"/>
      <c r="L697" s="79"/>
      <c r="M697" s="186"/>
      <c r="N697" s="84"/>
      <c r="O697" s="84"/>
      <c r="P697" s="84"/>
    </row>
    <row r="698" spans="1:16" ht="15.75" customHeight="1">
      <c r="A698" s="185"/>
      <c r="B698" s="82"/>
      <c r="C698" s="81"/>
      <c r="D698" s="82"/>
      <c r="E698" s="81"/>
      <c r="F698" s="79"/>
      <c r="G698" s="82"/>
      <c r="H698" s="81"/>
      <c r="I698" s="84"/>
      <c r="J698" s="84"/>
      <c r="K698" s="84"/>
      <c r="L698" s="79"/>
      <c r="M698" s="186"/>
      <c r="N698" s="84"/>
      <c r="O698" s="84"/>
      <c r="P698" s="84"/>
    </row>
    <row r="699" spans="1:16" ht="15.75" customHeight="1">
      <c r="A699" s="185"/>
      <c r="B699" s="82"/>
      <c r="C699" s="81"/>
      <c r="D699" s="82"/>
      <c r="E699" s="81"/>
      <c r="F699" s="79"/>
      <c r="G699" s="82"/>
      <c r="H699" s="81"/>
      <c r="I699" s="84"/>
      <c r="J699" s="84"/>
      <c r="K699" s="84"/>
      <c r="L699" s="79"/>
      <c r="M699" s="186"/>
      <c r="N699" s="84"/>
      <c r="O699" s="84"/>
      <c r="P699" s="84"/>
    </row>
    <row r="700" spans="1:16" ht="15.75" customHeight="1">
      <c r="A700" s="185"/>
      <c r="B700" s="82"/>
      <c r="C700" s="81"/>
      <c r="D700" s="82"/>
      <c r="E700" s="81"/>
      <c r="F700" s="79"/>
      <c r="G700" s="82"/>
      <c r="H700" s="81"/>
      <c r="I700" s="84"/>
      <c r="J700" s="84"/>
      <c r="K700" s="84"/>
      <c r="L700" s="79"/>
      <c r="M700" s="186"/>
      <c r="N700" s="84"/>
      <c r="O700" s="84"/>
      <c r="P700" s="84"/>
    </row>
    <row r="701" spans="1:16" ht="15.75" customHeight="1">
      <c r="A701" s="185"/>
      <c r="B701" s="82"/>
      <c r="C701" s="81"/>
      <c r="D701" s="82"/>
      <c r="E701" s="81"/>
      <c r="F701" s="79"/>
      <c r="G701" s="82"/>
      <c r="H701" s="81"/>
      <c r="I701" s="84"/>
      <c r="J701" s="84"/>
      <c r="K701" s="84"/>
      <c r="L701" s="79"/>
      <c r="M701" s="186"/>
      <c r="N701" s="84"/>
      <c r="O701" s="84"/>
      <c r="P701" s="84"/>
    </row>
    <row r="702" spans="1:16" ht="15.75" customHeight="1">
      <c r="A702" s="185"/>
      <c r="B702" s="82"/>
      <c r="C702" s="81"/>
      <c r="D702" s="82"/>
      <c r="E702" s="81"/>
      <c r="F702" s="79"/>
      <c r="G702" s="82"/>
      <c r="H702" s="81"/>
      <c r="I702" s="84"/>
      <c r="J702" s="84"/>
      <c r="K702" s="84"/>
      <c r="L702" s="79"/>
      <c r="M702" s="186"/>
      <c r="N702" s="84"/>
      <c r="O702" s="84"/>
      <c r="P702" s="84"/>
    </row>
    <row r="703" spans="1:16" ht="15.75" customHeight="1">
      <c r="A703" s="185"/>
      <c r="B703" s="82"/>
      <c r="C703" s="81"/>
      <c r="D703" s="82"/>
      <c r="E703" s="81"/>
      <c r="F703" s="79"/>
      <c r="G703" s="82"/>
      <c r="H703" s="81"/>
      <c r="I703" s="84"/>
      <c r="J703" s="84"/>
      <c r="K703" s="84"/>
      <c r="L703" s="79"/>
      <c r="M703" s="186"/>
      <c r="N703" s="84"/>
      <c r="O703" s="84"/>
      <c r="P703" s="84"/>
    </row>
    <row r="704" spans="1:16" ht="15.75" customHeight="1">
      <c r="A704" s="185"/>
      <c r="B704" s="82"/>
      <c r="C704" s="81"/>
      <c r="D704" s="82"/>
      <c r="E704" s="81"/>
      <c r="F704" s="79"/>
      <c r="G704" s="82"/>
      <c r="H704" s="81"/>
      <c r="I704" s="84"/>
      <c r="J704" s="84"/>
      <c r="K704" s="84"/>
      <c r="L704" s="79"/>
      <c r="M704" s="186"/>
      <c r="N704" s="84"/>
      <c r="O704" s="84"/>
      <c r="P704" s="84"/>
    </row>
    <row r="705" spans="1:16" ht="15.75" customHeight="1">
      <c r="A705" s="185"/>
      <c r="B705" s="82"/>
      <c r="C705" s="81"/>
      <c r="D705" s="82"/>
      <c r="E705" s="81"/>
      <c r="F705" s="79"/>
      <c r="G705" s="82"/>
      <c r="H705" s="81"/>
      <c r="I705" s="84"/>
      <c r="J705" s="84"/>
      <c r="K705" s="84"/>
      <c r="L705" s="79"/>
      <c r="M705" s="186"/>
      <c r="N705" s="84"/>
      <c r="O705" s="84"/>
      <c r="P705" s="84"/>
    </row>
    <row r="706" spans="1:16" ht="15.75" customHeight="1">
      <c r="A706" s="185"/>
      <c r="B706" s="82"/>
      <c r="C706" s="81"/>
      <c r="D706" s="82"/>
      <c r="E706" s="81"/>
      <c r="F706" s="79"/>
      <c r="G706" s="82"/>
      <c r="H706" s="81"/>
      <c r="I706" s="84"/>
      <c r="J706" s="84"/>
      <c r="K706" s="84"/>
      <c r="L706" s="79"/>
      <c r="M706" s="186"/>
      <c r="N706" s="84"/>
      <c r="O706" s="84"/>
      <c r="P706" s="84"/>
    </row>
    <row r="707" spans="1:16" ht="15.75" customHeight="1">
      <c r="A707" s="185"/>
      <c r="B707" s="82"/>
      <c r="C707" s="81"/>
      <c r="D707" s="82"/>
      <c r="E707" s="81"/>
      <c r="F707" s="79"/>
      <c r="G707" s="82"/>
      <c r="H707" s="81"/>
      <c r="I707" s="84"/>
      <c r="J707" s="84"/>
      <c r="K707" s="84"/>
      <c r="L707" s="79"/>
      <c r="M707" s="186"/>
      <c r="N707" s="84"/>
      <c r="O707" s="84"/>
      <c r="P707" s="84"/>
    </row>
    <row r="708" spans="1:16" ht="15.75" customHeight="1">
      <c r="A708" s="185"/>
      <c r="B708" s="82"/>
      <c r="C708" s="81"/>
      <c r="D708" s="82"/>
      <c r="E708" s="81"/>
      <c r="F708" s="79"/>
      <c r="G708" s="82"/>
      <c r="H708" s="81"/>
      <c r="I708" s="84"/>
      <c r="J708" s="84"/>
      <c r="K708" s="84"/>
      <c r="L708" s="79"/>
      <c r="M708" s="186"/>
      <c r="N708" s="84"/>
      <c r="O708" s="84"/>
      <c r="P708" s="84"/>
    </row>
    <row r="709" spans="1:16" ht="15.75" customHeight="1">
      <c r="A709" s="185"/>
      <c r="B709" s="82"/>
      <c r="C709" s="81"/>
      <c r="D709" s="82"/>
      <c r="E709" s="81"/>
      <c r="F709" s="79"/>
      <c r="G709" s="82"/>
      <c r="H709" s="81"/>
      <c r="I709" s="84"/>
      <c r="J709" s="84"/>
      <c r="K709" s="84"/>
      <c r="L709" s="79"/>
      <c r="M709" s="186"/>
      <c r="N709" s="84"/>
      <c r="O709" s="84"/>
      <c r="P709" s="84"/>
    </row>
    <row r="710" spans="1:16" ht="15.75" customHeight="1">
      <c r="A710" s="185"/>
      <c r="B710" s="82"/>
      <c r="C710" s="81"/>
      <c r="D710" s="82"/>
      <c r="E710" s="81"/>
      <c r="F710" s="79"/>
      <c r="G710" s="82"/>
      <c r="H710" s="81"/>
      <c r="I710" s="84"/>
      <c r="J710" s="84"/>
      <c r="K710" s="84"/>
      <c r="L710" s="79"/>
      <c r="M710" s="186"/>
      <c r="N710" s="84"/>
      <c r="O710" s="84"/>
      <c r="P710" s="84"/>
    </row>
    <row r="711" spans="1:16" ht="15.75" customHeight="1">
      <c r="A711" s="185"/>
      <c r="B711" s="82"/>
      <c r="C711" s="81"/>
      <c r="D711" s="82"/>
      <c r="E711" s="81"/>
      <c r="F711" s="79"/>
      <c r="G711" s="82"/>
      <c r="H711" s="81"/>
      <c r="I711" s="84"/>
      <c r="J711" s="84"/>
      <c r="K711" s="84"/>
      <c r="L711" s="79"/>
      <c r="M711" s="186"/>
      <c r="N711" s="84"/>
      <c r="O711" s="84"/>
      <c r="P711" s="84"/>
    </row>
    <row r="712" spans="1:16" ht="15.75" customHeight="1">
      <c r="A712" s="185"/>
      <c r="B712" s="82"/>
      <c r="C712" s="81"/>
      <c r="D712" s="82"/>
      <c r="E712" s="81"/>
      <c r="F712" s="79"/>
      <c r="G712" s="82"/>
      <c r="H712" s="81"/>
      <c r="I712" s="84"/>
      <c r="J712" s="84"/>
      <c r="K712" s="84"/>
      <c r="L712" s="79"/>
      <c r="M712" s="186"/>
      <c r="N712" s="84"/>
      <c r="O712" s="84"/>
      <c r="P712" s="84"/>
    </row>
    <row r="713" spans="1:16" ht="15.75" customHeight="1">
      <c r="A713" s="185"/>
      <c r="B713" s="82"/>
      <c r="C713" s="81"/>
      <c r="D713" s="82"/>
      <c r="E713" s="81"/>
      <c r="F713" s="79"/>
      <c r="G713" s="82"/>
      <c r="H713" s="81"/>
      <c r="I713" s="84"/>
      <c r="J713" s="84"/>
      <c r="K713" s="84"/>
      <c r="L713" s="79"/>
      <c r="M713" s="186"/>
      <c r="N713" s="84"/>
      <c r="O713" s="84"/>
      <c r="P713" s="84"/>
    </row>
    <row r="714" spans="1:16" ht="15.75" customHeight="1">
      <c r="A714" s="185"/>
      <c r="B714" s="82"/>
      <c r="C714" s="81"/>
      <c r="D714" s="82"/>
      <c r="E714" s="81"/>
      <c r="F714" s="79"/>
      <c r="G714" s="82"/>
      <c r="H714" s="81"/>
      <c r="I714" s="84"/>
      <c r="J714" s="84"/>
      <c r="K714" s="84"/>
      <c r="L714" s="79"/>
      <c r="M714" s="186"/>
      <c r="N714" s="84"/>
      <c r="O714" s="84"/>
      <c r="P714" s="84"/>
    </row>
    <row r="715" spans="1:16" ht="15.75" customHeight="1">
      <c r="A715" s="185"/>
      <c r="B715" s="82"/>
      <c r="C715" s="81"/>
      <c r="D715" s="82"/>
      <c r="E715" s="81"/>
      <c r="F715" s="79"/>
      <c r="G715" s="82"/>
      <c r="H715" s="81"/>
      <c r="I715" s="84"/>
      <c r="J715" s="84"/>
      <c r="K715" s="84"/>
      <c r="L715" s="79"/>
      <c r="M715" s="186"/>
      <c r="N715" s="84"/>
      <c r="O715" s="84"/>
      <c r="P715" s="84"/>
    </row>
    <row r="716" spans="1:16" ht="15.75" customHeight="1">
      <c r="A716" s="185"/>
      <c r="B716" s="82"/>
      <c r="C716" s="81"/>
      <c r="D716" s="82"/>
      <c r="E716" s="81"/>
      <c r="F716" s="79"/>
      <c r="G716" s="82"/>
      <c r="H716" s="81"/>
      <c r="I716" s="84"/>
      <c r="J716" s="84"/>
      <c r="K716" s="84"/>
      <c r="L716" s="79"/>
      <c r="M716" s="186"/>
      <c r="N716" s="84"/>
      <c r="O716" s="84"/>
      <c r="P716" s="84"/>
    </row>
    <row r="717" spans="1:16" ht="15.75" customHeight="1">
      <c r="A717" s="185"/>
      <c r="B717" s="82"/>
      <c r="C717" s="81"/>
      <c r="D717" s="82"/>
      <c r="E717" s="81"/>
      <c r="F717" s="79"/>
      <c r="G717" s="82"/>
      <c r="H717" s="81"/>
      <c r="I717" s="84"/>
      <c r="J717" s="84"/>
      <c r="K717" s="84"/>
      <c r="L717" s="79"/>
      <c r="M717" s="186"/>
      <c r="N717" s="84"/>
      <c r="O717" s="84"/>
      <c r="P717" s="84"/>
    </row>
    <row r="718" spans="1:16" ht="15.75" customHeight="1">
      <c r="A718" s="185"/>
      <c r="B718" s="82"/>
      <c r="C718" s="81"/>
      <c r="D718" s="82"/>
      <c r="E718" s="81"/>
      <c r="F718" s="79"/>
      <c r="G718" s="82"/>
      <c r="H718" s="81"/>
      <c r="I718" s="84"/>
      <c r="J718" s="84"/>
      <c r="K718" s="84"/>
      <c r="L718" s="79"/>
      <c r="M718" s="186"/>
      <c r="N718" s="84"/>
      <c r="O718" s="84"/>
      <c r="P718" s="84"/>
    </row>
    <row r="719" spans="1:16" ht="15.75" customHeight="1">
      <c r="A719" s="185"/>
      <c r="B719" s="82"/>
      <c r="C719" s="81"/>
      <c r="D719" s="82"/>
      <c r="E719" s="81"/>
      <c r="F719" s="79"/>
      <c r="G719" s="82"/>
      <c r="H719" s="81"/>
      <c r="I719" s="84"/>
      <c r="J719" s="84"/>
      <c r="K719" s="84"/>
      <c r="L719" s="79"/>
      <c r="M719" s="186"/>
      <c r="N719" s="84"/>
      <c r="O719" s="84"/>
      <c r="P719" s="84"/>
    </row>
    <row r="720" spans="1:16" ht="15.75" customHeight="1">
      <c r="A720" s="185"/>
      <c r="B720" s="82"/>
      <c r="C720" s="81"/>
      <c r="D720" s="82"/>
      <c r="E720" s="81"/>
      <c r="F720" s="79"/>
      <c r="G720" s="82"/>
      <c r="H720" s="81"/>
      <c r="I720" s="84"/>
      <c r="J720" s="84"/>
      <c r="K720" s="84"/>
      <c r="L720" s="79"/>
      <c r="M720" s="186"/>
      <c r="N720" s="84"/>
      <c r="O720" s="84"/>
      <c r="P720" s="84"/>
    </row>
    <row r="721" spans="1:16" ht="15.75" customHeight="1">
      <c r="A721" s="185"/>
      <c r="B721" s="82"/>
      <c r="C721" s="81"/>
      <c r="D721" s="82"/>
      <c r="E721" s="81"/>
      <c r="F721" s="79"/>
      <c r="G721" s="82"/>
      <c r="H721" s="81"/>
      <c r="I721" s="84"/>
      <c r="J721" s="84"/>
      <c r="K721" s="84"/>
      <c r="L721" s="79"/>
      <c r="M721" s="186"/>
      <c r="N721" s="84"/>
      <c r="O721" s="84"/>
      <c r="P721" s="84"/>
    </row>
    <row r="722" spans="1:16" ht="15.75" customHeight="1">
      <c r="A722" s="185"/>
      <c r="B722" s="82"/>
      <c r="C722" s="81"/>
      <c r="D722" s="82"/>
      <c r="E722" s="81"/>
      <c r="F722" s="79"/>
      <c r="G722" s="82"/>
      <c r="H722" s="81"/>
      <c r="I722" s="84"/>
      <c r="J722" s="84"/>
      <c r="K722" s="84"/>
      <c r="L722" s="79"/>
      <c r="M722" s="186"/>
      <c r="N722" s="84"/>
      <c r="O722" s="84"/>
      <c r="P722" s="84"/>
    </row>
    <row r="723" spans="1:16" ht="15.75" customHeight="1">
      <c r="A723" s="185"/>
      <c r="B723" s="82"/>
      <c r="C723" s="81"/>
      <c r="D723" s="82"/>
      <c r="E723" s="81"/>
      <c r="F723" s="79"/>
      <c r="G723" s="82"/>
      <c r="H723" s="81"/>
      <c r="I723" s="84"/>
      <c r="J723" s="84"/>
      <c r="K723" s="84"/>
      <c r="L723" s="79"/>
      <c r="M723" s="186"/>
      <c r="N723" s="84"/>
      <c r="O723" s="84"/>
      <c r="P723" s="84"/>
    </row>
    <row r="724" spans="1:16" ht="15.75" customHeight="1">
      <c r="A724" s="185"/>
      <c r="B724" s="82"/>
      <c r="C724" s="81"/>
      <c r="D724" s="82"/>
      <c r="E724" s="81"/>
      <c r="F724" s="79"/>
      <c r="G724" s="82"/>
      <c r="H724" s="81"/>
      <c r="I724" s="84"/>
      <c r="J724" s="84"/>
      <c r="K724" s="84"/>
      <c r="L724" s="79"/>
      <c r="M724" s="186"/>
      <c r="N724" s="84"/>
      <c r="O724" s="84"/>
      <c r="P724" s="84"/>
    </row>
    <row r="725" spans="1:16" ht="15.75" customHeight="1">
      <c r="A725" s="185"/>
      <c r="B725" s="82"/>
      <c r="C725" s="81"/>
      <c r="D725" s="82"/>
      <c r="E725" s="81"/>
      <c r="F725" s="79"/>
      <c r="G725" s="82"/>
      <c r="H725" s="81"/>
      <c r="I725" s="84"/>
      <c r="J725" s="84"/>
      <c r="K725" s="84"/>
      <c r="L725" s="79"/>
      <c r="M725" s="186"/>
      <c r="N725" s="84"/>
      <c r="O725" s="84"/>
      <c r="P725" s="84"/>
    </row>
    <row r="726" spans="1:16" ht="15.75" customHeight="1">
      <c r="A726" s="185"/>
      <c r="B726" s="82"/>
      <c r="C726" s="81"/>
      <c r="D726" s="82"/>
      <c r="E726" s="81"/>
      <c r="F726" s="79"/>
      <c r="G726" s="82"/>
      <c r="H726" s="81"/>
      <c r="I726" s="84"/>
      <c r="J726" s="84"/>
      <c r="K726" s="84"/>
      <c r="L726" s="79"/>
      <c r="M726" s="186"/>
      <c r="N726" s="84"/>
      <c r="O726" s="84"/>
      <c r="P726" s="84"/>
    </row>
    <row r="727" spans="1:16" ht="15.75" customHeight="1">
      <c r="A727" s="185"/>
      <c r="B727" s="82"/>
      <c r="C727" s="81"/>
      <c r="D727" s="82"/>
      <c r="E727" s="81"/>
      <c r="F727" s="79"/>
      <c r="G727" s="82"/>
      <c r="H727" s="81"/>
      <c r="I727" s="84"/>
      <c r="J727" s="84"/>
      <c r="K727" s="84"/>
      <c r="L727" s="79"/>
      <c r="M727" s="186"/>
      <c r="N727" s="84"/>
      <c r="O727" s="84"/>
      <c r="P727" s="84"/>
    </row>
    <row r="728" spans="1:16" ht="15.75" customHeight="1">
      <c r="A728" s="185"/>
      <c r="B728" s="82"/>
      <c r="C728" s="81"/>
      <c r="D728" s="82"/>
      <c r="E728" s="81"/>
      <c r="F728" s="79"/>
      <c r="G728" s="82"/>
      <c r="H728" s="81"/>
      <c r="I728" s="84"/>
      <c r="J728" s="84"/>
      <c r="K728" s="84"/>
      <c r="L728" s="79"/>
      <c r="M728" s="186"/>
      <c r="N728" s="84"/>
      <c r="O728" s="84"/>
      <c r="P728" s="84"/>
    </row>
    <row r="729" spans="1:16" ht="15.75" customHeight="1">
      <c r="A729" s="185"/>
      <c r="B729" s="82"/>
      <c r="C729" s="81"/>
      <c r="D729" s="82"/>
      <c r="E729" s="81"/>
      <c r="F729" s="79"/>
      <c r="G729" s="82"/>
      <c r="H729" s="81"/>
      <c r="I729" s="84"/>
      <c r="J729" s="84"/>
      <c r="K729" s="84"/>
      <c r="L729" s="79"/>
      <c r="M729" s="186"/>
      <c r="N729" s="84"/>
      <c r="O729" s="84"/>
      <c r="P729" s="84"/>
    </row>
    <row r="730" spans="1:16" ht="15.75" customHeight="1">
      <c r="A730" s="185"/>
      <c r="B730" s="82"/>
      <c r="C730" s="81"/>
      <c r="D730" s="82"/>
      <c r="E730" s="81"/>
      <c r="F730" s="79"/>
      <c r="G730" s="82"/>
      <c r="H730" s="81"/>
      <c r="I730" s="84"/>
      <c r="J730" s="84"/>
      <c r="K730" s="84"/>
      <c r="L730" s="79"/>
      <c r="M730" s="186"/>
      <c r="N730" s="84"/>
      <c r="O730" s="84"/>
      <c r="P730" s="84"/>
    </row>
    <row r="731" spans="1:16" ht="15.75" customHeight="1">
      <c r="A731" s="185"/>
      <c r="B731" s="82"/>
      <c r="C731" s="81"/>
      <c r="D731" s="82"/>
      <c r="E731" s="81"/>
      <c r="F731" s="79"/>
      <c r="G731" s="82"/>
      <c r="H731" s="81"/>
      <c r="I731" s="84"/>
      <c r="J731" s="84"/>
      <c r="K731" s="84"/>
      <c r="L731" s="79"/>
      <c r="M731" s="186"/>
      <c r="N731" s="84"/>
      <c r="O731" s="84"/>
      <c r="P731" s="84"/>
    </row>
    <row r="732" spans="1:16" ht="15.75" customHeight="1">
      <c r="A732" s="185"/>
      <c r="B732" s="82"/>
      <c r="C732" s="81"/>
      <c r="D732" s="82"/>
      <c r="E732" s="81"/>
      <c r="F732" s="79"/>
      <c r="G732" s="82"/>
      <c r="H732" s="81"/>
      <c r="I732" s="84"/>
      <c r="J732" s="84"/>
      <c r="K732" s="84"/>
      <c r="L732" s="79"/>
      <c r="M732" s="186"/>
      <c r="N732" s="84"/>
      <c r="O732" s="84"/>
      <c r="P732" s="84"/>
    </row>
    <row r="733" spans="1:16" ht="15.75" customHeight="1">
      <c r="A733" s="185"/>
      <c r="B733" s="82"/>
      <c r="C733" s="81"/>
      <c r="D733" s="82"/>
      <c r="E733" s="81"/>
      <c r="F733" s="79"/>
      <c r="G733" s="82"/>
      <c r="H733" s="81"/>
      <c r="I733" s="84"/>
      <c r="J733" s="84"/>
      <c r="K733" s="84"/>
      <c r="L733" s="79"/>
      <c r="M733" s="186"/>
      <c r="N733" s="84"/>
      <c r="O733" s="84"/>
      <c r="P733" s="84"/>
    </row>
    <row r="734" spans="1:16" ht="15.75" customHeight="1">
      <c r="A734" s="185"/>
      <c r="B734" s="82"/>
      <c r="C734" s="81"/>
      <c r="D734" s="82"/>
      <c r="E734" s="81"/>
      <c r="F734" s="79"/>
      <c r="G734" s="82"/>
      <c r="H734" s="81"/>
      <c r="I734" s="84"/>
      <c r="J734" s="84"/>
      <c r="K734" s="84"/>
      <c r="L734" s="79"/>
      <c r="M734" s="186"/>
      <c r="N734" s="84"/>
      <c r="O734" s="84"/>
      <c r="P734" s="84"/>
    </row>
    <row r="735" spans="1:16" ht="15.75" customHeight="1">
      <c r="A735" s="185"/>
      <c r="B735" s="82"/>
      <c r="C735" s="81"/>
      <c r="D735" s="82"/>
      <c r="E735" s="81"/>
      <c r="F735" s="79"/>
      <c r="G735" s="82"/>
      <c r="H735" s="81"/>
      <c r="I735" s="84"/>
      <c r="J735" s="84"/>
      <c r="K735" s="84"/>
      <c r="L735" s="79"/>
      <c r="M735" s="186"/>
      <c r="N735" s="84"/>
      <c r="O735" s="84"/>
      <c r="P735" s="84"/>
    </row>
    <row r="736" spans="1:16" ht="15.75" customHeight="1">
      <c r="A736" s="185"/>
      <c r="B736" s="82"/>
      <c r="C736" s="81"/>
      <c r="D736" s="82"/>
      <c r="E736" s="81"/>
      <c r="F736" s="79"/>
      <c r="G736" s="82"/>
      <c r="H736" s="81"/>
      <c r="I736" s="84"/>
      <c r="J736" s="84"/>
      <c r="K736" s="84"/>
      <c r="L736" s="79"/>
      <c r="M736" s="186"/>
      <c r="N736" s="84"/>
      <c r="O736" s="84"/>
      <c r="P736" s="84"/>
    </row>
    <row r="737" spans="1:16" ht="15.75" customHeight="1">
      <c r="A737" s="185"/>
      <c r="B737" s="82"/>
      <c r="C737" s="81"/>
      <c r="D737" s="82"/>
      <c r="E737" s="81"/>
      <c r="F737" s="79"/>
      <c r="G737" s="82"/>
      <c r="H737" s="81"/>
      <c r="I737" s="84"/>
      <c r="J737" s="84"/>
      <c r="K737" s="84"/>
      <c r="L737" s="79"/>
      <c r="M737" s="186"/>
      <c r="N737" s="84"/>
      <c r="O737" s="84"/>
      <c r="P737" s="84"/>
    </row>
    <row r="738" spans="1:16" ht="15.75" customHeight="1">
      <c r="A738" s="185"/>
      <c r="B738" s="82"/>
      <c r="C738" s="81"/>
      <c r="D738" s="82"/>
      <c r="E738" s="81"/>
      <c r="F738" s="79"/>
      <c r="G738" s="82"/>
      <c r="H738" s="81"/>
      <c r="I738" s="84"/>
      <c r="J738" s="84"/>
      <c r="K738" s="84"/>
      <c r="L738" s="79"/>
      <c r="M738" s="186"/>
      <c r="N738" s="84"/>
      <c r="O738" s="84"/>
      <c r="P738" s="84"/>
    </row>
    <row r="739" spans="1:16" ht="15.75" customHeight="1">
      <c r="A739" s="185"/>
      <c r="B739" s="82"/>
      <c r="C739" s="81"/>
      <c r="D739" s="82"/>
      <c r="E739" s="81"/>
      <c r="F739" s="79"/>
      <c r="G739" s="82"/>
      <c r="H739" s="81"/>
      <c r="I739" s="84"/>
      <c r="J739" s="84"/>
      <c r="K739" s="84"/>
      <c r="L739" s="79"/>
      <c r="M739" s="186"/>
      <c r="N739" s="84"/>
      <c r="O739" s="84"/>
      <c r="P739" s="84"/>
    </row>
    <row r="740" spans="1:16" ht="15.75" customHeight="1">
      <c r="A740" s="185"/>
      <c r="B740" s="82"/>
      <c r="C740" s="81"/>
      <c r="D740" s="82"/>
      <c r="E740" s="81"/>
      <c r="F740" s="79"/>
      <c r="G740" s="82"/>
      <c r="H740" s="81"/>
      <c r="I740" s="84"/>
      <c r="J740" s="84"/>
      <c r="K740" s="84"/>
      <c r="L740" s="79"/>
      <c r="M740" s="186"/>
      <c r="N740" s="84"/>
      <c r="O740" s="84"/>
      <c r="P740" s="84"/>
    </row>
    <row r="741" spans="1:16" ht="15.75" customHeight="1">
      <c r="A741" s="185"/>
      <c r="B741" s="82"/>
      <c r="C741" s="81"/>
      <c r="D741" s="82"/>
      <c r="E741" s="81"/>
      <c r="F741" s="79"/>
      <c r="G741" s="82"/>
      <c r="H741" s="81"/>
      <c r="I741" s="84"/>
      <c r="J741" s="84"/>
      <c r="K741" s="84"/>
      <c r="L741" s="79"/>
      <c r="M741" s="186"/>
      <c r="N741" s="84"/>
      <c r="O741" s="84"/>
      <c r="P741" s="84"/>
    </row>
    <row r="742" spans="1:16" ht="15.75" customHeight="1">
      <c r="A742" s="185"/>
      <c r="B742" s="82"/>
      <c r="C742" s="81"/>
      <c r="D742" s="82"/>
      <c r="E742" s="81"/>
      <c r="F742" s="79"/>
      <c r="G742" s="82"/>
      <c r="H742" s="81"/>
      <c r="I742" s="84"/>
      <c r="J742" s="84"/>
      <c r="K742" s="84"/>
      <c r="L742" s="79"/>
      <c r="M742" s="186"/>
      <c r="N742" s="84"/>
      <c r="O742" s="84"/>
      <c r="P742" s="84"/>
    </row>
    <row r="743" spans="1:16" ht="15.75" customHeight="1">
      <c r="A743" s="185"/>
      <c r="B743" s="82"/>
      <c r="C743" s="81"/>
      <c r="D743" s="82"/>
      <c r="E743" s="81"/>
      <c r="F743" s="79"/>
      <c r="G743" s="82"/>
      <c r="H743" s="81"/>
      <c r="I743" s="84"/>
      <c r="J743" s="84"/>
      <c r="K743" s="84"/>
      <c r="L743" s="79"/>
      <c r="M743" s="186"/>
      <c r="N743" s="84"/>
      <c r="O743" s="84"/>
      <c r="P743" s="84"/>
    </row>
    <row r="744" spans="1:16" ht="15.75" customHeight="1">
      <c r="A744" s="185"/>
      <c r="B744" s="82"/>
      <c r="C744" s="81"/>
      <c r="D744" s="82"/>
      <c r="E744" s="81"/>
      <c r="F744" s="79"/>
      <c r="G744" s="82"/>
      <c r="H744" s="81"/>
      <c r="I744" s="84"/>
      <c r="J744" s="84"/>
      <c r="K744" s="84"/>
      <c r="L744" s="79"/>
      <c r="M744" s="186"/>
      <c r="N744" s="84"/>
      <c r="O744" s="84"/>
      <c r="P744" s="84"/>
    </row>
    <row r="745" spans="1:16" ht="15.75" customHeight="1">
      <c r="A745" s="185"/>
      <c r="B745" s="82"/>
      <c r="C745" s="81"/>
      <c r="D745" s="82"/>
      <c r="E745" s="81"/>
      <c r="F745" s="79"/>
      <c r="G745" s="82"/>
      <c r="H745" s="81"/>
      <c r="I745" s="84"/>
      <c r="J745" s="84"/>
      <c r="K745" s="84"/>
      <c r="L745" s="79"/>
      <c r="M745" s="186"/>
      <c r="N745" s="84"/>
      <c r="O745" s="84"/>
      <c r="P745" s="84"/>
    </row>
    <row r="746" spans="1:16" ht="15.75" customHeight="1">
      <c r="A746" s="185"/>
      <c r="B746" s="82"/>
      <c r="C746" s="81"/>
      <c r="D746" s="82"/>
      <c r="E746" s="81"/>
      <c r="F746" s="79"/>
      <c r="G746" s="82"/>
      <c r="H746" s="81"/>
      <c r="I746" s="84"/>
      <c r="J746" s="84"/>
      <c r="K746" s="84"/>
      <c r="L746" s="79"/>
      <c r="M746" s="186"/>
      <c r="N746" s="84"/>
      <c r="O746" s="84"/>
      <c r="P746" s="84"/>
    </row>
    <row r="747" spans="1:16" ht="15.75" customHeight="1">
      <c r="A747" s="185"/>
      <c r="B747" s="82"/>
      <c r="C747" s="81"/>
      <c r="D747" s="82"/>
      <c r="E747" s="81"/>
      <c r="F747" s="79"/>
      <c r="G747" s="82"/>
      <c r="H747" s="81"/>
      <c r="I747" s="84"/>
      <c r="J747" s="84"/>
      <c r="K747" s="84"/>
      <c r="L747" s="79"/>
      <c r="M747" s="186"/>
      <c r="N747" s="84"/>
      <c r="O747" s="84"/>
      <c r="P747" s="84"/>
    </row>
    <row r="748" spans="1:16" ht="15.75" customHeight="1">
      <c r="A748" s="185"/>
      <c r="B748" s="82"/>
      <c r="C748" s="81"/>
      <c r="D748" s="82"/>
      <c r="E748" s="81"/>
      <c r="F748" s="79"/>
      <c r="G748" s="82"/>
      <c r="H748" s="81"/>
      <c r="I748" s="84"/>
      <c r="J748" s="84"/>
      <c r="K748" s="84"/>
      <c r="L748" s="79"/>
      <c r="M748" s="186"/>
      <c r="N748" s="84"/>
      <c r="O748" s="84"/>
      <c r="P748" s="84"/>
    </row>
    <row r="749" spans="1:16" ht="15.75" customHeight="1">
      <c r="A749" s="185"/>
      <c r="B749" s="82"/>
      <c r="C749" s="81"/>
      <c r="D749" s="82"/>
      <c r="E749" s="81"/>
      <c r="F749" s="79"/>
      <c r="G749" s="82"/>
      <c r="H749" s="81"/>
      <c r="I749" s="84"/>
      <c r="J749" s="84"/>
      <c r="K749" s="84"/>
      <c r="L749" s="79"/>
      <c r="M749" s="186"/>
      <c r="N749" s="84"/>
      <c r="O749" s="84"/>
      <c r="P749" s="84"/>
    </row>
    <row r="750" spans="1:16" ht="15.75" customHeight="1">
      <c r="A750" s="185"/>
      <c r="B750" s="82"/>
      <c r="C750" s="81"/>
      <c r="D750" s="82"/>
      <c r="E750" s="81"/>
      <c r="F750" s="79"/>
      <c r="G750" s="82"/>
      <c r="H750" s="81"/>
      <c r="I750" s="84"/>
      <c r="J750" s="84"/>
      <c r="K750" s="84"/>
      <c r="L750" s="79"/>
      <c r="M750" s="186"/>
      <c r="N750" s="84"/>
      <c r="O750" s="84"/>
      <c r="P750" s="84"/>
    </row>
    <row r="751" spans="1:16" ht="15.75" customHeight="1">
      <c r="A751" s="185"/>
      <c r="B751" s="82"/>
      <c r="C751" s="81"/>
      <c r="D751" s="82"/>
      <c r="E751" s="81"/>
      <c r="F751" s="79"/>
      <c r="G751" s="82"/>
      <c r="H751" s="81"/>
      <c r="I751" s="84"/>
      <c r="J751" s="84"/>
      <c r="K751" s="84"/>
      <c r="L751" s="79"/>
      <c r="M751" s="186"/>
      <c r="N751" s="84"/>
      <c r="O751" s="84"/>
      <c r="P751" s="84"/>
    </row>
    <row r="752" spans="1:16" ht="15.75" customHeight="1">
      <c r="A752" s="185"/>
      <c r="B752" s="82"/>
      <c r="C752" s="81"/>
      <c r="D752" s="82"/>
      <c r="E752" s="81"/>
      <c r="F752" s="79"/>
      <c r="G752" s="82"/>
      <c r="H752" s="81"/>
      <c r="I752" s="84"/>
      <c r="J752" s="84"/>
      <c r="K752" s="84"/>
      <c r="L752" s="79"/>
      <c r="M752" s="186"/>
      <c r="N752" s="84"/>
      <c r="O752" s="84"/>
      <c r="P752" s="84"/>
    </row>
    <row r="753" spans="1:16" ht="15.75" customHeight="1">
      <c r="A753" s="185"/>
      <c r="B753" s="82"/>
      <c r="C753" s="81"/>
      <c r="D753" s="82"/>
      <c r="E753" s="81"/>
      <c r="F753" s="79"/>
      <c r="G753" s="82"/>
      <c r="H753" s="81"/>
      <c r="I753" s="84"/>
      <c r="J753" s="84"/>
      <c r="K753" s="84"/>
      <c r="L753" s="79"/>
      <c r="M753" s="186"/>
      <c r="N753" s="84"/>
      <c r="O753" s="84"/>
      <c r="P753" s="84"/>
    </row>
    <row r="754" spans="1:16" ht="15.75" customHeight="1">
      <c r="A754" s="185"/>
      <c r="B754" s="82"/>
      <c r="C754" s="81"/>
      <c r="D754" s="82"/>
      <c r="E754" s="81"/>
      <c r="F754" s="79"/>
      <c r="G754" s="82"/>
      <c r="H754" s="81"/>
      <c r="I754" s="84"/>
      <c r="J754" s="84"/>
      <c r="K754" s="84"/>
      <c r="L754" s="79"/>
      <c r="M754" s="186"/>
      <c r="N754" s="84"/>
      <c r="O754" s="84"/>
      <c r="P754" s="84"/>
    </row>
    <row r="755" spans="1:16" ht="15.75" customHeight="1">
      <c r="A755" s="185"/>
      <c r="B755" s="82"/>
      <c r="C755" s="81"/>
      <c r="D755" s="82"/>
      <c r="E755" s="81"/>
      <c r="F755" s="79"/>
      <c r="G755" s="82"/>
      <c r="H755" s="81"/>
      <c r="I755" s="84"/>
      <c r="J755" s="84"/>
      <c r="K755" s="84"/>
      <c r="L755" s="79"/>
      <c r="M755" s="186"/>
      <c r="N755" s="84"/>
      <c r="O755" s="84"/>
      <c r="P755" s="84"/>
    </row>
    <row r="756" spans="1:16" ht="15.75" customHeight="1">
      <c r="A756" s="185"/>
      <c r="B756" s="82"/>
      <c r="C756" s="81"/>
      <c r="D756" s="82"/>
      <c r="E756" s="81"/>
      <c r="F756" s="79"/>
      <c r="G756" s="82"/>
      <c r="H756" s="81"/>
      <c r="I756" s="84"/>
      <c r="J756" s="84"/>
      <c r="K756" s="84"/>
      <c r="L756" s="79"/>
      <c r="M756" s="186"/>
      <c r="N756" s="84"/>
      <c r="O756" s="84"/>
      <c r="P756" s="84"/>
    </row>
    <row r="757" spans="1:16" ht="15.75" customHeight="1">
      <c r="A757" s="185"/>
      <c r="B757" s="82"/>
      <c r="C757" s="81"/>
      <c r="D757" s="82"/>
      <c r="E757" s="81"/>
      <c r="F757" s="79"/>
      <c r="G757" s="82"/>
      <c r="H757" s="81"/>
      <c r="I757" s="84"/>
      <c r="J757" s="84"/>
      <c r="K757" s="84"/>
      <c r="L757" s="79"/>
      <c r="M757" s="186"/>
      <c r="N757" s="84"/>
      <c r="O757" s="84"/>
      <c r="P757" s="84"/>
    </row>
    <row r="758" spans="1:16" ht="15.75" customHeight="1">
      <c r="A758" s="185"/>
      <c r="B758" s="82"/>
      <c r="C758" s="81"/>
      <c r="D758" s="82"/>
      <c r="E758" s="81"/>
      <c r="F758" s="79"/>
      <c r="G758" s="82"/>
      <c r="H758" s="81"/>
      <c r="I758" s="84"/>
      <c r="J758" s="84"/>
      <c r="K758" s="84"/>
      <c r="L758" s="79"/>
      <c r="M758" s="186"/>
      <c r="N758" s="84"/>
      <c r="O758" s="84"/>
      <c r="P758" s="84"/>
    </row>
    <row r="759" spans="1:16" ht="15.75" customHeight="1">
      <c r="A759" s="185"/>
      <c r="B759" s="82"/>
      <c r="C759" s="81"/>
      <c r="D759" s="82"/>
      <c r="E759" s="81"/>
      <c r="F759" s="79"/>
      <c r="G759" s="82"/>
      <c r="H759" s="81"/>
      <c r="I759" s="84"/>
      <c r="J759" s="84"/>
      <c r="K759" s="84"/>
      <c r="L759" s="79"/>
      <c r="M759" s="186"/>
      <c r="N759" s="84"/>
      <c r="O759" s="84"/>
      <c r="P759" s="84"/>
    </row>
    <row r="760" spans="1:16" ht="15.75" customHeight="1">
      <c r="A760" s="185"/>
      <c r="B760" s="82"/>
      <c r="C760" s="81"/>
      <c r="D760" s="82"/>
      <c r="E760" s="81"/>
      <c r="F760" s="79"/>
      <c r="G760" s="82"/>
      <c r="H760" s="81"/>
      <c r="I760" s="84"/>
      <c r="J760" s="84"/>
      <c r="K760" s="84"/>
      <c r="L760" s="79"/>
      <c r="M760" s="186"/>
      <c r="N760" s="84"/>
      <c r="O760" s="84"/>
      <c r="P760" s="84"/>
    </row>
    <row r="761" spans="1:16" ht="15.75" customHeight="1">
      <c r="A761" s="185"/>
      <c r="B761" s="82"/>
      <c r="C761" s="81"/>
      <c r="D761" s="82"/>
      <c r="E761" s="81"/>
      <c r="F761" s="79"/>
      <c r="G761" s="82"/>
      <c r="H761" s="81"/>
      <c r="I761" s="84"/>
      <c r="J761" s="84"/>
      <c r="K761" s="84"/>
      <c r="L761" s="79"/>
      <c r="M761" s="186"/>
      <c r="N761" s="84"/>
      <c r="O761" s="84"/>
      <c r="P761" s="84"/>
    </row>
    <row r="762" spans="1:16" ht="15.75" customHeight="1">
      <c r="A762" s="185"/>
      <c r="B762" s="82"/>
      <c r="C762" s="81"/>
      <c r="D762" s="82"/>
      <c r="E762" s="81"/>
      <c r="F762" s="79"/>
      <c r="G762" s="82"/>
      <c r="H762" s="81"/>
      <c r="I762" s="84"/>
      <c r="J762" s="84"/>
      <c r="K762" s="84"/>
      <c r="L762" s="79"/>
      <c r="M762" s="186"/>
      <c r="N762" s="84"/>
      <c r="O762" s="84"/>
      <c r="P762" s="84"/>
    </row>
    <row r="763" spans="1:16" ht="15.75" customHeight="1">
      <c r="A763" s="185"/>
      <c r="B763" s="82"/>
      <c r="C763" s="81"/>
      <c r="D763" s="82"/>
      <c r="E763" s="81"/>
      <c r="F763" s="79"/>
      <c r="G763" s="82"/>
      <c r="H763" s="81"/>
      <c r="I763" s="84"/>
      <c r="J763" s="84"/>
      <c r="K763" s="84"/>
      <c r="L763" s="79"/>
      <c r="M763" s="186"/>
      <c r="N763" s="84"/>
      <c r="O763" s="84"/>
      <c r="P763" s="84"/>
    </row>
    <row r="764" spans="1:16" ht="15.75" customHeight="1">
      <c r="A764" s="185"/>
      <c r="B764" s="82"/>
      <c r="C764" s="81"/>
      <c r="D764" s="82"/>
      <c r="E764" s="81"/>
      <c r="F764" s="79"/>
      <c r="G764" s="82"/>
      <c r="H764" s="81"/>
      <c r="I764" s="84"/>
      <c r="J764" s="84"/>
      <c r="K764" s="84"/>
      <c r="L764" s="79"/>
      <c r="M764" s="186"/>
      <c r="N764" s="84"/>
      <c r="O764" s="84"/>
      <c r="P764" s="84"/>
    </row>
    <row r="765" spans="1:16" ht="15.75" customHeight="1">
      <c r="A765" s="185"/>
      <c r="B765" s="82"/>
      <c r="C765" s="81"/>
      <c r="D765" s="82"/>
      <c r="E765" s="81"/>
      <c r="F765" s="79"/>
      <c r="G765" s="82"/>
      <c r="H765" s="81"/>
      <c r="I765" s="84"/>
      <c r="J765" s="84"/>
      <c r="K765" s="84"/>
      <c r="L765" s="79"/>
      <c r="M765" s="186"/>
      <c r="N765" s="84"/>
      <c r="O765" s="84"/>
      <c r="P765" s="84"/>
    </row>
    <row r="766" spans="1:16" ht="15.75" customHeight="1">
      <c r="A766" s="185"/>
      <c r="B766" s="82"/>
      <c r="C766" s="81"/>
      <c r="D766" s="82"/>
      <c r="E766" s="81"/>
      <c r="F766" s="79"/>
      <c r="G766" s="82"/>
      <c r="H766" s="81"/>
      <c r="I766" s="84"/>
      <c r="J766" s="84"/>
      <c r="K766" s="84"/>
      <c r="L766" s="79"/>
      <c r="M766" s="186"/>
      <c r="N766" s="84"/>
      <c r="O766" s="84"/>
      <c r="P766" s="84"/>
    </row>
    <row r="767" spans="1:16" ht="15.75" customHeight="1">
      <c r="A767" s="185"/>
      <c r="B767" s="82"/>
      <c r="C767" s="81"/>
      <c r="D767" s="82"/>
      <c r="E767" s="81"/>
      <c r="F767" s="79"/>
      <c r="G767" s="82"/>
      <c r="H767" s="81"/>
      <c r="I767" s="84"/>
      <c r="J767" s="84"/>
      <c r="K767" s="84"/>
      <c r="L767" s="79"/>
      <c r="M767" s="186"/>
      <c r="N767" s="84"/>
      <c r="O767" s="84"/>
      <c r="P767" s="84"/>
    </row>
    <row r="768" spans="1:16" ht="15.75" customHeight="1">
      <c r="A768" s="185"/>
      <c r="B768" s="82"/>
      <c r="C768" s="81"/>
      <c r="D768" s="82"/>
      <c r="E768" s="81"/>
      <c r="F768" s="79"/>
      <c r="G768" s="82"/>
      <c r="H768" s="81"/>
      <c r="I768" s="84"/>
      <c r="J768" s="84"/>
      <c r="K768" s="84"/>
      <c r="L768" s="79"/>
      <c r="M768" s="186"/>
      <c r="N768" s="84"/>
      <c r="O768" s="84"/>
      <c r="P768" s="84"/>
    </row>
    <row r="769" spans="1:16" ht="15.75" customHeight="1">
      <c r="A769" s="185"/>
      <c r="B769" s="82"/>
      <c r="C769" s="81"/>
      <c r="D769" s="82"/>
      <c r="E769" s="81"/>
      <c r="F769" s="79"/>
      <c r="G769" s="82"/>
      <c r="H769" s="81"/>
      <c r="I769" s="84"/>
      <c r="J769" s="84"/>
      <c r="K769" s="84"/>
      <c r="L769" s="79"/>
      <c r="M769" s="186"/>
      <c r="N769" s="84"/>
      <c r="O769" s="84"/>
      <c r="P769" s="84"/>
    </row>
    <row r="770" spans="1:16" ht="15.75" customHeight="1">
      <c r="A770" s="185"/>
      <c r="B770" s="82"/>
      <c r="C770" s="81"/>
      <c r="D770" s="82"/>
      <c r="E770" s="81"/>
      <c r="F770" s="79"/>
      <c r="G770" s="82"/>
      <c r="H770" s="81"/>
      <c r="I770" s="84"/>
      <c r="J770" s="84"/>
      <c r="K770" s="84"/>
      <c r="L770" s="79"/>
      <c r="M770" s="186"/>
      <c r="N770" s="84"/>
      <c r="O770" s="84"/>
      <c r="P770" s="84"/>
    </row>
    <row r="771" spans="1:16" ht="15.75" customHeight="1">
      <c r="A771" s="185"/>
      <c r="B771" s="82"/>
      <c r="C771" s="81"/>
      <c r="D771" s="82"/>
      <c r="E771" s="81"/>
      <c r="F771" s="79"/>
      <c r="G771" s="82"/>
      <c r="H771" s="81"/>
      <c r="I771" s="84"/>
      <c r="J771" s="84"/>
      <c r="K771" s="84"/>
      <c r="L771" s="79"/>
      <c r="M771" s="186"/>
      <c r="N771" s="84"/>
      <c r="O771" s="84"/>
      <c r="P771" s="84"/>
    </row>
    <row r="772" spans="1:16" ht="15.75" customHeight="1">
      <c r="A772" s="185"/>
      <c r="B772" s="82"/>
      <c r="C772" s="81"/>
      <c r="D772" s="82"/>
      <c r="E772" s="81"/>
      <c r="F772" s="79"/>
      <c r="G772" s="82"/>
      <c r="H772" s="81"/>
      <c r="I772" s="84"/>
      <c r="J772" s="84"/>
      <c r="K772" s="84"/>
      <c r="L772" s="79"/>
      <c r="M772" s="186"/>
      <c r="N772" s="84"/>
      <c r="O772" s="84"/>
      <c r="P772" s="84"/>
    </row>
    <row r="773" spans="1:16" ht="15.75" customHeight="1">
      <c r="A773" s="185"/>
      <c r="B773" s="82"/>
      <c r="C773" s="81"/>
      <c r="D773" s="82"/>
      <c r="E773" s="81"/>
      <c r="F773" s="79"/>
      <c r="G773" s="82"/>
      <c r="H773" s="81"/>
      <c r="I773" s="84"/>
      <c r="J773" s="84"/>
      <c r="K773" s="84"/>
      <c r="L773" s="79"/>
      <c r="M773" s="186"/>
      <c r="N773" s="84"/>
      <c r="O773" s="84"/>
      <c r="P773" s="84"/>
    </row>
    <row r="774" spans="1:16" ht="15.75" customHeight="1">
      <c r="A774" s="185"/>
      <c r="B774" s="82"/>
      <c r="C774" s="81"/>
      <c r="D774" s="82"/>
      <c r="E774" s="81"/>
      <c r="F774" s="79"/>
      <c r="G774" s="82"/>
      <c r="H774" s="81"/>
      <c r="I774" s="84"/>
      <c r="J774" s="84"/>
      <c r="K774" s="84"/>
      <c r="L774" s="79"/>
      <c r="M774" s="186"/>
      <c r="N774" s="84"/>
      <c r="O774" s="84"/>
      <c r="P774" s="84"/>
    </row>
    <row r="775" spans="1:16" ht="15.75" customHeight="1">
      <c r="A775" s="185"/>
      <c r="B775" s="82"/>
      <c r="C775" s="81"/>
      <c r="D775" s="82"/>
      <c r="E775" s="81"/>
      <c r="F775" s="79"/>
      <c r="G775" s="82"/>
      <c r="H775" s="81"/>
      <c r="I775" s="84"/>
      <c r="J775" s="84"/>
      <c r="K775" s="84"/>
      <c r="L775" s="79"/>
      <c r="M775" s="186"/>
      <c r="N775" s="84"/>
      <c r="O775" s="84"/>
      <c r="P775" s="84"/>
    </row>
    <row r="776" spans="1:16" ht="15.75" customHeight="1">
      <c r="A776" s="185"/>
      <c r="B776" s="82"/>
      <c r="C776" s="81"/>
      <c r="D776" s="82"/>
      <c r="E776" s="81"/>
      <c r="F776" s="79"/>
      <c r="G776" s="82"/>
      <c r="H776" s="81"/>
      <c r="I776" s="84"/>
      <c r="J776" s="84"/>
      <c r="K776" s="84"/>
      <c r="L776" s="79"/>
      <c r="M776" s="186"/>
      <c r="N776" s="84"/>
      <c r="O776" s="84"/>
      <c r="P776" s="84"/>
    </row>
    <row r="777" spans="1:16" ht="15.75" customHeight="1">
      <c r="A777" s="185"/>
      <c r="B777" s="82"/>
      <c r="C777" s="81"/>
      <c r="D777" s="82"/>
      <c r="E777" s="81"/>
      <c r="F777" s="79"/>
      <c r="G777" s="82"/>
      <c r="H777" s="81"/>
      <c r="I777" s="84"/>
      <c r="J777" s="84"/>
      <c r="K777" s="84"/>
      <c r="L777" s="79"/>
      <c r="M777" s="186"/>
      <c r="N777" s="84"/>
      <c r="O777" s="84"/>
      <c r="P777" s="84"/>
    </row>
    <row r="778" spans="1:16" ht="15.75" customHeight="1">
      <c r="A778" s="185"/>
      <c r="B778" s="82"/>
      <c r="C778" s="81"/>
      <c r="D778" s="82"/>
      <c r="E778" s="81"/>
      <c r="F778" s="79"/>
      <c r="G778" s="82"/>
      <c r="H778" s="81"/>
      <c r="I778" s="84"/>
      <c r="J778" s="84"/>
      <c r="K778" s="84"/>
      <c r="L778" s="79"/>
      <c r="M778" s="186"/>
      <c r="N778" s="84"/>
      <c r="O778" s="84"/>
      <c r="P778" s="84"/>
    </row>
    <row r="779" spans="1:16" ht="15.75" customHeight="1">
      <c r="A779" s="185"/>
      <c r="B779" s="82"/>
      <c r="C779" s="81"/>
      <c r="D779" s="82"/>
      <c r="E779" s="81"/>
      <c r="F779" s="79"/>
      <c r="G779" s="82"/>
      <c r="H779" s="81"/>
      <c r="I779" s="84"/>
      <c r="J779" s="84"/>
      <c r="K779" s="84"/>
      <c r="L779" s="79"/>
      <c r="M779" s="186"/>
      <c r="N779" s="84"/>
      <c r="O779" s="84"/>
      <c r="P779" s="84"/>
    </row>
    <row r="780" spans="1:16" ht="15.75" customHeight="1">
      <c r="A780" s="185"/>
      <c r="B780" s="82"/>
      <c r="C780" s="81"/>
      <c r="D780" s="82"/>
      <c r="E780" s="81"/>
      <c r="F780" s="79"/>
      <c r="G780" s="82"/>
      <c r="H780" s="81"/>
      <c r="I780" s="84"/>
      <c r="J780" s="84"/>
      <c r="K780" s="84"/>
      <c r="L780" s="79"/>
      <c r="M780" s="186"/>
      <c r="N780" s="84"/>
      <c r="O780" s="84"/>
      <c r="P780" s="84"/>
    </row>
    <row r="781" spans="1:16" ht="15.75" customHeight="1">
      <c r="A781" s="185"/>
      <c r="B781" s="82"/>
      <c r="C781" s="81"/>
      <c r="D781" s="82"/>
      <c r="E781" s="81"/>
      <c r="F781" s="79"/>
      <c r="G781" s="82"/>
      <c r="H781" s="81"/>
      <c r="I781" s="84"/>
      <c r="J781" s="84"/>
      <c r="K781" s="84"/>
      <c r="L781" s="79"/>
      <c r="M781" s="186"/>
      <c r="N781" s="84"/>
      <c r="O781" s="84"/>
      <c r="P781" s="84"/>
    </row>
    <row r="782" spans="1:16" ht="15.75" customHeight="1">
      <c r="A782" s="185"/>
      <c r="B782" s="82"/>
      <c r="C782" s="81"/>
      <c r="D782" s="82"/>
      <c r="E782" s="81"/>
      <c r="F782" s="79"/>
      <c r="G782" s="82"/>
      <c r="H782" s="81"/>
      <c r="I782" s="84"/>
      <c r="J782" s="84"/>
      <c r="K782" s="84"/>
      <c r="L782" s="79"/>
      <c r="M782" s="186"/>
      <c r="N782" s="84"/>
      <c r="O782" s="84"/>
      <c r="P782" s="84"/>
    </row>
    <row r="783" spans="1:16" ht="15.75" customHeight="1">
      <c r="A783" s="185"/>
      <c r="B783" s="82"/>
      <c r="C783" s="81"/>
      <c r="D783" s="82"/>
      <c r="E783" s="81"/>
      <c r="F783" s="79"/>
      <c r="G783" s="82"/>
      <c r="H783" s="81"/>
      <c r="I783" s="84"/>
      <c r="J783" s="84"/>
      <c r="K783" s="84"/>
      <c r="L783" s="79"/>
      <c r="M783" s="186"/>
      <c r="N783" s="84"/>
      <c r="O783" s="84"/>
      <c r="P783" s="84"/>
    </row>
    <row r="784" spans="1:16" ht="15.75" customHeight="1">
      <c r="A784" s="185"/>
      <c r="B784" s="82"/>
      <c r="C784" s="81"/>
      <c r="D784" s="82"/>
      <c r="E784" s="81"/>
      <c r="F784" s="79"/>
      <c r="G784" s="82"/>
      <c r="H784" s="81"/>
      <c r="I784" s="84"/>
      <c r="J784" s="84"/>
      <c r="K784" s="84"/>
      <c r="L784" s="79"/>
      <c r="M784" s="186"/>
      <c r="N784" s="84"/>
      <c r="O784" s="84"/>
      <c r="P784" s="84"/>
    </row>
    <row r="785" spans="1:16" ht="15.75" customHeight="1">
      <c r="A785" s="185"/>
      <c r="B785" s="82"/>
      <c r="C785" s="81"/>
      <c r="D785" s="82"/>
      <c r="E785" s="81"/>
      <c r="F785" s="79"/>
      <c r="G785" s="82"/>
      <c r="H785" s="81"/>
      <c r="I785" s="84"/>
      <c r="J785" s="84"/>
      <c r="K785" s="84"/>
      <c r="L785" s="79"/>
      <c r="M785" s="186"/>
      <c r="N785" s="84"/>
      <c r="O785" s="84"/>
      <c r="P785" s="84"/>
    </row>
    <row r="786" spans="1:16" ht="15.75" customHeight="1">
      <c r="A786" s="185"/>
      <c r="B786" s="82"/>
      <c r="C786" s="81"/>
      <c r="D786" s="82"/>
      <c r="E786" s="81"/>
      <c r="F786" s="79"/>
      <c r="G786" s="82"/>
      <c r="H786" s="81"/>
      <c r="I786" s="84"/>
      <c r="J786" s="84"/>
      <c r="K786" s="84"/>
      <c r="L786" s="79"/>
      <c r="M786" s="186"/>
      <c r="N786" s="84"/>
      <c r="O786" s="84"/>
      <c r="P786" s="84"/>
    </row>
    <row r="787" spans="1:16" ht="15.75" customHeight="1">
      <c r="A787" s="185"/>
      <c r="B787" s="82"/>
      <c r="C787" s="81"/>
      <c r="D787" s="82"/>
      <c r="E787" s="81"/>
      <c r="F787" s="79"/>
      <c r="G787" s="82"/>
      <c r="H787" s="81"/>
      <c r="I787" s="84"/>
      <c r="J787" s="84"/>
      <c r="K787" s="84"/>
      <c r="L787" s="79"/>
      <c r="M787" s="186"/>
      <c r="N787" s="84"/>
      <c r="O787" s="84"/>
      <c r="P787" s="84"/>
    </row>
    <row r="788" spans="1:16" ht="15.75" customHeight="1">
      <c r="A788" s="185"/>
      <c r="B788" s="82"/>
      <c r="C788" s="81"/>
      <c r="D788" s="82"/>
      <c r="E788" s="81"/>
      <c r="F788" s="79"/>
      <c r="G788" s="82"/>
      <c r="H788" s="81"/>
      <c r="I788" s="84"/>
      <c r="J788" s="84"/>
      <c r="K788" s="84"/>
      <c r="L788" s="79"/>
      <c r="M788" s="186"/>
      <c r="N788" s="84"/>
      <c r="O788" s="84"/>
      <c r="P788" s="84"/>
    </row>
    <row r="789" spans="1:16" ht="15.75" customHeight="1">
      <c r="A789" s="185"/>
      <c r="B789" s="82"/>
      <c r="C789" s="81"/>
      <c r="D789" s="82"/>
      <c r="E789" s="81"/>
      <c r="F789" s="79"/>
      <c r="G789" s="82"/>
      <c r="H789" s="81"/>
      <c r="I789" s="84"/>
      <c r="J789" s="84"/>
      <c r="K789" s="84"/>
      <c r="L789" s="79"/>
      <c r="M789" s="186"/>
      <c r="N789" s="84"/>
      <c r="O789" s="84"/>
      <c r="P789" s="84"/>
    </row>
    <row r="790" spans="1:16" ht="15.75" customHeight="1">
      <c r="A790" s="185"/>
      <c r="B790" s="82"/>
      <c r="C790" s="81"/>
      <c r="D790" s="82"/>
      <c r="E790" s="81"/>
      <c r="F790" s="79"/>
      <c r="G790" s="82"/>
      <c r="H790" s="81"/>
      <c r="I790" s="84"/>
      <c r="J790" s="84"/>
      <c r="K790" s="84"/>
      <c r="L790" s="79"/>
      <c r="M790" s="186"/>
      <c r="N790" s="84"/>
      <c r="O790" s="84"/>
      <c r="P790" s="84"/>
    </row>
    <row r="791" spans="1:16" ht="15.75" customHeight="1">
      <c r="A791" s="185"/>
      <c r="B791" s="82"/>
      <c r="C791" s="81"/>
      <c r="D791" s="82"/>
      <c r="E791" s="81"/>
      <c r="F791" s="79"/>
      <c r="G791" s="82"/>
      <c r="H791" s="81"/>
      <c r="I791" s="84"/>
      <c r="J791" s="84"/>
      <c r="K791" s="84"/>
      <c r="L791" s="79"/>
      <c r="M791" s="186"/>
      <c r="N791" s="84"/>
      <c r="O791" s="84"/>
      <c r="P791" s="84"/>
    </row>
    <row r="792" spans="1:16" ht="15.75" customHeight="1">
      <c r="A792" s="185"/>
      <c r="B792" s="82"/>
      <c r="C792" s="81"/>
      <c r="D792" s="82"/>
      <c r="E792" s="81"/>
      <c r="F792" s="79"/>
      <c r="G792" s="82"/>
      <c r="H792" s="81"/>
      <c r="I792" s="84"/>
      <c r="J792" s="84"/>
      <c r="K792" s="84"/>
      <c r="L792" s="79"/>
      <c r="M792" s="186"/>
      <c r="N792" s="84"/>
      <c r="O792" s="84"/>
      <c r="P792" s="84"/>
    </row>
    <row r="793" spans="1:16" ht="15.75" customHeight="1">
      <c r="A793" s="185"/>
      <c r="B793" s="82"/>
      <c r="C793" s="81"/>
      <c r="D793" s="82"/>
      <c r="E793" s="81"/>
      <c r="F793" s="79"/>
      <c r="G793" s="82"/>
      <c r="H793" s="81"/>
      <c r="I793" s="84"/>
      <c r="J793" s="84"/>
      <c r="K793" s="84"/>
      <c r="L793" s="79"/>
      <c r="M793" s="186"/>
      <c r="N793" s="84"/>
      <c r="O793" s="84"/>
      <c r="P793" s="84"/>
    </row>
    <row r="794" spans="1:16" ht="15.75" customHeight="1">
      <c r="A794" s="185"/>
      <c r="B794" s="82"/>
      <c r="C794" s="81"/>
      <c r="D794" s="82"/>
      <c r="E794" s="81"/>
      <c r="F794" s="79"/>
      <c r="G794" s="82"/>
      <c r="H794" s="81"/>
      <c r="I794" s="84"/>
      <c r="J794" s="84"/>
      <c r="K794" s="84"/>
      <c r="L794" s="79"/>
      <c r="M794" s="186"/>
      <c r="N794" s="84"/>
      <c r="O794" s="84"/>
      <c r="P794" s="84"/>
    </row>
    <row r="795" spans="1:16" ht="15.75" customHeight="1">
      <c r="A795" s="185"/>
      <c r="B795" s="82"/>
      <c r="C795" s="81"/>
      <c r="D795" s="82"/>
      <c r="E795" s="81"/>
      <c r="F795" s="79"/>
      <c r="G795" s="82"/>
      <c r="H795" s="81"/>
      <c r="I795" s="84"/>
      <c r="J795" s="84"/>
      <c r="K795" s="84"/>
      <c r="L795" s="79"/>
      <c r="M795" s="186"/>
      <c r="N795" s="84"/>
      <c r="O795" s="84"/>
      <c r="P795" s="84"/>
    </row>
    <row r="796" spans="1:16" ht="15.75" customHeight="1">
      <c r="A796" s="185"/>
      <c r="B796" s="82"/>
      <c r="C796" s="81"/>
      <c r="D796" s="82"/>
      <c r="E796" s="81"/>
      <c r="F796" s="79"/>
      <c r="G796" s="82"/>
      <c r="H796" s="81"/>
      <c r="I796" s="84"/>
      <c r="J796" s="84"/>
      <c r="K796" s="84"/>
      <c r="L796" s="79"/>
      <c r="M796" s="186"/>
      <c r="N796" s="84"/>
      <c r="O796" s="84"/>
      <c r="P796" s="84"/>
    </row>
    <row r="797" spans="1:16" ht="15.75" customHeight="1">
      <c r="A797" s="185"/>
      <c r="B797" s="82"/>
      <c r="C797" s="81"/>
      <c r="D797" s="82"/>
      <c r="E797" s="81"/>
      <c r="F797" s="79"/>
      <c r="G797" s="82"/>
      <c r="H797" s="81"/>
      <c r="I797" s="84"/>
      <c r="J797" s="84"/>
      <c r="K797" s="84"/>
      <c r="L797" s="79"/>
      <c r="M797" s="186"/>
      <c r="N797" s="84"/>
      <c r="O797" s="84"/>
      <c r="P797" s="84"/>
    </row>
    <row r="798" spans="1:16" ht="15.75" customHeight="1">
      <c r="A798" s="185"/>
      <c r="B798" s="82"/>
      <c r="C798" s="81"/>
      <c r="D798" s="82"/>
      <c r="E798" s="81"/>
      <c r="F798" s="79"/>
      <c r="G798" s="82"/>
      <c r="H798" s="81"/>
      <c r="I798" s="84"/>
      <c r="J798" s="84"/>
      <c r="K798" s="84"/>
      <c r="L798" s="79"/>
      <c r="M798" s="186"/>
      <c r="N798" s="84"/>
      <c r="O798" s="84"/>
      <c r="P798" s="84"/>
    </row>
    <row r="799" spans="1:16" ht="15.75" customHeight="1">
      <c r="A799" s="185"/>
      <c r="B799" s="82"/>
      <c r="C799" s="81"/>
      <c r="D799" s="82"/>
      <c r="E799" s="81"/>
      <c r="F799" s="79"/>
      <c r="G799" s="82"/>
      <c r="H799" s="81"/>
      <c r="I799" s="84"/>
      <c r="J799" s="84"/>
      <c r="K799" s="84"/>
      <c r="L799" s="79"/>
      <c r="M799" s="186"/>
      <c r="N799" s="84"/>
      <c r="O799" s="84"/>
      <c r="P799" s="84"/>
    </row>
    <row r="800" spans="1:16" ht="15.75" customHeight="1">
      <c r="A800" s="185"/>
      <c r="B800" s="82"/>
      <c r="C800" s="81"/>
      <c r="D800" s="82"/>
      <c r="E800" s="81"/>
      <c r="F800" s="79"/>
      <c r="G800" s="82"/>
      <c r="H800" s="81"/>
      <c r="I800" s="84"/>
      <c r="J800" s="84"/>
      <c r="K800" s="84"/>
      <c r="L800" s="79"/>
      <c r="M800" s="186"/>
      <c r="N800" s="84"/>
      <c r="O800" s="84"/>
      <c r="P800" s="84"/>
    </row>
    <row r="801" spans="1:16" ht="15.75" customHeight="1">
      <c r="A801" s="185"/>
      <c r="B801" s="82"/>
      <c r="C801" s="81"/>
      <c r="D801" s="82"/>
      <c r="E801" s="81"/>
      <c r="F801" s="79"/>
      <c r="G801" s="82"/>
      <c r="H801" s="81"/>
      <c r="I801" s="84"/>
      <c r="J801" s="84"/>
      <c r="K801" s="84"/>
      <c r="L801" s="79"/>
      <c r="M801" s="186"/>
      <c r="N801" s="84"/>
      <c r="O801" s="84"/>
      <c r="P801" s="84"/>
    </row>
    <row r="802" spans="1:16" ht="15.75" customHeight="1">
      <c r="A802" s="185"/>
      <c r="B802" s="82"/>
      <c r="C802" s="81"/>
      <c r="D802" s="82"/>
      <c r="E802" s="81"/>
      <c r="F802" s="79"/>
      <c r="G802" s="82"/>
      <c r="H802" s="81"/>
      <c r="I802" s="84"/>
      <c r="J802" s="84"/>
      <c r="K802" s="84"/>
      <c r="L802" s="79"/>
      <c r="M802" s="186"/>
      <c r="N802" s="84"/>
      <c r="O802" s="84"/>
      <c r="P802" s="84"/>
    </row>
    <row r="803" spans="1:16" ht="15.75" customHeight="1">
      <c r="A803" s="185"/>
      <c r="B803" s="82"/>
      <c r="C803" s="81"/>
      <c r="D803" s="82"/>
      <c r="E803" s="81"/>
      <c r="F803" s="79"/>
      <c r="G803" s="82"/>
      <c r="H803" s="81"/>
      <c r="I803" s="84"/>
      <c r="J803" s="84"/>
      <c r="K803" s="84"/>
      <c r="L803" s="79"/>
      <c r="M803" s="186"/>
      <c r="N803" s="84"/>
      <c r="O803" s="84"/>
      <c r="P803" s="84"/>
    </row>
    <row r="804" spans="1:16" ht="15.75" customHeight="1">
      <c r="A804" s="185"/>
      <c r="B804" s="82"/>
      <c r="C804" s="81"/>
      <c r="D804" s="82"/>
      <c r="E804" s="81"/>
      <c r="F804" s="79"/>
      <c r="G804" s="82"/>
      <c r="H804" s="81"/>
      <c r="I804" s="84"/>
      <c r="J804" s="84"/>
      <c r="K804" s="84"/>
      <c r="L804" s="79"/>
      <c r="M804" s="186"/>
      <c r="N804" s="84"/>
      <c r="O804" s="84"/>
      <c r="P804" s="84"/>
    </row>
    <row r="805" spans="1:16" ht="15.75" customHeight="1">
      <c r="A805" s="185"/>
      <c r="B805" s="82"/>
      <c r="C805" s="81"/>
      <c r="D805" s="82"/>
      <c r="E805" s="81"/>
      <c r="F805" s="79"/>
      <c r="G805" s="82"/>
      <c r="H805" s="81"/>
      <c r="I805" s="84"/>
      <c r="J805" s="84"/>
      <c r="K805" s="84"/>
      <c r="L805" s="79"/>
      <c r="M805" s="186"/>
      <c r="N805" s="84"/>
      <c r="O805" s="84"/>
      <c r="P805" s="84"/>
    </row>
    <row r="806" spans="1:16" ht="15.75" customHeight="1">
      <c r="A806" s="185"/>
      <c r="B806" s="82"/>
      <c r="C806" s="81"/>
      <c r="D806" s="82"/>
      <c r="E806" s="81"/>
      <c r="F806" s="79"/>
      <c r="G806" s="82"/>
      <c r="H806" s="81"/>
      <c r="I806" s="84"/>
      <c r="J806" s="84"/>
      <c r="K806" s="84"/>
      <c r="L806" s="79"/>
      <c r="M806" s="186"/>
      <c r="N806" s="84"/>
      <c r="O806" s="84"/>
      <c r="P806" s="84"/>
    </row>
    <row r="807" spans="1:16" ht="15.75" customHeight="1">
      <c r="A807" s="185"/>
      <c r="B807" s="82"/>
      <c r="C807" s="81"/>
      <c r="D807" s="82"/>
      <c r="E807" s="81"/>
      <c r="F807" s="79"/>
      <c r="G807" s="82"/>
      <c r="H807" s="81"/>
      <c r="I807" s="84"/>
      <c r="J807" s="84"/>
      <c r="K807" s="84"/>
      <c r="L807" s="79"/>
      <c r="M807" s="186"/>
      <c r="N807" s="84"/>
      <c r="O807" s="84"/>
      <c r="P807" s="84"/>
    </row>
    <row r="808" spans="1:16" ht="15.75" customHeight="1">
      <c r="A808" s="185"/>
      <c r="B808" s="82"/>
      <c r="C808" s="81"/>
      <c r="D808" s="82"/>
      <c r="E808" s="81"/>
      <c r="F808" s="79"/>
      <c r="G808" s="82"/>
      <c r="H808" s="81"/>
      <c r="I808" s="84"/>
      <c r="J808" s="84"/>
      <c r="K808" s="84"/>
      <c r="L808" s="79"/>
      <c r="M808" s="186"/>
      <c r="N808" s="84"/>
      <c r="O808" s="84"/>
      <c r="P808" s="84"/>
    </row>
    <row r="809" spans="1:16" ht="15.75" customHeight="1">
      <c r="A809" s="185"/>
      <c r="B809" s="82"/>
      <c r="C809" s="81"/>
      <c r="D809" s="82"/>
      <c r="E809" s="81"/>
      <c r="F809" s="79"/>
      <c r="G809" s="82"/>
      <c r="H809" s="81"/>
      <c r="I809" s="84"/>
      <c r="J809" s="84"/>
      <c r="K809" s="84"/>
      <c r="L809" s="79"/>
      <c r="M809" s="186"/>
      <c r="N809" s="84"/>
      <c r="O809" s="84"/>
      <c r="P809" s="84"/>
    </row>
    <row r="810" spans="1:16" ht="15.75" customHeight="1">
      <c r="A810" s="185"/>
      <c r="B810" s="82"/>
      <c r="C810" s="81"/>
      <c r="D810" s="82"/>
      <c r="E810" s="81"/>
      <c r="F810" s="79"/>
      <c r="G810" s="82"/>
      <c r="H810" s="81"/>
      <c r="I810" s="84"/>
      <c r="J810" s="84"/>
      <c r="K810" s="84"/>
      <c r="L810" s="79"/>
      <c r="M810" s="186"/>
      <c r="N810" s="84"/>
      <c r="O810" s="84"/>
      <c r="P810" s="84"/>
    </row>
    <row r="811" spans="1:16" ht="15.75" customHeight="1">
      <c r="A811" s="185"/>
      <c r="B811" s="82"/>
      <c r="C811" s="81"/>
      <c r="D811" s="82"/>
      <c r="E811" s="81"/>
      <c r="F811" s="79"/>
      <c r="G811" s="82"/>
      <c r="H811" s="81"/>
      <c r="I811" s="84"/>
      <c r="J811" s="84"/>
      <c r="K811" s="84"/>
      <c r="L811" s="79"/>
      <c r="M811" s="186"/>
      <c r="N811" s="84"/>
      <c r="O811" s="84"/>
      <c r="P811" s="84"/>
    </row>
    <row r="812" spans="1:16" ht="15.75" customHeight="1">
      <c r="A812" s="185"/>
      <c r="B812" s="82"/>
      <c r="C812" s="81"/>
      <c r="D812" s="82"/>
      <c r="E812" s="81"/>
      <c r="F812" s="79"/>
      <c r="G812" s="82"/>
      <c r="H812" s="81"/>
      <c r="I812" s="84"/>
      <c r="J812" s="84"/>
      <c r="K812" s="84"/>
      <c r="L812" s="79"/>
      <c r="M812" s="186"/>
      <c r="N812" s="84"/>
      <c r="O812" s="84"/>
      <c r="P812" s="84"/>
    </row>
    <row r="813" spans="1:16" ht="15.75" customHeight="1">
      <c r="A813" s="185"/>
      <c r="B813" s="82"/>
      <c r="C813" s="81"/>
      <c r="D813" s="82"/>
      <c r="E813" s="81"/>
      <c r="F813" s="79"/>
      <c r="G813" s="82"/>
      <c r="H813" s="81"/>
      <c r="I813" s="84"/>
      <c r="J813" s="84"/>
      <c r="K813" s="84"/>
      <c r="L813" s="79"/>
      <c r="M813" s="186"/>
      <c r="N813" s="84"/>
      <c r="O813" s="84"/>
      <c r="P813" s="84"/>
    </row>
    <row r="814" spans="1:16" ht="15.75" customHeight="1">
      <c r="A814" s="185"/>
      <c r="B814" s="82"/>
      <c r="C814" s="81"/>
      <c r="D814" s="82"/>
      <c r="E814" s="81"/>
      <c r="F814" s="79"/>
      <c r="G814" s="82"/>
      <c r="H814" s="81"/>
      <c r="I814" s="84"/>
      <c r="J814" s="84"/>
      <c r="K814" s="84"/>
      <c r="L814" s="79"/>
      <c r="M814" s="186"/>
      <c r="N814" s="84"/>
      <c r="O814" s="84"/>
      <c r="P814" s="84"/>
    </row>
    <row r="815" spans="1:16" ht="15.75" customHeight="1">
      <c r="A815" s="185"/>
      <c r="B815" s="82"/>
      <c r="C815" s="81"/>
      <c r="D815" s="82"/>
      <c r="E815" s="81"/>
      <c r="F815" s="79"/>
      <c r="G815" s="82"/>
      <c r="H815" s="81"/>
      <c r="I815" s="84"/>
      <c r="J815" s="84"/>
      <c r="K815" s="84"/>
      <c r="L815" s="79"/>
      <c r="M815" s="186"/>
      <c r="N815" s="84"/>
      <c r="O815" s="84"/>
      <c r="P815" s="84"/>
    </row>
    <row r="816" spans="1:16" ht="15.75" customHeight="1">
      <c r="A816" s="185"/>
      <c r="B816" s="82"/>
      <c r="C816" s="81"/>
      <c r="D816" s="82"/>
      <c r="E816" s="81"/>
      <c r="F816" s="79"/>
      <c r="G816" s="82"/>
      <c r="H816" s="81"/>
      <c r="I816" s="84"/>
      <c r="J816" s="84"/>
      <c r="K816" s="84"/>
      <c r="L816" s="79"/>
      <c r="M816" s="186"/>
      <c r="N816" s="84"/>
      <c r="O816" s="84"/>
      <c r="P816" s="84"/>
    </row>
    <row r="817" spans="1:16" ht="15.75" customHeight="1">
      <c r="A817" s="185"/>
      <c r="B817" s="82"/>
      <c r="C817" s="81"/>
      <c r="D817" s="82"/>
      <c r="E817" s="81"/>
      <c r="F817" s="79"/>
      <c r="G817" s="82"/>
      <c r="H817" s="81"/>
      <c r="I817" s="84"/>
      <c r="J817" s="84"/>
      <c r="K817" s="84"/>
      <c r="L817" s="79"/>
      <c r="M817" s="186"/>
      <c r="N817" s="84"/>
      <c r="O817" s="84"/>
      <c r="P817" s="84"/>
    </row>
    <row r="818" spans="1:16" ht="15.75" customHeight="1">
      <c r="A818" s="185"/>
      <c r="B818" s="82"/>
      <c r="C818" s="81"/>
      <c r="D818" s="82"/>
      <c r="E818" s="81"/>
      <c r="F818" s="79"/>
      <c r="G818" s="82"/>
      <c r="H818" s="81"/>
      <c r="I818" s="84"/>
      <c r="J818" s="84"/>
      <c r="K818" s="84"/>
      <c r="L818" s="79"/>
      <c r="M818" s="186"/>
      <c r="N818" s="84"/>
      <c r="O818" s="84"/>
      <c r="P818" s="84"/>
    </row>
    <row r="819" spans="1:16" ht="15.75" customHeight="1">
      <c r="A819" s="185"/>
      <c r="B819" s="82"/>
      <c r="C819" s="81"/>
      <c r="D819" s="82"/>
      <c r="E819" s="81"/>
      <c r="F819" s="79"/>
      <c r="G819" s="82"/>
      <c r="H819" s="81"/>
      <c r="I819" s="84"/>
      <c r="J819" s="84"/>
      <c r="K819" s="84"/>
      <c r="L819" s="79"/>
      <c r="M819" s="186"/>
      <c r="N819" s="84"/>
      <c r="O819" s="84"/>
      <c r="P819" s="84"/>
    </row>
    <row r="820" spans="1:16" ht="15.75" customHeight="1">
      <c r="A820" s="185"/>
      <c r="B820" s="82"/>
      <c r="C820" s="81"/>
      <c r="D820" s="82"/>
      <c r="E820" s="81"/>
      <c r="F820" s="79"/>
      <c r="G820" s="82"/>
      <c r="H820" s="81"/>
      <c r="I820" s="84"/>
      <c r="J820" s="84"/>
      <c r="K820" s="84"/>
      <c r="L820" s="79"/>
      <c r="M820" s="186"/>
      <c r="N820" s="84"/>
      <c r="O820" s="84"/>
      <c r="P820" s="84"/>
    </row>
    <row r="821" spans="1:16" ht="15.75" customHeight="1">
      <c r="A821" s="185"/>
      <c r="B821" s="82"/>
      <c r="C821" s="81"/>
      <c r="D821" s="82"/>
      <c r="E821" s="81"/>
      <c r="F821" s="79"/>
      <c r="G821" s="82"/>
      <c r="H821" s="81"/>
      <c r="I821" s="84"/>
      <c r="J821" s="84"/>
      <c r="K821" s="84"/>
      <c r="L821" s="79"/>
      <c r="M821" s="186"/>
      <c r="N821" s="84"/>
      <c r="O821" s="84"/>
      <c r="P821" s="84"/>
    </row>
    <row r="822" spans="1:16" ht="15.75" customHeight="1">
      <c r="A822" s="185"/>
      <c r="B822" s="82"/>
      <c r="C822" s="81"/>
      <c r="D822" s="82"/>
      <c r="E822" s="81"/>
      <c r="F822" s="79"/>
      <c r="G822" s="82"/>
      <c r="H822" s="81"/>
      <c r="I822" s="84"/>
      <c r="J822" s="84"/>
      <c r="K822" s="84"/>
      <c r="L822" s="79"/>
      <c r="M822" s="186"/>
      <c r="N822" s="84"/>
      <c r="O822" s="84"/>
      <c r="P822" s="84"/>
    </row>
    <row r="823" spans="1:16" ht="15.75" customHeight="1">
      <c r="A823" s="185"/>
      <c r="B823" s="82"/>
      <c r="C823" s="81"/>
      <c r="D823" s="82"/>
      <c r="E823" s="81"/>
      <c r="F823" s="79"/>
      <c r="G823" s="82"/>
      <c r="H823" s="81"/>
      <c r="I823" s="84"/>
      <c r="J823" s="84"/>
      <c r="K823" s="84"/>
      <c r="L823" s="79"/>
      <c r="M823" s="186"/>
      <c r="N823" s="84"/>
      <c r="O823" s="84"/>
      <c r="P823" s="84"/>
    </row>
    <row r="824" spans="1:16" ht="15.75" customHeight="1">
      <c r="A824" s="185"/>
      <c r="B824" s="82"/>
      <c r="C824" s="81"/>
      <c r="D824" s="82"/>
      <c r="E824" s="81"/>
      <c r="F824" s="79"/>
      <c r="G824" s="82"/>
      <c r="H824" s="81"/>
      <c r="I824" s="84"/>
      <c r="J824" s="84"/>
      <c r="K824" s="84"/>
      <c r="L824" s="79"/>
      <c r="M824" s="186"/>
      <c r="N824" s="84"/>
      <c r="O824" s="84"/>
      <c r="P824" s="84"/>
    </row>
    <row r="825" spans="1:16" ht="15.75" customHeight="1">
      <c r="A825" s="185"/>
      <c r="B825" s="82"/>
      <c r="C825" s="81"/>
      <c r="D825" s="82"/>
      <c r="E825" s="81"/>
      <c r="F825" s="79"/>
      <c r="G825" s="82"/>
      <c r="H825" s="81"/>
      <c r="I825" s="84"/>
      <c r="J825" s="84"/>
      <c r="K825" s="84"/>
      <c r="L825" s="79"/>
      <c r="M825" s="186"/>
      <c r="N825" s="84"/>
      <c r="O825" s="84"/>
      <c r="P825" s="84"/>
    </row>
    <row r="826" spans="1:16" ht="15.75" customHeight="1">
      <c r="A826" s="185"/>
      <c r="B826" s="82"/>
      <c r="C826" s="81"/>
      <c r="D826" s="82"/>
      <c r="E826" s="81"/>
      <c r="F826" s="79"/>
      <c r="G826" s="82"/>
      <c r="H826" s="81"/>
      <c r="I826" s="84"/>
      <c r="J826" s="84"/>
      <c r="K826" s="84"/>
      <c r="L826" s="79"/>
      <c r="M826" s="186"/>
      <c r="N826" s="84"/>
      <c r="O826" s="84"/>
      <c r="P826" s="84"/>
    </row>
    <row r="827" spans="1:16" ht="15.75" customHeight="1">
      <c r="A827" s="185"/>
      <c r="B827" s="82"/>
      <c r="C827" s="81"/>
      <c r="D827" s="82"/>
      <c r="E827" s="81"/>
      <c r="F827" s="79"/>
      <c r="G827" s="82"/>
      <c r="H827" s="81"/>
      <c r="I827" s="84"/>
      <c r="J827" s="84"/>
      <c r="K827" s="84"/>
      <c r="L827" s="79"/>
      <c r="M827" s="186"/>
      <c r="N827" s="84"/>
      <c r="O827" s="84"/>
      <c r="P827" s="84"/>
    </row>
    <row r="828" spans="1:16" ht="15.75" customHeight="1">
      <c r="A828" s="185"/>
      <c r="B828" s="82"/>
      <c r="C828" s="81"/>
      <c r="D828" s="82"/>
      <c r="E828" s="81"/>
      <c r="F828" s="79"/>
      <c r="G828" s="82"/>
      <c r="H828" s="81"/>
      <c r="I828" s="84"/>
      <c r="J828" s="84"/>
      <c r="K828" s="84"/>
      <c r="L828" s="79"/>
      <c r="M828" s="186"/>
      <c r="N828" s="84"/>
      <c r="O828" s="84"/>
      <c r="P828" s="84"/>
    </row>
    <row r="829" spans="1:16" ht="15.75" customHeight="1">
      <c r="A829" s="185"/>
      <c r="B829" s="82"/>
      <c r="C829" s="81"/>
      <c r="D829" s="82"/>
      <c r="E829" s="81"/>
      <c r="F829" s="79"/>
      <c r="G829" s="82"/>
      <c r="H829" s="81"/>
      <c r="I829" s="84"/>
      <c r="J829" s="84"/>
      <c r="K829" s="84"/>
      <c r="L829" s="79"/>
      <c r="M829" s="186"/>
      <c r="N829" s="84"/>
      <c r="O829" s="84"/>
      <c r="P829" s="84"/>
    </row>
    <row r="830" spans="1:16" ht="15.75" customHeight="1">
      <c r="A830" s="185"/>
      <c r="B830" s="82"/>
      <c r="C830" s="81"/>
      <c r="D830" s="82"/>
      <c r="E830" s="81"/>
      <c r="F830" s="79"/>
      <c r="G830" s="82"/>
      <c r="H830" s="81"/>
      <c r="I830" s="84"/>
      <c r="J830" s="84"/>
      <c r="K830" s="84"/>
      <c r="L830" s="79"/>
      <c r="M830" s="186"/>
      <c r="N830" s="84"/>
      <c r="O830" s="84"/>
      <c r="P830" s="84"/>
    </row>
    <row r="831" spans="1:16" ht="15.75" customHeight="1">
      <c r="A831" s="185"/>
      <c r="B831" s="82"/>
      <c r="C831" s="81"/>
      <c r="D831" s="82"/>
      <c r="E831" s="81"/>
      <c r="F831" s="79"/>
      <c r="G831" s="82"/>
      <c r="H831" s="81"/>
      <c r="I831" s="84"/>
      <c r="J831" s="84"/>
      <c r="K831" s="84"/>
      <c r="L831" s="79"/>
      <c r="M831" s="186"/>
      <c r="N831" s="84"/>
      <c r="O831" s="84"/>
      <c r="P831" s="84"/>
    </row>
    <row r="832" spans="1:16" ht="15.75" customHeight="1">
      <c r="A832" s="185"/>
      <c r="B832" s="82"/>
      <c r="C832" s="81"/>
      <c r="D832" s="82"/>
      <c r="E832" s="81"/>
      <c r="F832" s="79"/>
      <c r="G832" s="82"/>
      <c r="H832" s="81"/>
      <c r="I832" s="84"/>
      <c r="J832" s="84"/>
      <c r="K832" s="84"/>
      <c r="L832" s="79"/>
      <c r="M832" s="186"/>
      <c r="N832" s="84"/>
      <c r="O832" s="84"/>
      <c r="P832" s="84"/>
    </row>
    <row r="833" spans="1:16" ht="15.75" customHeight="1">
      <c r="A833" s="185"/>
      <c r="B833" s="82"/>
      <c r="C833" s="81"/>
      <c r="D833" s="82"/>
      <c r="E833" s="81"/>
      <c r="F833" s="79"/>
      <c r="G833" s="82"/>
      <c r="H833" s="81"/>
      <c r="I833" s="84"/>
      <c r="J833" s="84"/>
      <c r="K833" s="84"/>
      <c r="L833" s="79"/>
      <c r="M833" s="186"/>
      <c r="N833" s="84"/>
      <c r="O833" s="84"/>
      <c r="P833" s="84"/>
    </row>
    <row r="834" spans="1:16" ht="15.75" customHeight="1">
      <c r="A834" s="185"/>
      <c r="B834" s="82"/>
      <c r="C834" s="81"/>
      <c r="D834" s="82"/>
      <c r="E834" s="81"/>
      <c r="F834" s="79"/>
      <c r="G834" s="82"/>
      <c r="H834" s="81"/>
      <c r="I834" s="84"/>
      <c r="J834" s="84"/>
      <c r="K834" s="84"/>
      <c r="L834" s="79"/>
      <c r="M834" s="186"/>
      <c r="N834" s="84"/>
      <c r="O834" s="84"/>
      <c r="P834" s="84"/>
    </row>
    <row r="835" spans="1:16" ht="15.75" customHeight="1">
      <c r="A835" s="185"/>
      <c r="B835" s="82"/>
      <c r="C835" s="81"/>
      <c r="D835" s="82"/>
      <c r="E835" s="81"/>
      <c r="F835" s="79"/>
      <c r="G835" s="82"/>
      <c r="H835" s="81"/>
      <c r="I835" s="84"/>
      <c r="J835" s="84"/>
      <c r="K835" s="84"/>
      <c r="L835" s="79"/>
      <c r="M835" s="186"/>
      <c r="N835" s="84"/>
      <c r="O835" s="84"/>
      <c r="P835" s="84"/>
    </row>
    <row r="836" spans="1:16" ht="15.75" customHeight="1">
      <c r="A836" s="185"/>
      <c r="B836" s="82"/>
      <c r="C836" s="81"/>
      <c r="D836" s="82"/>
      <c r="E836" s="81"/>
      <c r="F836" s="79"/>
      <c r="G836" s="82"/>
      <c r="H836" s="81"/>
      <c r="I836" s="84"/>
      <c r="J836" s="84"/>
      <c r="K836" s="84"/>
      <c r="L836" s="79"/>
      <c r="M836" s="186"/>
      <c r="N836" s="84"/>
      <c r="O836" s="84"/>
      <c r="P836" s="84"/>
    </row>
    <row r="837" spans="1:16" ht="15.75" customHeight="1">
      <c r="A837" s="185"/>
      <c r="B837" s="82"/>
      <c r="C837" s="81"/>
      <c r="D837" s="82"/>
      <c r="E837" s="81"/>
      <c r="F837" s="79"/>
      <c r="G837" s="82"/>
      <c r="H837" s="81"/>
      <c r="I837" s="84"/>
      <c r="J837" s="84"/>
      <c r="K837" s="84"/>
      <c r="L837" s="79"/>
      <c r="M837" s="186"/>
      <c r="N837" s="84"/>
      <c r="O837" s="84"/>
      <c r="P837" s="84"/>
    </row>
    <row r="838" spans="1:16" ht="15.75" customHeight="1">
      <c r="A838" s="185"/>
      <c r="B838" s="82"/>
      <c r="C838" s="81"/>
      <c r="D838" s="82"/>
      <c r="E838" s="81"/>
      <c r="F838" s="79"/>
      <c r="G838" s="82"/>
      <c r="H838" s="81"/>
      <c r="I838" s="84"/>
      <c r="J838" s="84"/>
      <c r="K838" s="84"/>
      <c r="L838" s="79"/>
      <c r="M838" s="186"/>
      <c r="N838" s="84"/>
      <c r="O838" s="84"/>
      <c r="P838" s="84"/>
    </row>
    <row r="839" spans="1:16" ht="15.75" customHeight="1">
      <c r="A839" s="185"/>
      <c r="B839" s="82"/>
      <c r="C839" s="81"/>
      <c r="D839" s="82"/>
      <c r="E839" s="81"/>
      <c r="F839" s="79"/>
      <c r="G839" s="82"/>
      <c r="H839" s="81"/>
      <c r="I839" s="84"/>
      <c r="J839" s="84"/>
      <c r="K839" s="84"/>
      <c r="L839" s="79"/>
      <c r="M839" s="186"/>
      <c r="N839" s="84"/>
      <c r="O839" s="84"/>
      <c r="P839" s="84"/>
    </row>
    <row r="840" spans="1:16" ht="15.75" customHeight="1">
      <c r="A840" s="185"/>
      <c r="B840" s="82"/>
      <c r="C840" s="81"/>
      <c r="D840" s="82"/>
      <c r="E840" s="81"/>
      <c r="F840" s="79"/>
      <c r="G840" s="82"/>
      <c r="H840" s="81"/>
      <c r="I840" s="84"/>
      <c r="J840" s="84"/>
      <c r="K840" s="84"/>
      <c r="L840" s="79"/>
      <c r="M840" s="186"/>
      <c r="N840" s="84"/>
      <c r="O840" s="84"/>
      <c r="P840" s="84"/>
    </row>
    <row r="841" spans="1:16" ht="15.75" customHeight="1">
      <c r="A841" s="185"/>
      <c r="B841" s="82"/>
      <c r="C841" s="81"/>
      <c r="D841" s="82"/>
      <c r="E841" s="81"/>
      <c r="F841" s="79"/>
      <c r="G841" s="82"/>
      <c r="H841" s="81"/>
      <c r="I841" s="84"/>
      <c r="J841" s="84"/>
      <c r="K841" s="84"/>
      <c r="L841" s="79"/>
      <c r="M841" s="186"/>
      <c r="N841" s="84"/>
      <c r="O841" s="84"/>
      <c r="P841" s="84"/>
    </row>
    <row r="842" spans="1:16" ht="15.75" customHeight="1">
      <c r="A842" s="185"/>
      <c r="B842" s="82"/>
      <c r="C842" s="81"/>
      <c r="D842" s="82"/>
      <c r="E842" s="81"/>
      <c r="F842" s="79"/>
      <c r="G842" s="82"/>
      <c r="H842" s="81"/>
      <c r="I842" s="84"/>
      <c r="J842" s="84"/>
      <c r="K842" s="84"/>
      <c r="L842" s="79"/>
      <c r="M842" s="186"/>
      <c r="N842" s="84"/>
      <c r="O842" s="84"/>
      <c r="P842" s="84"/>
    </row>
    <row r="843" spans="1:16" ht="15.75" customHeight="1">
      <c r="A843" s="185"/>
      <c r="B843" s="82"/>
      <c r="C843" s="81"/>
      <c r="D843" s="82"/>
      <c r="E843" s="81"/>
      <c r="F843" s="79"/>
      <c r="G843" s="82"/>
      <c r="H843" s="81"/>
      <c r="I843" s="84"/>
      <c r="J843" s="84"/>
      <c r="K843" s="84"/>
      <c r="L843" s="79"/>
      <c r="M843" s="186"/>
      <c r="N843" s="84"/>
      <c r="O843" s="84"/>
      <c r="P843" s="84"/>
    </row>
    <row r="844" spans="1:16" ht="15.75" customHeight="1">
      <c r="A844" s="185"/>
      <c r="B844" s="82"/>
      <c r="C844" s="81"/>
      <c r="D844" s="82"/>
      <c r="E844" s="81"/>
      <c r="F844" s="79"/>
      <c r="G844" s="82"/>
      <c r="H844" s="81"/>
      <c r="I844" s="84"/>
      <c r="J844" s="84"/>
      <c r="K844" s="84"/>
      <c r="L844" s="79"/>
      <c r="M844" s="186"/>
      <c r="N844" s="84"/>
      <c r="O844" s="84"/>
      <c r="P844" s="84"/>
    </row>
    <row r="845" spans="1:16" ht="15.75" customHeight="1">
      <c r="A845" s="185"/>
      <c r="B845" s="82"/>
      <c r="C845" s="81"/>
      <c r="D845" s="82"/>
      <c r="E845" s="81"/>
      <c r="F845" s="79"/>
      <c r="G845" s="82"/>
      <c r="H845" s="81"/>
      <c r="I845" s="84"/>
      <c r="J845" s="84"/>
      <c r="K845" s="84"/>
      <c r="L845" s="79"/>
      <c r="M845" s="186"/>
      <c r="N845" s="84"/>
      <c r="O845" s="84"/>
      <c r="P845" s="84"/>
    </row>
    <row r="846" spans="1:16" ht="15.75" customHeight="1">
      <c r="A846" s="185"/>
      <c r="B846" s="82"/>
      <c r="C846" s="81"/>
      <c r="D846" s="82"/>
      <c r="E846" s="81"/>
      <c r="F846" s="79"/>
      <c r="G846" s="82"/>
      <c r="H846" s="81"/>
      <c r="I846" s="84"/>
      <c r="J846" s="84"/>
      <c r="K846" s="84"/>
      <c r="L846" s="79"/>
      <c r="M846" s="186"/>
      <c r="N846" s="84"/>
      <c r="O846" s="84"/>
      <c r="P846" s="84"/>
    </row>
    <row r="847" spans="1:16" ht="15.75" customHeight="1">
      <c r="A847" s="185"/>
      <c r="B847" s="82"/>
      <c r="C847" s="81"/>
      <c r="D847" s="82"/>
      <c r="E847" s="81"/>
      <c r="F847" s="79"/>
      <c r="G847" s="82"/>
      <c r="H847" s="81"/>
      <c r="I847" s="84"/>
      <c r="J847" s="84"/>
      <c r="K847" s="84"/>
      <c r="L847" s="79"/>
      <c r="M847" s="186"/>
      <c r="N847" s="84"/>
      <c r="O847" s="84"/>
      <c r="P847" s="84"/>
    </row>
    <row r="848" spans="1:16" ht="15.75" customHeight="1">
      <c r="A848" s="185"/>
      <c r="B848" s="82"/>
      <c r="C848" s="81"/>
      <c r="D848" s="82"/>
      <c r="E848" s="81"/>
      <c r="F848" s="79"/>
      <c r="G848" s="82"/>
      <c r="H848" s="81"/>
      <c r="I848" s="84"/>
      <c r="J848" s="84"/>
      <c r="K848" s="84"/>
      <c r="L848" s="79"/>
      <c r="M848" s="186"/>
      <c r="N848" s="84"/>
      <c r="O848" s="84"/>
      <c r="P848" s="84"/>
    </row>
    <row r="849" spans="1:16" ht="15.75" customHeight="1">
      <c r="A849" s="185"/>
      <c r="B849" s="82"/>
      <c r="C849" s="81"/>
      <c r="D849" s="82"/>
      <c r="E849" s="81"/>
      <c r="F849" s="79"/>
      <c r="G849" s="82"/>
      <c r="H849" s="81"/>
      <c r="I849" s="84"/>
      <c r="J849" s="84"/>
      <c r="K849" s="84"/>
      <c r="L849" s="79"/>
      <c r="M849" s="186"/>
      <c r="N849" s="84"/>
      <c r="O849" s="84"/>
      <c r="P849" s="84"/>
    </row>
    <row r="850" spans="1:16" ht="15.75" customHeight="1">
      <c r="A850" s="185"/>
      <c r="B850" s="82"/>
      <c r="C850" s="81"/>
      <c r="D850" s="82"/>
      <c r="E850" s="81"/>
      <c r="F850" s="79"/>
      <c r="G850" s="82"/>
      <c r="H850" s="81"/>
      <c r="I850" s="84"/>
      <c r="J850" s="84"/>
      <c r="K850" s="84"/>
      <c r="L850" s="79"/>
      <c r="M850" s="186"/>
      <c r="N850" s="84"/>
      <c r="O850" s="84"/>
      <c r="P850" s="84"/>
    </row>
    <row r="851" spans="1:16" ht="15.75" customHeight="1">
      <c r="A851" s="185"/>
      <c r="B851" s="82"/>
      <c r="C851" s="81"/>
      <c r="D851" s="82"/>
      <c r="E851" s="81"/>
      <c r="F851" s="79"/>
      <c r="G851" s="82"/>
      <c r="H851" s="81"/>
      <c r="I851" s="84"/>
      <c r="J851" s="84"/>
      <c r="K851" s="84"/>
      <c r="L851" s="79"/>
      <c r="M851" s="186"/>
      <c r="N851" s="84"/>
      <c r="O851" s="84"/>
      <c r="P851" s="84"/>
    </row>
    <row r="852" spans="1:16" ht="15.75" customHeight="1">
      <c r="A852" s="185"/>
      <c r="B852" s="82"/>
      <c r="C852" s="81"/>
      <c r="D852" s="82"/>
      <c r="E852" s="81"/>
      <c r="F852" s="79"/>
      <c r="G852" s="82"/>
      <c r="H852" s="81"/>
      <c r="I852" s="84"/>
      <c r="J852" s="84"/>
      <c r="K852" s="84"/>
      <c r="L852" s="79"/>
      <c r="M852" s="186"/>
      <c r="N852" s="84"/>
      <c r="O852" s="84"/>
      <c r="P852" s="84"/>
    </row>
    <row r="853" spans="1:16" ht="15.75" customHeight="1">
      <c r="A853" s="185"/>
      <c r="B853" s="82"/>
      <c r="C853" s="81"/>
      <c r="D853" s="82"/>
      <c r="E853" s="81"/>
      <c r="F853" s="79"/>
      <c r="G853" s="82"/>
      <c r="H853" s="81"/>
      <c r="I853" s="84"/>
      <c r="J853" s="84"/>
      <c r="K853" s="84"/>
      <c r="L853" s="79"/>
      <c r="M853" s="186"/>
      <c r="N853" s="84"/>
      <c r="O853" s="84"/>
      <c r="P853" s="84"/>
    </row>
    <row r="854" spans="1:16" ht="15.75" customHeight="1">
      <c r="A854" s="185"/>
      <c r="B854" s="82"/>
      <c r="C854" s="81"/>
      <c r="D854" s="82"/>
      <c r="E854" s="81"/>
      <c r="F854" s="79"/>
      <c r="G854" s="82"/>
      <c r="H854" s="81"/>
      <c r="I854" s="84"/>
      <c r="J854" s="84"/>
      <c r="K854" s="84"/>
      <c r="L854" s="79"/>
      <c r="M854" s="186"/>
      <c r="N854" s="84"/>
      <c r="O854" s="84"/>
      <c r="P854" s="84"/>
    </row>
    <row r="855" spans="1:16" ht="15.75" customHeight="1">
      <c r="A855" s="185"/>
      <c r="B855" s="82"/>
      <c r="C855" s="81"/>
      <c r="D855" s="82"/>
      <c r="E855" s="81"/>
      <c r="F855" s="79"/>
      <c r="G855" s="82"/>
      <c r="H855" s="81"/>
      <c r="I855" s="84"/>
      <c r="J855" s="84"/>
      <c r="K855" s="84"/>
      <c r="L855" s="79"/>
      <c r="M855" s="186"/>
      <c r="N855" s="84"/>
      <c r="O855" s="84"/>
      <c r="P855" s="84"/>
    </row>
    <row r="856" spans="1:16" ht="15.75" customHeight="1">
      <c r="A856" s="185"/>
      <c r="B856" s="82"/>
      <c r="C856" s="81"/>
      <c r="D856" s="82"/>
      <c r="E856" s="81"/>
      <c r="F856" s="79"/>
      <c r="G856" s="82"/>
      <c r="H856" s="81"/>
      <c r="I856" s="84"/>
      <c r="J856" s="84"/>
      <c r="K856" s="84"/>
      <c r="L856" s="79"/>
      <c r="M856" s="186"/>
      <c r="N856" s="84"/>
      <c r="O856" s="84"/>
      <c r="P856" s="84"/>
    </row>
    <row r="857" spans="1:16" ht="15.75" customHeight="1">
      <c r="A857" s="185"/>
      <c r="B857" s="82"/>
      <c r="C857" s="81"/>
      <c r="D857" s="82"/>
      <c r="E857" s="81"/>
      <c r="F857" s="79"/>
      <c r="G857" s="82"/>
      <c r="H857" s="81"/>
      <c r="I857" s="84"/>
      <c r="J857" s="84"/>
      <c r="K857" s="84"/>
      <c r="L857" s="79"/>
      <c r="M857" s="186"/>
      <c r="N857" s="84"/>
      <c r="O857" s="84"/>
      <c r="P857" s="84"/>
    </row>
    <row r="858" spans="1:16" ht="15.75" customHeight="1">
      <c r="A858" s="185"/>
      <c r="B858" s="82"/>
      <c r="C858" s="81"/>
      <c r="D858" s="82"/>
      <c r="E858" s="81"/>
      <c r="F858" s="79"/>
      <c r="G858" s="82"/>
      <c r="H858" s="81"/>
      <c r="I858" s="84"/>
      <c r="J858" s="84"/>
      <c r="K858" s="84"/>
      <c r="L858" s="79"/>
      <c r="M858" s="186"/>
      <c r="N858" s="84"/>
      <c r="O858" s="84"/>
      <c r="P858" s="84"/>
    </row>
    <row r="859" spans="1:16" ht="15.75" customHeight="1">
      <c r="A859" s="185"/>
      <c r="B859" s="82"/>
      <c r="C859" s="81"/>
      <c r="D859" s="82"/>
      <c r="E859" s="81"/>
      <c r="F859" s="79"/>
      <c r="G859" s="82"/>
      <c r="H859" s="81"/>
      <c r="I859" s="84"/>
      <c r="J859" s="84"/>
      <c r="K859" s="84"/>
      <c r="L859" s="79"/>
      <c r="M859" s="186"/>
      <c r="N859" s="84"/>
      <c r="O859" s="84"/>
      <c r="P859" s="84"/>
    </row>
    <row r="860" spans="1:16" ht="15.75" customHeight="1">
      <c r="A860" s="185"/>
      <c r="B860" s="82"/>
      <c r="C860" s="81"/>
      <c r="D860" s="82"/>
      <c r="E860" s="81"/>
      <c r="F860" s="79"/>
      <c r="G860" s="82"/>
      <c r="H860" s="81"/>
      <c r="I860" s="84"/>
      <c r="J860" s="84"/>
      <c r="K860" s="84"/>
      <c r="L860" s="79"/>
      <c r="M860" s="186"/>
      <c r="N860" s="84"/>
      <c r="O860" s="84"/>
      <c r="P860" s="84"/>
    </row>
    <row r="861" spans="1:16" ht="15.75" customHeight="1">
      <c r="A861" s="185"/>
      <c r="B861" s="82"/>
      <c r="C861" s="81"/>
      <c r="D861" s="82"/>
      <c r="E861" s="81"/>
      <c r="F861" s="79"/>
      <c r="G861" s="82"/>
      <c r="H861" s="81"/>
      <c r="I861" s="84"/>
      <c r="J861" s="84"/>
      <c r="K861" s="84"/>
      <c r="L861" s="79"/>
      <c r="M861" s="186"/>
      <c r="N861" s="84"/>
      <c r="O861" s="84"/>
      <c r="P861" s="84"/>
    </row>
    <row r="862" spans="1:16" ht="15.75" customHeight="1">
      <c r="A862" s="185"/>
      <c r="B862" s="82"/>
      <c r="C862" s="81"/>
      <c r="D862" s="82"/>
      <c r="E862" s="81"/>
      <c r="F862" s="79"/>
      <c r="G862" s="82"/>
      <c r="H862" s="81"/>
      <c r="I862" s="84"/>
      <c r="J862" s="84"/>
      <c r="K862" s="84"/>
      <c r="L862" s="79"/>
      <c r="M862" s="186"/>
      <c r="N862" s="84"/>
      <c r="O862" s="84"/>
      <c r="P862" s="84"/>
    </row>
    <row r="863" spans="1:16" ht="15.75" customHeight="1">
      <c r="A863" s="185"/>
      <c r="B863" s="82"/>
      <c r="C863" s="81"/>
      <c r="D863" s="82"/>
      <c r="E863" s="81"/>
      <c r="F863" s="79"/>
      <c r="G863" s="82"/>
      <c r="H863" s="81"/>
      <c r="I863" s="84"/>
      <c r="J863" s="84"/>
      <c r="K863" s="84"/>
      <c r="L863" s="79"/>
      <c r="M863" s="186"/>
      <c r="N863" s="84"/>
      <c r="O863" s="84"/>
      <c r="P863" s="84"/>
    </row>
    <row r="864" spans="1:16" ht="15.75" customHeight="1">
      <c r="A864" s="185"/>
      <c r="B864" s="82"/>
      <c r="C864" s="81"/>
      <c r="D864" s="82"/>
      <c r="E864" s="81"/>
      <c r="F864" s="79"/>
      <c r="G864" s="82"/>
      <c r="H864" s="81"/>
      <c r="I864" s="84"/>
      <c r="J864" s="84"/>
      <c r="K864" s="84"/>
      <c r="L864" s="79"/>
      <c r="M864" s="186"/>
      <c r="N864" s="84"/>
      <c r="O864" s="84"/>
      <c r="P864" s="84"/>
    </row>
    <row r="865" spans="1:16" ht="15.75" customHeight="1">
      <c r="A865" s="185"/>
      <c r="B865" s="82"/>
      <c r="C865" s="81"/>
      <c r="D865" s="82"/>
      <c r="E865" s="81"/>
      <c r="F865" s="79"/>
      <c r="G865" s="82"/>
      <c r="H865" s="81"/>
      <c r="I865" s="84"/>
      <c r="J865" s="84"/>
      <c r="K865" s="84"/>
      <c r="L865" s="79"/>
      <c r="M865" s="186"/>
      <c r="N865" s="84"/>
      <c r="O865" s="84"/>
      <c r="P865" s="84"/>
    </row>
    <row r="866" spans="1:16" ht="15.75" customHeight="1">
      <c r="A866" s="185"/>
      <c r="B866" s="82"/>
      <c r="C866" s="81"/>
      <c r="D866" s="82"/>
      <c r="E866" s="81"/>
      <c r="F866" s="79"/>
      <c r="G866" s="82"/>
      <c r="H866" s="81"/>
      <c r="I866" s="84"/>
      <c r="J866" s="84"/>
      <c r="K866" s="84"/>
      <c r="L866" s="79"/>
      <c r="M866" s="186"/>
      <c r="N866" s="84"/>
      <c r="O866" s="84"/>
      <c r="P866" s="84"/>
    </row>
    <row r="867" spans="1:16" ht="15.75" customHeight="1">
      <c r="A867" s="185"/>
      <c r="B867" s="82"/>
      <c r="C867" s="81"/>
      <c r="D867" s="82"/>
      <c r="E867" s="81"/>
      <c r="F867" s="79"/>
      <c r="G867" s="82"/>
      <c r="H867" s="81"/>
      <c r="I867" s="84"/>
      <c r="J867" s="84"/>
      <c r="K867" s="84"/>
      <c r="L867" s="79"/>
      <c r="M867" s="186"/>
      <c r="N867" s="84"/>
      <c r="O867" s="84"/>
      <c r="P867" s="84"/>
    </row>
    <row r="868" spans="1:16" ht="15.75" customHeight="1">
      <c r="A868" s="185"/>
      <c r="B868" s="82"/>
      <c r="C868" s="81"/>
      <c r="D868" s="82"/>
      <c r="E868" s="81"/>
      <c r="F868" s="79"/>
      <c r="G868" s="82"/>
      <c r="H868" s="81"/>
      <c r="I868" s="84"/>
      <c r="J868" s="84"/>
      <c r="K868" s="84"/>
      <c r="L868" s="79"/>
      <c r="M868" s="186"/>
      <c r="N868" s="84"/>
      <c r="O868" s="84"/>
      <c r="P868" s="84"/>
    </row>
    <row r="869" spans="1:16" ht="15.75" customHeight="1">
      <c r="A869" s="185"/>
      <c r="B869" s="82"/>
      <c r="C869" s="81"/>
      <c r="D869" s="82"/>
      <c r="E869" s="81"/>
      <c r="F869" s="79"/>
      <c r="G869" s="82"/>
      <c r="H869" s="81"/>
      <c r="I869" s="84"/>
      <c r="J869" s="84"/>
      <c r="K869" s="84"/>
      <c r="L869" s="79"/>
      <c r="M869" s="186"/>
      <c r="N869" s="84"/>
      <c r="O869" s="84"/>
      <c r="P869" s="84"/>
    </row>
    <row r="870" spans="1:16" ht="15.75" customHeight="1">
      <c r="A870" s="185"/>
      <c r="B870" s="82"/>
      <c r="C870" s="81"/>
      <c r="D870" s="82"/>
      <c r="E870" s="81"/>
      <c r="F870" s="79"/>
      <c r="G870" s="82"/>
      <c r="H870" s="81"/>
      <c r="I870" s="84"/>
      <c r="J870" s="84"/>
      <c r="K870" s="84"/>
      <c r="L870" s="79"/>
      <c r="M870" s="186"/>
      <c r="N870" s="84"/>
      <c r="O870" s="84"/>
      <c r="P870" s="84"/>
    </row>
    <row r="871" spans="1:16" ht="15.75" customHeight="1">
      <c r="A871" s="185"/>
      <c r="B871" s="82"/>
      <c r="C871" s="81"/>
      <c r="D871" s="82"/>
      <c r="E871" s="81"/>
      <c r="F871" s="79"/>
      <c r="G871" s="82"/>
      <c r="H871" s="81"/>
      <c r="I871" s="84"/>
      <c r="J871" s="84"/>
      <c r="K871" s="84"/>
      <c r="L871" s="79"/>
      <c r="M871" s="186"/>
      <c r="N871" s="84"/>
      <c r="O871" s="84"/>
      <c r="P871" s="84"/>
    </row>
    <row r="872" spans="1:16" ht="15.75" customHeight="1">
      <c r="A872" s="185"/>
      <c r="B872" s="82"/>
      <c r="C872" s="81"/>
      <c r="D872" s="82"/>
      <c r="E872" s="81"/>
      <c r="F872" s="79"/>
      <c r="G872" s="82"/>
      <c r="H872" s="81"/>
      <c r="I872" s="84"/>
      <c r="J872" s="84"/>
      <c r="K872" s="84"/>
      <c r="L872" s="79"/>
      <c r="M872" s="186"/>
      <c r="N872" s="84"/>
      <c r="O872" s="84"/>
      <c r="P872" s="84"/>
    </row>
    <row r="873" spans="1:16" ht="15.75" customHeight="1">
      <c r="A873" s="185"/>
      <c r="B873" s="82"/>
      <c r="C873" s="81"/>
      <c r="D873" s="82"/>
      <c r="E873" s="81"/>
      <c r="F873" s="79"/>
      <c r="G873" s="82"/>
      <c r="H873" s="81"/>
      <c r="I873" s="84"/>
      <c r="J873" s="84"/>
      <c r="K873" s="84"/>
      <c r="L873" s="79"/>
      <c r="M873" s="186"/>
      <c r="N873" s="84"/>
      <c r="O873" s="84"/>
      <c r="P873" s="84"/>
    </row>
    <row r="874" spans="1:16" ht="15.75" customHeight="1">
      <c r="A874" s="185"/>
      <c r="B874" s="82"/>
      <c r="C874" s="81"/>
      <c r="D874" s="82"/>
      <c r="E874" s="81"/>
      <c r="F874" s="79"/>
      <c r="G874" s="82"/>
      <c r="H874" s="81"/>
      <c r="I874" s="84"/>
      <c r="J874" s="84"/>
      <c r="K874" s="84"/>
      <c r="L874" s="79"/>
      <c r="M874" s="186"/>
      <c r="N874" s="84"/>
      <c r="O874" s="84"/>
      <c r="P874" s="84"/>
    </row>
    <row r="875" spans="1:16" ht="15.75" customHeight="1">
      <c r="A875" s="185"/>
      <c r="B875" s="82"/>
      <c r="C875" s="81"/>
      <c r="D875" s="82"/>
      <c r="E875" s="81"/>
      <c r="F875" s="79"/>
      <c r="G875" s="82"/>
      <c r="H875" s="81"/>
      <c r="I875" s="84"/>
      <c r="J875" s="84"/>
      <c r="K875" s="84"/>
      <c r="L875" s="79"/>
      <c r="M875" s="186"/>
      <c r="N875" s="84"/>
      <c r="O875" s="84"/>
      <c r="P875" s="84"/>
    </row>
    <row r="876" spans="1:16" ht="15.75" customHeight="1">
      <c r="A876" s="185"/>
      <c r="B876" s="82"/>
      <c r="C876" s="81"/>
      <c r="D876" s="82"/>
      <c r="E876" s="81"/>
      <c r="F876" s="79"/>
      <c r="G876" s="82"/>
      <c r="H876" s="81"/>
      <c r="I876" s="84"/>
      <c r="J876" s="84"/>
      <c r="K876" s="84"/>
      <c r="L876" s="79"/>
      <c r="M876" s="186"/>
      <c r="N876" s="84"/>
      <c r="O876" s="84"/>
      <c r="P876" s="84"/>
    </row>
    <row r="877" spans="1:16" ht="15.75" customHeight="1">
      <c r="A877" s="185"/>
      <c r="B877" s="82"/>
      <c r="C877" s="81"/>
      <c r="D877" s="82"/>
      <c r="E877" s="81"/>
      <c r="F877" s="79"/>
      <c r="G877" s="82"/>
      <c r="H877" s="81"/>
      <c r="I877" s="84"/>
      <c r="J877" s="84"/>
      <c r="K877" s="84"/>
      <c r="L877" s="79"/>
      <c r="M877" s="186"/>
      <c r="N877" s="84"/>
      <c r="O877" s="84"/>
      <c r="P877" s="84"/>
    </row>
    <row r="878" spans="1:16" ht="15.75" customHeight="1">
      <c r="A878" s="185"/>
      <c r="B878" s="82"/>
      <c r="C878" s="81"/>
      <c r="D878" s="82"/>
      <c r="E878" s="81"/>
      <c r="F878" s="79"/>
      <c r="G878" s="82"/>
      <c r="H878" s="81"/>
      <c r="I878" s="84"/>
      <c r="J878" s="84"/>
      <c r="K878" s="84"/>
      <c r="L878" s="79"/>
      <c r="M878" s="186"/>
      <c r="N878" s="84"/>
      <c r="O878" s="84"/>
      <c r="P878" s="84"/>
    </row>
    <row r="879" spans="1:16" ht="15.75" customHeight="1">
      <c r="A879" s="185"/>
      <c r="B879" s="82"/>
      <c r="C879" s="81"/>
      <c r="D879" s="82"/>
      <c r="E879" s="81"/>
      <c r="F879" s="79"/>
      <c r="G879" s="82"/>
      <c r="H879" s="81"/>
      <c r="I879" s="84"/>
      <c r="J879" s="84"/>
      <c r="K879" s="84"/>
      <c r="L879" s="79"/>
      <c r="M879" s="186"/>
      <c r="N879" s="84"/>
      <c r="O879" s="84"/>
      <c r="P879" s="84"/>
    </row>
    <row r="880" spans="1:16" ht="15.75" customHeight="1">
      <c r="A880" s="185"/>
      <c r="B880" s="82"/>
      <c r="C880" s="81"/>
      <c r="D880" s="82"/>
      <c r="E880" s="81"/>
      <c r="F880" s="79"/>
      <c r="G880" s="82"/>
      <c r="H880" s="81"/>
      <c r="I880" s="84"/>
      <c r="J880" s="84"/>
      <c r="K880" s="84"/>
      <c r="L880" s="79"/>
      <c r="M880" s="186"/>
      <c r="N880" s="84"/>
      <c r="O880" s="84"/>
      <c r="P880" s="84"/>
    </row>
    <row r="881" spans="1:16" ht="15.75" customHeight="1">
      <c r="A881" s="185"/>
      <c r="B881" s="82"/>
      <c r="C881" s="81"/>
      <c r="D881" s="82"/>
      <c r="E881" s="81"/>
      <c r="F881" s="79"/>
      <c r="G881" s="82"/>
      <c r="H881" s="81"/>
      <c r="I881" s="84"/>
      <c r="J881" s="84"/>
      <c r="K881" s="84"/>
      <c r="L881" s="79"/>
      <c r="M881" s="186"/>
      <c r="N881" s="84"/>
      <c r="O881" s="84"/>
      <c r="P881" s="84"/>
    </row>
    <row r="882" spans="1:16" ht="15.75" customHeight="1">
      <c r="A882" s="185"/>
      <c r="B882" s="82"/>
      <c r="C882" s="81"/>
      <c r="D882" s="82"/>
      <c r="E882" s="81"/>
      <c r="F882" s="79"/>
      <c r="G882" s="82"/>
      <c r="H882" s="81"/>
      <c r="I882" s="84"/>
      <c r="J882" s="84"/>
      <c r="K882" s="84"/>
      <c r="L882" s="79"/>
      <c r="M882" s="186"/>
      <c r="N882" s="84"/>
      <c r="O882" s="84"/>
      <c r="P882" s="84"/>
    </row>
    <row r="883" spans="1:16" ht="15.75" customHeight="1">
      <c r="A883" s="185"/>
      <c r="B883" s="82"/>
      <c r="C883" s="81"/>
      <c r="D883" s="82"/>
      <c r="E883" s="81"/>
      <c r="F883" s="79"/>
      <c r="G883" s="82"/>
      <c r="H883" s="81"/>
      <c r="I883" s="84"/>
      <c r="J883" s="84"/>
      <c r="K883" s="84"/>
      <c r="L883" s="79"/>
      <c r="M883" s="186"/>
      <c r="N883" s="84"/>
      <c r="O883" s="84"/>
      <c r="P883" s="84"/>
    </row>
    <row r="884" spans="1:16" ht="15.75" customHeight="1">
      <c r="A884" s="185"/>
      <c r="B884" s="82"/>
      <c r="C884" s="81"/>
      <c r="D884" s="82"/>
      <c r="E884" s="81"/>
      <c r="F884" s="79"/>
      <c r="G884" s="82"/>
      <c r="H884" s="81"/>
      <c r="I884" s="84"/>
      <c r="J884" s="84"/>
      <c r="K884" s="84"/>
      <c r="L884" s="79"/>
      <c r="M884" s="186"/>
      <c r="N884" s="84"/>
      <c r="O884" s="84"/>
      <c r="P884" s="84"/>
    </row>
    <row r="885" spans="1:16" ht="15.75" customHeight="1">
      <c r="A885" s="185"/>
      <c r="B885" s="82"/>
      <c r="C885" s="81"/>
      <c r="D885" s="82"/>
      <c r="E885" s="81"/>
      <c r="F885" s="79"/>
      <c r="G885" s="82"/>
      <c r="H885" s="81"/>
      <c r="I885" s="84"/>
      <c r="J885" s="84"/>
      <c r="K885" s="84"/>
      <c r="L885" s="79"/>
      <c r="M885" s="186"/>
      <c r="N885" s="84"/>
      <c r="O885" s="84"/>
      <c r="P885" s="84"/>
    </row>
    <row r="886" spans="1:16" ht="15.75" customHeight="1">
      <c r="A886" s="185"/>
      <c r="B886" s="82"/>
      <c r="C886" s="81"/>
      <c r="D886" s="82"/>
      <c r="E886" s="81"/>
      <c r="F886" s="79"/>
      <c r="G886" s="82"/>
      <c r="H886" s="81"/>
      <c r="I886" s="84"/>
      <c r="J886" s="84"/>
      <c r="K886" s="84"/>
      <c r="L886" s="79"/>
      <c r="M886" s="186"/>
      <c r="N886" s="84"/>
      <c r="O886" s="84"/>
      <c r="P886" s="84"/>
    </row>
    <row r="887" spans="1:16" ht="15.75" customHeight="1">
      <c r="A887" s="185"/>
      <c r="B887" s="82"/>
      <c r="C887" s="81"/>
      <c r="D887" s="82"/>
      <c r="E887" s="81"/>
      <c r="F887" s="79"/>
      <c r="G887" s="82"/>
      <c r="H887" s="81"/>
      <c r="I887" s="84"/>
      <c r="J887" s="84"/>
      <c r="K887" s="84"/>
      <c r="L887" s="79"/>
      <c r="M887" s="186"/>
      <c r="N887" s="84"/>
      <c r="O887" s="84"/>
      <c r="P887" s="84"/>
    </row>
    <row r="888" spans="1:16" ht="15.75" customHeight="1">
      <c r="A888" s="185"/>
      <c r="B888" s="82"/>
      <c r="C888" s="81"/>
      <c r="D888" s="82"/>
      <c r="E888" s="81"/>
      <c r="F888" s="79"/>
      <c r="G888" s="82"/>
      <c r="H888" s="81"/>
      <c r="I888" s="84"/>
      <c r="J888" s="84"/>
      <c r="K888" s="84"/>
      <c r="L888" s="79"/>
      <c r="M888" s="186"/>
      <c r="N888" s="84"/>
      <c r="O888" s="84"/>
      <c r="P888" s="84"/>
    </row>
    <row r="889" spans="1:16" ht="15.75" customHeight="1">
      <c r="A889" s="185"/>
      <c r="B889" s="82"/>
      <c r="C889" s="81"/>
      <c r="D889" s="82"/>
      <c r="E889" s="81"/>
      <c r="F889" s="79"/>
      <c r="G889" s="82"/>
      <c r="H889" s="81"/>
      <c r="I889" s="84"/>
      <c r="J889" s="84"/>
      <c r="K889" s="84"/>
      <c r="L889" s="79"/>
      <c r="M889" s="186"/>
      <c r="N889" s="84"/>
      <c r="O889" s="84"/>
      <c r="P889" s="84"/>
    </row>
    <row r="890" spans="1:16" ht="15.75" customHeight="1">
      <c r="A890" s="185"/>
      <c r="B890" s="82"/>
      <c r="C890" s="81"/>
      <c r="D890" s="82"/>
      <c r="E890" s="81"/>
      <c r="F890" s="79"/>
      <c r="G890" s="82"/>
      <c r="H890" s="81"/>
      <c r="I890" s="84"/>
      <c r="J890" s="84"/>
      <c r="K890" s="84"/>
      <c r="L890" s="79"/>
      <c r="M890" s="186"/>
      <c r="N890" s="84"/>
      <c r="O890" s="84"/>
      <c r="P890" s="84"/>
    </row>
    <row r="891" spans="1:16" ht="15.75" customHeight="1">
      <c r="A891" s="185"/>
      <c r="B891" s="82"/>
      <c r="C891" s="81"/>
      <c r="D891" s="82"/>
      <c r="E891" s="81"/>
      <c r="F891" s="79"/>
      <c r="G891" s="82"/>
      <c r="H891" s="81"/>
      <c r="I891" s="84"/>
      <c r="J891" s="84"/>
      <c r="K891" s="84"/>
      <c r="L891" s="79"/>
      <c r="M891" s="186"/>
      <c r="N891" s="84"/>
      <c r="O891" s="84"/>
      <c r="P891" s="84"/>
    </row>
    <row r="892" spans="1:16" ht="15.75" customHeight="1">
      <c r="A892" s="185"/>
      <c r="B892" s="82"/>
      <c r="C892" s="81"/>
      <c r="D892" s="82"/>
      <c r="E892" s="81"/>
      <c r="F892" s="79"/>
      <c r="G892" s="82"/>
      <c r="H892" s="81"/>
      <c r="I892" s="84"/>
      <c r="J892" s="84"/>
      <c r="K892" s="84"/>
      <c r="L892" s="79"/>
      <c r="M892" s="186"/>
      <c r="N892" s="84"/>
      <c r="O892" s="84"/>
      <c r="P892" s="84"/>
    </row>
    <row r="893" spans="1:16" ht="15.75" customHeight="1">
      <c r="A893" s="185"/>
      <c r="B893" s="82"/>
      <c r="C893" s="81"/>
      <c r="D893" s="82"/>
      <c r="E893" s="81"/>
      <c r="F893" s="79"/>
      <c r="G893" s="82"/>
      <c r="H893" s="81"/>
      <c r="I893" s="84"/>
      <c r="J893" s="84"/>
      <c r="K893" s="84"/>
      <c r="L893" s="79"/>
      <c r="M893" s="186"/>
      <c r="N893" s="84"/>
      <c r="O893" s="84"/>
      <c r="P893" s="84"/>
    </row>
    <row r="894" spans="1:16" ht="15.75" customHeight="1">
      <c r="A894" s="185"/>
      <c r="B894" s="82"/>
      <c r="C894" s="81"/>
      <c r="D894" s="82"/>
      <c r="E894" s="81"/>
      <c r="F894" s="79"/>
      <c r="G894" s="82"/>
      <c r="H894" s="81"/>
      <c r="I894" s="84"/>
      <c r="J894" s="84"/>
      <c r="K894" s="84"/>
      <c r="L894" s="79"/>
      <c r="M894" s="186"/>
      <c r="N894" s="84"/>
      <c r="O894" s="84"/>
      <c r="P894" s="84"/>
    </row>
    <row r="895" spans="1:16" ht="15.75" customHeight="1">
      <c r="A895" s="185"/>
      <c r="B895" s="82"/>
      <c r="C895" s="81"/>
      <c r="D895" s="82"/>
      <c r="E895" s="81"/>
      <c r="F895" s="79"/>
      <c r="G895" s="82"/>
      <c r="H895" s="81"/>
      <c r="I895" s="84"/>
      <c r="J895" s="84"/>
      <c r="K895" s="84"/>
      <c r="L895" s="79"/>
      <c r="M895" s="186"/>
      <c r="N895" s="84"/>
      <c r="O895" s="84"/>
      <c r="P895" s="84"/>
    </row>
    <row r="896" spans="1:16" ht="15.75" customHeight="1">
      <c r="A896" s="185"/>
      <c r="B896" s="82"/>
      <c r="C896" s="81"/>
      <c r="D896" s="82"/>
      <c r="E896" s="81"/>
      <c r="F896" s="79"/>
      <c r="G896" s="82"/>
      <c r="H896" s="81"/>
      <c r="I896" s="84"/>
      <c r="J896" s="84"/>
      <c r="K896" s="84"/>
      <c r="L896" s="79"/>
      <c r="M896" s="186"/>
      <c r="N896" s="84"/>
      <c r="O896" s="84"/>
      <c r="P896" s="84"/>
    </row>
    <row r="897" spans="1:16" ht="15.75" customHeight="1">
      <c r="A897" s="185"/>
      <c r="B897" s="82"/>
      <c r="C897" s="81"/>
      <c r="D897" s="82"/>
      <c r="E897" s="81"/>
      <c r="F897" s="79"/>
      <c r="G897" s="82"/>
      <c r="H897" s="81"/>
      <c r="I897" s="84"/>
      <c r="J897" s="84"/>
      <c r="K897" s="84"/>
      <c r="L897" s="79"/>
      <c r="M897" s="186"/>
      <c r="N897" s="84"/>
      <c r="O897" s="84"/>
      <c r="P897" s="84"/>
    </row>
    <row r="898" spans="1:16" ht="15.75" customHeight="1">
      <c r="A898" s="185"/>
      <c r="B898" s="82"/>
      <c r="C898" s="81"/>
      <c r="D898" s="82"/>
      <c r="E898" s="81"/>
      <c r="F898" s="79"/>
      <c r="G898" s="82"/>
      <c r="H898" s="81"/>
      <c r="I898" s="84"/>
      <c r="J898" s="84"/>
      <c r="K898" s="84"/>
      <c r="L898" s="79"/>
      <c r="M898" s="186"/>
      <c r="N898" s="84"/>
      <c r="O898" s="84"/>
      <c r="P898" s="84"/>
    </row>
    <row r="899" spans="1:16" ht="15.75" customHeight="1">
      <c r="A899" s="185"/>
      <c r="B899" s="82"/>
      <c r="C899" s="81"/>
      <c r="D899" s="82"/>
      <c r="E899" s="81"/>
      <c r="F899" s="79"/>
      <c r="G899" s="82"/>
      <c r="H899" s="81"/>
      <c r="I899" s="84"/>
      <c r="J899" s="84"/>
      <c r="K899" s="84"/>
      <c r="L899" s="79"/>
      <c r="M899" s="186"/>
      <c r="N899" s="84"/>
      <c r="O899" s="84"/>
      <c r="P899" s="84"/>
    </row>
    <row r="900" spans="1:16" ht="15.75" customHeight="1">
      <c r="A900" s="185"/>
      <c r="B900" s="82"/>
      <c r="C900" s="81"/>
      <c r="D900" s="82"/>
      <c r="E900" s="81"/>
      <c r="F900" s="79"/>
      <c r="G900" s="82"/>
      <c r="H900" s="81"/>
      <c r="I900" s="84"/>
      <c r="J900" s="84"/>
      <c r="K900" s="84"/>
      <c r="L900" s="79"/>
      <c r="M900" s="186"/>
      <c r="N900" s="84"/>
      <c r="O900" s="84"/>
      <c r="P900" s="84"/>
    </row>
    <row r="901" spans="1:16" ht="15.75" customHeight="1">
      <c r="A901" s="185"/>
      <c r="B901" s="82"/>
      <c r="C901" s="81"/>
      <c r="D901" s="82"/>
      <c r="E901" s="81"/>
      <c r="F901" s="79"/>
      <c r="G901" s="82"/>
      <c r="H901" s="81"/>
      <c r="I901" s="84"/>
      <c r="J901" s="84"/>
      <c r="K901" s="84"/>
      <c r="L901" s="79"/>
      <c r="M901" s="186"/>
      <c r="N901" s="84"/>
      <c r="O901" s="84"/>
      <c r="P901" s="84"/>
    </row>
    <row r="902" spans="1:16" ht="15.75" customHeight="1">
      <c r="A902" s="185"/>
      <c r="B902" s="82"/>
      <c r="C902" s="81"/>
      <c r="D902" s="82"/>
      <c r="E902" s="81"/>
      <c r="F902" s="79"/>
      <c r="G902" s="82"/>
      <c r="H902" s="81"/>
      <c r="I902" s="84"/>
      <c r="J902" s="84"/>
      <c r="K902" s="84"/>
      <c r="L902" s="79"/>
      <c r="M902" s="186"/>
      <c r="N902" s="84"/>
      <c r="O902" s="84"/>
      <c r="P902" s="84"/>
    </row>
    <row r="903" spans="1:16" ht="15.75" customHeight="1">
      <c r="A903" s="185"/>
      <c r="B903" s="82"/>
      <c r="C903" s="81"/>
      <c r="D903" s="82"/>
      <c r="E903" s="81"/>
      <c r="F903" s="79"/>
      <c r="G903" s="82"/>
      <c r="H903" s="81"/>
      <c r="I903" s="84"/>
      <c r="J903" s="84"/>
      <c r="K903" s="84"/>
      <c r="L903" s="79"/>
      <c r="M903" s="186"/>
      <c r="N903" s="84"/>
      <c r="O903" s="84"/>
      <c r="P903" s="84"/>
    </row>
    <row r="904" spans="1:16" ht="15.75" customHeight="1">
      <c r="A904" s="185"/>
      <c r="B904" s="82"/>
      <c r="C904" s="81"/>
      <c r="D904" s="82"/>
      <c r="E904" s="81"/>
      <c r="F904" s="79"/>
      <c r="G904" s="82"/>
      <c r="H904" s="81"/>
      <c r="I904" s="84"/>
      <c r="J904" s="84"/>
      <c r="K904" s="84"/>
      <c r="L904" s="79"/>
      <c r="M904" s="186"/>
      <c r="N904" s="84"/>
      <c r="O904" s="84"/>
      <c r="P904" s="84"/>
    </row>
    <row r="905" spans="1:16" ht="15.75" customHeight="1">
      <c r="A905" s="185"/>
      <c r="B905" s="82"/>
      <c r="C905" s="81"/>
      <c r="D905" s="82"/>
      <c r="E905" s="81"/>
      <c r="F905" s="79"/>
      <c r="G905" s="82"/>
      <c r="H905" s="81"/>
      <c r="I905" s="84"/>
      <c r="J905" s="84"/>
      <c r="K905" s="84"/>
      <c r="L905" s="79"/>
      <c r="M905" s="186"/>
      <c r="N905" s="84"/>
      <c r="O905" s="84"/>
      <c r="P905" s="84"/>
    </row>
    <row r="906" spans="1:16" ht="15.75" customHeight="1">
      <c r="A906" s="185"/>
      <c r="B906" s="82"/>
      <c r="C906" s="81"/>
      <c r="D906" s="82"/>
      <c r="E906" s="81"/>
      <c r="F906" s="79"/>
      <c r="G906" s="82"/>
      <c r="H906" s="81"/>
      <c r="I906" s="84"/>
      <c r="J906" s="84"/>
      <c r="K906" s="84"/>
      <c r="L906" s="79"/>
      <c r="M906" s="186"/>
      <c r="N906" s="84"/>
      <c r="O906" s="84"/>
      <c r="P906" s="84"/>
    </row>
    <row r="907" spans="1:16" ht="15.75" customHeight="1">
      <c r="A907" s="185"/>
      <c r="B907" s="82"/>
      <c r="C907" s="81"/>
      <c r="D907" s="82"/>
      <c r="E907" s="81"/>
      <c r="F907" s="79"/>
      <c r="G907" s="82"/>
      <c r="H907" s="81"/>
      <c r="I907" s="84"/>
      <c r="J907" s="84"/>
      <c r="K907" s="84"/>
      <c r="L907" s="79"/>
      <c r="M907" s="186"/>
      <c r="N907" s="84"/>
      <c r="O907" s="84"/>
      <c r="P907" s="84"/>
    </row>
    <row r="908" spans="1:16" ht="15.75" customHeight="1">
      <c r="A908" s="185"/>
      <c r="B908" s="82"/>
      <c r="C908" s="81"/>
      <c r="D908" s="82"/>
      <c r="E908" s="81"/>
      <c r="F908" s="79"/>
      <c r="G908" s="82"/>
      <c r="H908" s="81"/>
      <c r="I908" s="84"/>
      <c r="J908" s="84"/>
      <c r="K908" s="84"/>
      <c r="L908" s="79"/>
      <c r="M908" s="186"/>
      <c r="N908" s="84"/>
      <c r="O908" s="84"/>
      <c r="P908" s="84"/>
    </row>
    <row r="909" spans="1:16" ht="15.75" customHeight="1">
      <c r="A909" s="185"/>
      <c r="B909" s="82"/>
      <c r="C909" s="81"/>
      <c r="D909" s="82"/>
      <c r="E909" s="81"/>
      <c r="F909" s="79"/>
      <c r="G909" s="82"/>
      <c r="H909" s="81"/>
      <c r="I909" s="84"/>
      <c r="J909" s="84"/>
      <c r="K909" s="84"/>
      <c r="L909" s="79"/>
      <c r="M909" s="186"/>
      <c r="N909" s="84"/>
      <c r="O909" s="84"/>
      <c r="P909" s="84"/>
    </row>
    <row r="910" spans="1:16" ht="15.75" customHeight="1">
      <c r="A910" s="185"/>
      <c r="B910" s="82"/>
      <c r="C910" s="81"/>
      <c r="D910" s="82"/>
      <c r="E910" s="81"/>
      <c r="F910" s="79"/>
      <c r="G910" s="82"/>
      <c r="H910" s="81"/>
      <c r="I910" s="84"/>
      <c r="J910" s="84"/>
      <c r="K910" s="84"/>
      <c r="L910" s="79"/>
      <c r="M910" s="186"/>
      <c r="N910" s="84"/>
      <c r="O910" s="84"/>
      <c r="P910" s="84"/>
    </row>
    <row r="911" spans="1:16" ht="15.75" customHeight="1">
      <c r="A911" s="185"/>
      <c r="B911" s="82"/>
      <c r="C911" s="81"/>
      <c r="D911" s="82"/>
      <c r="E911" s="81"/>
      <c r="F911" s="79"/>
      <c r="G911" s="82"/>
      <c r="H911" s="81"/>
      <c r="I911" s="84"/>
      <c r="J911" s="84"/>
      <c r="K911" s="84"/>
      <c r="L911" s="79"/>
      <c r="M911" s="186"/>
      <c r="N911" s="84"/>
      <c r="O911" s="84"/>
      <c r="P911" s="84"/>
    </row>
    <row r="912" spans="1:16" ht="15.75" customHeight="1">
      <c r="A912" s="185"/>
      <c r="B912" s="82"/>
      <c r="C912" s="81"/>
      <c r="D912" s="82"/>
      <c r="E912" s="81"/>
      <c r="F912" s="79"/>
      <c r="G912" s="82"/>
      <c r="H912" s="81"/>
      <c r="I912" s="84"/>
      <c r="J912" s="84"/>
      <c r="K912" s="84"/>
      <c r="L912" s="79"/>
      <c r="M912" s="186"/>
      <c r="N912" s="84"/>
      <c r="O912" s="84"/>
      <c r="P912" s="84"/>
    </row>
    <row r="913" spans="1:16" ht="15.75" customHeight="1">
      <c r="A913" s="185"/>
      <c r="B913" s="82"/>
      <c r="C913" s="81"/>
      <c r="D913" s="82"/>
      <c r="E913" s="81"/>
      <c r="F913" s="79"/>
      <c r="G913" s="82"/>
      <c r="H913" s="81"/>
      <c r="I913" s="84"/>
      <c r="J913" s="84"/>
      <c r="K913" s="84"/>
      <c r="L913" s="79"/>
      <c r="M913" s="186"/>
      <c r="N913" s="84"/>
      <c r="O913" s="84"/>
      <c r="P913" s="84"/>
    </row>
    <row r="914" spans="1:16" ht="15.75" customHeight="1">
      <c r="A914" s="185"/>
      <c r="B914" s="82"/>
      <c r="C914" s="81"/>
      <c r="D914" s="82"/>
      <c r="E914" s="81"/>
      <c r="F914" s="79"/>
      <c r="G914" s="82"/>
      <c r="H914" s="81"/>
      <c r="I914" s="84"/>
      <c r="J914" s="84"/>
      <c r="K914" s="84"/>
      <c r="L914" s="79"/>
      <c r="M914" s="186"/>
      <c r="N914" s="84"/>
      <c r="O914" s="84"/>
      <c r="P914" s="84"/>
    </row>
    <row r="915" spans="1:16" ht="15.75" customHeight="1">
      <c r="A915" s="185"/>
      <c r="B915" s="82"/>
      <c r="C915" s="81"/>
      <c r="D915" s="82"/>
      <c r="E915" s="81"/>
      <c r="F915" s="79"/>
      <c r="G915" s="82"/>
      <c r="H915" s="81"/>
      <c r="I915" s="84"/>
      <c r="J915" s="84"/>
      <c r="K915" s="84"/>
      <c r="L915" s="79"/>
      <c r="M915" s="186"/>
      <c r="N915" s="84"/>
      <c r="O915" s="84"/>
      <c r="P915" s="84"/>
    </row>
    <row r="916" spans="1:16" ht="15.75" customHeight="1">
      <c r="A916" s="185"/>
      <c r="B916" s="82"/>
      <c r="C916" s="81"/>
      <c r="D916" s="82"/>
      <c r="E916" s="81"/>
      <c r="F916" s="79"/>
      <c r="G916" s="82"/>
      <c r="H916" s="81"/>
      <c r="I916" s="84"/>
      <c r="J916" s="84"/>
      <c r="K916" s="84"/>
      <c r="L916" s="79"/>
      <c r="M916" s="186"/>
      <c r="N916" s="84"/>
      <c r="O916" s="84"/>
      <c r="P916" s="84"/>
    </row>
    <row r="917" spans="1:16" ht="15.75" customHeight="1">
      <c r="A917" s="185"/>
      <c r="B917" s="82"/>
      <c r="C917" s="81"/>
      <c r="D917" s="82"/>
      <c r="E917" s="81"/>
      <c r="F917" s="79"/>
      <c r="G917" s="82"/>
      <c r="H917" s="81"/>
      <c r="I917" s="84"/>
      <c r="J917" s="84"/>
      <c r="K917" s="84"/>
      <c r="L917" s="79"/>
      <c r="M917" s="186"/>
      <c r="N917" s="84"/>
      <c r="O917" s="84"/>
      <c r="P917" s="84"/>
    </row>
    <row r="918" spans="1:16" ht="15.75" customHeight="1">
      <c r="A918" s="185"/>
      <c r="B918" s="82"/>
      <c r="C918" s="81"/>
      <c r="D918" s="82"/>
      <c r="E918" s="81"/>
      <c r="F918" s="79"/>
      <c r="G918" s="82"/>
      <c r="H918" s="81"/>
      <c r="I918" s="84"/>
      <c r="J918" s="84"/>
      <c r="K918" s="84"/>
      <c r="L918" s="79"/>
      <c r="M918" s="186"/>
      <c r="N918" s="84"/>
      <c r="O918" s="84"/>
      <c r="P918" s="84"/>
    </row>
    <row r="919" spans="1:16" ht="15.75" customHeight="1">
      <c r="A919" s="185"/>
      <c r="B919" s="82"/>
      <c r="C919" s="81"/>
      <c r="D919" s="82"/>
      <c r="E919" s="81"/>
      <c r="F919" s="79"/>
      <c r="G919" s="82"/>
      <c r="H919" s="81"/>
      <c r="I919" s="84"/>
      <c r="J919" s="84"/>
      <c r="K919" s="84"/>
      <c r="L919" s="79"/>
      <c r="M919" s="186"/>
      <c r="N919" s="84"/>
      <c r="O919" s="84"/>
      <c r="P919" s="84"/>
    </row>
    <row r="920" spans="1:16" ht="15.75" customHeight="1">
      <c r="A920" s="185"/>
      <c r="B920" s="82"/>
      <c r="C920" s="81"/>
      <c r="D920" s="82"/>
      <c r="E920" s="81"/>
      <c r="F920" s="79"/>
      <c r="G920" s="82"/>
      <c r="H920" s="81"/>
      <c r="I920" s="84"/>
      <c r="J920" s="84"/>
      <c r="K920" s="84"/>
      <c r="L920" s="79"/>
      <c r="M920" s="186"/>
      <c r="N920" s="84"/>
      <c r="O920" s="84"/>
      <c r="P920" s="84"/>
    </row>
    <row r="921" spans="1:16" ht="15.75" customHeight="1">
      <c r="A921" s="185"/>
      <c r="B921" s="82"/>
      <c r="C921" s="81"/>
      <c r="D921" s="82"/>
      <c r="E921" s="81"/>
      <c r="F921" s="79"/>
      <c r="G921" s="82"/>
      <c r="H921" s="81"/>
      <c r="I921" s="84"/>
      <c r="J921" s="84"/>
      <c r="K921" s="84"/>
      <c r="L921" s="79"/>
      <c r="M921" s="186"/>
      <c r="N921" s="84"/>
      <c r="O921" s="84"/>
      <c r="P921" s="84"/>
    </row>
    <row r="922" spans="1:16" ht="15.75" customHeight="1">
      <c r="A922" s="185"/>
      <c r="B922" s="82"/>
      <c r="C922" s="81"/>
      <c r="D922" s="82"/>
      <c r="E922" s="81"/>
      <c r="F922" s="79"/>
      <c r="G922" s="82"/>
      <c r="H922" s="81"/>
      <c r="I922" s="84"/>
      <c r="J922" s="84"/>
      <c r="K922" s="84"/>
      <c r="L922" s="79"/>
      <c r="M922" s="186"/>
      <c r="N922" s="84"/>
      <c r="O922" s="84"/>
      <c r="P922" s="84"/>
    </row>
    <row r="923" spans="1:16" ht="15.75" customHeight="1">
      <c r="A923" s="185"/>
      <c r="B923" s="82"/>
      <c r="C923" s="81"/>
      <c r="D923" s="82"/>
      <c r="E923" s="81"/>
      <c r="F923" s="79"/>
      <c r="G923" s="82"/>
      <c r="H923" s="81"/>
      <c r="I923" s="84"/>
      <c r="J923" s="84"/>
      <c r="K923" s="84"/>
      <c r="L923" s="79"/>
      <c r="M923" s="186"/>
      <c r="N923" s="84"/>
      <c r="O923" s="84"/>
      <c r="P923" s="84"/>
    </row>
    <row r="924" spans="1:16" ht="15.75" customHeight="1">
      <c r="A924" s="185"/>
      <c r="B924" s="82"/>
      <c r="C924" s="81"/>
      <c r="D924" s="82"/>
      <c r="E924" s="81"/>
      <c r="F924" s="79"/>
      <c r="G924" s="82"/>
      <c r="H924" s="81"/>
      <c r="I924" s="84"/>
      <c r="J924" s="84"/>
      <c r="K924" s="84"/>
      <c r="L924" s="79"/>
      <c r="M924" s="186"/>
      <c r="N924" s="84"/>
      <c r="O924" s="84"/>
      <c r="P924" s="84"/>
    </row>
    <row r="925" spans="1:16" ht="15.75" customHeight="1">
      <c r="A925" s="185"/>
      <c r="B925" s="82"/>
      <c r="C925" s="81"/>
      <c r="D925" s="82"/>
      <c r="E925" s="81"/>
      <c r="F925" s="79"/>
      <c r="G925" s="82"/>
      <c r="H925" s="81"/>
      <c r="I925" s="84"/>
      <c r="J925" s="84"/>
      <c r="K925" s="84"/>
      <c r="L925" s="79"/>
      <c r="M925" s="186"/>
      <c r="N925" s="84"/>
      <c r="O925" s="84"/>
      <c r="P925" s="84"/>
    </row>
    <row r="926" spans="1:16" ht="15.75" customHeight="1">
      <c r="A926" s="185"/>
      <c r="B926" s="82"/>
      <c r="C926" s="81"/>
      <c r="D926" s="82"/>
      <c r="E926" s="81"/>
      <c r="F926" s="79"/>
      <c r="G926" s="82"/>
      <c r="H926" s="81"/>
      <c r="I926" s="84"/>
      <c r="J926" s="84"/>
      <c r="K926" s="84"/>
      <c r="L926" s="79"/>
      <c r="M926" s="186"/>
      <c r="N926" s="84"/>
      <c r="O926" s="84"/>
      <c r="P926" s="84"/>
    </row>
    <row r="927" spans="1:16" ht="15.75" customHeight="1">
      <c r="A927" s="185"/>
      <c r="B927" s="82"/>
      <c r="C927" s="81"/>
      <c r="D927" s="82"/>
      <c r="E927" s="81"/>
      <c r="F927" s="79"/>
      <c r="G927" s="82"/>
      <c r="H927" s="81"/>
      <c r="I927" s="84"/>
      <c r="J927" s="84"/>
      <c r="K927" s="84"/>
      <c r="L927" s="79"/>
      <c r="M927" s="186"/>
      <c r="N927" s="84"/>
      <c r="O927" s="84"/>
      <c r="P927" s="84"/>
    </row>
    <row r="928" spans="1:16" ht="15.75" customHeight="1">
      <c r="A928" s="185"/>
      <c r="B928" s="82"/>
      <c r="C928" s="81"/>
      <c r="D928" s="82"/>
      <c r="E928" s="81"/>
      <c r="F928" s="79"/>
      <c r="G928" s="82"/>
      <c r="H928" s="81"/>
      <c r="I928" s="84"/>
      <c r="J928" s="84"/>
      <c r="K928" s="84"/>
      <c r="L928" s="79"/>
      <c r="M928" s="186"/>
      <c r="N928" s="84"/>
      <c r="O928" s="84"/>
      <c r="P928" s="84"/>
    </row>
    <row r="929" spans="1:16" ht="15.75" customHeight="1">
      <c r="A929" s="185"/>
      <c r="B929" s="82"/>
      <c r="C929" s="81"/>
      <c r="D929" s="82"/>
      <c r="E929" s="81"/>
      <c r="F929" s="79"/>
      <c r="G929" s="82"/>
      <c r="H929" s="81"/>
      <c r="I929" s="84"/>
      <c r="J929" s="84"/>
      <c r="K929" s="84"/>
      <c r="L929" s="79"/>
      <c r="M929" s="186"/>
      <c r="N929" s="84"/>
      <c r="O929" s="84"/>
      <c r="P929" s="84"/>
    </row>
    <row r="930" spans="1:16" ht="15.75" customHeight="1">
      <c r="A930" s="185"/>
      <c r="B930" s="82"/>
      <c r="C930" s="81"/>
      <c r="D930" s="82"/>
      <c r="E930" s="81"/>
      <c r="F930" s="79"/>
      <c r="G930" s="82"/>
      <c r="H930" s="81"/>
      <c r="I930" s="84"/>
      <c r="J930" s="84"/>
      <c r="K930" s="84"/>
      <c r="L930" s="79"/>
      <c r="M930" s="186"/>
      <c r="N930" s="84"/>
      <c r="O930" s="84"/>
      <c r="P930" s="84"/>
    </row>
    <row r="931" spans="1:16" ht="15.75" customHeight="1">
      <c r="A931" s="185"/>
      <c r="B931" s="82"/>
      <c r="C931" s="81"/>
      <c r="D931" s="82"/>
      <c r="E931" s="81"/>
      <c r="F931" s="79"/>
      <c r="G931" s="82"/>
      <c r="H931" s="81"/>
      <c r="I931" s="84"/>
      <c r="J931" s="84"/>
      <c r="K931" s="84"/>
      <c r="L931" s="79"/>
      <c r="M931" s="186"/>
      <c r="N931" s="84"/>
      <c r="O931" s="84"/>
      <c r="P931" s="84"/>
    </row>
    <row r="932" spans="1:16" ht="15.75" customHeight="1">
      <c r="A932" s="185"/>
      <c r="B932" s="82"/>
      <c r="C932" s="81"/>
      <c r="D932" s="82"/>
      <c r="E932" s="81"/>
      <c r="F932" s="79"/>
      <c r="G932" s="82"/>
      <c r="H932" s="81"/>
      <c r="I932" s="84"/>
      <c r="J932" s="84"/>
      <c r="K932" s="84"/>
      <c r="L932" s="79"/>
      <c r="M932" s="186"/>
      <c r="N932" s="84"/>
      <c r="O932" s="84"/>
      <c r="P932" s="84"/>
    </row>
    <row r="933" spans="1:16" ht="15.75" customHeight="1">
      <c r="A933" s="185"/>
      <c r="B933" s="82"/>
      <c r="C933" s="81"/>
      <c r="D933" s="82"/>
      <c r="E933" s="81"/>
      <c r="F933" s="79"/>
      <c r="G933" s="82"/>
      <c r="H933" s="81"/>
      <c r="I933" s="84"/>
      <c r="J933" s="84"/>
      <c r="K933" s="84"/>
      <c r="L933" s="79"/>
      <c r="M933" s="186"/>
      <c r="N933" s="84"/>
      <c r="O933" s="84"/>
      <c r="P933" s="84"/>
    </row>
    <row r="934" spans="1:16" ht="15.75" customHeight="1">
      <c r="A934" s="185"/>
      <c r="B934" s="82"/>
      <c r="C934" s="81"/>
      <c r="D934" s="82"/>
      <c r="E934" s="81"/>
      <c r="F934" s="79"/>
      <c r="G934" s="82"/>
      <c r="H934" s="81"/>
      <c r="I934" s="84"/>
      <c r="J934" s="84"/>
      <c r="K934" s="84"/>
      <c r="L934" s="79"/>
      <c r="M934" s="186"/>
      <c r="N934" s="84"/>
      <c r="O934" s="84"/>
      <c r="P934" s="84"/>
    </row>
    <row r="935" spans="1:16" ht="15.75" customHeight="1">
      <c r="A935" s="185"/>
      <c r="B935" s="82"/>
      <c r="C935" s="81"/>
      <c r="D935" s="82"/>
      <c r="E935" s="81"/>
      <c r="F935" s="79"/>
      <c r="G935" s="82"/>
      <c r="H935" s="81"/>
      <c r="I935" s="84"/>
      <c r="J935" s="84"/>
      <c r="K935" s="84"/>
      <c r="L935" s="79"/>
      <c r="M935" s="186"/>
      <c r="N935" s="84"/>
      <c r="O935" s="84"/>
      <c r="P935" s="84"/>
    </row>
    <row r="936" spans="1:16" ht="15.75" customHeight="1">
      <c r="A936" s="185"/>
      <c r="B936" s="82"/>
      <c r="C936" s="81"/>
      <c r="D936" s="82"/>
      <c r="E936" s="81"/>
      <c r="F936" s="79"/>
      <c r="G936" s="82"/>
      <c r="H936" s="81"/>
      <c r="I936" s="84"/>
      <c r="J936" s="84"/>
      <c r="K936" s="84"/>
      <c r="L936" s="79"/>
      <c r="M936" s="186"/>
      <c r="N936" s="84"/>
      <c r="O936" s="84"/>
      <c r="P936" s="84"/>
    </row>
    <row r="937" spans="1:16" ht="15.75" customHeight="1">
      <c r="A937" s="185"/>
      <c r="B937" s="82"/>
      <c r="C937" s="81"/>
      <c r="D937" s="82"/>
      <c r="E937" s="81"/>
      <c r="F937" s="79"/>
      <c r="G937" s="82"/>
      <c r="H937" s="81"/>
      <c r="I937" s="84"/>
      <c r="J937" s="84"/>
      <c r="K937" s="84"/>
      <c r="L937" s="79"/>
      <c r="M937" s="186"/>
      <c r="N937" s="84"/>
      <c r="O937" s="84"/>
      <c r="P937" s="84"/>
    </row>
    <row r="938" spans="1:16" ht="15.75" customHeight="1">
      <c r="A938" s="185"/>
      <c r="B938" s="82"/>
      <c r="C938" s="81"/>
      <c r="D938" s="82"/>
      <c r="E938" s="81"/>
      <c r="F938" s="79"/>
      <c r="G938" s="82"/>
      <c r="H938" s="81"/>
      <c r="I938" s="84"/>
      <c r="J938" s="84"/>
      <c r="K938" s="84"/>
      <c r="L938" s="79"/>
      <c r="M938" s="186"/>
      <c r="N938" s="84"/>
      <c r="O938" s="84"/>
      <c r="P938" s="84"/>
    </row>
    <row r="939" spans="1:16" ht="15.75" customHeight="1">
      <c r="A939" s="185"/>
      <c r="B939" s="82"/>
      <c r="C939" s="81"/>
      <c r="D939" s="82"/>
      <c r="E939" s="81"/>
      <c r="F939" s="79"/>
      <c r="G939" s="82"/>
      <c r="H939" s="81"/>
      <c r="I939" s="84"/>
      <c r="J939" s="84"/>
      <c r="K939" s="84"/>
      <c r="L939" s="79"/>
      <c r="M939" s="186"/>
      <c r="N939" s="84"/>
      <c r="O939" s="84"/>
      <c r="P939" s="84"/>
    </row>
    <row r="940" spans="1:16" ht="15.75" customHeight="1">
      <c r="A940" s="185"/>
      <c r="B940" s="82"/>
      <c r="C940" s="81"/>
      <c r="D940" s="82"/>
      <c r="E940" s="81"/>
      <c r="F940" s="79"/>
      <c r="G940" s="82"/>
      <c r="H940" s="81"/>
      <c r="I940" s="84"/>
      <c r="J940" s="84"/>
      <c r="K940" s="84"/>
      <c r="L940" s="79"/>
      <c r="M940" s="186"/>
      <c r="N940" s="84"/>
      <c r="O940" s="84"/>
      <c r="P940" s="84"/>
    </row>
    <row r="941" spans="1:16" ht="15.75" customHeight="1">
      <c r="A941" s="185"/>
      <c r="B941" s="82"/>
      <c r="C941" s="81"/>
      <c r="D941" s="82"/>
      <c r="E941" s="81"/>
      <c r="F941" s="79"/>
      <c r="G941" s="82"/>
      <c r="H941" s="81"/>
      <c r="I941" s="84"/>
      <c r="J941" s="84"/>
      <c r="K941" s="84"/>
      <c r="L941" s="79"/>
      <c r="M941" s="186"/>
      <c r="N941" s="84"/>
      <c r="O941" s="84"/>
      <c r="P941" s="84"/>
    </row>
    <row r="942" spans="1:16" ht="15.75" customHeight="1">
      <c r="A942" s="185"/>
      <c r="B942" s="82"/>
      <c r="C942" s="81"/>
      <c r="D942" s="82"/>
      <c r="E942" s="81"/>
      <c r="F942" s="79"/>
      <c r="G942" s="82"/>
      <c r="H942" s="81"/>
      <c r="I942" s="84"/>
      <c r="J942" s="84"/>
      <c r="K942" s="84"/>
      <c r="L942" s="79"/>
      <c r="M942" s="186"/>
      <c r="N942" s="84"/>
      <c r="O942" s="84"/>
      <c r="P942" s="84"/>
    </row>
    <row r="943" spans="1:16" ht="15.75" customHeight="1">
      <c r="A943" s="185"/>
      <c r="B943" s="82"/>
      <c r="C943" s="81"/>
      <c r="D943" s="82"/>
      <c r="E943" s="81"/>
      <c r="F943" s="79"/>
      <c r="G943" s="82"/>
      <c r="H943" s="81"/>
      <c r="I943" s="84"/>
      <c r="J943" s="84"/>
      <c r="K943" s="84"/>
      <c r="L943" s="79"/>
      <c r="M943" s="186"/>
      <c r="N943" s="84"/>
      <c r="O943" s="84"/>
      <c r="P943" s="84"/>
    </row>
    <row r="944" spans="1:16" ht="15.75" customHeight="1">
      <c r="A944" s="185"/>
      <c r="B944" s="82"/>
      <c r="C944" s="81"/>
      <c r="D944" s="82"/>
      <c r="E944" s="81"/>
      <c r="F944" s="79"/>
      <c r="G944" s="82"/>
      <c r="H944" s="81"/>
      <c r="I944" s="84"/>
      <c r="J944" s="84"/>
      <c r="K944" s="84"/>
      <c r="L944" s="79"/>
      <c r="M944" s="186"/>
      <c r="N944" s="84"/>
      <c r="O944" s="84"/>
      <c r="P944" s="84"/>
    </row>
    <row r="945" spans="1:16" ht="15.75" customHeight="1">
      <c r="A945" s="185"/>
      <c r="B945" s="82"/>
      <c r="C945" s="81"/>
      <c r="D945" s="82"/>
      <c r="E945" s="81"/>
      <c r="F945" s="79"/>
      <c r="G945" s="82"/>
      <c r="H945" s="81"/>
      <c r="I945" s="84"/>
      <c r="J945" s="84"/>
      <c r="K945" s="84"/>
      <c r="L945" s="79"/>
      <c r="M945" s="186"/>
      <c r="N945" s="84"/>
      <c r="O945" s="84"/>
      <c r="P945" s="84"/>
    </row>
    <row r="946" spans="1:16" ht="15.75" customHeight="1">
      <c r="A946" s="185"/>
      <c r="B946" s="82"/>
      <c r="C946" s="81"/>
      <c r="D946" s="82"/>
      <c r="E946" s="81"/>
      <c r="F946" s="79"/>
      <c r="G946" s="82"/>
      <c r="H946" s="81"/>
      <c r="I946" s="84"/>
      <c r="J946" s="84"/>
      <c r="K946" s="84"/>
      <c r="L946" s="79"/>
      <c r="M946" s="186"/>
      <c r="N946" s="84"/>
      <c r="O946" s="84"/>
      <c r="P946" s="84"/>
    </row>
    <row r="947" spans="1:16" ht="15.75" customHeight="1">
      <c r="A947" s="185"/>
      <c r="B947" s="82"/>
      <c r="C947" s="81"/>
      <c r="D947" s="82"/>
      <c r="E947" s="81"/>
      <c r="F947" s="79"/>
      <c r="G947" s="82"/>
      <c r="H947" s="81"/>
      <c r="I947" s="84"/>
      <c r="J947" s="84"/>
      <c r="K947" s="84"/>
      <c r="L947" s="79"/>
      <c r="M947" s="186"/>
      <c r="N947" s="84"/>
      <c r="O947" s="84"/>
      <c r="P947" s="84"/>
    </row>
    <row r="948" spans="1:16" ht="15.75" customHeight="1">
      <c r="A948" s="185"/>
      <c r="B948" s="82"/>
      <c r="C948" s="81"/>
      <c r="D948" s="82"/>
      <c r="E948" s="81"/>
      <c r="F948" s="79"/>
      <c r="G948" s="82"/>
      <c r="H948" s="81"/>
      <c r="I948" s="84"/>
      <c r="J948" s="84"/>
      <c r="K948" s="84"/>
      <c r="L948" s="79"/>
      <c r="M948" s="186"/>
      <c r="N948" s="84"/>
      <c r="O948" s="84"/>
      <c r="P948" s="84"/>
    </row>
    <row r="949" spans="1:16" ht="15.75" customHeight="1">
      <c r="A949" s="185"/>
      <c r="B949" s="82"/>
      <c r="C949" s="81"/>
      <c r="D949" s="82"/>
      <c r="E949" s="81"/>
      <c r="F949" s="79"/>
      <c r="G949" s="82"/>
      <c r="H949" s="81"/>
      <c r="I949" s="84"/>
      <c r="J949" s="84"/>
      <c r="K949" s="84"/>
      <c r="L949" s="79"/>
      <c r="M949" s="186"/>
      <c r="N949" s="84"/>
      <c r="O949" s="84"/>
      <c r="P949" s="84"/>
    </row>
    <row r="950" spans="1:16" ht="15.75" customHeight="1">
      <c r="A950" s="185"/>
      <c r="B950" s="82"/>
      <c r="C950" s="81"/>
      <c r="D950" s="82"/>
      <c r="E950" s="81"/>
      <c r="F950" s="79"/>
      <c r="G950" s="82"/>
      <c r="H950" s="81"/>
      <c r="I950" s="84"/>
      <c r="J950" s="84"/>
      <c r="K950" s="84"/>
      <c r="L950" s="79"/>
      <c r="M950" s="186"/>
      <c r="N950" s="84"/>
      <c r="O950" s="84"/>
      <c r="P950" s="84"/>
    </row>
    <row r="951" spans="1:16" ht="15.75" customHeight="1">
      <c r="A951" s="185"/>
      <c r="B951" s="82"/>
      <c r="C951" s="81"/>
      <c r="D951" s="82"/>
      <c r="E951" s="81"/>
      <c r="F951" s="79"/>
      <c r="G951" s="82"/>
      <c r="H951" s="81"/>
      <c r="I951" s="84"/>
      <c r="J951" s="84"/>
      <c r="K951" s="84"/>
      <c r="L951" s="79"/>
      <c r="M951" s="186"/>
      <c r="N951" s="84"/>
      <c r="O951" s="84"/>
      <c r="P951" s="84"/>
    </row>
    <row r="952" spans="1:16" ht="15.75" customHeight="1">
      <c r="A952" s="185"/>
      <c r="B952" s="82"/>
      <c r="C952" s="81"/>
      <c r="D952" s="82"/>
      <c r="E952" s="81"/>
      <c r="F952" s="79"/>
      <c r="G952" s="82"/>
      <c r="H952" s="81"/>
      <c r="I952" s="84"/>
      <c r="J952" s="84"/>
      <c r="K952" s="84"/>
      <c r="L952" s="79"/>
      <c r="M952" s="186"/>
      <c r="N952" s="84"/>
      <c r="O952" s="84"/>
      <c r="P952" s="84"/>
    </row>
    <row r="953" spans="1:16" ht="15.75" customHeight="1">
      <c r="A953" s="185"/>
      <c r="B953" s="82"/>
      <c r="C953" s="81"/>
      <c r="D953" s="82"/>
      <c r="E953" s="81"/>
      <c r="F953" s="79"/>
      <c r="G953" s="82"/>
      <c r="H953" s="81"/>
      <c r="I953" s="84"/>
      <c r="J953" s="84"/>
      <c r="K953" s="84"/>
      <c r="L953" s="79"/>
      <c r="M953" s="186"/>
      <c r="N953" s="84"/>
      <c r="O953" s="84"/>
      <c r="P953" s="84"/>
    </row>
    <row r="954" spans="1:16" ht="15.75" customHeight="1">
      <c r="A954" s="185"/>
      <c r="B954" s="82"/>
      <c r="C954" s="81"/>
      <c r="D954" s="82"/>
      <c r="E954" s="81"/>
      <c r="F954" s="79"/>
      <c r="G954" s="82"/>
      <c r="H954" s="81"/>
      <c r="I954" s="84"/>
      <c r="J954" s="84"/>
      <c r="K954" s="84"/>
      <c r="L954" s="79"/>
      <c r="M954" s="186"/>
      <c r="N954" s="84"/>
      <c r="O954" s="84"/>
      <c r="P954" s="84"/>
    </row>
    <row r="955" spans="1:16" ht="15.75" customHeight="1">
      <c r="A955" s="185"/>
      <c r="B955" s="82"/>
      <c r="C955" s="81"/>
      <c r="D955" s="82"/>
      <c r="E955" s="81"/>
      <c r="F955" s="79"/>
      <c r="G955" s="82"/>
      <c r="H955" s="81"/>
      <c r="I955" s="84"/>
      <c r="J955" s="84"/>
      <c r="K955" s="84"/>
      <c r="L955" s="79"/>
      <c r="M955" s="186"/>
      <c r="N955" s="84"/>
      <c r="O955" s="84"/>
      <c r="P955" s="84"/>
    </row>
    <row r="956" spans="1:16" ht="15.75" customHeight="1">
      <c r="A956" s="185"/>
      <c r="B956" s="82"/>
      <c r="C956" s="81"/>
      <c r="D956" s="82"/>
      <c r="E956" s="81"/>
      <c r="F956" s="79"/>
      <c r="G956" s="82"/>
      <c r="H956" s="81"/>
      <c r="I956" s="84"/>
      <c r="J956" s="84"/>
      <c r="K956" s="84"/>
      <c r="L956" s="79"/>
      <c r="M956" s="186"/>
      <c r="N956" s="84"/>
      <c r="O956" s="84"/>
      <c r="P956" s="84"/>
    </row>
    <row r="957" spans="1:16" ht="15.75" customHeight="1">
      <c r="A957" s="185"/>
      <c r="B957" s="82"/>
      <c r="C957" s="81"/>
      <c r="D957" s="82"/>
      <c r="E957" s="81"/>
      <c r="F957" s="79"/>
      <c r="G957" s="82"/>
      <c r="H957" s="81"/>
      <c r="I957" s="84"/>
      <c r="J957" s="84"/>
      <c r="K957" s="84"/>
      <c r="L957" s="79"/>
      <c r="M957" s="186"/>
      <c r="N957" s="84"/>
      <c r="O957" s="84"/>
      <c r="P957" s="84"/>
    </row>
    <row r="958" spans="1:16" ht="15.75" customHeight="1">
      <c r="A958" s="185"/>
      <c r="B958" s="82"/>
      <c r="C958" s="81"/>
      <c r="D958" s="82"/>
      <c r="E958" s="81"/>
      <c r="F958" s="79"/>
      <c r="G958" s="82"/>
      <c r="H958" s="81"/>
      <c r="I958" s="84"/>
      <c r="J958" s="84"/>
      <c r="K958" s="84"/>
      <c r="L958" s="79"/>
      <c r="M958" s="186"/>
      <c r="N958" s="84"/>
      <c r="O958" s="84"/>
      <c r="P958" s="84"/>
    </row>
    <row r="959" spans="1:16" ht="15.75" customHeight="1">
      <c r="A959" s="185"/>
      <c r="B959" s="82"/>
      <c r="C959" s="81"/>
      <c r="D959" s="82"/>
      <c r="E959" s="81"/>
      <c r="F959" s="79"/>
      <c r="G959" s="82"/>
      <c r="H959" s="81"/>
      <c r="I959" s="84"/>
      <c r="J959" s="84"/>
      <c r="K959" s="84"/>
      <c r="L959" s="79"/>
      <c r="M959" s="186"/>
      <c r="N959" s="84"/>
      <c r="O959" s="84"/>
      <c r="P959" s="84"/>
    </row>
    <row r="960" spans="1:16" ht="15.75" customHeight="1">
      <c r="A960" s="185"/>
      <c r="B960" s="82"/>
      <c r="C960" s="81"/>
      <c r="D960" s="82"/>
      <c r="E960" s="81"/>
      <c r="F960" s="79"/>
      <c r="G960" s="82"/>
      <c r="H960" s="81"/>
      <c r="I960" s="84"/>
      <c r="J960" s="84"/>
      <c r="K960" s="84"/>
      <c r="L960" s="79"/>
      <c r="M960" s="186"/>
      <c r="N960" s="84"/>
      <c r="O960" s="84"/>
      <c r="P960" s="84"/>
    </row>
    <row r="961" spans="1:16" ht="15.75" customHeight="1">
      <c r="A961" s="185"/>
      <c r="B961" s="82"/>
      <c r="C961" s="81"/>
      <c r="D961" s="82"/>
      <c r="E961" s="81"/>
      <c r="F961" s="79"/>
      <c r="G961" s="82"/>
      <c r="H961" s="81"/>
      <c r="I961" s="84"/>
      <c r="J961" s="84"/>
      <c r="K961" s="84"/>
      <c r="L961" s="79"/>
      <c r="M961" s="186"/>
      <c r="N961" s="84"/>
      <c r="O961" s="84"/>
      <c r="P961" s="84"/>
    </row>
    <row r="962" spans="1:16" ht="15.75" customHeight="1">
      <c r="A962" s="185"/>
      <c r="B962" s="82"/>
      <c r="C962" s="81"/>
      <c r="D962" s="82"/>
      <c r="E962" s="81"/>
      <c r="F962" s="79"/>
      <c r="G962" s="82"/>
      <c r="H962" s="81"/>
      <c r="I962" s="84"/>
      <c r="J962" s="84"/>
      <c r="K962" s="84"/>
      <c r="L962" s="79"/>
      <c r="M962" s="186"/>
      <c r="N962" s="84"/>
      <c r="O962" s="84"/>
      <c r="P962" s="84"/>
    </row>
    <row r="963" spans="1:16" ht="15.75" customHeight="1">
      <c r="A963" s="185"/>
      <c r="B963" s="82"/>
      <c r="C963" s="81"/>
      <c r="D963" s="82"/>
      <c r="E963" s="81"/>
      <c r="F963" s="79"/>
      <c r="G963" s="82"/>
      <c r="H963" s="81"/>
      <c r="I963" s="84"/>
      <c r="J963" s="84"/>
      <c r="K963" s="84"/>
      <c r="L963" s="79"/>
      <c r="M963" s="186"/>
      <c r="N963" s="84"/>
      <c r="O963" s="84"/>
      <c r="P963" s="84"/>
    </row>
    <row r="964" spans="1:16" ht="15.75" customHeight="1">
      <c r="A964" s="185"/>
      <c r="B964" s="82"/>
      <c r="C964" s="81"/>
      <c r="D964" s="82"/>
      <c r="E964" s="81"/>
      <c r="F964" s="79"/>
      <c r="G964" s="82"/>
      <c r="H964" s="81"/>
      <c r="I964" s="84"/>
      <c r="J964" s="84"/>
      <c r="K964" s="84"/>
      <c r="L964" s="79"/>
      <c r="M964" s="186"/>
      <c r="N964" s="84"/>
      <c r="O964" s="84"/>
      <c r="P964" s="84"/>
    </row>
    <row r="965" spans="1:16" ht="15.75" customHeight="1">
      <c r="A965" s="185"/>
      <c r="B965" s="82"/>
      <c r="C965" s="81"/>
      <c r="D965" s="82"/>
      <c r="E965" s="81"/>
      <c r="F965" s="79"/>
      <c r="G965" s="82"/>
      <c r="H965" s="81"/>
      <c r="I965" s="84"/>
      <c r="J965" s="84"/>
      <c r="K965" s="84"/>
      <c r="L965" s="79"/>
      <c r="M965" s="186"/>
      <c r="N965" s="84"/>
      <c r="O965" s="84"/>
      <c r="P965" s="84"/>
    </row>
    <row r="966" spans="1:16" ht="15.75" customHeight="1">
      <c r="A966" s="185"/>
      <c r="B966" s="82"/>
      <c r="C966" s="81"/>
      <c r="D966" s="82"/>
      <c r="E966" s="81"/>
      <c r="F966" s="79"/>
      <c r="G966" s="82"/>
      <c r="H966" s="81"/>
      <c r="I966" s="84"/>
      <c r="J966" s="84"/>
      <c r="K966" s="84"/>
      <c r="L966" s="79"/>
      <c r="M966" s="186"/>
      <c r="N966" s="84"/>
      <c r="O966" s="84"/>
      <c r="P966" s="84"/>
    </row>
    <row r="967" spans="1:16" ht="15.75" customHeight="1">
      <c r="A967" s="185"/>
      <c r="B967" s="82"/>
      <c r="C967" s="81"/>
      <c r="D967" s="82"/>
      <c r="E967" s="81"/>
      <c r="F967" s="79"/>
      <c r="G967" s="82"/>
      <c r="H967" s="81"/>
      <c r="I967" s="84"/>
      <c r="J967" s="84"/>
      <c r="K967" s="84"/>
      <c r="L967" s="79"/>
      <c r="M967" s="186"/>
      <c r="N967" s="84"/>
      <c r="O967" s="84"/>
      <c r="P967" s="84"/>
    </row>
    <row r="968" spans="1:16" ht="15.75" customHeight="1">
      <c r="A968" s="185"/>
      <c r="B968" s="82"/>
      <c r="C968" s="81"/>
      <c r="D968" s="82"/>
      <c r="E968" s="81"/>
      <c r="F968" s="79"/>
      <c r="G968" s="82"/>
      <c r="H968" s="81"/>
      <c r="I968" s="84"/>
      <c r="J968" s="84"/>
      <c r="K968" s="84"/>
      <c r="L968" s="79"/>
      <c r="M968" s="186"/>
      <c r="N968" s="84"/>
      <c r="O968" s="84"/>
      <c r="P968" s="84"/>
    </row>
    <row r="969" spans="1:16" ht="15.75" customHeight="1">
      <c r="A969" s="185"/>
      <c r="B969" s="82"/>
      <c r="C969" s="81"/>
      <c r="D969" s="82"/>
      <c r="E969" s="81"/>
      <c r="F969" s="79"/>
      <c r="G969" s="82"/>
      <c r="H969" s="81"/>
      <c r="I969" s="84"/>
      <c r="J969" s="84"/>
      <c r="K969" s="84"/>
      <c r="L969" s="79"/>
      <c r="M969" s="186"/>
      <c r="N969" s="84"/>
      <c r="O969" s="84"/>
      <c r="P969" s="84"/>
    </row>
    <row r="970" spans="1:16" ht="15.75" customHeight="1">
      <c r="A970" s="185"/>
      <c r="B970" s="82"/>
      <c r="C970" s="81"/>
      <c r="D970" s="82"/>
      <c r="E970" s="81"/>
      <c r="F970" s="79"/>
      <c r="G970" s="82"/>
      <c r="H970" s="81"/>
      <c r="I970" s="84"/>
      <c r="J970" s="84"/>
      <c r="K970" s="84"/>
      <c r="L970" s="79"/>
      <c r="M970" s="186"/>
      <c r="N970" s="84"/>
      <c r="O970" s="84"/>
      <c r="P970" s="84"/>
    </row>
    <row r="971" spans="1:16" ht="15.75" customHeight="1">
      <c r="A971" s="185"/>
      <c r="B971" s="82"/>
      <c r="C971" s="81"/>
      <c r="D971" s="82"/>
      <c r="E971" s="81"/>
      <c r="F971" s="79"/>
      <c r="G971" s="82"/>
      <c r="H971" s="81"/>
      <c r="I971" s="84"/>
      <c r="J971" s="84"/>
      <c r="K971" s="84"/>
      <c r="L971" s="79"/>
      <c r="M971" s="186"/>
      <c r="N971" s="84"/>
      <c r="O971" s="84"/>
      <c r="P971" s="84"/>
    </row>
    <row r="972" spans="1:16" ht="15.75" customHeight="1">
      <c r="A972" s="185"/>
      <c r="B972" s="82"/>
      <c r="C972" s="81"/>
      <c r="D972" s="82"/>
      <c r="E972" s="81"/>
      <c r="F972" s="79"/>
      <c r="G972" s="82"/>
      <c r="H972" s="81"/>
      <c r="I972" s="84"/>
      <c r="J972" s="84"/>
      <c r="K972" s="84"/>
      <c r="L972" s="79"/>
      <c r="M972" s="186"/>
      <c r="N972" s="84"/>
      <c r="O972" s="84"/>
      <c r="P972" s="84"/>
    </row>
    <row r="973" spans="1:16" ht="15.75" customHeight="1">
      <c r="A973" s="185"/>
      <c r="B973" s="82"/>
      <c r="C973" s="81"/>
      <c r="D973" s="82"/>
      <c r="E973" s="81"/>
      <c r="F973" s="79"/>
      <c r="G973" s="82"/>
      <c r="H973" s="81"/>
      <c r="I973" s="84"/>
      <c r="J973" s="84"/>
      <c r="K973" s="84"/>
      <c r="L973" s="79"/>
      <c r="M973" s="186"/>
      <c r="N973" s="84"/>
      <c r="O973" s="84"/>
      <c r="P973" s="84"/>
    </row>
    <row r="974" spans="1:16" ht="15.75" customHeight="1">
      <c r="A974" s="185"/>
      <c r="B974" s="82"/>
      <c r="C974" s="81"/>
      <c r="D974" s="82"/>
      <c r="E974" s="81"/>
      <c r="F974" s="79"/>
      <c r="G974" s="82"/>
      <c r="H974" s="81"/>
      <c r="I974" s="84"/>
      <c r="J974" s="84"/>
      <c r="K974" s="84"/>
      <c r="L974" s="79"/>
      <c r="M974" s="186"/>
      <c r="N974" s="84"/>
      <c r="O974" s="84"/>
      <c r="P974" s="84"/>
    </row>
    <row r="975" spans="1:16" ht="15.75" customHeight="1">
      <c r="A975" s="185"/>
      <c r="B975" s="82"/>
      <c r="C975" s="81"/>
      <c r="D975" s="82"/>
      <c r="E975" s="81"/>
      <c r="F975" s="79"/>
      <c r="G975" s="82"/>
      <c r="H975" s="81"/>
      <c r="I975" s="84"/>
      <c r="J975" s="84"/>
      <c r="K975" s="84"/>
      <c r="L975" s="79"/>
      <c r="M975" s="186"/>
      <c r="N975" s="84"/>
      <c r="O975" s="84"/>
      <c r="P975" s="84"/>
    </row>
    <row r="976" spans="1:16" ht="15.75" customHeight="1">
      <c r="A976" s="185"/>
      <c r="B976" s="82"/>
      <c r="C976" s="81"/>
      <c r="D976" s="82"/>
      <c r="E976" s="81"/>
      <c r="F976" s="79"/>
      <c r="G976" s="82"/>
      <c r="H976" s="81"/>
      <c r="I976" s="84"/>
      <c r="J976" s="84"/>
      <c r="K976" s="84"/>
      <c r="L976" s="79"/>
      <c r="M976" s="186"/>
      <c r="N976" s="84"/>
      <c r="O976" s="84"/>
      <c r="P976" s="84"/>
    </row>
    <row r="977" spans="1:16" ht="15.75" customHeight="1">
      <c r="A977" s="185"/>
      <c r="B977" s="82"/>
      <c r="C977" s="81"/>
      <c r="D977" s="82"/>
      <c r="E977" s="81"/>
      <c r="F977" s="79"/>
      <c r="G977" s="82"/>
      <c r="H977" s="81"/>
      <c r="I977" s="84"/>
      <c r="J977" s="84"/>
      <c r="K977" s="84"/>
      <c r="L977" s="79"/>
      <c r="M977" s="186"/>
      <c r="N977" s="84"/>
      <c r="O977" s="84"/>
      <c r="P977" s="84"/>
    </row>
    <row r="978" spans="1:16" ht="15.75" customHeight="1">
      <c r="A978" s="185"/>
      <c r="B978" s="82"/>
      <c r="C978" s="81"/>
      <c r="D978" s="82"/>
      <c r="E978" s="81"/>
      <c r="F978" s="79"/>
      <c r="G978" s="82"/>
      <c r="H978" s="81"/>
      <c r="I978" s="84"/>
      <c r="J978" s="84"/>
      <c r="K978" s="84"/>
      <c r="L978" s="79"/>
      <c r="M978" s="186"/>
      <c r="N978" s="84"/>
      <c r="O978" s="84"/>
      <c r="P978" s="84"/>
    </row>
    <row r="979" spans="1:16" ht="15.75" customHeight="1">
      <c r="A979" s="185"/>
      <c r="B979" s="82"/>
      <c r="C979" s="81"/>
      <c r="D979" s="82"/>
      <c r="E979" s="81"/>
      <c r="F979" s="79"/>
      <c r="G979" s="82"/>
      <c r="H979" s="81"/>
      <c r="I979" s="84"/>
      <c r="J979" s="84"/>
      <c r="K979" s="84"/>
      <c r="L979" s="79"/>
      <c r="M979" s="186"/>
      <c r="N979" s="84"/>
      <c r="O979" s="84"/>
      <c r="P979" s="84"/>
    </row>
    <row r="980" spans="1:16" ht="15.75" customHeight="1">
      <c r="A980" s="185"/>
      <c r="B980" s="82"/>
      <c r="C980" s="81"/>
      <c r="D980" s="82"/>
      <c r="E980" s="81"/>
      <c r="F980" s="79"/>
      <c r="G980" s="82"/>
      <c r="H980" s="81"/>
      <c r="I980" s="84"/>
      <c r="J980" s="84"/>
      <c r="K980" s="84"/>
      <c r="L980" s="79"/>
      <c r="M980" s="186"/>
      <c r="N980" s="84"/>
      <c r="O980" s="84"/>
      <c r="P980" s="84"/>
    </row>
    <row r="981" spans="1:16" ht="15.75" customHeight="1">
      <c r="A981" s="185"/>
      <c r="B981" s="82"/>
      <c r="C981" s="81"/>
      <c r="D981" s="82"/>
      <c r="E981" s="81"/>
      <c r="F981" s="79"/>
      <c r="G981" s="82"/>
      <c r="H981" s="81"/>
      <c r="I981" s="84"/>
      <c r="J981" s="84"/>
      <c r="K981" s="84"/>
      <c r="L981" s="79"/>
      <c r="M981" s="186"/>
      <c r="N981" s="84"/>
      <c r="O981" s="84"/>
      <c r="P981" s="84"/>
    </row>
    <row r="982" spans="1:16" ht="15.75" customHeight="1">
      <c r="A982" s="185"/>
      <c r="B982" s="82"/>
      <c r="C982" s="81"/>
      <c r="D982" s="82"/>
      <c r="E982" s="81"/>
      <c r="F982" s="79"/>
      <c r="G982" s="82"/>
      <c r="H982" s="81"/>
      <c r="I982" s="84"/>
      <c r="J982" s="84"/>
      <c r="K982" s="84"/>
      <c r="L982" s="79"/>
      <c r="M982" s="186"/>
      <c r="N982" s="84"/>
      <c r="O982" s="84"/>
      <c r="P982" s="84"/>
    </row>
    <row r="983" spans="1:16" ht="15.75" customHeight="1">
      <c r="A983" s="185"/>
      <c r="B983" s="82"/>
      <c r="C983" s="81"/>
      <c r="D983" s="82"/>
      <c r="E983" s="81"/>
      <c r="F983" s="79"/>
      <c r="G983" s="82"/>
      <c r="H983" s="81"/>
      <c r="I983" s="84"/>
      <c r="J983" s="84"/>
      <c r="K983" s="84"/>
      <c r="L983" s="79"/>
      <c r="M983" s="186"/>
      <c r="N983" s="84"/>
      <c r="O983" s="84"/>
      <c r="P983" s="84"/>
    </row>
    <row r="984" spans="1:16" ht="15.75" customHeight="1">
      <c r="A984" s="185"/>
      <c r="B984" s="82"/>
      <c r="C984" s="81"/>
      <c r="D984" s="82"/>
      <c r="E984" s="81"/>
      <c r="F984" s="79"/>
      <c r="G984" s="82"/>
      <c r="H984" s="81"/>
      <c r="I984" s="84"/>
      <c r="J984" s="84"/>
      <c r="K984" s="84"/>
      <c r="L984" s="79"/>
      <c r="M984" s="186"/>
      <c r="N984" s="84"/>
      <c r="O984" s="84"/>
      <c r="P984" s="84"/>
    </row>
    <row r="985" spans="1:16" ht="15.75" customHeight="1">
      <c r="A985" s="185"/>
      <c r="B985" s="82"/>
      <c r="C985" s="81"/>
      <c r="D985" s="82"/>
      <c r="E985" s="81"/>
      <c r="F985" s="79"/>
      <c r="G985" s="82"/>
      <c r="H985" s="81"/>
      <c r="I985" s="84"/>
      <c r="J985" s="84"/>
      <c r="K985" s="84"/>
      <c r="L985" s="79"/>
      <c r="M985" s="186"/>
      <c r="N985" s="84"/>
      <c r="O985" s="84"/>
      <c r="P985" s="84"/>
    </row>
    <row r="986" spans="1:16" ht="15.75" customHeight="1">
      <c r="A986" s="185"/>
      <c r="B986" s="82"/>
      <c r="C986" s="81"/>
      <c r="D986" s="82"/>
      <c r="E986" s="81"/>
      <c r="F986" s="79"/>
      <c r="G986" s="82"/>
      <c r="H986" s="81"/>
      <c r="I986" s="84"/>
      <c r="J986" s="84"/>
      <c r="K986" s="84"/>
      <c r="L986" s="79"/>
      <c r="M986" s="186"/>
      <c r="N986" s="84"/>
      <c r="O986" s="84"/>
      <c r="P986" s="84"/>
    </row>
    <row r="987" spans="1:16" ht="15.75" customHeight="1">
      <c r="A987" s="185"/>
      <c r="B987" s="82"/>
      <c r="C987" s="81"/>
      <c r="D987" s="82"/>
      <c r="E987" s="81"/>
      <c r="F987" s="79"/>
      <c r="G987" s="82"/>
      <c r="H987" s="81"/>
      <c r="I987" s="84"/>
      <c r="J987" s="84"/>
      <c r="K987" s="84"/>
      <c r="L987" s="79"/>
      <c r="M987" s="186"/>
      <c r="N987" s="84"/>
      <c r="O987" s="84"/>
      <c r="P987" s="84"/>
    </row>
    <row r="988" spans="1:16" ht="15.75" customHeight="1">
      <c r="A988" s="185"/>
      <c r="B988" s="82"/>
      <c r="C988" s="81"/>
      <c r="D988" s="82"/>
      <c r="E988" s="81"/>
      <c r="F988" s="79"/>
      <c r="G988" s="82"/>
      <c r="H988" s="81"/>
      <c r="I988" s="84"/>
      <c r="J988" s="84"/>
      <c r="K988" s="84"/>
      <c r="L988" s="79"/>
      <c r="M988" s="186"/>
      <c r="N988" s="84"/>
      <c r="O988" s="84"/>
      <c r="P988" s="84"/>
    </row>
    <row r="989" spans="1:16" ht="15.75" customHeight="1">
      <c r="A989" s="185"/>
      <c r="B989" s="82"/>
      <c r="C989" s="81"/>
      <c r="D989" s="82"/>
      <c r="E989" s="81"/>
      <c r="F989" s="79"/>
      <c r="G989" s="82"/>
      <c r="H989" s="81"/>
      <c r="I989" s="84"/>
      <c r="J989" s="84"/>
      <c r="K989" s="84"/>
      <c r="L989" s="79"/>
      <c r="M989" s="186"/>
      <c r="N989" s="84"/>
      <c r="O989" s="84"/>
      <c r="P989" s="84"/>
    </row>
    <row r="990" spans="1:16" ht="15.75" customHeight="1">
      <c r="A990" s="185"/>
      <c r="B990" s="82"/>
      <c r="C990" s="81"/>
      <c r="D990" s="82"/>
      <c r="E990" s="81"/>
      <c r="F990" s="79"/>
      <c r="G990" s="82"/>
      <c r="H990" s="81"/>
      <c r="I990" s="84"/>
      <c r="J990" s="84"/>
      <c r="K990" s="84"/>
      <c r="L990" s="79"/>
      <c r="M990" s="186"/>
      <c r="N990" s="84"/>
      <c r="O990" s="84"/>
      <c r="P990" s="84"/>
    </row>
    <row r="991" spans="1:16" ht="15.75" customHeight="1">
      <c r="A991" s="185"/>
      <c r="B991" s="82"/>
      <c r="C991" s="81"/>
      <c r="D991" s="82"/>
      <c r="E991" s="81"/>
      <c r="F991" s="79"/>
      <c r="G991" s="82"/>
      <c r="H991" s="81"/>
      <c r="I991" s="84"/>
      <c r="J991" s="84"/>
      <c r="K991" s="84"/>
      <c r="L991" s="79"/>
      <c r="M991" s="186"/>
      <c r="N991" s="84"/>
      <c r="O991" s="84"/>
      <c r="P991" s="84"/>
    </row>
    <row r="992" spans="1:16" ht="15.75" customHeight="1">
      <c r="A992" s="185"/>
      <c r="B992" s="82"/>
      <c r="C992" s="81"/>
      <c r="D992" s="82"/>
      <c r="E992" s="81"/>
      <c r="F992" s="79"/>
      <c r="G992" s="82"/>
      <c r="H992" s="81"/>
      <c r="I992" s="84"/>
      <c r="J992" s="84"/>
      <c r="K992" s="84"/>
      <c r="L992" s="79"/>
      <c r="M992" s="186"/>
      <c r="N992" s="84"/>
      <c r="O992" s="84"/>
      <c r="P992" s="84"/>
    </row>
    <row r="993" spans="1:16" ht="15.75" customHeight="1">
      <c r="A993" s="185"/>
      <c r="B993" s="82"/>
      <c r="C993" s="81"/>
      <c r="D993" s="82"/>
      <c r="E993" s="81"/>
      <c r="F993" s="79"/>
      <c r="G993" s="82"/>
      <c r="H993" s="81"/>
      <c r="I993" s="84"/>
      <c r="J993" s="84"/>
      <c r="K993" s="84"/>
      <c r="L993" s="79"/>
      <c r="M993" s="186"/>
      <c r="N993" s="84"/>
      <c r="O993" s="84"/>
      <c r="P993" s="84"/>
    </row>
    <row r="994" spans="1:16" ht="15.75" customHeight="1">
      <c r="A994" s="185"/>
      <c r="B994" s="82"/>
      <c r="C994" s="81"/>
      <c r="D994" s="82"/>
      <c r="E994" s="81"/>
      <c r="F994" s="79"/>
      <c r="G994" s="82"/>
      <c r="H994" s="81"/>
      <c r="I994" s="84"/>
      <c r="J994" s="84"/>
      <c r="K994" s="84"/>
      <c r="L994" s="79"/>
      <c r="M994" s="186"/>
      <c r="N994" s="84"/>
      <c r="O994" s="84"/>
      <c r="P994" s="84"/>
    </row>
  </sheetData>
  <mergeCells count="7">
    <mergeCell ref="P45:P48"/>
    <mergeCell ref="P49:P52"/>
    <mergeCell ref="P2:P5"/>
    <mergeCell ref="P9:P11"/>
    <mergeCell ref="P13:P15"/>
    <mergeCell ref="P27:P29"/>
    <mergeCell ref="P30:P35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003"/>
  <sheetViews>
    <sheetView workbookViewId="0"/>
  </sheetViews>
  <sheetFormatPr defaultColWidth="11.25" defaultRowHeight="15" customHeight="1"/>
  <cols>
    <col min="1" max="1" width="17.5" customWidth="1"/>
    <col min="2" max="2" width="9.625" customWidth="1"/>
    <col min="3" max="3" width="9.75" customWidth="1"/>
    <col min="4" max="5" width="10.125" customWidth="1"/>
    <col min="6" max="6" width="8.375" customWidth="1"/>
    <col min="7" max="7" width="9.5" customWidth="1"/>
    <col min="8" max="9" width="8.375" customWidth="1"/>
    <col min="10" max="10" width="8.5" customWidth="1"/>
    <col min="11" max="12" width="8" customWidth="1"/>
    <col min="13" max="14" width="10.5" customWidth="1"/>
    <col min="15" max="15" width="35.125" customWidth="1"/>
    <col min="16" max="16" width="30.125" customWidth="1"/>
    <col min="17" max="29" width="10.5" customWidth="1"/>
  </cols>
  <sheetData>
    <row r="1" spans="1:29" ht="27" customHeight="1">
      <c r="A1" s="187" t="s">
        <v>0</v>
      </c>
      <c r="B1" s="188" t="s">
        <v>132</v>
      </c>
      <c r="C1" s="189" t="s">
        <v>3</v>
      </c>
      <c r="D1" s="188" t="s">
        <v>256</v>
      </c>
      <c r="E1" s="190" t="s">
        <v>257</v>
      </c>
      <c r="F1" s="191" t="s">
        <v>258</v>
      </c>
      <c r="G1" s="191" t="s">
        <v>259</v>
      </c>
      <c r="H1" s="188" t="s">
        <v>191</v>
      </c>
      <c r="I1" s="189" t="s">
        <v>260</v>
      </c>
      <c r="J1" s="192" t="s">
        <v>261</v>
      </c>
      <c r="K1" s="193" t="s">
        <v>262</v>
      </c>
      <c r="L1" s="194" t="s">
        <v>263</v>
      </c>
      <c r="M1" s="195" t="s">
        <v>14</v>
      </c>
      <c r="N1" s="195" t="s">
        <v>12</v>
      </c>
      <c r="O1" s="196" t="s">
        <v>198</v>
      </c>
      <c r="P1" s="197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</row>
    <row r="2" spans="1:29" ht="21" customHeight="1">
      <c r="A2" s="198" t="s">
        <v>264</v>
      </c>
      <c r="B2" s="199" t="s">
        <v>17</v>
      </c>
      <c r="C2" s="200" t="s">
        <v>17</v>
      </c>
      <c r="D2" s="201">
        <v>45315</v>
      </c>
      <c r="E2" s="202">
        <v>0.37638888888888888</v>
      </c>
      <c r="F2" s="203">
        <v>8.5399999999999991</v>
      </c>
      <c r="G2" s="203">
        <v>24.3</v>
      </c>
      <c r="H2" s="204">
        <v>45320</v>
      </c>
      <c r="I2" s="200">
        <v>0.57013888888888886</v>
      </c>
      <c r="J2" s="205">
        <v>8.4499999999999993</v>
      </c>
      <c r="K2" s="206">
        <v>24.6</v>
      </c>
      <c r="L2" s="207" t="s">
        <v>17</v>
      </c>
      <c r="M2" s="208" t="s">
        <v>21</v>
      </c>
      <c r="N2" s="208"/>
      <c r="O2" s="209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</row>
    <row r="3" spans="1:29" ht="24" customHeight="1">
      <c r="A3" s="198" t="s">
        <v>265</v>
      </c>
      <c r="B3" s="201">
        <v>45313</v>
      </c>
      <c r="C3" s="200">
        <v>0.40625</v>
      </c>
      <c r="D3" s="201">
        <v>45315</v>
      </c>
      <c r="E3" s="202">
        <v>0.38124999999999998</v>
      </c>
      <c r="F3" s="203">
        <v>8.57</v>
      </c>
      <c r="G3" s="203">
        <v>22</v>
      </c>
      <c r="H3" s="204">
        <v>45320</v>
      </c>
      <c r="I3" s="200">
        <v>0.5756944444444444</v>
      </c>
      <c r="J3" s="205">
        <v>7.14</v>
      </c>
      <c r="K3" s="210">
        <v>18.8</v>
      </c>
      <c r="L3" s="211">
        <f t="shared" ref="L3:L20" si="0">F3-J3</f>
        <v>1.4300000000000006</v>
      </c>
      <c r="M3" s="208" t="s">
        <v>21</v>
      </c>
      <c r="N3" s="208"/>
      <c r="O3" s="209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</row>
    <row r="4" spans="1:29" ht="15.75" customHeight="1">
      <c r="A4" s="198" t="s">
        <v>266</v>
      </c>
      <c r="B4" s="201">
        <v>45313</v>
      </c>
      <c r="C4" s="200">
        <v>0.40625</v>
      </c>
      <c r="D4" s="201">
        <v>45315</v>
      </c>
      <c r="E4" s="202">
        <v>0.38194444444444442</v>
      </c>
      <c r="F4" s="203">
        <v>8.66</v>
      </c>
      <c r="G4" s="203">
        <v>22</v>
      </c>
      <c r="H4" s="204">
        <v>45320</v>
      </c>
      <c r="I4" s="200">
        <v>0.57430555555555551</v>
      </c>
      <c r="J4" s="212">
        <v>8.3800000000000008</v>
      </c>
      <c r="K4" s="210">
        <v>18.899999999999999</v>
      </c>
      <c r="L4" s="211">
        <f t="shared" si="0"/>
        <v>0.27999999999999936</v>
      </c>
      <c r="M4" s="208" t="s">
        <v>21</v>
      </c>
      <c r="N4" s="208"/>
      <c r="O4" s="213"/>
    </row>
    <row r="5" spans="1:29" ht="15.75">
      <c r="A5" s="198" t="s">
        <v>267</v>
      </c>
      <c r="B5" s="201">
        <v>45313</v>
      </c>
      <c r="C5" s="200">
        <v>0.40625</v>
      </c>
      <c r="D5" s="201">
        <v>45315</v>
      </c>
      <c r="E5" s="202">
        <v>0.38333333333333336</v>
      </c>
      <c r="F5" s="203">
        <v>8.5500000000000007</v>
      </c>
      <c r="G5" s="203">
        <v>22</v>
      </c>
      <c r="H5" s="204">
        <v>45320</v>
      </c>
      <c r="I5" s="200">
        <v>0.57222222222222219</v>
      </c>
      <c r="J5" s="212">
        <v>8.35</v>
      </c>
      <c r="K5" s="210">
        <v>19.100000000000001</v>
      </c>
      <c r="L5" s="211">
        <f t="shared" si="0"/>
        <v>0.20000000000000107</v>
      </c>
      <c r="M5" s="208" t="s">
        <v>21</v>
      </c>
      <c r="N5" s="208"/>
      <c r="O5" s="213"/>
    </row>
    <row r="6" spans="1:29" ht="15" customHeight="1">
      <c r="A6" s="198" t="s">
        <v>268</v>
      </c>
      <c r="B6" s="201">
        <v>45313</v>
      </c>
      <c r="C6" s="200">
        <v>0.40625</v>
      </c>
      <c r="D6" s="201">
        <v>45315</v>
      </c>
      <c r="E6" s="202">
        <v>0.38680555555555557</v>
      </c>
      <c r="F6" s="203">
        <v>8.7899999999999991</v>
      </c>
      <c r="G6" s="203">
        <v>21.7</v>
      </c>
      <c r="H6" s="204">
        <v>45320</v>
      </c>
      <c r="I6" s="200">
        <v>0.57708333333333328</v>
      </c>
      <c r="J6" s="212">
        <v>8.5500000000000007</v>
      </c>
      <c r="K6" s="210">
        <v>19.7</v>
      </c>
      <c r="L6" s="211">
        <f t="shared" si="0"/>
        <v>0.23999999999999844</v>
      </c>
      <c r="M6" s="208" t="s">
        <v>21</v>
      </c>
      <c r="N6" s="208"/>
      <c r="O6" s="213"/>
    </row>
    <row r="7" spans="1:29" ht="15.75" customHeight="1">
      <c r="A7" s="198" t="s">
        <v>269</v>
      </c>
      <c r="B7" s="201">
        <v>45313</v>
      </c>
      <c r="C7" s="200">
        <v>0.4513888888888889</v>
      </c>
      <c r="D7" s="201">
        <v>45315</v>
      </c>
      <c r="E7" s="202">
        <v>0.39097222222222222</v>
      </c>
      <c r="F7" s="198">
        <v>8.35</v>
      </c>
      <c r="G7" s="203">
        <v>20.5</v>
      </c>
      <c r="H7" s="204">
        <v>45320</v>
      </c>
      <c r="I7" s="200">
        <v>0.58125000000000004</v>
      </c>
      <c r="J7" s="212">
        <v>8.34</v>
      </c>
      <c r="K7" s="210">
        <v>19</v>
      </c>
      <c r="L7" s="211">
        <f t="shared" si="0"/>
        <v>9.9999999999997868E-3</v>
      </c>
      <c r="M7" s="208" t="s">
        <v>21</v>
      </c>
      <c r="N7" s="208"/>
      <c r="O7" s="213"/>
    </row>
    <row r="8" spans="1:29" ht="15.75" customHeight="1">
      <c r="A8" s="198" t="s">
        <v>270</v>
      </c>
      <c r="B8" s="201">
        <v>45313</v>
      </c>
      <c r="C8" s="200">
        <v>0.4513888888888889</v>
      </c>
      <c r="D8" s="201">
        <v>45315</v>
      </c>
      <c r="E8" s="202">
        <v>0.39305555555555555</v>
      </c>
      <c r="F8" s="203">
        <v>8.36</v>
      </c>
      <c r="G8" s="203">
        <v>21.5</v>
      </c>
      <c r="H8" s="204">
        <v>45320</v>
      </c>
      <c r="I8" s="200">
        <v>14</v>
      </c>
      <c r="J8" s="205">
        <v>8.14</v>
      </c>
      <c r="K8" s="210">
        <v>19.399999999999999</v>
      </c>
      <c r="L8" s="211">
        <f t="shared" si="0"/>
        <v>0.21999999999999886</v>
      </c>
      <c r="M8" s="208" t="s">
        <v>21</v>
      </c>
      <c r="N8" s="208"/>
      <c r="O8" s="213"/>
    </row>
    <row r="9" spans="1:29" ht="15.75" customHeight="1">
      <c r="A9" s="198" t="s">
        <v>271</v>
      </c>
      <c r="B9" s="201">
        <v>45314</v>
      </c>
      <c r="C9" s="200">
        <v>0.3347222222222222</v>
      </c>
      <c r="D9" s="201">
        <v>45315</v>
      </c>
      <c r="E9" s="202">
        <v>0.39791666666666664</v>
      </c>
      <c r="F9" s="203">
        <v>8.39</v>
      </c>
      <c r="G9" s="203">
        <v>20.7</v>
      </c>
      <c r="H9" s="204">
        <v>45320</v>
      </c>
      <c r="I9" s="200">
        <v>0.58472222222222225</v>
      </c>
      <c r="J9" s="212">
        <v>8.14</v>
      </c>
      <c r="K9" s="210">
        <v>19.7</v>
      </c>
      <c r="L9" s="211">
        <f t="shared" si="0"/>
        <v>0.25</v>
      </c>
      <c r="M9" s="208" t="s">
        <v>21</v>
      </c>
      <c r="N9" s="208"/>
      <c r="O9" s="213"/>
    </row>
    <row r="10" spans="1:29" ht="15.75" customHeight="1">
      <c r="A10" s="198" t="s">
        <v>272</v>
      </c>
      <c r="B10" s="201">
        <v>45314</v>
      </c>
      <c r="C10" s="214">
        <v>0.3347222222222222</v>
      </c>
      <c r="D10" s="201">
        <v>45315</v>
      </c>
      <c r="E10" s="202">
        <v>0.4</v>
      </c>
      <c r="F10" s="203">
        <v>8.23</v>
      </c>
      <c r="G10" s="203">
        <v>20</v>
      </c>
      <c r="H10" s="204">
        <v>45320</v>
      </c>
      <c r="I10" s="200">
        <v>0.58611111111111114</v>
      </c>
      <c r="J10" s="212">
        <v>7.95</v>
      </c>
      <c r="K10" s="210">
        <v>19.600000000000001</v>
      </c>
      <c r="L10" s="211">
        <f t="shared" si="0"/>
        <v>0.28000000000000025</v>
      </c>
      <c r="M10" s="208" t="s">
        <v>21</v>
      </c>
      <c r="N10" s="208"/>
      <c r="O10" s="213"/>
    </row>
    <row r="11" spans="1:29" ht="15.75" customHeight="1">
      <c r="A11" s="198" t="s">
        <v>273</v>
      </c>
      <c r="B11" s="201">
        <v>45314</v>
      </c>
      <c r="C11" s="214">
        <v>0.38124999999999998</v>
      </c>
      <c r="D11" s="201">
        <v>45315</v>
      </c>
      <c r="E11" s="202">
        <v>0.40486111111111112</v>
      </c>
      <c r="F11" s="203">
        <v>8.26</v>
      </c>
      <c r="G11" s="203">
        <v>20.8</v>
      </c>
      <c r="H11" s="204">
        <v>45320</v>
      </c>
      <c r="I11" s="200">
        <v>0.58819444444444446</v>
      </c>
      <c r="J11" s="212">
        <v>8.11</v>
      </c>
      <c r="K11" s="210">
        <v>19.2</v>
      </c>
      <c r="L11" s="211">
        <f t="shared" si="0"/>
        <v>0.15000000000000036</v>
      </c>
      <c r="M11" s="208" t="s">
        <v>21</v>
      </c>
      <c r="N11" s="208"/>
      <c r="O11" s="213"/>
    </row>
    <row r="12" spans="1:29" ht="15.75" customHeight="1">
      <c r="A12" s="198" t="s">
        <v>274</v>
      </c>
      <c r="B12" s="201">
        <v>45314</v>
      </c>
      <c r="C12" s="214">
        <v>0.38124999999999998</v>
      </c>
      <c r="D12" s="201">
        <v>45315</v>
      </c>
      <c r="E12" s="202">
        <v>0.40833333333333333</v>
      </c>
      <c r="F12" s="203">
        <v>8.3699999999999992</v>
      </c>
      <c r="G12" s="203">
        <v>20.8</v>
      </c>
      <c r="H12" s="204">
        <v>45320</v>
      </c>
      <c r="I12" s="200">
        <v>0.59027777777777779</v>
      </c>
      <c r="J12" s="212">
        <v>8.17</v>
      </c>
      <c r="K12" s="210">
        <v>19.600000000000001</v>
      </c>
      <c r="L12" s="211">
        <f t="shared" si="0"/>
        <v>0.19999999999999929</v>
      </c>
      <c r="M12" s="208" t="s">
        <v>21</v>
      </c>
      <c r="N12" s="208"/>
      <c r="O12" s="213"/>
    </row>
    <row r="13" spans="1:29" ht="15.75" customHeight="1">
      <c r="A13" s="198" t="s">
        <v>275</v>
      </c>
      <c r="B13" s="201">
        <v>45314</v>
      </c>
      <c r="C13" s="200">
        <v>0.40902777777777777</v>
      </c>
      <c r="D13" s="201">
        <v>45315</v>
      </c>
      <c r="E13" s="202">
        <v>0.41180555555555554</v>
      </c>
      <c r="F13" s="203">
        <v>8.4499999999999993</v>
      </c>
      <c r="G13" s="203">
        <v>22</v>
      </c>
      <c r="H13" s="204">
        <v>45320</v>
      </c>
      <c r="I13" s="200">
        <v>0.59166666666666667</v>
      </c>
      <c r="J13" s="212">
        <v>8.2899999999999991</v>
      </c>
      <c r="K13" s="210">
        <v>19.899999999999999</v>
      </c>
      <c r="L13" s="211">
        <f t="shared" si="0"/>
        <v>0.16000000000000014</v>
      </c>
      <c r="M13" s="208" t="s">
        <v>21</v>
      </c>
      <c r="N13" s="208"/>
      <c r="O13" s="213"/>
    </row>
    <row r="14" spans="1:29" ht="15.75" customHeight="1">
      <c r="A14" s="198" t="s">
        <v>276</v>
      </c>
      <c r="B14" s="201">
        <v>45314</v>
      </c>
      <c r="C14" s="200">
        <v>0.40902777777777777</v>
      </c>
      <c r="D14" s="201">
        <v>45315</v>
      </c>
      <c r="E14" s="202">
        <v>0.41458333333333336</v>
      </c>
      <c r="F14" s="203">
        <v>8.2899999999999991</v>
      </c>
      <c r="G14" s="203">
        <v>22</v>
      </c>
      <c r="H14" s="204">
        <v>45320</v>
      </c>
      <c r="I14" s="200">
        <v>0.59305555555555556</v>
      </c>
      <c r="J14" s="212">
        <v>8.06</v>
      </c>
      <c r="K14" s="210">
        <v>19.899999999999999</v>
      </c>
      <c r="L14" s="211">
        <f t="shared" si="0"/>
        <v>0.22999999999999865</v>
      </c>
      <c r="M14" s="208" t="s">
        <v>21</v>
      </c>
      <c r="N14" s="208"/>
      <c r="O14" s="213"/>
    </row>
    <row r="15" spans="1:29" ht="15.75" customHeight="1">
      <c r="A15" s="198" t="s">
        <v>277</v>
      </c>
      <c r="B15" s="201">
        <v>45314</v>
      </c>
      <c r="C15" s="200">
        <v>0.44722222222222224</v>
      </c>
      <c r="D15" s="201">
        <v>45315</v>
      </c>
      <c r="E15" s="202">
        <v>0.4236111111111111</v>
      </c>
      <c r="F15" s="203">
        <v>8.2200000000000006</v>
      </c>
      <c r="G15" s="203">
        <v>21.7</v>
      </c>
      <c r="H15" s="204">
        <v>45320</v>
      </c>
      <c r="I15" s="200">
        <v>0.60138888888888886</v>
      </c>
      <c r="J15" s="212">
        <v>6.54</v>
      </c>
      <c r="K15" s="210">
        <v>19.600000000000001</v>
      </c>
      <c r="L15" s="211">
        <f t="shared" si="0"/>
        <v>1.6800000000000006</v>
      </c>
      <c r="M15" s="208" t="s">
        <v>21</v>
      </c>
      <c r="N15" s="208"/>
      <c r="O15" s="213"/>
      <c r="Q15" s="215"/>
      <c r="R15" s="215"/>
      <c r="S15" s="215"/>
      <c r="T15" s="215"/>
      <c r="U15" s="215"/>
      <c r="V15" s="215"/>
      <c r="W15" s="215"/>
      <c r="X15" s="215"/>
      <c r="Y15" s="215"/>
      <c r="Z15" s="215"/>
      <c r="AA15" s="215"/>
      <c r="AB15" s="215"/>
      <c r="AC15" s="215"/>
    </row>
    <row r="16" spans="1:29" ht="15.75" customHeight="1">
      <c r="A16" s="198" t="s">
        <v>278</v>
      </c>
      <c r="B16" s="201">
        <v>45314</v>
      </c>
      <c r="C16" s="200">
        <v>0.44722222222222224</v>
      </c>
      <c r="D16" s="201">
        <v>45315</v>
      </c>
      <c r="E16" s="202">
        <v>0.42291666666666666</v>
      </c>
      <c r="F16" s="203">
        <v>8.08</v>
      </c>
      <c r="G16" s="203">
        <v>21.7</v>
      </c>
      <c r="H16" s="204">
        <v>45320</v>
      </c>
      <c r="I16" s="200">
        <v>0.59861111111111109</v>
      </c>
      <c r="J16" s="212">
        <v>8.06</v>
      </c>
      <c r="K16" s="210">
        <v>19.100000000000001</v>
      </c>
      <c r="L16" s="211">
        <f t="shared" si="0"/>
        <v>1.9999999999999574E-2</v>
      </c>
      <c r="M16" s="208" t="s">
        <v>21</v>
      </c>
      <c r="N16" s="208"/>
      <c r="O16" s="213"/>
      <c r="Q16" s="215"/>
      <c r="R16" s="215"/>
      <c r="S16" s="215"/>
      <c r="T16" s="215"/>
      <c r="U16" s="215"/>
      <c r="V16" s="215"/>
      <c r="W16" s="215"/>
      <c r="X16" s="215"/>
      <c r="Y16" s="215"/>
      <c r="Z16" s="215"/>
      <c r="AA16" s="215"/>
      <c r="AB16" s="215"/>
      <c r="AC16" s="215"/>
    </row>
    <row r="17" spans="1:29" ht="15.75" customHeight="1">
      <c r="A17" s="198" t="s">
        <v>279</v>
      </c>
      <c r="B17" s="201">
        <v>45314</v>
      </c>
      <c r="C17" s="200">
        <v>0.44722222222222224</v>
      </c>
      <c r="D17" s="201">
        <v>45315</v>
      </c>
      <c r="E17" s="202">
        <v>0.42222222222222222</v>
      </c>
      <c r="F17" s="203">
        <v>8.07</v>
      </c>
      <c r="G17" s="203">
        <v>21.6</v>
      </c>
      <c r="H17" s="204">
        <v>45320</v>
      </c>
      <c r="I17" s="200">
        <v>0.60416666666666663</v>
      </c>
      <c r="J17" s="212">
        <v>7.97</v>
      </c>
      <c r="K17" s="210">
        <v>19.7</v>
      </c>
      <c r="L17" s="211">
        <f t="shared" si="0"/>
        <v>0.10000000000000053</v>
      </c>
      <c r="M17" s="208" t="s">
        <v>21</v>
      </c>
      <c r="N17" s="208"/>
      <c r="O17" s="213"/>
    </row>
    <row r="18" spans="1:29" ht="15.75" customHeight="1">
      <c r="A18" s="198" t="s">
        <v>280</v>
      </c>
      <c r="B18" s="201">
        <v>45314</v>
      </c>
      <c r="C18" s="200">
        <v>0.44722222222222224</v>
      </c>
      <c r="D18" s="201">
        <v>45315</v>
      </c>
      <c r="E18" s="202">
        <v>0.42708333333333331</v>
      </c>
      <c r="F18" s="203">
        <v>8.33</v>
      </c>
      <c r="G18" s="203">
        <v>20.7</v>
      </c>
      <c r="H18" s="204">
        <v>45320</v>
      </c>
      <c r="I18" s="200">
        <v>0.60833333333333328</v>
      </c>
      <c r="J18" s="212">
        <v>8.1300000000000008</v>
      </c>
      <c r="K18" s="210">
        <v>19.399999999999999</v>
      </c>
      <c r="L18" s="211">
        <f t="shared" si="0"/>
        <v>0.19999999999999929</v>
      </c>
      <c r="M18" s="208" t="s">
        <v>21</v>
      </c>
      <c r="N18" s="208"/>
      <c r="O18" s="213"/>
      <c r="P18" s="215"/>
      <c r="Q18" s="215"/>
      <c r="R18" s="215"/>
      <c r="S18" s="215"/>
      <c r="T18" s="215"/>
      <c r="U18" s="215"/>
      <c r="V18" s="215"/>
      <c r="W18" s="215"/>
      <c r="X18" s="215"/>
      <c r="Y18" s="215"/>
      <c r="Z18" s="215"/>
      <c r="AA18" s="215"/>
      <c r="AB18" s="215"/>
      <c r="AC18" s="215"/>
    </row>
    <row r="19" spans="1:29" ht="15" customHeight="1">
      <c r="A19" s="198" t="s">
        <v>281</v>
      </c>
      <c r="B19" s="201">
        <v>45314</v>
      </c>
      <c r="C19" s="214">
        <v>0.47291666666666665</v>
      </c>
      <c r="D19" s="201">
        <v>45315</v>
      </c>
      <c r="E19" s="202">
        <v>0.42986111111111114</v>
      </c>
      <c r="F19" s="203">
        <v>8.16</v>
      </c>
      <c r="G19" s="203">
        <v>20.8</v>
      </c>
      <c r="H19" s="204">
        <v>45320</v>
      </c>
      <c r="I19" s="200">
        <v>0.61111111111111116</v>
      </c>
      <c r="J19" s="212">
        <v>7.75</v>
      </c>
      <c r="K19" s="210">
        <v>19.5</v>
      </c>
      <c r="L19" s="211">
        <f t="shared" si="0"/>
        <v>0.41000000000000014</v>
      </c>
      <c r="M19" s="208" t="s">
        <v>21</v>
      </c>
      <c r="N19" s="208"/>
      <c r="O19" s="216"/>
      <c r="Q19" s="215"/>
      <c r="R19" s="215"/>
      <c r="S19" s="215"/>
      <c r="T19" s="215"/>
      <c r="U19" s="215"/>
      <c r="V19" s="215"/>
      <c r="W19" s="215"/>
      <c r="X19" s="215"/>
      <c r="Y19" s="215"/>
      <c r="Z19" s="215"/>
      <c r="AA19" s="215"/>
      <c r="AB19" s="215"/>
      <c r="AC19" s="215"/>
    </row>
    <row r="20" spans="1:29" ht="15" customHeight="1">
      <c r="A20" s="198" t="s">
        <v>282</v>
      </c>
      <c r="B20" s="201">
        <v>45314</v>
      </c>
      <c r="C20" s="214">
        <v>0.47291666666666665</v>
      </c>
      <c r="D20" s="201">
        <v>45315</v>
      </c>
      <c r="E20" s="202">
        <v>0.43194444444444446</v>
      </c>
      <c r="F20" s="203">
        <v>8.15</v>
      </c>
      <c r="G20" s="203">
        <v>20.8</v>
      </c>
      <c r="H20" s="204">
        <v>45320</v>
      </c>
      <c r="I20" s="200">
        <v>0.61388888888888893</v>
      </c>
      <c r="J20" s="212">
        <v>8.0299999999999994</v>
      </c>
      <c r="K20" s="210">
        <v>19.899999999999999</v>
      </c>
      <c r="L20" s="211">
        <f t="shared" si="0"/>
        <v>0.12000000000000099</v>
      </c>
      <c r="M20" s="208" t="s">
        <v>21</v>
      </c>
      <c r="N20" s="208"/>
      <c r="O20" s="217"/>
      <c r="Q20" s="215"/>
      <c r="R20" s="215"/>
      <c r="S20" s="215"/>
      <c r="T20" s="215"/>
      <c r="U20" s="215"/>
      <c r="V20" s="215"/>
      <c r="W20" s="215"/>
      <c r="X20" s="215"/>
      <c r="Y20" s="215"/>
      <c r="Z20" s="215"/>
      <c r="AA20" s="215"/>
      <c r="AB20" s="215"/>
      <c r="AC20" s="215"/>
    </row>
    <row r="21" spans="1:29" ht="15.75" customHeight="1">
      <c r="A21" s="198" t="s">
        <v>264</v>
      </c>
      <c r="B21" s="199" t="s">
        <v>17</v>
      </c>
      <c r="C21" s="200" t="s">
        <v>17</v>
      </c>
      <c r="D21" s="201">
        <v>45316</v>
      </c>
      <c r="E21" s="202">
        <v>0.5625</v>
      </c>
      <c r="F21" s="203">
        <v>8.5299999999999994</v>
      </c>
      <c r="G21" s="203">
        <v>24.2</v>
      </c>
      <c r="H21" s="204">
        <v>45321</v>
      </c>
      <c r="I21" s="200">
        <v>0.5854166666666667</v>
      </c>
      <c r="J21" s="212">
        <v>8.5</v>
      </c>
      <c r="K21" s="210">
        <v>24.3</v>
      </c>
      <c r="L21" s="200" t="s">
        <v>17</v>
      </c>
      <c r="M21" s="208" t="s">
        <v>21</v>
      </c>
      <c r="N21" s="208"/>
      <c r="O21" s="213"/>
      <c r="Q21" s="215"/>
      <c r="R21" s="215"/>
      <c r="S21" s="215"/>
      <c r="T21" s="215"/>
      <c r="U21" s="215"/>
      <c r="V21" s="215"/>
      <c r="W21" s="215"/>
      <c r="X21" s="215"/>
      <c r="Y21" s="215"/>
      <c r="Z21" s="215"/>
      <c r="AA21" s="215"/>
      <c r="AB21" s="215"/>
      <c r="AC21" s="215"/>
    </row>
    <row r="22" spans="1:29" ht="15.75" customHeight="1">
      <c r="A22" s="198" t="s">
        <v>283</v>
      </c>
      <c r="B22" s="201">
        <v>45316</v>
      </c>
      <c r="C22" s="214">
        <v>0.33333333333333331</v>
      </c>
      <c r="D22" s="201">
        <v>45316</v>
      </c>
      <c r="E22" s="202">
        <v>0.56874999999999998</v>
      </c>
      <c r="F22" s="203">
        <v>8.36</v>
      </c>
      <c r="G22" s="203">
        <v>21.9</v>
      </c>
      <c r="H22" s="204">
        <v>45321</v>
      </c>
      <c r="I22" s="200">
        <v>0.58680555555555558</v>
      </c>
      <c r="J22" s="212">
        <v>8.2200000000000006</v>
      </c>
      <c r="K22" s="210">
        <v>20.8</v>
      </c>
      <c r="L22" s="211">
        <f t="shared" ref="L22:L31" si="1">F22-J22</f>
        <v>0.13999999999999879</v>
      </c>
      <c r="M22" s="208" t="s">
        <v>21</v>
      </c>
      <c r="N22" s="208"/>
      <c r="O22" s="213"/>
      <c r="Q22" s="215"/>
      <c r="R22" s="215"/>
      <c r="S22" s="215"/>
      <c r="T22" s="215"/>
      <c r="U22" s="215"/>
      <c r="V22" s="215"/>
      <c r="W22" s="215"/>
      <c r="X22" s="215"/>
      <c r="Y22" s="215"/>
      <c r="Z22" s="215"/>
      <c r="AA22" s="215"/>
      <c r="AB22" s="215"/>
      <c r="AC22" s="215"/>
    </row>
    <row r="23" spans="1:29" ht="15.75" customHeight="1">
      <c r="A23" s="198" t="s">
        <v>284</v>
      </c>
      <c r="B23" s="201">
        <v>45316</v>
      </c>
      <c r="C23" s="214">
        <v>0.33333333333333331</v>
      </c>
      <c r="D23" s="201">
        <v>45316</v>
      </c>
      <c r="E23" s="202">
        <v>0.5756944444444444</v>
      </c>
      <c r="F23" s="203">
        <v>8.17</v>
      </c>
      <c r="G23" s="203">
        <v>22.2</v>
      </c>
      <c r="H23" s="204">
        <v>45321</v>
      </c>
      <c r="I23" s="200">
        <v>0.59027777777777779</v>
      </c>
      <c r="J23" s="212">
        <v>7.85</v>
      </c>
      <c r="K23" s="210">
        <v>21.1</v>
      </c>
      <c r="L23" s="211">
        <f t="shared" si="1"/>
        <v>0.32000000000000028</v>
      </c>
      <c r="M23" s="208" t="s">
        <v>21</v>
      </c>
      <c r="N23" s="208"/>
      <c r="O23" s="213"/>
      <c r="Q23" s="215"/>
      <c r="R23" s="215"/>
      <c r="S23" s="215"/>
      <c r="T23" s="215"/>
      <c r="U23" s="215"/>
      <c r="V23" s="215"/>
      <c r="W23" s="215"/>
      <c r="X23" s="215"/>
      <c r="Y23" s="215"/>
      <c r="Z23" s="215"/>
      <c r="AA23" s="215"/>
      <c r="AB23" s="215"/>
      <c r="AC23" s="215"/>
    </row>
    <row r="24" spans="1:29" ht="15.75" customHeight="1">
      <c r="A24" s="198" t="s">
        <v>285</v>
      </c>
      <c r="B24" s="201">
        <v>45316</v>
      </c>
      <c r="C24" s="200">
        <v>0.35833333333333334</v>
      </c>
      <c r="D24" s="201">
        <v>45316</v>
      </c>
      <c r="E24" s="218">
        <v>0.58125000000000004</v>
      </c>
      <c r="F24" s="203">
        <v>8.3000000000000007</v>
      </c>
      <c r="G24" s="203">
        <v>21.2</v>
      </c>
      <c r="H24" s="204">
        <v>45321</v>
      </c>
      <c r="I24" s="200">
        <v>0.59375</v>
      </c>
      <c r="J24" s="212">
        <v>8.11</v>
      </c>
      <c r="K24" s="210">
        <v>20.6</v>
      </c>
      <c r="L24" s="211">
        <f t="shared" si="1"/>
        <v>0.19000000000000128</v>
      </c>
      <c r="M24" s="208" t="s">
        <v>21</v>
      </c>
      <c r="N24" s="208"/>
      <c r="O24" s="213"/>
      <c r="Q24" s="215"/>
      <c r="R24" s="215"/>
      <c r="S24" s="215"/>
      <c r="T24" s="215"/>
      <c r="U24" s="215"/>
      <c r="V24" s="215"/>
      <c r="W24" s="215"/>
      <c r="X24" s="215"/>
      <c r="Y24" s="215"/>
      <c r="Z24" s="215"/>
      <c r="AA24" s="215"/>
      <c r="AB24" s="215"/>
      <c r="AC24" s="215"/>
    </row>
    <row r="25" spans="1:29" ht="15.75" customHeight="1">
      <c r="A25" s="198" t="s">
        <v>286</v>
      </c>
      <c r="B25" s="201">
        <v>45316</v>
      </c>
      <c r="C25" s="200">
        <v>0.35833333333333334</v>
      </c>
      <c r="D25" s="201">
        <v>45316</v>
      </c>
      <c r="E25" s="218">
        <v>0.58680555555555558</v>
      </c>
      <c r="F25" s="203">
        <v>8</v>
      </c>
      <c r="G25" s="203">
        <v>21.6</v>
      </c>
      <c r="H25" s="204">
        <v>45321</v>
      </c>
      <c r="I25" s="200">
        <v>0.59652777777777777</v>
      </c>
      <c r="J25" s="212">
        <v>7.74</v>
      </c>
      <c r="K25" s="210">
        <v>20.6</v>
      </c>
      <c r="L25" s="211">
        <f t="shared" si="1"/>
        <v>0.25999999999999979</v>
      </c>
      <c r="M25" s="208" t="s">
        <v>21</v>
      </c>
      <c r="N25" s="208"/>
      <c r="O25" s="213"/>
      <c r="Q25" s="215"/>
      <c r="R25" s="215"/>
      <c r="S25" s="215"/>
      <c r="T25" s="215"/>
      <c r="U25" s="215"/>
      <c r="V25" s="215"/>
      <c r="W25" s="215"/>
      <c r="X25" s="215"/>
      <c r="Y25" s="215"/>
      <c r="Z25" s="215"/>
      <c r="AA25" s="215"/>
      <c r="AB25" s="215"/>
      <c r="AC25" s="215"/>
    </row>
    <row r="26" spans="1:29" ht="15.75" customHeight="1">
      <c r="A26" s="198" t="s">
        <v>287</v>
      </c>
      <c r="B26" s="201">
        <v>45316</v>
      </c>
      <c r="C26" s="200">
        <v>0.38194444444444442</v>
      </c>
      <c r="D26" s="201">
        <v>45316</v>
      </c>
      <c r="E26" s="218">
        <v>0.59305555555555556</v>
      </c>
      <c r="F26" s="203">
        <v>8.15</v>
      </c>
      <c r="G26" s="203">
        <v>20.399999999999999</v>
      </c>
      <c r="H26" s="204">
        <v>45321</v>
      </c>
      <c r="I26" s="200">
        <v>0.60486111111111107</v>
      </c>
      <c r="J26" s="212">
        <v>7.83</v>
      </c>
      <c r="K26" s="210">
        <v>20.2</v>
      </c>
      <c r="L26" s="211">
        <f t="shared" si="1"/>
        <v>0.32000000000000028</v>
      </c>
      <c r="M26" s="208" t="s">
        <v>21</v>
      </c>
      <c r="N26" s="208"/>
      <c r="O26" s="213"/>
      <c r="Q26" s="215"/>
      <c r="R26" s="215"/>
      <c r="S26" s="215"/>
      <c r="T26" s="215"/>
      <c r="U26" s="215"/>
      <c r="V26" s="215"/>
      <c r="W26" s="215"/>
      <c r="X26" s="215"/>
      <c r="Y26" s="215"/>
      <c r="Z26" s="215"/>
      <c r="AA26" s="215"/>
      <c r="AB26" s="215"/>
      <c r="AC26" s="215"/>
    </row>
    <row r="27" spans="1:29" ht="15.75" customHeight="1">
      <c r="A27" s="198" t="s">
        <v>288</v>
      </c>
      <c r="B27" s="201">
        <v>45316</v>
      </c>
      <c r="C27" s="200">
        <v>0.38194444444444442</v>
      </c>
      <c r="D27" s="201">
        <v>45316</v>
      </c>
      <c r="E27" s="218">
        <v>0.60347222222222219</v>
      </c>
      <c r="F27" s="203">
        <v>8.06</v>
      </c>
      <c r="G27" s="203">
        <v>22.2</v>
      </c>
      <c r="H27" s="204">
        <v>45321</v>
      </c>
      <c r="I27" s="200">
        <v>0.60763888888888884</v>
      </c>
      <c r="J27" s="212">
        <v>7.89</v>
      </c>
      <c r="K27" s="210">
        <v>20.7</v>
      </c>
      <c r="L27" s="211">
        <f t="shared" si="1"/>
        <v>0.17000000000000082</v>
      </c>
      <c r="M27" s="208" t="s">
        <v>21</v>
      </c>
      <c r="N27" s="208"/>
      <c r="O27" s="213"/>
      <c r="Q27" s="215"/>
      <c r="R27" s="215"/>
      <c r="S27" s="215"/>
      <c r="T27" s="215"/>
      <c r="U27" s="215"/>
      <c r="V27" s="215"/>
      <c r="W27" s="215"/>
      <c r="X27" s="215"/>
      <c r="Y27" s="215"/>
      <c r="Z27" s="215"/>
      <c r="AA27" s="215"/>
      <c r="AB27" s="215"/>
      <c r="AC27" s="215"/>
    </row>
    <row r="28" spans="1:29" ht="15.75">
      <c r="A28" s="198" t="s">
        <v>289</v>
      </c>
      <c r="B28" s="201">
        <v>45316</v>
      </c>
      <c r="C28" s="200">
        <v>0.38194444444444442</v>
      </c>
      <c r="D28" s="201">
        <v>45316</v>
      </c>
      <c r="E28" s="218">
        <v>0.60486111111111107</v>
      </c>
      <c r="F28" s="203">
        <v>8.06</v>
      </c>
      <c r="G28" s="203">
        <v>21.8</v>
      </c>
      <c r="H28" s="204">
        <v>45321</v>
      </c>
      <c r="I28" s="200">
        <v>0.60902777777777772</v>
      </c>
      <c r="J28" s="212">
        <v>6.06</v>
      </c>
      <c r="K28" s="210">
        <v>20.5</v>
      </c>
      <c r="L28" s="211">
        <f t="shared" si="1"/>
        <v>2.0000000000000009</v>
      </c>
      <c r="M28" s="208" t="s">
        <v>21</v>
      </c>
      <c r="N28" s="208"/>
      <c r="O28" s="213"/>
    </row>
    <row r="29" spans="1:29" ht="15.75">
      <c r="A29" s="198" t="s">
        <v>290</v>
      </c>
      <c r="B29" s="201">
        <v>45316</v>
      </c>
      <c r="C29" s="200">
        <v>0.38194444444444442</v>
      </c>
      <c r="D29" s="201">
        <v>45316</v>
      </c>
      <c r="E29" s="218">
        <v>0.61527777777777781</v>
      </c>
      <c r="F29" s="203">
        <v>8.02</v>
      </c>
      <c r="G29" s="203">
        <v>22.9</v>
      </c>
      <c r="H29" s="204">
        <v>45321</v>
      </c>
      <c r="I29" s="200">
        <v>0.61041666666666672</v>
      </c>
      <c r="J29" s="212">
        <v>7.74</v>
      </c>
      <c r="K29" s="210">
        <v>20.6</v>
      </c>
      <c r="L29" s="211">
        <f t="shared" si="1"/>
        <v>0.27999999999999936</v>
      </c>
      <c r="M29" s="208" t="s">
        <v>21</v>
      </c>
      <c r="N29" s="208"/>
      <c r="O29" s="213"/>
      <c r="P29" s="219"/>
    </row>
    <row r="30" spans="1:29" ht="15.75" customHeight="1">
      <c r="A30" s="198" t="s">
        <v>291</v>
      </c>
      <c r="B30" s="201">
        <v>45316</v>
      </c>
      <c r="C30" s="200">
        <v>0.40625</v>
      </c>
      <c r="D30" s="201">
        <v>45316</v>
      </c>
      <c r="E30" s="218">
        <v>0.62013888888888891</v>
      </c>
      <c r="F30" s="203">
        <v>7.84</v>
      </c>
      <c r="G30" s="203">
        <v>22.5</v>
      </c>
      <c r="H30" s="204">
        <v>45321</v>
      </c>
      <c r="I30" s="200">
        <v>0.61250000000000004</v>
      </c>
      <c r="J30" s="212">
        <v>7.65</v>
      </c>
      <c r="K30" s="210">
        <v>19.8</v>
      </c>
      <c r="L30" s="211">
        <f t="shared" si="1"/>
        <v>0.1899999999999995</v>
      </c>
      <c r="M30" s="208" t="s">
        <v>21</v>
      </c>
      <c r="N30" s="208"/>
      <c r="O30" s="213"/>
      <c r="Q30" s="215"/>
      <c r="R30" s="215"/>
      <c r="S30" s="215"/>
      <c r="T30" s="215"/>
      <c r="U30" s="215"/>
      <c r="V30" s="215"/>
      <c r="W30" s="215"/>
      <c r="X30" s="215"/>
      <c r="Y30" s="215"/>
      <c r="Z30" s="215"/>
      <c r="AA30" s="215"/>
      <c r="AB30" s="215"/>
      <c r="AC30" s="215"/>
    </row>
    <row r="31" spans="1:29" ht="15.75" customHeight="1">
      <c r="A31" s="198" t="s">
        <v>292</v>
      </c>
      <c r="B31" s="201">
        <v>45316</v>
      </c>
      <c r="C31" s="200">
        <v>0.40625</v>
      </c>
      <c r="D31" s="201">
        <v>45316</v>
      </c>
      <c r="E31" s="218">
        <v>0.61597222222222225</v>
      </c>
      <c r="F31" s="203">
        <v>8.41</v>
      </c>
      <c r="G31" s="203">
        <v>21.2</v>
      </c>
      <c r="H31" s="204">
        <v>45321</v>
      </c>
      <c r="I31" s="200">
        <v>0.61388888888888893</v>
      </c>
      <c r="J31" s="212">
        <v>8.09</v>
      </c>
      <c r="K31" s="210">
        <v>21.6</v>
      </c>
      <c r="L31" s="211">
        <f t="shared" si="1"/>
        <v>0.32000000000000028</v>
      </c>
      <c r="M31" s="208" t="s">
        <v>21</v>
      </c>
      <c r="N31" s="208"/>
      <c r="O31" s="213"/>
      <c r="Q31" s="215"/>
      <c r="R31" s="215"/>
      <c r="S31" s="215"/>
      <c r="T31" s="215"/>
      <c r="U31" s="215"/>
      <c r="V31" s="215"/>
      <c r="W31" s="215"/>
      <c r="X31" s="215"/>
      <c r="Y31" s="215"/>
      <c r="Z31" s="215"/>
      <c r="AA31" s="215"/>
      <c r="AB31" s="215"/>
      <c r="AC31" s="215"/>
    </row>
    <row r="32" spans="1:29" ht="15.75" customHeight="1">
      <c r="A32" s="198" t="s">
        <v>264</v>
      </c>
      <c r="B32" s="199" t="s">
        <v>17</v>
      </c>
      <c r="C32" s="200" t="s">
        <v>17</v>
      </c>
      <c r="D32" s="204">
        <v>45322</v>
      </c>
      <c r="E32" s="202">
        <v>0.31736111111111109</v>
      </c>
      <c r="F32" s="203">
        <v>8.5</v>
      </c>
      <c r="G32" s="203">
        <v>23.9</v>
      </c>
      <c r="H32" s="204">
        <v>45327</v>
      </c>
      <c r="I32" s="200">
        <v>0.54791666666666672</v>
      </c>
      <c r="J32" s="212">
        <v>8.3699999999999992</v>
      </c>
      <c r="K32" s="210">
        <v>24.8</v>
      </c>
      <c r="L32" s="200" t="s">
        <v>17</v>
      </c>
      <c r="M32" s="208" t="s">
        <v>21</v>
      </c>
      <c r="N32" s="208"/>
      <c r="O32" s="213"/>
    </row>
    <row r="33" spans="1:29" ht="15.75" customHeight="1">
      <c r="A33" s="198" t="s">
        <v>293</v>
      </c>
      <c r="B33" s="201">
        <v>45320</v>
      </c>
      <c r="C33" s="200">
        <v>0.31597222222222221</v>
      </c>
      <c r="D33" s="204">
        <v>45322</v>
      </c>
      <c r="E33" s="200">
        <v>0.31874999999999998</v>
      </c>
      <c r="F33" s="203">
        <v>8.85</v>
      </c>
      <c r="G33" s="203">
        <v>20.3</v>
      </c>
      <c r="H33" s="204">
        <v>45327</v>
      </c>
      <c r="I33" s="200">
        <v>0.55000000000000004</v>
      </c>
      <c r="J33" s="212">
        <v>8.68</v>
      </c>
      <c r="K33" s="220">
        <v>18.2</v>
      </c>
      <c r="L33" s="211">
        <f t="shared" ref="L33:L50" si="2">F33-J33</f>
        <v>0.16999999999999993</v>
      </c>
      <c r="M33" s="208" t="s">
        <v>21</v>
      </c>
      <c r="N33" s="208"/>
      <c r="O33" s="213"/>
    </row>
    <row r="34" spans="1:29" ht="15.75" customHeight="1">
      <c r="A34" s="198" t="s">
        <v>294</v>
      </c>
      <c r="B34" s="201">
        <v>45320</v>
      </c>
      <c r="C34" s="200">
        <v>0.31597222222222221</v>
      </c>
      <c r="D34" s="204">
        <v>45322</v>
      </c>
      <c r="E34" s="200">
        <v>0.32013888888888886</v>
      </c>
      <c r="F34" s="203">
        <v>8.57</v>
      </c>
      <c r="G34" s="203">
        <v>20.399999999999999</v>
      </c>
      <c r="H34" s="204">
        <v>45327</v>
      </c>
      <c r="I34" s="200">
        <v>0.55138888888888893</v>
      </c>
      <c r="J34" s="212">
        <v>8.52</v>
      </c>
      <c r="K34" s="220">
        <v>18.899999999999999</v>
      </c>
      <c r="L34" s="211">
        <f t="shared" si="2"/>
        <v>5.0000000000000711E-2</v>
      </c>
      <c r="M34" s="208" t="s">
        <v>21</v>
      </c>
      <c r="N34" s="221"/>
      <c r="O34" s="213"/>
      <c r="Q34" s="215"/>
      <c r="R34" s="215"/>
      <c r="S34" s="215"/>
      <c r="T34" s="215"/>
      <c r="U34" s="215"/>
      <c r="V34" s="215"/>
      <c r="W34" s="215"/>
      <c r="X34" s="215"/>
      <c r="Y34" s="215"/>
      <c r="Z34" s="215"/>
      <c r="AA34" s="215"/>
      <c r="AB34" s="215"/>
      <c r="AC34" s="215"/>
    </row>
    <row r="35" spans="1:29" ht="15.75" customHeight="1">
      <c r="A35" s="198" t="s">
        <v>295</v>
      </c>
      <c r="B35" s="201">
        <v>45320</v>
      </c>
      <c r="C35" s="200">
        <v>0.35486111111111113</v>
      </c>
      <c r="D35" s="204">
        <v>45322</v>
      </c>
      <c r="E35" s="200">
        <v>0.32361111111111113</v>
      </c>
      <c r="F35" s="203">
        <v>8.65</v>
      </c>
      <c r="G35" s="203">
        <v>19.899999999999999</v>
      </c>
      <c r="H35" s="204">
        <v>45327</v>
      </c>
      <c r="I35" s="200">
        <v>0.55347222222222225</v>
      </c>
      <c r="J35" s="212">
        <v>8.5299999999999994</v>
      </c>
      <c r="K35" s="220">
        <v>19.600000000000001</v>
      </c>
      <c r="L35" s="211">
        <f t="shared" si="2"/>
        <v>0.12000000000000099</v>
      </c>
      <c r="M35" s="208" t="s">
        <v>21</v>
      </c>
      <c r="N35" s="221"/>
      <c r="O35" s="213"/>
      <c r="Q35" s="215"/>
      <c r="R35" s="215"/>
      <c r="S35" s="215"/>
      <c r="T35" s="215"/>
      <c r="U35" s="215"/>
      <c r="V35" s="215"/>
      <c r="W35" s="215"/>
      <c r="X35" s="215"/>
      <c r="Y35" s="215"/>
      <c r="Z35" s="215"/>
      <c r="AA35" s="215"/>
      <c r="AB35" s="215"/>
      <c r="AC35" s="215"/>
    </row>
    <row r="36" spans="1:29" ht="15.75" customHeight="1">
      <c r="A36" s="198" t="s">
        <v>296</v>
      </c>
      <c r="B36" s="201">
        <v>45320</v>
      </c>
      <c r="C36" s="200">
        <v>0.35486111111111113</v>
      </c>
      <c r="D36" s="204">
        <v>45322</v>
      </c>
      <c r="E36" s="200">
        <v>0.32500000000000001</v>
      </c>
      <c r="F36" s="203">
        <v>8.64</v>
      </c>
      <c r="G36" s="203">
        <v>20.100000000000001</v>
      </c>
      <c r="H36" s="204">
        <v>45327</v>
      </c>
      <c r="I36" s="200">
        <v>0.55486111111111114</v>
      </c>
      <c r="J36" s="212">
        <v>8.4700000000000006</v>
      </c>
      <c r="K36" s="220">
        <v>19.8</v>
      </c>
      <c r="L36" s="211">
        <f t="shared" si="2"/>
        <v>0.16999999999999993</v>
      </c>
      <c r="M36" s="208" t="s">
        <v>21</v>
      </c>
      <c r="N36" s="221"/>
      <c r="O36" s="213"/>
    </row>
    <row r="37" spans="1:29" ht="15.75" customHeight="1">
      <c r="A37" s="198" t="s">
        <v>297</v>
      </c>
      <c r="B37" s="201">
        <v>45320</v>
      </c>
      <c r="C37" s="200">
        <v>0.39374999999999999</v>
      </c>
      <c r="D37" s="204">
        <v>45322</v>
      </c>
      <c r="E37" s="200">
        <v>0.32847222222222222</v>
      </c>
      <c r="F37" s="203">
        <v>8.74</v>
      </c>
      <c r="G37" s="203">
        <v>19.399999999999999</v>
      </c>
      <c r="H37" s="204">
        <v>45327</v>
      </c>
      <c r="I37" s="200">
        <v>0.55555555555555558</v>
      </c>
      <c r="J37" s="212">
        <v>8.6300000000000008</v>
      </c>
      <c r="K37" s="220">
        <v>18.7</v>
      </c>
      <c r="L37" s="211">
        <f t="shared" si="2"/>
        <v>0.10999999999999943</v>
      </c>
      <c r="M37" s="208" t="s">
        <v>21</v>
      </c>
      <c r="N37" s="221"/>
      <c r="O37" s="213"/>
      <c r="P37" s="197"/>
    </row>
    <row r="38" spans="1:29" ht="15.75" customHeight="1">
      <c r="A38" s="198" t="s">
        <v>298</v>
      </c>
      <c r="B38" s="201">
        <v>45320</v>
      </c>
      <c r="C38" s="200">
        <v>0.39374999999999999</v>
      </c>
      <c r="D38" s="204">
        <v>45322</v>
      </c>
      <c r="E38" s="200">
        <v>0.3298611111111111</v>
      </c>
      <c r="F38" s="203">
        <v>8.68</v>
      </c>
      <c r="G38" s="203">
        <v>19.7</v>
      </c>
      <c r="H38" s="204">
        <v>45327</v>
      </c>
      <c r="I38" s="200">
        <v>0.55694444444444446</v>
      </c>
      <c r="J38" s="212">
        <v>8.59</v>
      </c>
      <c r="K38" s="220">
        <v>19.600000000000001</v>
      </c>
      <c r="L38" s="211">
        <f t="shared" si="2"/>
        <v>8.9999999999999858E-2</v>
      </c>
      <c r="M38" s="208" t="s">
        <v>21</v>
      </c>
      <c r="N38" s="221"/>
      <c r="O38" s="213"/>
      <c r="Q38" s="215"/>
      <c r="R38" s="215"/>
      <c r="S38" s="215"/>
      <c r="T38" s="215"/>
      <c r="U38" s="215"/>
      <c r="V38" s="215"/>
      <c r="W38" s="215"/>
      <c r="X38" s="215"/>
      <c r="Y38" s="215"/>
      <c r="Z38" s="215"/>
      <c r="AA38" s="215"/>
      <c r="AB38" s="215"/>
      <c r="AC38" s="215"/>
    </row>
    <row r="39" spans="1:29" ht="15.75" customHeight="1">
      <c r="A39" s="198" t="s">
        <v>299</v>
      </c>
      <c r="B39" s="201">
        <v>45320</v>
      </c>
      <c r="C39" s="200">
        <v>0.4201388888888889</v>
      </c>
      <c r="D39" s="204">
        <v>45322</v>
      </c>
      <c r="E39" s="200">
        <v>0.33402777777777776</v>
      </c>
      <c r="F39" s="203">
        <v>8.6999999999999993</v>
      </c>
      <c r="G39" s="203">
        <v>20.100000000000001</v>
      </c>
      <c r="H39" s="204">
        <v>45327</v>
      </c>
      <c r="I39" s="200">
        <v>0.55138888888888893</v>
      </c>
      <c r="J39" s="212">
        <v>8.5500000000000007</v>
      </c>
      <c r="K39" s="220">
        <v>20.100000000000001</v>
      </c>
      <c r="L39" s="211">
        <f t="shared" si="2"/>
        <v>0.14999999999999858</v>
      </c>
      <c r="M39" s="208" t="s">
        <v>21</v>
      </c>
      <c r="N39" s="221"/>
      <c r="O39" s="213"/>
    </row>
    <row r="40" spans="1:29" ht="15.75" customHeight="1">
      <c r="A40" s="198" t="s">
        <v>300</v>
      </c>
      <c r="B40" s="201">
        <v>45320</v>
      </c>
      <c r="C40" s="200">
        <v>0.4201388888888889</v>
      </c>
      <c r="D40" s="204">
        <v>45322</v>
      </c>
      <c r="E40" s="200">
        <v>0.33541666666666664</v>
      </c>
      <c r="F40" s="203">
        <v>8.56</v>
      </c>
      <c r="G40" s="203">
        <v>19.8</v>
      </c>
      <c r="H40" s="204">
        <v>45327</v>
      </c>
      <c r="I40" s="200">
        <v>0.56111111111111112</v>
      </c>
      <c r="J40" s="212">
        <v>8.5500000000000007</v>
      </c>
      <c r="K40" s="220">
        <v>20.2</v>
      </c>
      <c r="L40" s="211">
        <f t="shared" si="2"/>
        <v>9.9999999999997868E-3</v>
      </c>
      <c r="M40" s="208" t="s">
        <v>21</v>
      </c>
      <c r="N40" s="221"/>
      <c r="O40" s="213"/>
      <c r="Q40" s="215"/>
      <c r="R40" s="215"/>
      <c r="S40" s="215"/>
      <c r="T40" s="215"/>
      <c r="U40" s="215"/>
      <c r="V40" s="215"/>
      <c r="W40" s="215"/>
      <c r="X40" s="215"/>
      <c r="Y40" s="215"/>
      <c r="Z40" s="215"/>
      <c r="AA40" s="215"/>
      <c r="AB40" s="215"/>
      <c r="AC40" s="215"/>
    </row>
    <row r="41" spans="1:29" ht="15.75">
      <c r="A41" s="198" t="s">
        <v>301</v>
      </c>
      <c r="B41" s="201">
        <v>45321</v>
      </c>
      <c r="C41" s="200">
        <v>0.3215277777777778</v>
      </c>
      <c r="D41" s="201">
        <v>45322</v>
      </c>
      <c r="E41" s="218">
        <v>0.34444444444444444</v>
      </c>
      <c r="F41" s="203">
        <v>8.44</v>
      </c>
      <c r="G41" s="203">
        <v>20</v>
      </c>
      <c r="H41" s="204">
        <v>45327</v>
      </c>
      <c r="I41" s="200">
        <v>6.1805555555555558E-2</v>
      </c>
      <c r="J41" s="212">
        <v>6.84</v>
      </c>
      <c r="K41" s="220">
        <v>19.2</v>
      </c>
      <c r="L41" s="222">
        <f t="shared" si="2"/>
        <v>1.5999999999999996</v>
      </c>
      <c r="M41" s="208" t="s">
        <v>21</v>
      </c>
      <c r="N41" s="221"/>
      <c r="O41" s="213"/>
    </row>
    <row r="42" spans="1:29" ht="15.75">
      <c r="A42" s="198" t="s">
        <v>302</v>
      </c>
      <c r="B42" s="201">
        <v>45321</v>
      </c>
      <c r="C42" s="200">
        <v>0.3215277777777778</v>
      </c>
      <c r="D42" s="201">
        <v>45322</v>
      </c>
      <c r="E42" s="218">
        <v>0.34236111111111112</v>
      </c>
      <c r="F42" s="203">
        <v>8.27</v>
      </c>
      <c r="G42" s="203">
        <v>20</v>
      </c>
      <c r="H42" s="204">
        <v>45327</v>
      </c>
      <c r="I42" s="200">
        <v>6.5972222222222224E-2</v>
      </c>
      <c r="J42" s="212">
        <v>8.26</v>
      </c>
      <c r="K42" s="220">
        <v>20.399999999999999</v>
      </c>
      <c r="L42" s="222">
        <f t="shared" si="2"/>
        <v>9.9999999999997868E-3</v>
      </c>
      <c r="M42" s="208" t="s">
        <v>21</v>
      </c>
      <c r="N42" s="221"/>
      <c r="O42" s="213"/>
      <c r="P42" s="219"/>
    </row>
    <row r="43" spans="1:29" ht="15.75" customHeight="1">
      <c r="A43" s="198" t="s">
        <v>303</v>
      </c>
      <c r="B43" s="201">
        <v>45321</v>
      </c>
      <c r="C43" s="200">
        <v>0.3215277777777778</v>
      </c>
      <c r="D43" s="204">
        <v>45322</v>
      </c>
      <c r="E43" s="218">
        <v>0.34166666666666667</v>
      </c>
      <c r="F43" s="203">
        <v>8.23</v>
      </c>
      <c r="G43" s="203">
        <v>20</v>
      </c>
      <c r="H43" s="204">
        <v>45327</v>
      </c>
      <c r="I43" s="200">
        <v>0.56736111111111109</v>
      </c>
      <c r="J43" s="212">
        <v>8.2200000000000006</v>
      </c>
      <c r="K43" s="220">
        <v>20.399999999999999</v>
      </c>
      <c r="L43" s="211">
        <f t="shared" si="2"/>
        <v>9.9999999999997868E-3</v>
      </c>
      <c r="M43" s="208" t="s">
        <v>21</v>
      </c>
      <c r="N43" s="221"/>
      <c r="O43" s="213"/>
      <c r="P43" s="22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</row>
    <row r="44" spans="1:29" ht="15.75" customHeight="1">
      <c r="A44" s="198" t="s">
        <v>304</v>
      </c>
      <c r="B44" s="201">
        <v>45321</v>
      </c>
      <c r="C44" s="200">
        <v>0.3215277777777778</v>
      </c>
      <c r="D44" s="204">
        <v>45322</v>
      </c>
      <c r="E44" s="218">
        <v>0.36736111111111114</v>
      </c>
      <c r="F44" s="203">
        <v>8.23</v>
      </c>
      <c r="G44" s="203">
        <v>20.2</v>
      </c>
      <c r="H44" s="204">
        <v>45327</v>
      </c>
      <c r="I44" s="200">
        <v>0.56944444444444442</v>
      </c>
      <c r="J44" s="212">
        <v>8.2200000000000006</v>
      </c>
      <c r="K44" s="220">
        <v>20.5</v>
      </c>
      <c r="L44" s="211">
        <f t="shared" si="2"/>
        <v>9.9999999999997868E-3</v>
      </c>
      <c r="M44" s="208" t="s">
        <v>21</v>
      </c>
      <c r="N44" s="221"/>
      <c r="O44" s="213"/>
      <c r="Q44" s="215"/>
      <c r="R44" s="215"/>
      <c r="S44" s="215"/>
      <c r="T44" s="215"/>
      <c r="U44" s="215"/>
      <c r="V44" s="215"/>
      <c r="W44" s="215"/>
      <c r="X44" s="215"/>
      <c r="Y44" s="215"/>
      <c r="Z44" s="215"/>
      <c r="AA44" s="215"/>
      <c r="AB44" s="215"/>
      <c r="AC44" s="215"/>
    </row>
    <row r="45" spans="1:29" ht="15.75" customHeight="1">
      <c r="A45" s="198" t="s">
        <v>305</v>
      </c>
      <c r="B45" s="201">
        <v>45321</v>
      </c>
      <c r="C45" s="200">
        <v>0.39444444444444443</v>
      </c>
      <c r="D45" s="204">
        <v>45322</v>
      </c>
      <c r="E45" s="218">
        <v>0.35486111111111113</v>
      </c>
      <c r="F45" s="203">
        <v>8.27</v>
      </c>
      <c r="G45" s="203">
        <v>19.600000000000001</v>
      </c>
      <c r="H45" s="204">
        <v>45327</v>
      </c>
      <c r="I45" s="200">
        <v>0.57291666666666663</v>
      </c>
      <c r="J45" s="212">
        <v>8.26</v>
      </c>
      <c r="K45" s="220">
        <v>20.5</v>
      </c>
      <c r="L45" s="211">
        <f t="shared" si="2"/>
        <v>9.9999999999997868E-3</v>
      </c>
      <c r="M45" s="208" t="s">
        <v>21</v>
      </c>
      <c r="N45" s="221"/>
      <c r="O45" s="213"/>
      <c r="P45" s="22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</row>
    <row r="46" spans="1:29" ht="15.75" customHeight="1">
      <c r="A46" s="198" t="s">
        <v>306</v>
      </c>
      <c r="B46" s="201">
        <v>45321</v>
      </c>
      <c r="C46" s="200">
        <v>0.39444444444444443</v>
      </c>
      <c r="D46" s="204">
        <v>45322</v>
      </c>
      <c r="E46" s="218">
        <v>0.35972222222222222</v>
      </c>
      <c r="F46" s="203">
        <v>8.2899999999999991</v>
      </c>
      <c r="G46" s="203">
        <v>19.899999999999999</v>
      </c>
      <c r="H46" s="204">
        <v>45327</v>
      </c>
      <c r="I46" s="200">
        <v>0.57430555555555551</v>
      </c>
      <c r="J46" s="212">
        <v>8.24</v>
      </c>
      <c r="K46" s="220">
        <v>20.5</v>
      </c>
      <c r="L46" s="211">
        <f t="shared" si="2"/>
        <v>4.9999999999998934E-2</v>
      </c>
      <c r="M46" s="208" t="s">
        <v>21</v>
      </c>
      <c r="N46" s="221"/>
      <c r="O46" s="213"/>
      <c r="Q46" s="215"/>
      <c r="R46" s="215"/>
      <c r="S46" s="215"/>
      <c r="T46" s="215"/>
      <c r="U46" s="215"/>
      <c r="V46" s="215"/>
      <c r="W46" s="215"/>
      <c r="X46" s="215"/>
      <c r="Y46" s="215"/>
      <c r="Z46" s="215"/>
      <c r="AA46" s="215"/>
      <c r="AB46" s="215"/>
      <c r="AC46" s="215"/>
    </row>
    <row r="47" spans="1:29" ht="15.75" customHeight="1">
      <c r="A47" s="198" t="s">
        <v>307</v>
      </c>
      <c r="B47" s="201">
        <v>45321</v>
      </c>
      <c r="C47" s="200">
        <v>0.41388888888888886</v>
      </c>
      <c r="D47" s="204">
        <v>45322</v>
      </c>
      <c r="E47" s="218">
        <v>0.35694444444444445</v>
      </c>
      <c r="F47" s="203">
        <v>8.34</v>
      </c>
      <c r="G47" s="203">
        <v>20</v>
      </c>
      <c r="H47" s="204">
        <v>45327</v>
      </c>
      <c r="I47" s="200">
        <v>0.5756944444444444</v>
      </c>
      <c r="J47" s="212">
        <v>8.1999999999999993</v>
      </c>
      <c r="K47" s="220">
        <v>20.8</v>
      </c>
      <c r="L47" s="211">
        <f t="shared" si="2"/>
        <v>0.14000000000000057</v>
      </c>
      <c r="M47" s="208" t="s">
        <v>21</v>
      </c>
      <c r="N47" s="221"/>
      <c r="O47" s="213"/>
      <c r="P47" s="22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</row>
    <row r="48" spans="1:29" ht="15.75" customHeight="1">
      <c r="A48" s="198" t="s">
        <v>308</v>
      </c>
      <c r="B48" s="201">
        <v>45321</v>
      </c>
      <c r="C48" s="200">
        <v>0.41388888888888886</v>
      </c>
      <c r="D48" s="204">
        <v>45322</v>
      </c>
      <c r="E48" s="218">
        <v>0.3611111111111111</v>
      </c>
      <c r="F48" s="203">
        <v>8.42</v>
      </c>
      <c r="G48" s="203">
        <v>20.3</v>
      </c>
      <c r="H48" s="204">
        <v>45327</v>
      </c>
      <c r="I48" s="200">
        <v>0.57847222222222228</v>
      </c>
      <c r="J48" s="212">
        <v>8.2799999999999994</v>
      </c>
      <c r="K48" s="220">
        <v>20.399999999999999</v>
      </c>
      <c r="L48" s="211">
        <f t="shared" si="2"/>
        <v>0.14000000000000057</v>
      </c>
      <c r="M48" s="208" t="s">
        <v>21</v>
      </c>
      <c r="N48" s="221"/>
      <c r="O48" s="213"/>
      <c r="Q48" s="215"/>
      <c r="R48" s="215"/>
      <c r="S48" s="215"/>
      <c r="T48" s="215"/>
      <c r="U48" s="215"/>
      <c r="V48" s="215"/>
      <c r="W48" s="215"/>
      <c r="X48" s="215"/>
      <c r="Y48" s="215"/>
      <c r="Z48" s="215"/>
      <c r="AA48" s="215"/>
      <c r="AB48" s="215"/>
      <c r="AC48" s="215"/>
    </row>
    <row r="49" spans="1:29" ht="15.75" customHeight="1">
      <c r="A49" s="198" t="s">
        <v>309</v>
      </c>
      <c r="B49" s="201">
        <v>45321</v>
      </c>
      <c r="C49" s="200">
        <v>0.45208333333333334</v>
      </c>
      <c r="D49" s="204">
        <v>45322</v>
      </c>
      <c r="E49" s="218">
        <v>0.36388888888888887</v>
      </c>
      <c r="F49" s="203">
        <v>8.39</v>
      </c>
      <c r="G49" s="203">
        <v>20.3</v>
      </c>
      <c r="H49" s="204">
        <v>45327</v>
      </c>
      <c r="I49" s="200">
        <v>0.57916666666666672</v>
      </c>
      <c r="J49" s="212">
        <v>8.3699999999999992</v>
      </c>
      <c r="K49" s="220">
        <v>20.2</v>
      </c>
      <c r="L49" s="211">
        <f t="shared" si="2"/>
        <v>2.000000000000135E-2</v>
      </c>
      <c r="M49" s="208" t="s">
        <v>21</v>
      </c>
      <c r="N49" s="221"/>
      <c r="O49" s="213"/>
      <c r="Q49" s="215"/>
      <c r="R49" s="215"/>
      <c r="S49" s="215"/>
      <c r="T49" s="215"/>
      <c r="U49" s="215"/>
      <c r="V49" s="215"/>
      <c r="W49" s="215"/>
      <c r="X49" s="215"/>
      <c r="Y49" s="215"/>
      <c r="Z49" s="215"/>
      <c r="AA49" s="215"/>
      <c r="AB49" s="215"/>
      <c r="AC49" s="215"/>
    </row>
    <row r="50" spans="1:29" ht="15.75" customHeight="1">
      <c r="A50" s="198" t="s">
        <v>310</v>
      </c>
      <c r="B50" s="201">
        <v>45321</v>
      </c>
      <c r="C50" s="200">
        <v>0.45208333333333334</v>
      </c>
      <c r="D50" s="204">
        <v>45322</v>
      </c>
      <c r="E50" s="218">
        <v>0.36666666666666664</v>
      </c>
      <c r="F50" s="203">
        <v>8.39</v>
      </c>
      <c r="G50" s="203">
        <v>20.3</v>
      </c>
      <c r="H50" s="204">
        <v>45327</v>
      </c>
      <c r="I50" s="200">
        <v>0.5805555555555556</v>
      </c>
      <c r="J50" s="212">
        <v>8.31</v>
      </c>
      <c r="K50" s="220">
        <v>21.1</v>
      </c>
      <c r="L50" s="211">
        <f t="shared" si="2"/>
        <v>8.0000000000000071E-2</v>
      </c>
      <c r="M50" s="208" t="s">
        <v>21</v>
      </c>
      <c r="N50" s="221"/>
      <c r="O50" s="213"/>
      <c r="Q50" s="215"/>
      <c r="R50" s="215"/>
      <c r="S50" s="215"/>
      <c r="T50" s="215"/>
      <c r="U50" s="215"/>
      <c r="V50" s="215"/>
      <c r="W50" s="215"/>
      <c r="X50" s="215"/>
      <c r="Y50" s="215"/>
      <c r="Z50" s="215"/>
      <c r="AA50" s="215"/>
      <c r="AB50" s="215"/>
      <c r="AC50" s="215"/>
    </row>
    <row r="51" spans="1:29" ht="15.75" customHeight="1">
      <c r="A51" s="198" t="s">
        <v>264</v>
      </c>
      <c r="B51" s="199" t="s">
        <v>17</v>
      </c>
      <c r="C51" s="200" t="s">
        <v>17</v>
      </c>
      <c r="D51" s="204">
        <v>45323</v>
      </c>
      <c r="E51" s="202">
        <v>0.72986111111111107</v>
      </c>
      <c r="F51" s="203">
        <v>8.5299999999999994</v>
      </c>
      <c r="G51" s="224">
        <v>24.3</v>
      </c>
      <c r="H51" s="204">
        <v>45328</v>
      </c>
      <c r="I51" s="200">
        <v>0.50069444444444444</v>
      </c>
      <c r="J51" s="212">
        <v>8.4700000000000006</v>
      </c>
      <c r="K51" s="210">
        <v>24.1</v>
      </c>
      <c r="L51" s="200" t="s">
        <v>17</v>
      </c>
      <c r="M51" s="208" t="s">
        <v>21</v>
      </c>
      <c r="N51" s="208"/>
      <c r="O51" s="213"/>
    </row>
    <row r="52" spans="1:29" ht="15.75" customHeight="1">
      <c r="A52" s="198" t="s">
        <v>311</v>
      </c>
      <c r="B52" s="201">
        <v>45322</v>
      </c>
      <c r="C52" s="200">
        <v>0.2951388888888889</v>
      </c>
      <c r="D52" s="204">
        <v>45323</v>
      </c>
      <c r="E52" s="218">
        <v>0.2951388888888889</v>
      </c>
      <c r="F52" s="203">
        <v>8.9700000000000006</v>
      </c>
      <c r="G52" s="203">
        <v>19.8</v>
      </c>
      <c r="H52" s="204">
        <v>45328</v>
      </c>
      <c r="I52" s="200">
        <v>0.50416666666666665</v>
      </c>
      <c r="J52" s="212">
        <v>8.44</v>
      </c>
      <c r="K52" s="220">
        <v>20.399999999999999</v>
      </c>
      <c r="L52" s="211">
        <f t="shared" ref="L52:L69" si="3">F52-J52</f>
        <v>0.53000000000000114</v>
      </c>
      <c r="M52" s="208" t="s">
        <v>21</v>
      </c>
      <c r="N52" s="221"/>
      <c r="O52" s="213"/>
      <c r="P52" s="22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</row>
    <row r="53" spans="1:29" ht="15.75" customHeight="1">
      <c r="A53" s="198" t="s">
        <v>312</v>
      </c>
      <c r="B53" s="201">
        <v>45322</v>
      </c>
      <c r="C53" s="200">
        <v>0.2951388888888889</v>
      </c>
      <c r="D53" s="204">
        <v>45323</v>
      </c>
      <c r="E53" s="218">
        <v>0.2951388888888889</v>
      </c>
      <c r="F53" s="203">
        <v>8.85</v>
      </c>
      <c r="G53" s="203">
        <v>19.899999999999999</v>
      </c>
      <c r="H53" s="204">
        <v>45328</v>
      </c>
      <c r="I53" s="200">
        <v>0.50624999999999998</v>
      </c>
      <c r="J53" s="212">
        <v>8.42</v>
      </c>
      <c r="K53" s="220">
        <v>20.399999999999999</v>
      </c>
      <c r="L53" s="211">
        <f t="shared" si="3"/>
        <v>0.42999999999999972</v>
      </c>
      <c r="M53" s="208" t="s">
        <v>21</v>
      </c>
      <c r="N53" s="221"/>
      <c r="O53" s="213"/>
      <c r="Q53" s="215"/>
      <c r="R53" s="215"/>
      <c r="S53" s="215"/>
      <c r="T53" s="215"/>
      <c r="U53" s="215"/>
      <c r="V53" s="215"/>
      <c r="W53" s="215"/>
      <c r="X53" s="215"/>
      <c r="Y53" s="215"/>
      <c r="Z53" s="215"/>
      <c r="AA53" s="215"/>
      <c r="AB53" s="215"/>
      <c r="AC53" s="215"/>
    </row>
    <row r="54" spans="1:29" ht="15.75" customHeight="1">
      <c r="A54" s="198" t="s">
        <v>313</v>
      </c>
      <c r="B54" s="201">
        <v>45322</v>
      </c>
      <c r="C54" s="200">
        <v>0.34305555555555556</v>
      </c>
      <c r="D54" s="204">
        <v>45323</v>
      </c>
      <c r="E54" s="218">
        <v>0.34305555555555556</v>
      </c>
      <c r="F54" s="203">
        <v>8.8800000000000008</v>
      </c>
      <c r="G54" s="203">
        <v>19.3</v>
      </c>
      <c r="H54" s="204">
        <v>45328</v>
      </c>
      <c r="I54" s="200">
        <v>0.50972222222222219</v>
      </c>
      <c r="J54" s="212">
        <v>8.44</v>
      </c>
      <c r="K54" s="220">
        <v>20.3</v>
      </c>
      <c r="L54" s="211">
        <f t="shared" si="3"/>
        <v>0.44000000000000128</v>
      </c>
      <c r="M54" s="208" t="s">
        <v>21</v>
      </c>
      <c r="N54" s="221"/>
      <c r="O54" s="213"/>
      <c r="P54" s="22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</row>
    <row r="55" spans="1:29" ht="15.75" customHeight="1">
      <c r="A55" s="198" t="s">
        <v>314</v>
      </c>
      <c r="B55" s="201">
        <v>45322</v>
      </c>
      <c r="C55" s="200">
        <v>0.34305555555555556</v>
      </c>
      <c r="D55" s="201">
        <v>45323</v>
      </c>
      <c r="E55" s="218">
        <v>0.34305555555555556</v>
      </c>
      <c r="F55" s="203">
        <v>9.01</v>
      </c>
      <c r="G55" s="203">
        <v>19.3</v>
      </c>
      <c r="H55" s="204">
        <v>45328</v>
      </c>
      <c r="I55" s="200">
        <v>0.51180555555555551</v>
      </c>
      <c r="J55" s="212">
        <v>7.08</v>
      </c>
      <c r="K55" s="220">
        <v>20.6</v>
      </c>
      <c r="L55" s="211">
        <f t="shared" si="3"/>
        <v>1.9299999999999997</v>
      </c>
      <c r="M55" s="208" t="s">
        <v>21</v>
      </c>
      <c r="N55" s="221"/>
      <c r="O55" s="213"/>
      <c r="P55" s="22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</row>
    <row r="56" spans="1:29" ht="15.75" customHeight="1">
      <c r="A56" s="198" t="s">
        <v>315</v>
      </c>
      <c r="B56" s="201">
        <v>45322</v>
      </c>
      <c r="C56" s="200">
        <v>0.34305555555555556</v>
      </c>
      <c r="D56" s="201">
        <v>45323</v>
      </c>
      <c r="E56" s="218">
        <v>0.34305555555555556</v>
      </c>
      <c r="F56" s="203">
        <v>9.0299999999999994</v>
      </c>
      <c r="G56" s="203">
        <v>19.2</v>
      </c>
      <c r="H56" s="204">
        <v>45328</v>
      </c>
      <c r="I56" s="200">
        <v>0.51458333333333328</v>
      </c>
      <c r="J56" s="212">
        <v>8.36</v>
      </c>
      <c r="K56" s="220">
        <v>20.8</v>
      </c>
      <c r="L56" s="211">
        <f t="shared" si="3"/>
        <v>0.66999999999999993</v>
      </c>
      <c r="M56" s="208" t="s">
        <v>21</v>
      </c>
      <c r="N56" s="221"/>
      <c r="O56" s="213"/>
      <c r="P56" s="219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</row>
    <row r="57" spans="1:29" ht="15.75" customHeight="1">
      <c r="A57" s="198" t="s">
        <v>316</v>
      </c>
      <c r="B57" s="201">
        <v>45322</v>
      </c>
      <c r="C57" s="200">
        <v>0.34444444444444444</v>
      </c>
      <c r="D57" s="201">
        <v>45323</v>
      </c>
      <c r="E57" s="218">
        <v>0.34305555555555556</v>
      </c>
      <c r="F57" s="203">
        <v>9.02</v>
      </c>
      <c r="G57" s="203">
        <v>19.100000000000001</v>
      </c>
      <c r="H57" s="204">
        <v>45328</v>
      </c>
      <c r="I57" s="200">
        <v>0.51666666666666672</v>
      </c>
      <c r="J57" s="212">
        <v>8.36</v>
      </c>
      <c r="K57" s="220">
        <v>21.1</v>
      </c>
      <c r="L57" s="211">
        <f t="shared" si="3"/>
        <v>0.66000000000000014</v>
      </c>
      <c r="M57" s="208" t="s">
        <v>21</v>
      </c>
      <c r="N57" s="221"/>
      <c r="O57" s="213"/>
      <c r="Q57" s="215"/>
      <c r="R57" s="215"/>
      <c r="S57" s="215"/>
      <c r="T57" s="215"/>
      <c r="U57" s="215"/>
      <c r="V57" s="215"/>
      <c r="W57" s="215"/>
      <c r="X57" s="215"/>
      <c r="Y57" s="215"/>
      <c r="Z57" s="215"/>
      <c r="AA57" s="215"/>
      <c r="AB57" s="215"/>
      <c r="AC57" s="215"/>
    </row>
    <row r="58" spans="1:29" ht="15.75" customHeight="1">
      <c r="A58" s="198" t="s">
        <v>317</v>
      </c>
      <c r="B58" s="201">
        <v>45322</v>
      </c>
      <c r="C58" s="200">
        <v>0.38611111111111113</v>
      </c>
      <c r="D58" s="204">
        <v>45323</v>
      </c>
      <c r="E58" s="218">
        <v>0.64652777777777781</v>
      </c>
      <c r="F58" s="203">
        <v>8.7899999999999991</v>
      </c>
      <c r="G58" s="203">
        <v>19.8</v>
      </c>
      <c r="H58" s="204">
        <v>45328</v>
      </c>
      <c r="I58" s="200">
        <v>0.52013888888888893</v>
      </c>
      <c r="J58" s="212">
        <v>8.4499999999999993</v>
      </c>
      <c r="K58" s="220">
        <v>20.5</v>
      </c>
      <c r="L58" s="211">
        <f t="shared" si="3"/>
        <v>0.33999999999999986</v>
      </c>
      <c r="M58" s="208" t="s">
        <v>21</v>
      </c>
      <c r="N58" s="221"/>
      <c r="O58" s="213"/>
      <c r="P58" s="22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</row>
    <row r="59" spans="1:29" ht="15.75" customHeight="1">
      <c r="A59" s="198" t="s">
        <v>318</v>
      </c>
      <c r="B59" s="201">
        <v>45322</v>
      </c>
      <c r="C59" s="200">
        <v>0.38611111111111113</v>
      </c>
      <c r="D59" s="204">
        <v>45323</v>
      </c>
      <c r="E59" s="202">
        <v>0.64930555555555558</v>
      </c>
      <c r="F59" s="203">
        <v>8.7899999999999991</v>
      </c>
      <c r="G59" s="203">
        <v>20</v>
      </c>
      <c r="H59" s="204">
        <v>45328</v>
      </c>
      <c r="I59" s="200">
        <v>0.52222222222222225</v>
      </c>
      <c r="J59" s="212">
        <v>8.2899999999999991</v>
      </c>
      <c r="K59" s="220">
        <v>20.5</v>
      </c>
      <c r="L59" s="211">
        <f t="shared" si="3"/>
        <v>0.5</v>
      </c>
      <c r="M59" s="208" t="s">
        <v>21</v>
      </c>
      <c r="N59" s="221"/>
      <c r="O59" s="213"/>
      <c r="Q59" s="215"/>
      <c r="R59" s="215"/>
      <c r="S59" s="215"/>
      <c r="T59" s="215"/>
      <c r="U59" s="215"/>
      <c r="V59" s="215"/>
      <c r="W59" s="215"/>
      <c r="X59" s="215"/>
      <c r="Y59" s="215"/>
      <c r="Z59" s="215"/>
      <c r="AA59" s="215"/>
      <c r="AB59" s="215"/>
      <c r="AC59" s="215"/>
    </row>
    <row r="60" spans="1:29" ht="15.75" customHeight="1">
      <c r="A60" s="198" t="s">
        <v>319</v>
      </c>
      <c r="B60" s="201">
        <v>45322</v>
      </c>
      <c r="C60" s="200">
        <v>0.42499999999999999</v>
      </c>
      <c r="D60" s="204">
        <v>45323</v>
      </c>
      <c r="E60" s="218">
        <v>0.65</v>
      </c>
      <c r="F60" s="203">
        <v>8.82</v>
      </c>
      <c r="G60" s="203">
        <v>19.7</v>
      </c>
      <c r="H60" s="204">
        <v>45328</v>
      </c>
      <c r="I60" s="200">
        <v>0.54652777777777772</v>
      </c>
      <c r="J60" s="212">
        <v>8.49</v>
      </c>
      <c r="K60" s="220">
        <v>20.3</v>
      </c>
      <c r="L60" s="211">
        <f t="shared" si="3"/>
        <v>0.33000000000000007</v>
      </c>
      <c r="M60" s="208" t="s">
        <v>21</v>
      </c>
      <c r="N60" s="221"/>
      <c r="O60" s="213"/>
      <c r="Q60" s="215"/>
      <c r="R60" s="215"/>
      <c r="S60" s="215"/>
      <c r="T60" s="215"/>
      <c r="U60" s="215"/>
      <c r="V60" s="215"/>
      <c r="W60" s="215"/>
      <c r="X60" s="215"/>
      <c r="Y60" s="215"/>
      <c r="Z60" s="215"/>
      <c r="AA60" s="215"/>
      <c r="AB60" s="215"/>
      <c r="AC60" s="215"/>
    </row>
    <row r="61" spans="1:29" ht="15.75">
      <c r="A61" s="198" t="s">
        <v>320</v>
      </c>
      <c r="B61" s="201">
        <v>45322</v>
      </c>
      <c r="C61" s="200">
        <v>0.42499999999999999</v>
      </c>
      <c r="D61" s="204">
        <v>45323</v>
      </c>
      <c r="E61" s="218">
        <v>0.65208333333333335</v>
      </c>
      <c r="F61" s="203">
        <v>8.68</v>
      </c>
      <c r="G61" s="203">
        <v>19.600000000000001</v>
      </c>
      <c r="H61" s="204">
        <v>45328</v>
      </c>
      <c r="I61" s="200">
        <v>0.54861111111111116</v>
      </c>
      <c r="J61" s="212">
        <v>8.51</v>
      </c>
      <c r="K61" s="220">
        <v>20.3</v>
      </c>
      <c r="L61" s="211">
        <f t="shared" si="3"/>
        <v>0.16999999999999993</v>
      </c>
      <c r="M61" s="208" t="s">
        <v>21</v>
      </c>
      <c r="N61" s="221"/>
      <c r="O61" s="224"/>
    </row>
    <row r="62" spans="1:29" ht="15.75" customHeight="1">
      <c r="A62" s="198" t="s">
        <v>321</v>
      </c>
      <c r="B62" s="204">
        <v>45323</v>
      </c>
      <c r="C62" s="200">
        <v>0.30763888888888891</v>
      </c>
      <c r="D62" s="204">
        <v>45323</v>
      </c>
      <c r="E62" s="218">
        <v>0.75624999999999998</v>
      </c>
      <c r="F62" s="203">
        <v>8.3000000000000007</v>
      </c>
      <c r="G62" s="203">
        <v>17.899999999999999</v>
      </c>
      <c r="H62" s="204">
        <v>45328</v>
      </c>
      <c r="I62" s="200">
        <v>0.55138888888888893</v>
      </c>
      <c r="J62" s="212">
        <v>8.02</v>
      </c>
      <c r="K62" s="220">
        <v>19.7</v>
      </c>
      <c r="L62" s="211">
        <f t="shared" si="3"/>
        <v>0.28000000000000114</v>
      </c>
      <c r="M62" s="208" t="s">
        <v>21</v>
      </c>
      <c r="N62" s="221"/>
      <c r="O62" s="213"/>
      <c r="P62" s="223"/>
    </row>
    <row r="63" spans="1:29" ht="15.75" customHeight="1">
      <c r="A63" s="198" t="s">
        <v>322</v>
      </c>
      <c r="B63" s="204">
        <v>45323</v>
      </c>
      <c r="C63" s="200">
        <v>0.30763888888888891</v>
      </c>
      <c r="D63" s="204">
        <v>45323</v>
      </c>
      <c r="E63" s="218">
        <v>0.75763888888888886</v>
      </c>
      <c r="F63" s="203">
        <v>8.1300000000000008</v>
      </c>
      <c r="G63" s="203">
        <v>18.2</v>
      </c>
      <c r="H63" s="204">
        <v>45328</v>
      </c>
      <c r="I63" s="200">
        <v>0.55347222222222225</v>
      </c>
      <c r="J63" s="212">
        <v>7.93</v>
      </c>
      <c r="K63" s="220">
        <v>20.399999999999999</v>
      </c>
      <c r="L63" s="211">
        <f t="shared" si="3"/>
        <v>0.20000000000000107</v>
      </c>
      <c r="M63" s="208" t="s">
        <v>21</v>
      </c>
      <c r="N63" s="221"/>
      <c r="O63" s="213"/>
      <c r="P63" s="223"/>
    </row>
    <row r="64" spans="1:29" ht="15.75" customHeight="1">
      <c r="A64" s="198" t="s">
        <v>323</v>
      </c>
      <c r="B64" s="204">
        <v>45323</v>
      </c>
      <c r="C64" s="214">
        <v>0.35347222222222224</v>
      </c>
      <c r="D64" s="204">
        <v>45323</v>
      </c>
      <c r="E64" s="218">
        <v>0.75902777777777775</v>
      </c>
      <c r="F64" s="203">
        <v>8.5299999999999994</v>
      </c>
      <c r="G64" s="203">
        <v>17.7</v>
      </c>
      <c r="H64" s="204">
        <v>45328</v>
      </c>
      <c r="I64" s="200">
        <v>0.55763888888888891</v>
      </c>
      <c r="J64" s="212">
        <v>8.17</v>
      </c>
      <c r="K64" s="220">
        <v>20.100000000000001</v>
      </c>
      <c r="L64" s="211">
        <f t="shared" si="3"/>
        <v>0.35999999999999943</v>
      </c>
      <c r="M64" s="208" t="s">
        <v>21</v>
      </c>
      <c r="N64" s="221"/>
      <c r="O64" s="213"/>
      <c r="P64" s="223"/>
    </row>
    <row r="65" spans="1:29" ht="15.75" customHeight="1">
      <c r="A65" s="198" t="s">
        <v>324</v>
      </c>
      <c r="B65" s="204">
        <v>45323</v>
      </c>
      <c r="C65" s="214">
        <v>0.35347222222222224</v>
      </c>
      <c r="D65" s="204">
        <v>45323</v>
      </c>
      <c r="E65" s="218">
        <v>0.76111111111111107</v>
      </c>
      <c r="F65" s="203">
        <v>8.59</v>
      </c>
      <c r="G65" s="203">
        <v>17.8</v>
      </c>
      <c r="H65" s="204">
        <v>45328</v>
      </c>
      <c r="I65" s="200">
        <v>0.55972222222222223</v>
      </c>
      <c r="J65" s="212">
        <v>8.23</v>
      </c>
      <c r="K65" s="220">
        <v>20.3</v>
      </c>
      <c r="L65" s="211">
        <f t="shared" si="3"/>
        <v>0.35999999999999943</v>
      </c>
      <c r="M65" s="208" t="s">
        <v>21</v>
      </c>
      <c r="N65" s="221"/>
      <c r="O65" s="213"/>
      <c r="P65" s="223"/>
    </row>
    <row r="66" spans="1:29" ht="15.75" customHeight="1">
      <c r="A66" s="225" t="s">
        <v>325</v>
      </c>
      <c r="B66" s="226">
        <v>45323</v>
      </c>
      <c r="C66" s="227">
        <v>0.3840277777777778</v>
      </c>
      <c r="D66" s="226">
        <v>45323</v>
      </c>
      <c r="E66" s="228">
        <v>0.76527777777777772</v>
      </c>
      <c r="F66" s="229">
        <v>8.52</v>
      </c>
      <c r="G66" s="229">
        <v>17.899999999999999</v>
      </c>
      <c r="H66" s="230">
        <v>45328</v>
      </c>
      <c r="I66" s="231">
        <v>0.5625</v>
      </c>
      <c r="J66" s="232">
        <v>6.71</v>
      </c>
      <c r="K66" s="233">
        <v>18.8</v>
      </c>
      <c r="L66" s="234">
        <f t="shared" si="3"/>
        <v>1.8099999999999996</v>
      </c>
      <c r="M66" s="235" t="s">
        <v>21</v>
      </c>
      <c r="N66" s="236"/>
      <c r="O66" s="213"/>
      <c r="P66" s="223"/>
    </row>
    <row r="67" spans="1:29" ht="15.75" customHeight="1">
      <c r="A67" s="225" t="s">
        <v>326</v>
      </c>
      <c r="B67" s="226">
        <v>45323</v>
      </c>
      <c r="C67" s="227">
        <v>0.3840277777777778</v>
      </c>
      <c r="D67" s="226">
        <v>45323</v>
      </c>
      <c r="E67" s="228">
        <v>0.26458333333333334</v>
      </c>
      <c r="F67" s="229">
        <v>8.6300000000000008</v>
      </c>
      <c r="G67" s="229">
        <v>17.899999999999999</v>
      </c>
      <c r="H67" s="230">
        <v>45328</v>
      </c>
      <c r="I67" s="231">
        <v>0.56388888888888888</v>
      </c>
      <c r="J67" s="232">
        <v>8.3000000000000007</v>
      </c>
      <c r="K67" s="233">
        <v>19.899999999999999</v>
      </c>
      <c r="L67" s="234">
        <f t="shared" si="3"/>
        <v>0.33000000000000007</v>
      </c>
      <c r="M67" s="235" t="s">
        <v>21</v>
      </c>
      <c r="N67" s="236"/>
      <c r="O67" s="213"/>
      <c r="P67" s="219"/>
    </row>
    <row r="68" spans="1:29" ht="15.75" customHeight="1">
      <c r="A68" s="198" t="s">
        <v>327</v>
      </c>
      <c r="B68" s="204">
        <v>45323</v>
      </c>
      <c r="C68" s="214">
        <v>0.3840277777777778</v>
      </c>
      <c r="D68" s="204">
        <v>45323</v>
      </c>
      <c r="E68" s="237">
        <v>0.26319444444444445</v>
      </c>
      <c r="F68" s="203">
        <v>8.61</v>
      </c>
      <c r="G68" s="203">
        <v>17.7</v>
      </c>
      <c r="H68" s="201">
        <v>45328</v>
      </c>
      <c r="I68" s="200">
        <v>0.56527777777777777</v>
      </c>
      <c r="J68" s="212">
        <v>8.25</v>
      </c>
      <c r="K68" s="220">
        <v>19.399999999999999</v>
      </c>
      <c r="L68" s="211">
        <f t="shared" si="3"/>
        <v>0.35999999999999943</v>
      </c>
      <c r="M68" s="208" t="s">
        <v>21</v>
      </c>
      <c r="N68" s="221"/>
      <c r="O68" s="238"/>
      <c r="P68" s="223"/>
    </row>
    <row r="69" spans="1:29" ht="15.75" customHeight="1">
      <c r="A69" s="198" t="s">
        <v>328</v>
      </c>
      <c r="B69" s="204">
        <v>45323</v>
      </c>
      <c r="C69" s="214">
        <v>0.3840277777777778</v>
      </c>
      <c r="D69" s="204">
        <v>45323</v>
      </c>
      <c r="E69" s="239">
        <v>0.76527777777777772</v>
      </c>
      <c r="F69" s="224">
        <v>8.8800000000000008</v>
      </c>
      <c r="G69" s="203">
        <v>18.899999999999999</v>
      </c>
      <c r="H69" s="204">
        <v>45328</v>
      </c>
      <c r="I69" s="200">
        <v>0.56736111111111109</v>
      </c>
      <c r="J69" s="212">
        <v>8.34</v>
      </c>
      <c r="K69" s="220">
        <v>20.399999999999999</v>
      </c>
      <c r="L69" s="211">
        <f t="shared" si="3"/>
        <v>0.54000000000000092</v>
      </c>
      <c r="M69" s="208" t="s">
        <v>21</v>
      </c>
      <c r="N69" s="221"/>
      <c r="O69" s="238"/>
      <c r="P69" s="223"/>
    </row>
    <row r="70" spans="1:29" ht="15.75" customHeight="1">
      <c r="A70" s="198" t="s">
        <v>264</v>
      </c>
      <c r="B70" s="199" t="s">
        <v>17</v>
      </c>
      <c r="C70" s="200" t="s">
        <v>17</v>
      </c>
      <c r="D70" s="204">
        <v>45324</v>
      </c>
      <c r="E70" s="237">
        <v>0.65347222222222223</v>
      </c>
      <c r="F70" s="224">
        <v>8.4600000000000009</v>
      </c>
      <c r="G70" s="203">
        <v>24.2</v>
      </c>
      <c r="H70" s="204">
        <v>45329</v>
      </c>
      <c r="I70" s="200">
        <v>0.45555555555555555</v>
      </c>
      <c r="J70" s="212">
        <v>8.4600000000000009</v>
      </c>
      <c r="K70" s="220">
        <v>24.3</v>
      </c>
      <c r="L70" s="200" t="s">
        <v>17</v>
      </c>
      <c r="M70" s="208" t="s">
        <v>21</v>
      </c>
      <c r="N70" s="221"/>
      <c r="O70" s="209"/>
      <c r="P70" s="240"/>
    </row>
    <row r="71" spans="1:29" ht="15.75" customHeight="1">
      <c r="A71" s="198" t="s">
        <v>329</v>
      </c>
      <c r="B71" s="204">
        <v>45324</v>
      </c>
      <c r="C71" s="214">
        <v>0.37013888888888891</v>
      </c>
      <c r="D71" s="204">
        <v>45324</v>
      </c>
      <c r="E71" s="237">
        <v>0.65694444444444444</v>
      </c>
      <c r="F71" s="224">
        <v>8.52</v>
      </c>
      <c r="G71" s="203">
        <v>21.1</v>
      </c>
      <c r="H71" s="204">
        <v>45329</v>
      </c>
      <c r="I71" s="200">
        <v>0.45902777777777776</v>
      </c>
      <c r="J71" s="212">
        <v>8.23</v>
      </c>
      <c r="K71" s="220">
        <v>20.5</v>
      </c>
      <c r="L71" s="211">
        <f t="shared" ref="L71:L78" si="4">F71-J71</f>
        <v>0.28999999999999915</v>
      </c>
      <c r="M71" s="208" t="s">
        <v>21</v>
      </c>
      <c r="N71" s="221"/>
      <c r="O71" s="209"/>
      <c r="P71" s="197"/>
    </row>
    <row r="72" spans="1:29" ht="15.75" customHeight="1">
      <c r="A72" s="198" t="s">
        <v>330</v>
      </c>
      <c r="B72" s="204">
        <v>45324</v>
      </c>
      <c r="C72" s="214">
        <v>0.37013888888888891</v>
      </c>
      <c r="D72" s="204">
        <v>45324</v>
      </c>
      <c r="E72" s="237">
        <v>0.65902777777777777</v>
      </c>
      <c r="F72" s="203">
        <v>8.61</v>
      </c>
      <c r="G72" s="203">
        <v>18.7</v>
      </c>
      <c r="H72" s="204">
        <v>45329</v>
      </c>
      <c r="I72" s="200">
        <v>0.46180555555555558</v>
      </c>
      <c r="J72" s="212">
        <v>8.3699999999999992</v>
      </c>
      <c r="K72" s="220">
        <v>20.5</v>
      </c>
      <c r="L72" s="211">
        <f t="shared" si="4"/>
        <v>0.24000000000000021</v>
      </c>
      <c r="M72" s="208" t="s">
        <v>21</v>
      </c>
      <c r="N72" s="221"/>
      <c r="O72" s="209"/>
      <c r="P72" s="197"/>
    </row>
    <row r="73" spans="1:29" ht="15.75" customHeight="1">
      <c r="A73" s="198" t="s">
        <v>331</v>
      </c>
      <c r="B73" s="204">
        <v>45324</v>
      </c>
      <c r="C73" s="214">
        <v>0.40208333333333335</v>
      </c>
      <c r="D73" s="204">
        <v>45324</v>
      </c>
      <c r="E73" s="237">
        <v>0.6645833333333333</v>
      </c>
      <c r="F73" s="203">
        <v>8.6999999999999993</v>
      </c>
      <c r="G73" s="203">
        <v>19</v>
      </c>
      <c r="H73" s="204">
        <v>45329</v>
      </c>
      <c r="I73" s="200">
        <v>0.46388888888888891</v>
      </c>
      <c r="J73" s="212">
        <v>8.33</v>
      </c>
      <c r="K73" s="220">
        <v>20.6</v>
      </c>
      <c r="L73" s="211">
        <f t="shared" si="4"/>
        <v>0.36999999999999922</v>
      </c>
      <c r="M73" s="208" t="s">
        <v>21</v>
      </c>
      <c r="N73" s="221"/>
      <c r="O73" s="238"/>
      <c r="P73" s="223"/>
    </row>
    <row r="74" spans="1:29" ht="15.75" customHeight="1">
      <c r="A74" s="198" t="s">
        <v>332</v>
      </c>
      <c r="B74" s="204">
        <v>45324</v>
      </c>
      <c r="C74" s="214">
        <v>0.40208333333333335</v>
      </c>
      <c r="D74" s="204">
        <v>45324</v>
      </c>
      <c r="E74" s="237">
        <v>0.66597222222222219</v>
      </c>
      <c r="F74" s="203">
        <v>8.9</v>
      </c>
      <c r="G74" s="203">
        <v>18.8</v>
      </c>
      <c r="H74" s="204">
        <v>45329</v>
      </c>
      <c r="I74" s="200">
        <v>0.46597222222222223</v>
      </c>
      <c r="J74" s="212">
        <v>8.4700000000000006</v>
      </c>
      <c r="K74" s="220">
        <v>20.5</v>
      </c>
      <c r="L74" s="211">
        <f t="shared" si="4"/>
        <v>0.42999999999999972</v>
      </c>
      <c r="M74" s="208" t="s">
        <v>21</v>
      </c>
      <c r="N74" s="221"/>
      <c r="O74" s="213"/>
      <c r="P74" s="223"/>
    </row>
    <row r="75" spans="1:29" ht="15.75" customHeight="1">
      <c r="A75" s="198" t="s">
        <v>333</v>
      </c>
      <c r="B75" s="204">
        <v>45324</v>
      </c>
      <c r="C75" s="214">
        <v>0.43888888888888888</v>
      </c>
      <c r="D75" s="204">
        <v>45324</v>
      </c>
      <c r="E75" s="237">
        <v>0.6694444444444444</v>
      </c>
      <c r="F75" s="203">
        <v>8.69</v>
      </c>
      <c r="G75" s="203">
        <v>19.100000000000001</v>
      </c>
      <c r="H75" s="204">
        <v>45329</v>
      </c>
      <c r="I75" s="200">
        <v>0.47152777777777777</v>
      </c>
      <c r="J75" s="205">
        <v>8.56</v>
      </c>
      <c r="K75" s="220">
        <v>20.5</v>
      </c>
      <c r="L75" s="211">
        <f t="shared" si="4"/>
        <v>0.12999999999999901</v>
      </c>
      <c r="M75" s="208" t="s">
        <v>21</v>
      </c>
      <c r="N75" s="221"/>
      <c r="O75" s="213"/>
      <c r="P75" s="223"/>
    </row>
    <row r="76" spans="1:29" ht="15.75" customHeight="1">
      <c r="A76" s="198" t="s">
        <v>334</v>
      </c>
      <c r="B76" s="204">
        <v>45324</v>
      </c>
      <c r="C76" s="214">
        <v>0.43888888888888888</v>
      </c>
      <c r="D76" s="204">
        <v>45324</v>
      </c>
      <c r="E76" s="237">
        <v>0.67083333333333328</v>
      </c>
      <c r="F76" s="203">
        <v>8.86</v>
      </c>
      <c r="G76" s="203">
        <v>19.2</v>
      </c>
      <c r="H76" s="204">
        <v>45329</v>
      </c>
      <c r="I76" s="200">
        <v>0.47430555555555554</v>
      </c>
      <c r="J76" s="212">
        <v>8.31</v>
      </c>
      <c r="K76" s="220">
        <v>20.399999999999999</v>
      </c>
      <c r="L76" s="211">
        <f t="shared" si="4"/>
        <v>0.54999999999999893</v>
      </c>
      <c r="M76" s="208" t="s">
        <v>21</v>
      </c>
      <c r="N76" s="221"/>
      <c r="O76" s="213"/>
      <c r="P76" s="223"/>
    </row>
    <row r="77" spans="1:29" ht="15.75" customHeight="1">
      <c r="A77" s="198" t="s">
        <v>335</v>
      </c>
      <c r="B77" s="204">
        <v>45324</v>
      </c>
      <c r="C77" s="214">
        <v>0.46944444444444444</v>
      </c>
      <c r="D77" s="204">
        <v>45324</v>
      </c>
      <c r="E77" s="237">
        <v>0.67361111111111116</v>
      </c>
      <c r="F77" s="203">
        <v>8.5299999999999994</v>
      </c>
      <c r="G77" s="203">
        <v>21.1</v>
      </c>
      <c r="H77" s="204">
        <v>45329</v>
      </c>
      <c r="I77" s="200">
        <v>0.47638888888888886</v>
      </c>
      <c r="J77" s="212">
        <v>8.2799999999999994</v>
      </c>
      <c r="K77" s="220">
        <v>20.399999999999999</v>
      </c>
      <c r="L77" s="211">
        <f t="shared" si="4"/>
        <v>0.25</v>
      </c>
      <c r="M77" s="208" t="s">
        <v>21</v>
      </c>
      <c r="N77" s="221"/>
      <c r="O77" s="213"/>
      <c r="P77" s="223"/>
    </row>
    <row r="78" spans="1:29" ht="15.75" customHeight="1">
      <c r="A78" s="198" t="s">
        <v>336</v>
      </c>
      <c r="B78" s="204">
        <v>45324</v>
      </c>
      <c r="C78" s="214">
        <v>0.46944444444444444</v>
      </c>
      <c r="D78" s="204">
        <v>45324</v>
      </c>
      <c r="E78" s="237">
        <v>0.67500000000000004</v>
      </c>
      <c r="F78" s="203">
        <v>8.73</v>
      </c>
      <c r="G78" s="203">
        <v>20.5</v>
      </c>
      <c r="H78" s="204">
        <v>45329</v>
      </c>
      <c r="I78" s="200">
        <v>0.47847222222222224</v>
      </c>
      <c r="J78" s="212">
        <v>8.43</v>
      </c>
      <c r="K78" s="220">
        <v>20.7</v>
      </c>
      <c r="L78" s="211">
        <f t="shared" si="4"/>
        <v>0.30000000000000071</v>
      </c>
      <c r="M78" s="208" t="s">
        <v>21</v>
      </c>
      <c r="N78" s="221"/>
      <c r="O78" s="213"/>
      <c r="P78" s="223"/>
    </row>
    <row r="79" spans="1:29" ht="15.75" customHeight="1">
      <c r="A79" s="198" t="s">
        <v>264</v>
      </c>
      <c r="B79" s="199" t="s">
        <v>17</v>
      </c>
      <c r="C79" s="200" t="s">
        <v>17</v>
      </c>
      <c r="D79" s="201">
        <v>45336</v>
      </c>
      <c r="E79" s="202">
        <v>0.65833333333333333</v>
      </c>
      <c r="F79" s="203">
        <v>8.5399999999999991</v>
      </c>
      <c r="G79" s="203">
        <v>22.3</v>
      </c>
      <c r="H79" s="204">
        <v>45341</v>
      </c>
      <c r="I79" s="200">
        <v>0.42916666666666664</v>
      </c>
      <c r="J79" s="212">
        <v>8.64</v>
      </c>
      <c r="K79" s="220">
        <v>23.1</v>
      </c>
      <c r="L79" s="211" t="s">
        <v>17</v>
      </c>
      <c r="M79" s="208" t="s">
        <v>21</v>
      </c>
      <c r="N79" s="221"/>
      <c r="O79" s="213"/>
      <c r="P79" s="241"/>
      <c r="Q79" s="242"/>
      <c r="R79" s="242"/>
      <c r="S79" s="242"/>
      <c r="T79" s="242"/>
      <c r="U79" s="242"/>
      <c r="V79" s="242"/>
      <c r="W79" s="242"/>
      <c r="X79" s="242"/>
      <c r="Y79" s="242"/>
      <c r="Z79" s="242"/>
      <c r="AA79" s="242"/>
      <c r="AB79" s="242"/>
      <c r="AC79" s="242"/>
    </row>
    <row r="80" spans="1:29" ht="15.75" customHeight="1">
      <c r="A80" s="198" t="s">
        <v>337</v>
      </c>
      <c r="B80" s="201">
        <v>45336</v>
      </c>
      <c r="C80" s="200">
        <v>0.3298611111111111</v>
      </c>
      <c r="D80" s="201">
        <v>45336</v>
      </c>
      <c r="E80" s="202">
        <v>0.66111111111111109</v>
      </c>
      <c r="F80" s="203">
        <v>8.4700000000000006</v>
      </c>
      <c r="G80" s="203">
        <v>18.7</v>
      </c>
      <c r="H80" s="204">
        <v>45341</v>
      </c>
      <c r="I80" s="200">
        <v>0.44305555555555554</v>
      </c>
      <c r="J80" s="212">
        <v>6.86</v>
      </c>
      <c r="K80" s="220">
        <v>20.2</v>
      </c>
      <c r="L80" s="211">
        <f t="shared" ref="L80:L89" si="5">F80-J80</f>
        <v>1.6100000000000003</v>
      </c>
      <c r="M80" s="208" t="s">
        <v>21</v>
      </c>
      <c r="N80" s="221"/>
      <c r="O80" s="213"/>
      <c r="P80" s="223"/>
    </row>
    <row r="81" spans="1:29" ht="15.75" customHeight="1">
      <c r="A81" s="198" t="s">
        <v>338</v>
      </c>
      <c r="B81" s="201">
        <v>45336</v>
      </c>
      <c r="C81" s="200">
        <v>0.3298611111111111</v>
      </c>
      <c r="D81" s="201">
        <v>45336</v>
      </c>
      <c r="E81" s="243">
        <v>0.66041666666666665</v>
      </c>
      <c r="F81" s="203">
        <v>8.34</v>
      </c>
      <c r="G81" s="203">
        <v>18.600000000000001</v>
      </c>
      <c r="H81" s="204">
        <v>45341</v>
      </c>
      <c r="I81" s="200">
        <v>0.43958333333333333</v>
      </c>
      <c r="J81" s="205">
        <v>7.97</v>
      </c>
      <c r="K81" s="220">
        <v>18.8</v>
      </c>
      <c r="L81" s="211">
        <f t="shared" si="5"/>
        <v>0.37000000000000011</v>
      </c>
      <c r="M81" s="208" t="s">
        <v>21</v>
      </c>
      <c r="N81" s="221"/>
      <c r="O81" s="213"/>
      <c r="P81" s="219"/>
    </row>
    <row r="82" spans="1:29" ht="15.75" customHeight="1">
      <c r="A82" s="198" t="s">
        <v>339</v>
      </c>
      <c r="B82" s="201">
        <v>45336</v>
      </c>
      <c r="C82" s="200">
        <v>0.3298611111111111</v>
      </c>
      <c r="D82" s="201">
        <v>45336</v>
      </c>
      <c r="E82" s="218">
        <v>0.65972222222222221</v>
      </c>
      <c r="F82" s="203">
        <v>8.24</v>
      </c>
      <c r="G82" s="203">
        <v>18.5</v>
      </c>
      <c r="H82" s="201">
        <v>45341</v>
      </c>
      <c r="I82" s="200">
        <v>0.44027777777777777</v>
      </c>
      <c r="J82" s="212">
        <v>7.99</v>
      </c>
      <c r="K82" s="220">
        <v>19.399999999999999</v>
      </c>
      <c r="L82" s="211">
        <f t="shared" si="5"/>
        <v>0.25</v>
      </c>
      <c r="M82" s="208" t="s">
        <v>21</v>
      </c>
      <c r="N82" s="221"/>
      <c r="O82" s="209"/>
      <c r="P82" s="223"/>
    </row>
    <row r="83" spans="1:29" ht="15.75" customHeight="1">
      <c r="A83" s="198" t="s">
        <v>340</v>
      </c>
      <c r="B83" s="201">
        <v>45336</v>
      </c>
      <c r="C83" s="200">
        <v>0.3298611111111111</v>
      </c>
      <c r="D83" s="201">
        <v>45336</v>
      </c>
      <c r="E83" s="218">
        <v>0.66388888888888886</v>
      </c>
      <c r="F83" s="203">
        <v>8.16</v>
      </c>
      <c r="G83" s="203">
        <v>18.5</v>
      </c>
      <c r="H83" s="201">
        <v>45341</v>
      </c>
      <c r="I83" s="200">
        <v>0.44861111111111113</v>
      </c>
      <c r="J83" s="212">
        <v>6.44</v>
      </c>
      <c r="K83" s="220">
        <v>19.7</v>
      </c>
      <c r="L83" s="211">
        <f t="shared" si="5"/>
        <v>1.7199999999999998</v>
      </c>
      <c r="M83" s="208" t="s">
        <v>21</v>
      </c>
      <c r="N83" s="221"/>
      <c r="O83" s="209"/>
      <c r="P83" s="223"/>
    </row>
    <row r="84" spans="1:29" ht="15.75" customHeight="1">
      <c r="A84" s="198" t="s">
        <v>341</v>
      </c>
      <c r="B84" s="201">
        <v>45336</v>
      </c>
      <c r="C84" s="200">
        <v>0.35138888888888886</v>
      </c>
      <c r="D84" s="201">
        <v>45336</v>
      </c>
      <c r="E84" s="218">
        <v>0.66805555555555551</v>
      </c>
      <c r="F84" s="203">
        <v>8.4</v>
      </c>
      <c r="G84" s="203">
        <v>18.7</v>
      </c>
      <c r="H84" s="201">
        <v>45341</v>
      </c>
      <c r="I84" s="200">
        <v>0.45069444444444445</v>
      </c>
      <c r="J84" s="212">
        <v>7.88</v>
      </c>
      <c r="K84" s="220">
        <v>19.100000000000001</v>
      </c>
      <c r="L84" s="211">
        <f t="shared" si="5"/>
        <v>0.52000000000000046</v>
      </c>
      <c r="M84" s="208" t="s">
        <v>21</v>
      </c>
      <c r="N84" s="221"/>
      <c r="O84" s="213"/>
      <c r="P84" s="223"/>
    </row>
    <row r="85" spans="1:29" ht="15.75" customHeight="1">
      <c r="A85" s="198" t="s">
        <v>342</v>
      </c>
      <c r="B85" s="201">
        <v>45336</v>
      </c>
      <c r="C85" s="200">
        <v>0.35138888888888886</v>
      </c>
      <c r="D85" s="201">
        <v>45336</v>
      </c>
      <c r="E85" s="218">
        <v>0.66874999999999996</v>
      </c>
      <c r="F85" s="203">
        <v>8.25</v>
      </c>
      <c r="G85" s="203">
        <v>19.02</v>
      </c>
      <c r="H85" s="201">
        <v>45341</v>
      </c>
      <c r="I85" s="200">
        <v>0.45277777777777778</v>
      </c>
      <c r="J85" s="212">
        <v>7.61</v>
      </c>
      <c r="K85" s="220">
        <v>19.8</v>
      </c>
      <c r="L85" s="211">
        <f t="shared" si="5"/>
        <v>0.63999999999999968</v>
      </c>
      <c r="M85" s="208" t="s">
        <v>21</v>
      </c>
      <c r="N85" s="221"/>
      <c r="O85" s="213"/>
      <c r="P85" s="223"/>
    </row>
    <row r="86" spans="1:29" ht="15.75" customHeight="1">
      <c r="A86" s="198" t="s">
        <v>343</v>
      </c>
      <c r="B86" s="201">
        <v>45336</v>
      </c>
      <c r="C86" s="200">
        <v>0.40625</v>
      </c>
      <c r="D86" s="201">
        <v>45336</v>
      </c>
      <c r="E86" s="218">
        <v>0.6694444444444444</v>
      </c>
      <c r="F86" s="203">
        <v>8.32</v>
      </c>
      <c r="G86" s="203">
        <v>18.7</v>
      </c>
      <c r="H86" s="201">
        <v>45341</v>
      </c>
      <c r="I86" s="200">
        <v>0.45763888888888887</v>
      </c>
      <c r="J86" s="212">
        <v>7.57</v>
      </c>
      <c r="K86" s="220">
        <v>20.100000000000001</v>
      </c>
      <c r="L86" s="211">
        <f t="shared" si="5"/>
        <v>0.75</v>
      </c>
      <c r="M86" s="208" t="s">
        <v>21</v>
      </c>
      <c r="N86" s="221"/>
      <c r="O86" s="213"/>
      <c r="P86" s="223"/>
    </row>
    <row r="87" spans="1:29" ht="15.75" customHeight="1">
      <c r="A87" s="198" t="s">
        <v>344</v>
      </c>
      <c r="B87" s="201">
        <v>45336</v>
      </c>
      <c r="C87" s="200">
        <v>0.40625</v>
      </c>
      <c r="D87" s="201">
        <v>45336</v>
      </c>
      <c r="E87" s="218">
        <v>0.67083333333333328</v>
      </c>
      <c r="F87" s="203">
        <v>8.25</v>
      </c>
      <c r="G87" s="203">
        <v>18.600000000000001</v>
      </c>
      <c r="H87" s="201">
        <v>45341</v>
      </c>
      <c r="I87" s="200">
        <v>0.46041666666666664</v>
      </c>
      <c r="J87" s="212">
        <v>7.67</v>
      </c>
      <c r="K87" s="220">
        <v>19.899999999999999</v>
      </c>
      <c r="L87" s="211">
        <f t="shared" si="5"/>
        <v>0.58000000000000007</v>
      </c>
      <c r="M87" s="208" t="s">
        <v>21</v>
      </c>
      <c r="N87" s="221"/>
      <c r="O87" s="213"/>
      <c r="P87" s="223"/>
    </row>
    <row r="88" spans="1:29" ht="15.75" customHeight="1">
      <c r="A88" s="198" t="s">
        <v>345</v>
      </c>
      <c r="B88" s="201">
        <v>45336</v>
      </c>
      <c r="C88" s="200">
        <v>0.4548611111111111</v>
      </c>
      <c r="D88" s="201">
        <v>45336</v>
      </c>
      <c r="E88" s="218">
        <v>0.67222222222222228</v>
      </c>
      <c r="F88" s="203">
        <v>8.14</v>
      </c>
      <c r="G88" s="203">
        <v>20</v>
      </c>
      <c r="H88" s="201">
        <v>45341</v>
      </c>
      <c r="I88" s="200">
        <v>0.46319444444444446</v>
      </c>
      <c r="J88" s="212">
        <v>7.37</v>
      </c>
      <c r="K88" s="220">
        <v>19.8</v>
      </c>
      <c r="L88" s="211">
        <f t="shared" si="5"/>
        <v>0.77000000000000046</v>
      </c>
      <c r="M88" s="208" t="s">
        <v>21</v>
      </c>
      <c r="N88" s="221"/>
      <c r="O88" s="213"/>
      <c r="P88" s="223"/>
    </row>
    <row r="89" spans="1:29" ht="15.75" customHeight="1">
      <c r="A89" s="198" t="s">
        <v>346</v>
      </c>
      <c r="B89" s="201">
        <v>45336</v>
      </c>
      <c r="C89" s="200">
        <v>0.4548611111111111</v>
      </c>
      <c r="D89" s="201">
        <v>45336</v>
      </c>
      <c r="E89" s="218">
        <v>0.67291666666666672</v>
      </c>
      <c r="F89" s="203">
        <v>8.34</v>
      </c>
      <c r="G89" s="203">
        <v>19.3</v>
      </c>
      <c r="H89" s="201">
        <v>45341</v>
      </c>
      <c r="I89" s="200">
        <v>0.46597222222222223</v>
      </c>
      <c r="J89" s="212">
        <v>7.22</v>
      </c>
      <c r="K89" s="220">
        <v>20.100000000000001</v>
      </c>
      <c r="L89" s="211">
        <f t="shared" si="5"/>
        <v>1.1200000000000001</v>
      </c>
      <c r="M89" s="208" t="s">
        <v>21</v>
      </c>
      <c r="N89" s="221"/>
      <c r="O89" s="217"/>
      <c r="P89" s="240"/>
    </row>
    <row r="90" spans="1:29" ht="15.75" customHeight="1">
      <c r="A90" s="198" t="s">
        <v>264</v>
      </c>
      <c r="B90" s="199" t="s">
        <v>17</v>
      </c>
      <c r="C90" s="200" t="s">
        <v>17</v>
      </c>
      <c r="D90" s="201">
        <v>45338</v>
      </c>
      <c r="E90" s="202">
        <v>0.56597222222222221</v>
      </c>
      <c r="F90" s="203">
        <v>8.59</v>
      </c>
      <c r="G90" s="203">
        <v>23.6</v>
      </c>
      <c r="H90" s="204">
        <v>45343</v>
      </c>
      <c r="I90" s="200">
        <v>0.60833333333333328</v>
      </c>
      <c r="J90" s="205">
        <v>8.59</v>
      </c>
      <c r="K90" s="220">
        <v>22.3</v>
      </c>
      <c r="L90" s="211" t="s">
        <v>17</v>
      </c>
      <c r="M90" s="208" t="s">
        <v>21</v>
      </c>
      <c r="N90" s="221"/>
      <c r="O90" s="213"/>
      <c r="P90" s="241"/>
      <c r="Q90" s="242"/>
      <c r="R90" s="242"/>
      <c r="S90" s="242"/>
      <c r="T90" s="242"/>
      <c r="U90" s="242"/>
      <c r="V90" s="242"/>
      <c r="W90" s="242"/>
      <c r="X90" s="242"/>
      <c r="Y90" s="242"/>
      <c r="Z90" s="242"/>
      <c r="AA90" s="242"/>
      <c r="AB90" s="242"/>
      <c r="AC90" s="242"/>
    </row>
    <row r="91" spans="1:29" ht="15.75" customHeight="1">
      <c r="A91" s="198" t="s">
        <v>347</v>
      </c>
      <c r="B91" s="201">
        <v>45337</v>
      </c>
      <c r="C91" s="200">
        <v>0.29305555555555557</v>
      </c>
      <c r="D91" s="201">
        <v>45338</v>
      </c>
      <c r="E91" s="243">
        <v>0.56736111111111109</v>
      </c>
      <c r="F91" s="203">
        <v>8.86</v>
      </c>
      <c r="G91" s="199">
        <v>20.7</v>
      </c>
      <c r="H91" s="201">
        <v>45343</v>
      </c>
      <c r="I91" s="200">
        <v>0.61597222222222225</v>
      </c>
      <c r="J91" s="212">
        <v>8.83</v>
      </c>
      <c r="K91" s="220">
        <v>20.3</v>
      </c>
      <c r="L91" s="211">
        <f t="shared" ref="L91:L108" si="6">F91-J91</f>
        <v>2.9999999999999361E-2</v>
      </c>
      <c r="M91" s="208" t="s">
        <v>21</v>
      </c>
      <c r="N91" s="221"/>
      <c r="O91" s="209"/>
      <c r="P91" s="197"/>
    </row>
    <row r="92" spans="1:29" ht="15.75" customHeight="1">
      <c r="A92" s="198" t="s">
        <v>348</v>
      </c>
      <c r="B92" s="201">
        <v>45337</v>
      </c>
      <c r="C92" s="200">
        <v>0.29305555555555557</v>
      </c>
      <c r="D92" s="201">
        <v>45338</v>
      </c>
      <c r="E92" s="218">
        <v>0.56874999999999998</v>
      </c>
      <c r="F92" s="203">
        <v>8.5</v>
      </c>
      <c r="G92" s="199">
        <v>20.5</v>
      </c>
      <c r="H92" s="201">
        <v>45343</v>
      </c>
      <c r="I92" s="200">
        <v>0.61527777777777781</v>
      </c>
      <c r="J92" s="212">
        <v>8.2899999999999991</v>
      </c>
      <c r="K92" s="220">
        <v>20</v>
      </c>
      <c r="L92" s="211">
        <f t="shared" si="6"/>
        <v>0.21000000000000085</v>
      </c>
      <c r="M92" s="208" t="s">
        <v>21</v>
      </c>
      <c r="N92" s="221"/>
      <c r="O92" s="209"/>
      <c r="P92" s="197"/>
    </row>
    <row r="93" spans="1:29" ht="15.75" customHeight="1">
      <c r="A93" s="198" t="s">
        <v>349</v>
      </c>
      <c r="B93" s="201">
        <v>45337</v>
      </c>
      <c r="C93" s="200">
        <v>0.3972222222222222</v>
      </c>
      <c r="D93" s="201">
        <v>45337</v>
      </c>
      <c r="E93" s="202">
        <v>0.57291666666666663</v>
      </c>
      <c r="F93" s="203">
        <v>8.74</v>
      </c>
      <c r="G93" s="199">
        <v>20.3</v>
      </c>
      <c r="H93" s="204">
        <v>45343</v>
      </c>
      <c r="I93" s="200">
        <v>0.6166666666666667</v>
      </c>
      <c r="J93" s="205">
        <v>6.42</v>
      </c>
      <c r="K93" s="220">
        <v>20.3</v>
      </c>
      <c r="L93" s="211">
        <f t="shared" si="6"/>
        <v>2.3200000000000003</v>
      </c>
      <c r="M93" s="208" t="s">
        <v>21</v>
      </c>
      <c r="N93" s="221"/>
      <c r="O93" s="213"/>
      <c r="P93" s="223"/>
    </row>
    <row r="94" spans="1:29" ht="15.75" customHeight="1">
      <c r="A94" s="198" t="s">
        <v>350</v>
      </c>
      <c r="B94" s="201">
        <v>45337</v>
      </c>
      <c r="C94" s="200">
        <v>0.3972222222222222</v>
      </c>
      <c r="D94" s="201">
        <v>45337</v>
      </c>
      <c r="E94" s="243">
        <v>0.57152777777777775</v>
      </c>
      <c r="F94" s="203">
        <v>8.8800000000000008</v>
      </c>
      <c r="G94" s="203">
        <v>20.3</v>
      </c>
      <c r="H94" s="204">
        <v>45343</v>
      </c>
      <c r="I94" s="200">
        <v>0.61875000000000002</v>
      </c>
      <c r="J94" s="205">
        <v>7.94</v>
      </c>
      <c r="K94" s="220">
        <v>20.100000000000001</v>
      </c>
      <c r="L94" s="211">
        <f t="shared" si="6"/>
        <v>0.94000000000000039</v>
      </c>
      <c r="M94" s="208" t="s">
        <v>21</v>
      </c>
      <c r="N94" s="221"/>
      <c r="O94" s="213"/>
      <c r="P94" s="219"/>
    </row>
    <row r="95" spans="1:29" ht="15.75" customHeight="1">
      <c r="A95" s="198" t="s">
        <v>351</v>
      </c>
      <c r="B95" s="201">
        <v>45337</v>
      </c>
      <c r="C95" s="200">
        <v>0.3972222222222222</v>
      </c>
      <c r="D95" s="201">
        <v>45338</v>
      </c>
      <c r="E95" s="218">
        <v>0.57222222222222219</v>
      </c>
      <c r="F95" s="203">
        <v>8.8800000000000008</v>
      </c>
      <c r="G95" s="199">
        <v>20.2</v>
      </c>
      <c r="H95" s="201">
        <v>45343</v>
      </c>
      <c r="I95" s="200">
        <v>0.62430555555555556</v>
      </c>
      <c r="J95" s="212">
        <v>7.93</v>
      </c>
      <c r="K95" s="220">
        <v>20.9</v>
      </c>
      <c r="L95" s="211">
        <f t="shared" si="6"/>
        <v>0.95000000000000107</v>
      </c>
      <c r="M95" s="208" t="s">
        <v>21</v>
      </c>
      <c r="N95" s="221"/>
      <c r="O95" s="209"/>
      <c r="P95" s="223"/>
    </row>
    <row r="96" spans="1:29" ht="15.75" customHeight="1">
      <c r="A96" s="198" t="s">
        <v>352</v>
      </c>
      <c r="B96" s="201">
        <v>45337</v>
      </c>
      <c r="C96" s="200">
        <v>0.3972222222222222</v>
      </c>
      <c r="D96" s="201">
        <v>45338</v>
      </c>
      <c r="E96" s="218">
        <v>0.57499999999999996</v>
      </c>
      <c r="F96" s="203">
        <v>8.76</v>
      </c>
      <c r="G96" s="199">
        <v>20.399999999999999</v>
      </c>
      <c r="H96" s="201">
        <v>45343</v>
      </c>
      <c r="I96" s="200">
        <v>0.62708333333333333</v>
      </c>
      <c r="J96" s="212">
        <v>8.41</v>
      </c>
      <c r="K96" s="220">
        <v>20.5</v>
      </c>
      <c r="L96" s="211">
        <f t="shared" si="6"/>
        <v>0.34999999999999964</v>
      </c>
      <c r="M96" s="208" t="s">
        <v>21</v>
      </c>
      <c r="N96" s="221"/>
      <c r="O96" s="209"/>
      <c r="P96" s="223"/>
    </row>
    <row r="97" spans="1:29" ht="15.75" customHeight="1">
      <c r="A97" s="198" t="s">
        <v>353</v>
      </c>
      <c r="B97" s="201">
        <v>45337</v>
      </c>
      <c r="C97" s="200">
        <v>0.4152777777777778</v>
      </c>
      <c r="D97" s="201">
        <v>45338</v>
      </c>
      <c r="E97" s="218">
        <v>0.57638888888888884</v>
      </c>
      <c r="F97" s="203">
        <v>8.7799999999999994</v>
      </c>
      <c r="G97" s="199">
        <v>20.6</v>
      </c>
      <c r="H97" s="201">
        <v>45343</v>
      </c>
      <c r="I97" s="200">
        <v>0.64444444444444449</v>
      </c>
      <c r="J97" s="212">
        <v>8.51</v>
      </c>
      <c r="K97" s="220">
        <v>21.5</v>
      </c>
      <c r="L97" s="211">
        <f t="shared" si="6"/>
        <v>0.26999999999999957</v>
      </c>
      <c r="M97" s="208" t="s">
        <v>21</v>
      </c>
      <c r="N97" s="221"/>
      <c r="O97" s="213"/>
      <c r="P97" s="223"/>
    </row>
    <row r="98" spans="1:29" ht="15.75" customHeight="1">
      <c r="A98" s="198" t="s">
        <v>354</v>
      </c>
      <c r="B98" s="201">
        <v>45337</v>
      </c>
      <c r="C98" s="200">
        <v>0.4152777777777778</v>
      </c>
      <c r="D98" s="201">
        <v>45338</v>
      </c>
      <c r="E98" s="218">
        <v>0.57916666666666672</v>
      </c>
      <c r="F98" s="203">
        <v>8.59</v>
      </c>
      <c r="G98" s="199">
        <v>20.7</v>
      </c>
      <c r="H98" s="201">
        <v>45343</v>
      </c>
      <c r="I98" s="200">
        <v>0.64375000000000004</v>
      </c>
      <c r="J98" s="212">
        <v>8.1</v>
      </c>
      <c r="K98" s="220">
        <v>21.1</v>
      </c>
      <c r="L98" s="211">
        <f t="shared" si="6"/>
        <v>0.49000000000000021</v>
      </c>
      <c r="M98" s="208" t="s">
        <v>21</v>
      </c>
      <c r="N98" s="221"/>
      <c r="O98" s="213"/>
      <c r="P98" s="223"/>
    </row>
    <row r="99" spans="1:29" ht="15.75" customHeight="1">
      <c r="A99" s="198" t="s">
        <v>355</v>
      </c>
      <c r="B99" s="201">
        <v>45338</v>
      </c>
      <c r="C99" s="200">
        <v>0.33055555555555555</v>
      </c>
      <c r="D99" s="201">
        <v>45338</v>
      </c>
      <c r="E99" s="244">
        <v>0.58680555555555558</v>
      </c>
      <c r="F99" s="245">
        <v>8.2899999999999991</v>
      </c>
      <c r="G99" s="245">
        <v>19.600000000000001</v>
      </c>
      <c r="H99" s="201">
        <v>45343</v>
      </c>
      <c r="I99" s="200">
        <v>0.64652777777777781</v>
      </c>
      <c r="J99" s="212">
        <v>7.58</v>
      </c>
      <c r="K99" s="220">
        <v>21.3</v>
      </c>
      <c r="L99" s="211">
        <f t="shared" si="6"/>
        <v>0.70999999999999908</v>
      </c>
      <c r="M99" s="208" t="s">
        <v>21</v>
      </c>
      <c r="N99" s="221"/>
      <c r="O99" s="213"/>
      <c r="P99" s="223"/>
    </row>
    <row r="100" spans="1:29" ht="15.75" customHeight="1">
      <c r="A100" s="198" t="s">
        <v>356</v>
      </c>
      <c r="B100" s="201">
        <v>45338</v>
      </c>
      <c r="C100" s="200">
        <v>0.33055555555555555</v>
      </c>
      <c r="D100" s="201">
        <v>45338</v>
      </c>
      <c r="E100" s="218">
        <v>0.59027777777777779</v>
      </c>
      <c r="F100" s="203">
        <v>8.2100000000000009</v>
      </c>
      <c r="G100" s="203">
        <v>19.899999999999999</v>
      </c>
      <c r="H100" s="204">
        <v>45343</v>
      </c>
      <c r="I100" s="200">
        <v>0.64861111111111114</v>
      </c>
      <c r="J100" s="212">
        <v>7.59</v>
      </c>
      <c r="K100" s="220">
        <v>21.2</v>
      </c>
      <c r="L100" s="211">
        <f t="shared" si="6"/>
        <v>0.62000000000000099</v>
      </c>
      <c r="M100" s="208" t="s">
        <v>21</v>
      </c>
      <c r="N100" s="221"/>
      <c r="O100" s="213"/>
      <c r="P100" s="223"/>
    </row>
    <row r="101" spans="1:29" ht="15.75" customHeight="1">
      <c r="A101" s="198" t="s">
        <v>357</v>
      </c>
      <c r="B101" s="201">
        <v>45338</v>
      </c>
      <c r="C101" s="200">
        <v>0.36458333333333331</v>
      </c>
      <c r="D101" s="201">
        <v>45338</v>
      </c>
      <c r="E101" s="218">
        <v>0.60069444444444442</v>
      </c>
      <c r="F101" s="203">
        <v>8.16</v>
      </c>
      <c r="G101" s="203">
        <v>19.899999999999999</v>
      </c>
      <c r="H101" s="204">
        <v>45343</v>
      </c>
      <c r="I101" s="200">
        <v>0.65208333333333335</v>
      </c>
      <c r="J101" s="212">
        <v>7.87</v>
      </c>
      <c r="K101" s="220">
        <v>21.2</v>
      </c>
      <c r="L101" s="211">
        <f t="shared" si="6"/>
        <v>0.29000000000000004</v>
      </c>
      <c r="M101" s="208" t="s">
        <v>21</v>
      </c>
      <c r="N101" s="221"/>
      <c r="O101" s="213"/>
      <c r="P101" s="223"/>
    </row>
    <row r="102" spans="1:29" ht="15.75" customHeight="1">
      <c r="A102" s="198" t="s">
        <v>358</v>
      </c>
      <c r="B102" s="201">
        <v>45338</v>
      </c>
      <c r="C102" s="200">
        <v>0.36458333333333331</v>
      </c>
      <c r="D102" s="201">
        <v>45338</v>
      </c>
      <c r="E102" s="218">
        <v>0.60486111111111107</v>
      </c>
      <c r="F102" s="203">
        <v>8.4</v>
      </c>
      <c r="G102" s="203">
        <v>20</v>
      </c>
      <c r="H102" s="201">
        <v>45343</v>
      </c>
      <c r="I102" s="200">
        <v>0.65347222222222223</v>
      </c>
      <c r="J102" s="212">
        <v>7.74</v>
      </c>
      <c r="K102" s="220">
        <v>21.4</v>
      </c>
      <c r="L102" s="211">
        <f t="shared" si="6"/>
        <v>0.66000000000000014</v>
      </c>
      <c r="M102" s="208" t="s">
        <v>21</v>
      </c>
      <c r="N102" s="221"/>
      <c r="O102" s="217"/>
      <c r="P102" s="240"/>
    </row>
    <row r="103" spans="1:29" ht="15.75" customHeight="1">
      <c r="A103" s="198" t="s">
        <v>359</v>
      </c>
      <c r="B103" s="201">
        <v>45338</v>
      </c>
      <c r="C103" s="200">
        <v>0.39583333333333331</v>
      </c>
      <c r="D103" s="201">
        <v>45338</v>
      </c>
      <c r="E103" s="243">
        <v>0.6069444444444444</v>
      </c>
      <c r="F103" s="203">
        <v>8.43</v>
      </c>
      <c r="G103" s="203">
        <v>20.5</v>
      </c>
      <c r="H103" s="201">
        <v>45343</v>
      </c>
      <c r="I103" s="200">
        <v>0.66319444444444442</v>
      </c>
      <c r="J103" s="212">
        <v>7.88</v>
      </c>
      <c r="K103" s="220">
        <v>21.6</v>
      </c>
      <c r="L103" s="211">
        <f t="shared" si="6"/>
        <v>0.54999999999999982</v>
      </c>
      <c r="M103" s="208" t="s">
        <v>21</v>
      </c>
      <c r="N103" s="221"/>
      <c r="O103" s="209"/>
      <c r="P103" s="197"/>
    </row>
    <row r="104" spans="1:29" ht="15.75" customHeight="1">
      <c r="A104" s="198" t="s">
        <v>360</v>
      </c>
      <c r="B104" s="201">
        <v>45338</v>
      </c>
      <c r="C104" s="200">
        <v>0.39583333333333331</v>
      </c>
      <c r="D104" s="201">
        <v>45338</v>
      </c>
      <c r="E104" s="218">
        <v>0.60902777777777772</v>
      </c>
      <c r="F104" s="203">
        <v>8.11</v>
      </c>
      <c r="G104" s="203">
        <v>20.7</v>
      </c>
      <c r="H104" s="201">
        <v>45343</v>
      </c>
      <c r="I104" s="200">
        <v>0.66527777777777775</v>
      </c>
      <c r="J104" s="212">
        <v>7.35</v>
      </c>
      <c r="K104" s="220">
        <v>21.5</v>
      </c>
      <c r="L104" s="211">
        <f t="shared" si="6"/>
        <v>0.75999999999999979</v>
      </c>
      <c r="M104" s="208" t="s">
        <v>21</v>
      </c>
      <c r="N104" s="221"/>
      <c r="O104" s="209"/>
      <c r="P104" s="197"/>
    </row>
    <row r="105" spans="1:29" ht="15.75" customHeight="1">
      <c r="A105" s="246" t="s">
        <v>361</v>
      </c>
      <c r="B105" s="201">
        <v>45338</v>
      </c>
      <c r="C105" s="247">
        <v>0.41805555555555557</v>
      </c>
      <c r="D105" s="201">
        <v>45338</v>
      </c>
      <c r="E105" s="248">
        <v>0.61597222222222225</v>
      </c>
      <c r="F105" s="249">
        <v>8</v>
      </c>
      <c r="G105" s="249">
        <v>20.7</v>
      </c>
      <c r="H105" s="201">
        <v>45343</v>
      </c>
      <c r="I105" s="247">
        <v>0.66666666666666663</v>
      </c>
      <c r="J105" s="249">
        <v>5.83</v>
      </c>
      <c r="K105" s="249">
        <v>22.2</v>
      </c>
      <c r="L105" s="211">
        <f t="shared" si="6"/>
        <v>2.17</v>
      </c>
      <c r="M105" s="250" t="s">
        <v>21</v>
      </c>
      <c r="N105" s="25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</row>
    <row r="106" spans="1:29" ht="15.75" customHeight="1">
      <c r="A106" s="252" t="s">
        <v>362</v>
      </c>
      <c r="B106" s="201">
        <v>45338</v>
      </c>
      <c r="C106" s="253">
        <v>0.41805555555555557</v>
      </c>
      <c r="D106" s="201">
        <v>45338</v>
      </c>
      <c r="E106" s="254">
        <v>0.61458333333333337</v>
      </c>
      <c r="F106" s="245">
        <v>8.09</v>
      </c>
      <c r="G106" s="245">
        <v>20.5</v>
      </c>
      <c r="H106" s="201">
        <v>45343</v>
      </c>
      <c r="I106" s="253">
        <v>0.67083333333333328</v>
      </c>
      <c r="J106" s="245">
        <v>7.48</v>
      </c>
      <c r="K106" s="245">
        <v>22.6</v>
      </c>
      <c r="L106" s="211">
        <f t="shared" si="6"/>
        <v>0.60999999999999943</v>
      </c>
      <c r="M106" s="255" t="s">
        <v>21</v>
      </c>
      <c r="N106" s="256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</row>
    <row r="107" spans="1:29" ht="15.75" customHeight="1">
      <c r="A107" s="252" t="s">
        <v>363</v>
      </c>
      <c r="B107" s="201">
        <v>45338</v>
      </c>
      <c r="C107" s="253">
        <v>0.41805555555555557</v>
      </c>
      <c r="D107" s="201">
        <v>45338</v>
      </c>
      <c r="E107" s="244">
        <v>0.61388888888888893</v>
      </c>
      <c r="F107" s="245">
        <v>8.09</v>
      </c>
      <c r="G107" s="245">
        <v>20.5</v>
      </c>
      <c r="H107" s="201">
        <v>45343</v>
      </c>
      <c r="I107" s="253">
        <v>0.67291666666666672</v>
      </c>
      <c r="J107" s="245">
        <v>7.46</v>
      </c>
      <c r="K107" s="245">
        <v>22.4</v>
      </c>
      <c r="L107" s="211">
        <f t="shared" si="6"/>
        <v>0.62999999999999989</v>
      </c>
      <c r="M107" s="255" t="s">
        <v>21</v>
      </c>
      <c r="N107" s="256"/>
      <c r="O107" s="257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</row>
    <row r="108" spans="1:29" ht="15.75" customHeight="1">
      <c r="A108" s="252" t="s">
        <v>364</v>
      </c>
      <c r="B108" s="201">
        <v>45338</v>
      </c>
      <c r="C108" s="253">
        <v>0.41805555555555557</v>
      </c>
      <c r="D108" s="201">
        <v>45338</v>
      </c>
      <c r="E108" s="258">
        <v>0.61875000000000002</v>
      </c>
      <c r="F108" s="259">
        <v>8.1</v>
      </c>
      <c r="G108" s="259">
        <v>21.2</v>
      </c>
      <c r="H108" s="201">
        <v>45343</v>
      </c>
      <c r="I108" s="253">
        <v>0.6791666666666667</v>
      </c>
      <c r="J108" s="245">
        <v>7.23</v>
      </c>
      <c r="K108" s="245">
        <v>22.3</v>
      </c>
      <c r="L108" s="211">
        <f t="shared" si="6"/>
        <v>0.86999999999999922</v>
      </c>
      <c r="M108" s="208" t="s">
        <v>21</v>
      </c>
      <c r="N108" s="256"/>
      <c r="O108" s="257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</row>
    <row r="109" spans="1:29" ht="15.75" customHeight="1">
      <c r="A109" s="198" t="s">
        <v>264</v>
      </c>
      <c r="B109" s="199" t="s">
        <v>17</v>
      </c>
      <c r="C109" s="200" t="s">
        <v>17</v>
      </c>
      <c r="D109" s="201">
        <v>45338</v>
      </c>
      <c r="E109" s="202">
        <v>0.56597222222222221</v>
      </c>
      <c r="F109" s="203">
        <v>8.59</v>
      </c>
      <c r="G109" s="203">
        <v>23.6</v>
      </c>
      <c r="H109" s="260">
        <v>45349</v>
      </c>
      <c r="I109" s="253">
        <v>6.1805555555555558E-2</v>
      </c>
      <c r="J109" s="245">
        <v>8.4600000000000009</v>
      </c>
      <c r="K109" s="245">
        <v>24.9</v>
      </c>
      <c r="L109" s="200" t="s">
        <v>17</v>
      </c>
      <c r="M109" s="208" t="s">
        <v>21</v>
      </c>
      <c r="N109" s="256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</row>
    <row r="110" spans="1:29" ht="15.75" customHeight="1">
      <c r="A110" s="252" t="s">
        <v>365</v>
      </c>
      <c r="B110" s="261">
        <v>45343</v>
      </c>
      <c r="C110" s="253">
        <v>0.38055555555555554</v>
      </c>
      <c r="D110" s="261">
        <v>45344</v>
      </c>
      <c r="E110" s="262">
        <v>0.60972222222222228</v>
      </c>
      <c r="F110" s="246">
        <v>8.5500000000000007</v>
      </c>
      <c r="G110" s="246">
        <v>21.7</v>
      </c>
      <c r="H110" s="260">
        <v>45349</v>
      </c>
      <c r="I110" s="253">
        <v>0.56666666666666665</v>
      </c>
      <c r="J110" s="245">
        <v>8.33</v>
      </c>
      <c r="K110" s="245">
        <v>19.5</v>
      </c>
      <c r="L110" s="211">
        <f t="shared" ref="L110:L123" si="7">F110-J110</f>
        <v>0.22000000000000064</v>
      </c>
      <c r="M110" s="208" t="s">
        <v>21</v>
      </c>
      <c r="N110" s="256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</row>
    <row r="111" spans="1:29" ht="15.75" customHeight="1">
      <c r="A111" s="252" t="s">
        <v>366</v>
      </c>
      <c r="B111" s="261">
        <v>45343</v>
      </c>
      <c r="C111" s="253">
        <v>0.38055555555555554</v>
      </c>
      <c r="D111" s="261">
        <v>45344</v>
      </c>
      <c r="E111" s="244">
        <v>0.62013888888888891</v>
      </c>
      <c r="F111" s="245">
        <v>8.49</v>
      </c>
      <c r="G111" s="245">
        <v>20</v>
      </c>
      <c r="H111" s="260">
        <v>45349</v>
      </c>
      <c r="I111" s="253">
        <v>0.56805555555555554</v>
      </c>
      <c r="J111" s="245">
        <v>8.27</v>
      </c>
      <c r="K111" s="245">
        <v>19</v>
      </c>
      <c r="L111" s="211">
        <f t="shared" si="7"/>
        <v>0.22000000000000064</v>
      </c>
      <c r="M111" s="208" t="s">
        <v>21</v>
      </c>
      <c r="N111" s="256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</row>
    <row r="112" spans="1:29" ht="15.75" customHeight="1">
      <c r="A112" s="252" t="s">
        <v>367</v>
      </c>
      <c r="B112" s="261">
        <v>45343</v>
      </c>
      <c r="C112" s="253">
        <v>0.40138888888888891</v>
      </c>
      <c r="D112" s="261">
        <v>45344</v>
      </c>
      <c r="E112" s="244">
        <v>0.62430555555555556</v>
      </c>
      <c r="F112" s="245">
        <v>8.44</v>
      </c>
      <c r="G112" s="245">
        <v>19.600000000000001</v>
      </c>
      <c r="H112" s="260">
        <v>45349</v>
      </c>
      <c r="I112" s="253">
        <v>0.57361111111111107</v>
      </c>
      <c r="J112" s="245">
        <v>8.39</v>
      </c>
      <c r="K112" s="245">
        <v>19.399999999999999</v>
      </c>
      <c r="L112" s="211">
        <f t="shared" si="7"/>
        <v>4.9999999999998934E-2</v>
      </c>
      <c r="M112" s="208" t="s">
        <v>21</v>
      </c>
      <c r="N112" s="256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</row>
    <row r="113" spans="1:29" ht="15.75" customHeight="1">
      <c r="A113" s="252" t="s">
        <v>368</v>
      </c>
      <c r="B113" s="261">
        <v>45343</v>
      </c>
      <c r="C113" s="253">
        <v>0.40138888888888891</v>
      </c>
      <c r="D113" s="261">
        <v>45344</v>
      </c>
      <c r="E113" s="244">
        <v>0.62569444444444444</v>
      </c>
      <c r="F113" s="245">
        <v>8.81</v>
      </c>
      <c r="G113" s="245">
        <v>20</v>
      </c>
      <c r="H113" s="260">
        <v>45349</v>
      </c>
      <c r="I113" s="253">
        <v>0.57499999999999996</v>
      </c>
      <c r="J113" s="245">
        <v>8.73</v>
      </c>
      <c r="K113" s="245">
        <v>19.600000000000001</v>
      </c>
      <c r="L113" s="211">
        <f t="shared" si="7"/>
        <v>8.0000000000000071E-2</v>
      </c>
      <c r="M113" s="208" t="s">
        <v>21</v>
      </c>
      <c r="N113" s="256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</row>
    <row r="114" spans="1:29" ht="15.75" customHeight="1">
      <c r="A114" s="252" t="s">
        <v>369</v>
      </c>
      <c r="B114" s="261">
        <v>45343</v>
      </c>
      <c r="C114" s="253">
        <v>0.42708333333333331</v>
      </c>
      <c r="D114" s="261">
        <v>45344</v>
      </c>
      <c r="E114" s="244">
        <v>0.63055555555555554</v>
      </c>
      <c r="F114" s="245">
        <v>8.4700000000000006</v>
      </c>
      <c r="G114" s="245">
        <v>20.399999999999999</v>
      </c>
      <c r="H114" s="260">
        <v>45349</v>
      </c>
      <c r="I114" s="253">
        <v>0.58750000000000002</v>
      </c>
      <c r="J114" s="245">
        <v>8.27</v>
      </c>
      <c r="K114" s="245">
        <v>19.5</v>
      </c>
      <c r="L114" s="211">
        <f t="shared" si="7"/>
        <v>0.20000000000000107</v>
      </c>
      <c r="M114" s="208" t="s">
        <v>21</v>
      </c>
      <c r="N114" s="256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</row>
    <row r="115" spans="1:29" ht="15.75" customHeight="1">
      <c r="A115" s="252" t="s">
        <v>370</v>
      </c>
      <c r="B115" s="261">
        <v>45343</v>
      </c>
      <c r="C115" s="253">
        <v>0.42708333333333331</v>
      </c>
      <c r="D115" s="261">
        <v>45344</v>
      </c>
      <c r="E115" s="244">
        <v>0.63194444444444442</v>
      </c>
      <c r="F115" s="245">
        <v>8.98</v>
      </c>
      <c r="G115" s="245">
        <v>20.3</v>
      </c>
      <c r="H115" s="260">
        <v>45349</v>
      </c>
      <c r="I115" s="253">
        <v>0.58958333333333335</v>
      </c>
      <c r="J115" s="245">
        <v>8.2100000000000009</v>
      </c>
      <c r="K115" s="245">
        <v>19.899999999999999</v>
      </c>
      <c r="L115" s="211">
        <f t="shared" si="7"/>
        <v>0.76999999999999957</v>
      </c>
      <c r="M115" s="208" t="s">
        <v>21</v>
      </c>
      <c r="N115" s="256"/>
      <c r="O115" s="21"/>
      <c r="P115" s="263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</row>
    <row r="116" spans="1:29" ht="15.75" customHeight="1">
      <c r="A116" s="252" t="s">
        <v>371</v>
      </c>
      <c r="B116" s="261">
        <v>45343</v>
      </c>
      <c r="C116" s="253">
        <v>0.4909722222222222</v>
      </c>
      <c r="D116" s="261">
        <v>45344</v>
      </c>
      <c r="E116" s="254">
        <v>0.6333333333333333</v>
      </c>
      <c r="F116" s="245">
        <v>8.77</v>
      </c>
      <c r="G116" s="245">
        <v>20.5</v>
      </c>
      <c r="H116" s="260">
        <v>45349</v>
      </c>
      <c r="I116" s="253">
        <v>0.57986111111111116</v>
      </c>
      <c r="J116" s="245">
        <v>8.4700000000000006</v>
      </c>
      <c r="K116" s="245">
        <v>19.5</v>
      </c>
      <c r="L116" s="211">
        <f t="shared" si="7"/>
        <v>0.29999999999999893</v>
      </c>
      <c r="M116" s="208" t="s">
        <v>21</v>
      </c>
      <c r="N116" s="256"/>
      <c r="O116" s="257"/>
      <c r="P116" s="257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</row>
    <row r="117" spans="1:29" ht="15.75" customHeight="1">
      <c r="A117" s="252" t="s">
        <v>372</v>
      </c>
      <c r="B117" s="261">
        <v>45343</v>
      </c>
      <c r="C117" s="253">
        <v>0.4909722222222222</v>
      </c>
      <c r="D117" s="261">
        <v>45344</v>
      </c>
      <c r="E117" s="244">
        <v>0.63680555555555551</v>
      </c>
      <c r="F117" s="245">
        <v>8.66</v>
      </c>
      <c r="G117" s="245">
        <v>20.8</v>
      </c>
      <c r="H117" s="260">
        <v>45349</v>
      </c>
      <c r="I117" s="253">
        <v>0.58125000000000004</v>
      </c>
      <c r="J117" s="245">
        <v>8.11</v>
      </c>
      <c r="K117" s="245">
        <v>19.5</v>
      </c>
      <c r="L117" s="211">
        <f t="shared" si="7"/>
        <v>0.55000000000000071</v>
      </c>
      <c r="M117" s="208" t="s">
        <v>21</v>
      </c>
      <c r="N117" s="256"/>
      <c r="O117" s="257"/>
      <c r="P117" s="257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</row>
    <row r="118" spans="1:29" ht="15.75" customHeight="1">
      <c r="A118" s="252" t="s">
        <v>373</v>
      </c>
      <c r="B118" s="261">
        <v>45343</v>
      </c>
      <c r="C118" s="253">
        <v>0.51180555555555551</v>
      </c>
      <c r="D118" s="261">
        <v>45344</v>
      </c>
      <c r="E118" s="244">
        <v>0.64652777777777781</v>
      </c>
      <c r="F118" s="245">
        <v>8.7799999999999994</v>
      </c>
      <c r="G118" s="245">
        <v>20.6</v>
      </c>
      <c r="H118" s="264">
        <v>45349</v>
      </c>
      <c r="I118" s="253">
        <v>0.59097222222222223</v>
      </c>
      <c r="J118" s="245">
        <v>7.51</v>
      </c>
      <c r="K118" s="245">
        <v>19.100000000000001</v>
      </c>
      <c r="L118" s="211">
        <f t="shared" si="7"/>
        <v>1.2699999999999996</v>
      </c>
      <c r="M118" s="255" t="s">
        <v>21</v>
      </c>
      <c r="N118" s="256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</row>
    <row r="119" spans="1:29" ht="15.75" customHeight="1">
      <c r="A119" s="252" t="s">
        <v>374</v>
      </c>
      <c r="B119" s="264">
        <v>45343</v>
      </c>
      <c r="C119" s="253">
        <v>0.51180555555555551</v>
      </c>
      <c r="D119" s="261">
        <v>45344</v>
      </c>
      <c r="E119" s="254">
        <v>0.64583333333333337</v>
      </c>
      <c r="F119" s="245">
        <v>8.17</v>
      </c>
      <c r="G119" s="245">
        <v>21</v>
      </c>
      <c r="H119" s="264">
        <v>45349</v>
      </c>
      <c r="I119" s="253">
        <v>0.59722222222222221</v>
      </c>
      <c r="J119" s="245">
        <v>8.09</v>
      </c>
      <c r="K119" s="245">
        <v>19.399999999999999</v>
      </c>
      <c r="L119" s="211">
        <f t="shared" si="7"/>
        <v>8.0000000000000071E-2</v>
      </c>
      <c r="M119" s="255" t="s">
        <v>21</v>
      </c>
      <c r="N119" s="256"/>
      <c r="O119" s="257"/>
      <c r="P119" s="257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</row>
    <row r="120" spans="1:29" ht="15.75" customHeight="1">
      <c r="A120" s="252" t="s">
        <v>375</v>
      </c>
      <c r="B120" s="261">
        <v>45343</v>
      </c>
      <c r="C120" s="200">
        <v>0.51180555555555551</v>
      </c>
      <c r="D120" s="261">
        <v>45344</v>
      </c>
      <c r="E120" s="202">
        <v>0.6479166666666667</v>
      </c>
      <c r="F120" s="199">
        <v>7.65</v>
      </c>
      <c r="G120" s="203">
        <v>21</v>
      </c>
      <c r="H120" s="260">
        <v>45349</v>
      </c>
      <c r="I120" s="200">
        <v>0.59930555555555554</v>
      </c>
      <c r="J120" s="212">
        <v>7.57</v>
      </c>
      <c r="K120" s="220">
        <v>19.8</v>
      </c>
      <c r="L120" s="211">
        <f t="shared" si="7"/>
        <v>8.0000000000000071E-2</v>
      </c>
      <c r="M120" s="208" t="s">
        <v>21</v>
      </c>
      <c r="N120" s="221"/>
      <c r="O120" s="209"/>
      <c r="P120" s="197"/>
    </row>
    <row r="121" spans="1:29" ht="15.75" customHeight="1">
      <c r="A121" s="252" t="s">
        <v>376</v>
      </c>
      <c r="B121" s="261">
        <v>45343</v>
      </c>
      <c r="C121" s="200">
        <v>0.51180555555555551</v>
      </c>
      <c r="D121" s="261">
        <v>45344</v>
      </c>
      <c r="E121" s="199" t="s">
        <v>377</v>
      </c>
      <c r="F121" s="203">
        <v>8.0500000000000007</v>
      </c>
      <c r="G121" s="203">
        <v>20.8</v>
      </c>
      <c r="H121" s="260">
        <v>45349</v>
      </c>
      <c r="I121" s="200">
        <v>0.60069444444444442</v>
      </c>
      <c r="J121" s="212">
        <v>8</v>
      </c>
      <c r="K121" s="220">
        <v>19.899999999999999</v>
      </c>
      <c r="L121" s="211">
        <f t="shared" si="7"/>
        <v>5.0000000000000711E-2</v>
      </c>
      <c r="M121" s="208" t="s">
        <v>21</v>
      </c>
      <c r="N121" s="221"/>
      <c r="O121" s="213"/>
      <c r="P121" s="223"/>
    </row>
    <row r="122" spans="1:29" ht="15.75" customHeight="1">
      <c r="A122" s="252" t="s">
        <v>378</v>
      </c>
      <c r="B122" s="261">
        <v>45343</v>
      </c>
      <c r="C122" s="200">
        <v>0.53402777777777777</v>
      </c>
      <c r="D122" s="261">
        <v>45344</v>
      </c>
      <c r="E122" s="202">
        <v>0.6381944444444444</v>
      </c>
      <c r="F122" s="203">
        <v>8.07</v>
      </c>
      <c r="G122" s="203">
        <v>20.6</v>
      </c>
      <c r="H122" s="260">
        <v>45349</v>
      </c>
      <c r="I122" s="200">
        <v>0.60138888888888886</v>
      </c>
      <c r="J122" s="212">
        <v>7.96</v>
      </c>
      <c r="K122" s="220">
        <v>20.2</v>
      </c>
      <c r="L122" s="211">
        <f t="shared" si="7"/>
        <v>0.11000000000000032</v>
      </c>
      <c r="M122" s="208" t="s">
        <v>21</v>
      </c>
      <c r="N122" s="221"/>
      <c r="O122" s="213"/>
      <c r="P122" s="223"/>
    </row>
    <row r="123" spans="1:29" ht="15.75" customHeight="1">
      <c r="A123" s="252" t="s">
        <v>379</v>
      </c>
      <c r="B123" s="261">
        <v>45343</v>
      </c>
      <c r="C123" s="200">
        <v>0.53402777777777777</v>
      </c>
      <c r="D123" s="261">
        <v>45344</v>
      </c>
      <c r="E123" s="202">
        <v>0.63958333333333328</v>
      </c>
      <c r="F123" s="199">
        <v>7.73</v>
      </c>
      <c r="G123" s="199">
        <v>20.8</v>
      </c>
      <c r="H123" s="260">
        <v>45349</v>
      </c>
      <c r="I123" s="200">
        <v>0.60624999999999996</v>
      </c>
      <c r="J123" s="205">
        <v>6.94</v>
      </c>
      <c r="K123" s="206">
        <v>20.5</v>
      </c>
      <c r="L123" s="211">
        <f t="shared" si="7"/>
        <v>0.79</v>
      </c>
      <c r="M123" s="208" t="s">
        <v>21</v>
      </c>
      <c r="N123" s="221"/>
      <c r="O123" s="213"/>
      <c r="P123" s="223"/>
    </row>
    <row r="124" spans="1:29" ht="15.75" customHeight="1">
      <c r="A124" s="224"/>
      <c r="B124" s="265"/>
      <c r="C124" s="266"/>
      <c r="D124" s="265"/>
      <c r="E124" s="267"/>
      <c r="F124" s="268"/>
      <c r="G124" s="268"/>
      <c r="H124" s="269"/>
      <c r="I124" s="266"/>
      <c r="J124" s="270"/>
      <c r="K124" s="271"/>
      <c r="L124" s="270"/>
      <c r="M124" s="209"/>
      <c r="N124" s="209"/>
      <c r="O124" s="213"/>
      <c r="P124" s="223"/>
    </row>
    <row r="125" spans="1:29" ht="15.75" customHeight="1">
      <c r="A125" s="224"/>
      <c r="B125" s="265"/>
      <c r="C125" s="266"/>
      <c r="D125" s="265"/>
      <c r="E125" s="267"/>
      <c r="F125" s="268"/>
      <c r="G125" s="268"/>
      <c r="H125" s="269"/>
      <c r="I125" s="266"/>
      <c r="J125" s="270"/>
      <c r="K125" s="271"/>
      <c r="L125" s="270"/>
      <c r="M125" s="209"/>
      <c r="N125" s="209"/>
      <c r="O125" s="213"/>
      <c r="P125" s="223"/>
    </row>
    <row r="126" spans="1:29" ht="15.75" customHeight="1">
      <c r="A126" s="224"/>
      <c r="B126" s="265"/>
      <c r="C126" s="266"/>
      <c r="D126" s="265"/>
      <c r="E126" s="267"/>
      <c r="F126" s="268"/>
      <c r="G126" s="268"/>
      <c r="H126" s="269"/>
      <c r="I126" s="266"/>
      <c r="J126" s="270"/>
      <c r="K126" s="271"/>
      <c r="L126" s="270"/>
      <c r="M126" s="209"/>
      <c r="N126" s="209"/>
      <c r="O126" s="213"/>
      <c r="P126" s="223"/>
    </row>
    <row r="127" spans="1:29" ht="15.75" customHeight="1">
      <c r="A127" s="224"/>
      <c r="B127" s="265"/>
      <c r="C127" s="272"/>
      <c r="D127" s="265"/>
      <c r="E127" s="273"/>
      <c r="F127" s="274"/>
      <c r="G127" s="274"/>
      <c r="H127" s="269"/>
      <c r="I127" s="266"/>
      <c r="J127" s="270"/>
      <c r="K127" s="271"/>
      <c r="L127" s="270"/>
      <c r="M127" s="209"/>
      <c r="N127" s="209"/>
      <c r="O127" s="213"/>
      <c r="P127" s="223"/>
    </row>
    <row r="128" spans="1:29" ht="15.75" customHeight="1">
      <c r="A128" s="224"/>
      <c r="B128" s="265"/>
      <c r="C128" s="272"/>
      <c r="D128" s="265"/>
      <c r="E128" s="273"/>
      <c r="F128" s="274"/>
      <c r="G128" s="274"/>
      <c r="H128" s="269"/>
      <c r="I128" s="266"/>
      <c r="J128" s="270"/>
      <c r="K128" s="271"/>
      <c r="L128" s="270"/>
      <c r="M128" s="209"/>
      <c r="N128" s="209"/>
      <c r="O128" s="213"/>
      <c r="P128" s="223"/>
    </row>
    <row r="129" spans="1:16" ht="15.75">
      <c r="A129" s="224"/>
      <c r="B129" s="213"/>
      <c r="C129" s="266"/>
      <c r="D129" s="265"/>
      <c r="E129" s="275"/>
      <c r="F129" s="224"/>
      <c r="G129" s="224"/>
      <c r="H129" s="269"/>
      <c r="I129" s="276"/>
      <c r="J129" s="224"/>
      <c r="K129" s="277"/>
      <c r="L129" s="270"/>
      <c r="M129" s="209"/>
      <c r="N129" s="209"/>
      <c r="O129" s="213"/>
      <c r="P129" s="223"/>
    </row>
    <row r="130" spans="1:16" ht="15.75" customHeight="1">
      <c r="A130" s="224"/>
      <c r="B130" s="265"/>
      <c r="C130" s="272"/>
      <c r="D130" s="265"/>
      <c r="E130" s="278"/>
      <c r="F130" s="277"/>
      <c r="G130" s="277"/>
      <c r="H130" s="269"/>
      <c r="I130" s="266"/>
      <c r="J130" s="270"/>
      <c r="K130" s="271"/>
      <c r="L130" s="270"/>
      <c r="M130" s="209"/>
      <c r="N130" s="209"/>
      <c r="O130" s="213"/>
      <c r="P130" s="223"/>
    </row>
    <row r="131" spans="1:16" ht="15.75" customHeight="1">
      <c r="A131" s="224"/>
      <c r="B131" s="265"/>
      <c r="C131" s="272"/>
      <c r="D131" s="265"/>
      <c r="E131" s="278"/>
      <c r="F131" s="279"/>
      <c r="G131" s="279"/>
      <c r="H131" s="269"/>
      <c r="I131" s="266"/>
      <c r="J131" s="270"/>
      <c r="K131" s="271"/>
      <c r="L131" s="270"/>
      <c r="M131" s="209"/>
      <c r="N131" s="209"/>
      <c r="O131" s="213"/>
      <c r="P131" s="223"/>
    </row>
    <row r="132" spans="1:16" ht="15.75" customHeight="1">
      <c r="A132" s="224"/>
      <c r="B132" s="265"/>
      <c r="C132" s="272"/>
      <c r="D132" s="265"/>
      <c r="E132" s="278"/>
      <c r="F132" s="279"/>
      <c r="G132" s="279"/>
      <c r="H132" s="269"/>
      <c r="I132" s="266"/>
      <c r="J132" s="270"/>
      <c r="K132" s="271"/>
      <c r="L132" s="270"/>
      <c r="M132" s="209"/>
      <c r="N132" s="209"/>
      <c r="O132" s="213"/>
      <c r="P132" s="223"/>
    </row>
    <row r="133" spans="1:16" ht="15.75" customHeight="1">
      <c r="A133" s="224"/>
      <c r="B133" s="265"/>
      <c r="C133" s="272"/>
      <c r="D133" s="265"/>
      <c r="E133" s="278"/>
      <c r="F133" s="279"/>
      <c r="G133" s="279"/>
      <c r="H133" s="269"/>
      <c r="I133" s="266"/>
      <c r="J133" s="270"/>
      <c r="K133" s="271"/>
      <c r="L133" s="270"/>
      <c r="M133" s="209"/>
      <c r="N133" s="209"/>
      <c r="O133" s="213"/>
      <c r="P133" s="223"/>
    </row>
    <row r="134" spans="1:16" ht="15.75" customHeight="1">
      <c r="A134" s="224"/>
      <c r="B134" s="280"/>
      <c r="C134" s="272"/>
      <c r="D134" s="265"/>
      <c r="E134" s="278"/>
      <c r="F134" s="279"/>
      <c r="G134" s="279"/>
      <c r="H134" s="269"/>
      <c r="I134" s="266"/>
      <c r="J134" s="270"/>
      <c r="K134" s="271"/>
      <c r="L134" s="270"/>
      <c r="M134" s="209"/>
      <c r="N134" s="209"/>
      <c r="O134" s="213"/>
      <c r="P134" s="223"/>
    </row>
    <row r="135" spans="1:16" ht="15.75" customHeight="1">
      <c r="A135" s="224"/>
      <c r="B135" s="280"/>
      <c r="C135" s="272"/>
      <c r="D135" s="265"/>
      <c r="E135" s="278"/>
      <c r="F135" s="279"/>
      <c r="G135" s="279"/>
      <c r="H135" s="269"/>
      <c r="I135" s="266"/>
      <c r="J135" s="270"/>
      <c r="K135" s="271"/>
      <c r="L135" s="270"/>
      <c r="M135" s="209"/>
      <c r="N135" s="209"/>
      <c r="O135" s="213"/>
      <c r="P135" s="223"/>
    </row>
    <row r="136" spans="1:16" ht="15.75" customHeight="1">
      <c r="A136" s="224"/>
      <c r="B136" s="280"/>
      <c r="C136" s="272"/>
      <c r="D136" s="265"/>
      <c r="E136" s="278"/>
      <c r="F136" s="279"/>
      <c r="G136" s="279"/>
      <c r="H136" s="269"/>
      <c r="I136" s="266"/>
      <c r="J136" s="270"/>
      <c r="K136" s="271"/>
      <c r="L136" s="270"/>
      <c r="M136" s="209"/>
      <c r="N136" s="209"/>
      <c r="O136" s="281"/>
      <c r="P136" s="240"/>
    </row>
    <row r="137" spans="1:16" ht="15.75" customHeight="1">
      <c r="A137" s="224"/>
      <c r="B137" s="280"/>
      <c r="C137" s="272"/>
      <c r="D137" s="265"/>
      <c r="E137" s="278"/>
      <c r="F137" s="279"/>
      <c r="G137" s="279"/>
      <c r="H137" s="269"/>
      <c r="I137" s="266"/>
      <c r="J137" s="270"/>
      <c r="K137" s="271"/>
      <c r="L137" s="270"/>
      <c r="M137" s="209"/>
      <c r="N137" s="209"/>
      <c r="O137" s="196"/>
      <c r="P137" s="213"/>
    </row>
    <row r="138" spans="1:16" ht="15.75" customHeight="1">
      <c r="A138" s="224"/>
      <c r="B138" s="282"/>
      <c r="C138" s="283"/>
      <c r="D138" s="284"/>
      <c r="E138" s="285"/>
      <c r="F138" s="286"/>
      <c r="G138" s="286"/>
      <c r="H138" s="284"/>
      <c r="I138" s="283"/>
      <c r="J138" s="270"/>
      <c r="K138" s="271"/>
      <c r="L138" s="270"/>
      <c r="M138" s="209"/>
      <c r="N138" s="209"/>
      <c r="O138" s="196"/>
      <c r="P138" s="223"/>
    </row>
    <row r="139" spans="1:16" ht="15.75" customHeight="1">
      <c r="A139" s="224"/>
      <c r="B139" s="282"/>
      <c r="C139" s="287"/>
      <c r="D139" s="288"/>
      <c r="E139" s="289"/>
      <c r="F139" s="290"/>
      <c r="G139" s="290"/>
      <c r="H139" s="288"/>
      <c r="I139" s="287"/>
      <c r="J139" s="270"/>
      <c r="K139" s="271"/>
      <c r="L139" s="270"/>
      <c r="M139" s="209"/>
      <c r="N139" s="209"/>
      <c r="O139" s="196"/>
      <c r="P139" s="223"/>
    </row>
    <row r="140" spans="1:16" ht="15.75" customHeight="1">
      <c r="A140" s="224"/>
      <c r="B140" s="282"/>
      <c r="C140" s="287"/>
      <c r="D140" s="288"/>
      <c r="E140" s="289"/>
      <c r="F140" s="290"/>
      <c r="G140" s="290"/>
      <c r="H140" s="288"/>
      <c r="I140" s="287"/>
      <c r="J140" s="270"/>
      <c r="K140" s="271"/>
      <c r="L140" s="270"/>
      <c r="M140" s="209"/>
      <c r="N140" s="209"/>
      <c r="O140" s="196"/>
      <c r="P140" s="223"/>
    </row>
    <row r="141" spans="1:16" ht="15.75" customHeight="1">
      <c r="A141" s="224"/>
      <c r="B141" s="282"/>
      <c r="C141" s="287"/>
      <c r="D141" s="288"/>
      <c r="E141" s="289"/>
      <c r="F141" s="290"/>
      <c r="G141" s="290"/>
      <c r="H141" s="288"/>
      <c r="I141" s="287"/>
      <c r="J141" s="270"/>
      <c r="K141" s="271"/>
      <c r="L141" s="270"/>
      <c r="M141" s="209"/>
      <c r="N141" s="209"/>
      <c r="O141" s="196"/>
      <c r="P141" s="223"/>
    </row>
    <row r="142" spans="1:16" ht="15.75" customHeight="1">
      <c r="A142" s="224"/>
      <c r="B142" s="282"/>
      <c r="C142" s="287"/>
      <c r="D142" s="288"/>
      <c r="E142" s="289"/>
      <c r="F142" s="290"/>
      <c r="G142" s="290"/>
      <c r="H142" s="288"/>
      <c r="I142" s="287"/>
      <c r="J142" s="270"/>
      <c r="K142" s="271"/>
      <c r="L142" s="270"/>
      <c r="M142" s="209"/>
      <c r="N142" s="209"/>
      <c r="O142" s="196"/>
      <c r="P142" s="223"/>
    </row>
    <row r="143" spans="1:16" ht="15.75" customHeight="1">
      <c r="A143" s="224"/>
      <c r="B143" s="282"/>
      <c r="C143" s="287"/>
      <c r="D143" s="288"/>
      <c r="E143" s="289"/>
      <c r="F143" s="290"/>
      <c r="G143" s="290"/>
      <c r="H143" s="288"/>
      <c r="I143" s="287"/>
      <c r="J143" s="270"/>
      <c r="K143" s="271"/>
      <c r="L143" s="270"/>
      <c r="M143" s="209"/>
      <c r="N143" s="209"/>
      <c r="O143" s="196"/>
      <c r="P143" s="223"/>
    </row>
    <row r="144" spans="1:16" ht="15.75" customHeight="1">
      <c r="A144" s="224"/>
      <c r="B144" s="282"/>
      <c r="C144" s="287"/>
      <c r="D144" s="288"/>
      <c r="E144" s="289"/>
      <c r="F144" s="290"/>
      <c r="G144" s="290"/>
      <c r="H144" s="288"/>
      <c r="I144" s="287"/>
      <c r="J144" s="270"/>
      <c r="K144" s="271"/>
      <c r="L144" s="270"/>
      <c r="M144" s="209"/>
      <c r="N144" s="209"/>
      <c r="O144" s="196"/>
      <c r="P144" s="223"/>
    </row>
    <row r="145" spans="1:16" ht="15.75" customHeight="1">
      <c r="A145" s="224"/>
      <c r="B145" s="282"/>
      <c r="C145" s="287"/>
      <c r="D145" s="288"/>
      <c r="E145" s="289"/>
      <c r="F145" s="290"/>
      <c r="G145" s="290"/>
      <c r="H145" s="288"/>
      <c r="I145" s="287"/>
      <c r="J145" s="270"/>
      <c r="K145" s="271"/>
      <c r="L145" s="270"/>
      <c r="M145" s="209"/>
      <c r="N145" s="209"/>
      <c r="O145" s="196"/>
      <c r="P145" s="223"/>
    </row>
    <row r="146" spans="1:16" ht="15.75" customHeight="1">
      <c r="A146" s="224"/>
      <c r="B146" s="282"/>
      <c r="C146" s="287"/>
      <c r="D146" s="288"/>
      <c r="E146" s="289"/>
      <c r="F146" s="290"/>
      <c r="G146" s="290"/>
      <c r="H146" s="288"/>
      <c r="I146" s="287"/>
      <c r="J146" s="270"/>
      <c r="K146" s="271"/>
      <c r="L146" s="270"/>
      <c r="M146" s="209"/>
      <c r="N146" s="209"/>
      <c r="O146" s="196"/>
      <c r="P146" s="223"/>
    </row>
    <row r="147" spans="1:16" ht="15.75" customHeight="1">
      <c r="A147" s="224"/>
      <c r="B147" s="282"/>
      <c r="C147" s="287"/>
      <c r="D147" s="288"/>
      <c r="E147" s="289"/>
      <c r="F147" s="290"/>
      <c r="G147" s="290"/>
      <c r="H147" s="288"/>
      <c r="I147" s="287"/>
      <c r="J147" s="270"/>
      <c r="K147" s="271"/>
      <c r="L147" s="270"/>
      <c r="M147" s="209"/>
      <c r="N147" s="209"/>
      <c r="O147" s="196"/>
      <c r="P147" s="223"/>
    </row>
    <row r="148" spans="1:16" ht="15.75" customHeight="1">
      <c r="A148" s="224"/>
      <c r="B148" s="282"/>
      <c r="C148" s="287"/>
      <c r="D148" s="288"/>
      <c r="E148" s="289"/>
      <c r="F148" s="290"/>
      <c r="G148" s="290"/>
      <c r="H148" s="288"/>
      <c r="I148" s="287"/>
      <c r="J148" s="270"/>
      <c r="K148" s="271"/>
      <c r="L148" s="270"/>
      <c r="M148" s="209"/>
      <c r="N148" s="209"/>
      <c r="O148" s="196"/>
      <c r="P148" s="223"/>
    </row>
    <row r="149" spans="1:16" ht="15.75" customHeight="1">
      <c r="A149" s="224"/>
      <c r="B149" s="282"/>
      <c r="C149" s="287"/>
      <c r="D149" s="288"/>
      <c r="E149" s="289"/>
      <c r="F149" s="290"/>
      <c r="G149" s="290"/>
      <c r="H149" s="288"/>
      <c r="I149" s="287"/>
      <c r="J149" s="270"/>
      <c r="K149" s="271"/>
      <c r="L149" s="270"/>
      <c r="M149" s="209"/>
      <c r="N149" s="209"/>
      <c r="O149" s="196"/>
      <c r="P149" s="223"/>
    </row>
    <row r="150" spans="1:16" ht="15.75" customHeight="1">
      <c r="A150" s="224"/>
      <c r="B150" s="282"/>
      <c r="C150" s="287"/>
      <c r="D150" s="288"/>
      <c r="E150" s="289"/>
      <c r="F150" s="290"/>
      <c r="G150" s="290"/>
      <c r="H150" s="288"/>
      <c r="I150" s="287"/>
      <c r="J150" s="270"/>
      <c r="K150" s="271"/>
      <c r="L150" s="270"/>
      <c r="M150" s="209"/>
      <c r="N150" s="209"/>
      <c r="O150" s="196"/>
      <c r="P150" s="223"/>
    </row>
    <row r="151" spans="1:16" ht="15.75" customHeight="1">
      <c r="A151" s="224"/>
      <c r="B151" s="282"/>
      <c r="C151" s="287"/>
      <c r="D151" s="288"/>
      <c r="E151" s="289"/>
      <c r="F151" s="290"/>
      <c r="G151" s="290"/>
      <c r="H151" s="288"/>
      <c r="I151" s="287"/>
      <c r="J151" s="270"/>
      <c r="K151" s="271"/>
      <c r="L151" s="270"/>
      <c r="M151" s="209"/>
      <c r="N151" s="209"/>
      <c r="O151" s="196"/>
      <c r="P151" s="223"/>
    </row>
    <row r="152" spans="1:16" ht="15.75" customHeight="1">
      <c r="A152" s="224"/>
      <c r="B152" s="282"/>
      <c r="C152" s="287"/>
      <c r="D152" s="288"/>
      <c r="E152" s="289"/>
      <c r="F152" s="290"/>
      <c r="G152" s="290"/>
      <c r="H152" s="288"/>
      <c r="I152" s="287"/>
      <c r="J152" s="270"/>
      <c r="K152" s="271"/>
      <c r="L152" s="270"/>
      <c r="M152" s="209"/>
      <c r="N152" s="209"/>
      <c r="O152" s="196"/>
      <c r="P152" s="223"/>
    </row>
    <row r="153" spans="1:16" ht="15.75" customHeight="1">
      <c r="A153" s="224"/>
      <c r="B153" s="282"/>
      <c r="C153" s="287"/>
      <c r="D153" s="288"/>
      <c r="E153" s="289"/>
      <c r="F153" s="290"/>
      <c r="G153" s="290"/>
      <c r="H153" s="288"/>
      <c r="I153" s="287"/>
      <c r="J153" s="270"/>
      <c r="K153" s="271"/>
      <c r="L153" s="270"/>
      <c r="M153" s="209"/>
      <c r="N153" s="209"/>
      <c r="O153" s="196"/>
      <c r="P153" s="223"/>
    </row>
    <row r="154" spans="1:16" ht="15.75" customHeight="1">
      <c r="A154" s="224"/>
      <c r="B154" s="282"/>
      <c r="C154" s="287"/>
      <c r="D154" s="288"/>
      <c r="E154" s="289"/>
      <c r="F154" s="290"/>
      <c r="G154" s="290"/>
      <c r="H154" s="288"/>
      <c r="I154" s="287"/>
      <c r="J154" s="270"/>
      <c r="K154" s="271"/>
      <c r="L154" s="270"/>
      <c r="M154" s="209"/>
      <c r="N154" s="209"/>
      <c r="O154" s="196"/>
      <c r="P154" s="223"/>
    </row>
    <row r="155" spans="1:16" ht="15.75" customHeight="1">
      <c r="A155" s="224"/>
      <c r="B155" s="282"/>
      <c r="C155" s="287"/>
      <c r="D155" s="288"/>
      <c r="E155" s="289"/>
      <c r="F155" s="290"/>
      <c r="G155" s="290"/>
      <c r="H155" s="288"/>
      <c r="I155" s="287"/>
      <c r="J155" s="270"/>
      <c r="K155" s="271"/>
      <c r="L155" s="270"/>
      <c r="M155" s="209"/>
      <c r="N155" s="209"/>
      <c r="O155" s="196"/>
      <c r="P155" s="223"/>
    </row>
    <row r="156" spans="1:16" ht="15.75" customHeight="1">
      <c r="A156" s="224"/>
      <c r="B156" s="282"/>
      <c r="C156" s="287"/>
      <c r="D156" s="288"/>
      <c r="E156" s="289"/>
      <c r="F156" s="290"/>
      <c r="G156" s="290"/>
      <c r="H156" s="288"/>
      <c r="I156" s="287"/>
      <c r="J156" s="270"/>
      <c r="K156" s="271"/>
      <c r="L156" s="270"/>
      <c r="M156" s="209"/>
      <c r="N156" s="209"/>
      <c r="O156" s="196"/>
      <c r="P156" s="223"/>
    </row>
    <row r="157" spans="1:16" ht="15.75" customHeight="1">
      <c r="A157" s="224"/>
      <c r="B157" s="282"/>
      <c r="C157" s="287"/>
      <c r="D157" s="288"/>
      <c r="E157" s="289"/>
      <c r="F157" s="290"/>
      <c r="G157" s="290"/>
      <c r="H157" s="288"/>
      <c r="I157" s="287"/>
      <c r="J157" s="270"/>
      <c r="K157" s="271"/>
      <c r="L157" s="270"/>
      <c r="M157" s="209"/>
      <c r="N157" s="209"/>
      <c r="O157" s="196"/>
      <c r="P157" s="223"/>
    </row>
    <row r="158" spans="1:16" ht="15.75" customHeight="1">
      <c r="A158" s="224"/>
      <c r="B158" s="282"/>
      <c r="C158" s="287"/>
      <c r="D158" s="288"/>
      <c r="E158" s="289"/>
      <c r="F158" s="290"/>
      <c r="G158" s="290"/>
      <c r="H158" s="288"/>
      <c r="I158" s="287"/>
      <c r="J158" s="270"/>
      <c r="K158" s="271"/>
      <c r="L158" s="270"/>
      <c r="M158" s="209"/>
      <c r="N158" s="209"/>
      <c r="O158" s="196"/>
      <c r="P158" s="223"/>
    </row>
    <row r="159" spans="1:16" ht="15.75" customHeight="1">
      <c r="A159" s="224"/>
      <c r="B159" s="282"/>
      <c r="C159" s="287"/>
      <c r="D159" s="288"/>
      <c r="E159" s="289"/>
      <c r="F159" s="290"/>
      <c r="G159" s="290"/>
      <c r="H159" s="288"/>
      <c r="I159" s="287"/>
      <c r="J159" s="270"/>
      <c r="K159" s="271"/>
      <c r="L159" s="270"/>
      <c r="M159" s="209"/>
      <c r="N159" s="209"/>
      <c r="O159" s="196"/>
      <c r="P159" s="223"/>
    </row>
    <row r="160" spans="1:16" ht="15.75" customHeight="1">
      <c r="A160" s="224"/>
      <c r="B160" s="282"/>
      <c r="C160" s="287"/>
      <c r="D160" s="288"/>
      <c r="E160" s="289"/>
      <c r="F160" s="290"/>
      <c r="G160" s="290"/>
      <c r="H160" s="288"/>
      <c r="I160" s="287"/>
      <c r="J160" s="270"/>
      <c r="K160" s="271"/>
      <c r="L160" s="270"/>
      <c r="M160" s="209"/>
      <c r="N160" s="209"/>
      <c r="O160" s="196"/>
      <c r="P160" s="223"/>
    </row>
    <row r="161" spans="1:16" ht="15.75" customHeight="1">
      <c r="A161" s="224"/>
      <c r="B161" s="282"/>
      <c r="C161" s="287"/>
      <c r="D161" s="288"/>
      <c r="E161" s="289"/>
      <c r="F161" s="290"/>
      <c r="G161" s="290"/>
      <c r="H161" s="288"/>
      <c r="I161" s="287"/>
      <c r="J161" s="270"/>
      <c r="K161" s="271"/>
      <c r="L161" s="270"/>
      <c r="M161" s="209"/>
      <c r="N161" s="209"/>
      <c r="O161" s="196"/>
      <c r="P161" s="223"/>
    </row>
    <row r="162" spans="1:16" ht="15.75" customHeight="1">
      <c r="A162" s="224"/>
      <c r="B162" s="282"/>
      <c r="C162" s="287"/>
      <c r="D162" s="288"/>
      <c r="E162" s="289"/>
      <c r="F162" s="290"/>
      <c r="G162" s="290"/>
      <c r="H162" s="288"/>
      <c r="I162" s="287"/>
      <c r="J162" s="270"/>
      <c r="K162" s="271"/>
      <c r="L162" s="270"/>
      <c r="M162" s="209"/>
      <c r="N162" s="209"/>
      <c r="O162" s="196"/>
      <c r="P162" s="223"/>
    </row>
    <row r="163" spans="1:16" ht="15.75" customHeight="1">
      <c r="A163" s="224"/>
      <c r="B163" s="282"/>
      <c r="C163" s="287"/>
      <c r="D163" s="288"/>
      <c r="E163" s="289"/>
      <c r="F163" s="290"/>
      <c r="G163" s="290"/>
      <c r="H163" s="288"/>
      <c r="I163" s="287"/>
      <c r="J163" s="270"/>
      <c r="K163" s="271"/>
      <c r="L163" s="270"/>
      <c r="M163" s="209"/>
      <c r="N163" s="209"/>
      <c r="O163" s="196"/>
      <c r="P163" s="223"/>
    </row>
    <row r="164" spans="1:16" ht="15.75" customHeight="1">
      <c r="A164" s="224"/>
      <c r="B164" s="282"/>
      <c r="C164" s="287"/>
      <c r="D164" s="288"/>
      <c r="E164" s="289"/>
      <c r="F164" s="290"/>
      <c r="G164" s="290"/>
      <c r="H164" s="288"/>
      <c r="I164" s="287"/>
      <c r="J164" s="270"/>
      <c r="K164" s="271"/>
      <c r="L164" s="270"/>
      <c r="M164" s="209"/>
      <c r="N164" s="209"/>
      <c r="O164" s="196"/>
      <c r="P164" s="223"/>
    </row>
    <row r="165" spans="1:16" ht="15.75" customHeight="1">
      <c r="A165" s="224"/>
      <c r="B165" s="282"/>
      <c r="C165" s="287"/>
      <c r="D165" s="288"/>
      <c r="E165" s="289"/>
      <c r="F165" s="290"/>
      <c r="G165" s="290"/>
      <c r="H165" s="288"/>
      <c r="I165" s="287"/>
      <c r="J165" s="270"/>
      <c r="K165" s="271"/>
      <c r="L165" s="270"/>
      <c r="M165" s="209"/>
      <c r="N165" s="209"/>
      <c r="O165" s="196"/>
      <c r="P165" s="223"/>
    </row>
    <row r="166" spans="1:16" ht="15.75" customHeight="1">
      <c r="A166" s="224"/>
      <c r="B166" s="282"/>
      <c r="C166" s="287"/>
      <c r="D166" s="288"/>
      <c r="E166" s="289"/>
      <c r="F166" s="290"/>
      <c r="G166" s="290"/>
      <c r="H166" s="288"/>
      <c r="I166" s="287"/>
      <c r="J166" s="270"/>
      <c r="K166" s="271"/>
      <c r="L166" s="270"/>
      <c r="M166" s="209"/>
      <c r="N166" s="209"/>
      <c r="O166" s="196"/>
      <c r="P166" s="223"/>
    </row>
    <row r="167" spans="1:16" ht="15.75" customHeight="1">
      <c r="A167" s="224"/>
      <c r="B167" s="282"/>
      <c r="C167" s="287"/>
      <c r="D167" s="288"/>
      <c r="E167" s="289"/>
      <c r="F167" s="290"/>
      <c r="G167" s="290"/>
      <c r="H167" s="288"/>
      <c r="I167" s="287"/>
      <c r="J167" s="270"/>
      <c r="K167" s="271"/>
      <c r="L167" s="270"/>
      <c r="M167" s="209"/>
      <c r="N167" s="209"/>
      <c r="O167" s="196"/>
      <c r="P167" s="223"/>
    </row>
    <row r="168" spans="1:16" ht="15.75" customHeight="1">
      <c r="A168" s="224"/>
      <c r="B168" s="282"/>
      <c r="C168" s="287"/>
      <c r="D168" s="288"/>
      <c r="E168" s="289"/>
      <c r="F168" s="290"/>
      <c r="G168" s="290"/>
      <c r="H168" s="288"/>
      <c r="I168" s="287"/>
      <c r="J168" s="270"/>
      <c r="K168" s="271"/>
      <c r="L168" s="270"/>
      <c r="M168" s="209"/>
      <c r="N168" s="209"/>
      <c r="O168" s="196"/>
      <c r="P168" s="223"/>
    </row>
    <row r="169" spans="1:16" ht="15.75" customHeight="1">
      <c r="A169" s="224"/>
      <c r="B169" s="282"/>
      <c r="C169" s="287"/>
      <c r="D169" s="288"/>
      <c r="E169" s="289"/>
      <c r="F169" s="290"/>
      <c r="G169" s="290"/>
      <c r="H169" s="288"/>
      <c r="I169" s="287"/>
      <c r="J169" s="270"/>
      <c r="K169" s="271"/>
      <c r="L169" s="270"/>
      <c r="M169" s="209"/>
      <c r="N169" s="209"/>
      <c r="O169" s="196"/>
      <c r="P169" s="223"/>
    </row>
    <row r="170" spans="1:16" ht="15.75" customHeight="1">
      <c r="A170" s="224"/>
      <c r="B170" s="282"/>
      <c r="C170" s="287"/>
      <c r="D170" s="288"/>
      <c r="E170" s="289"/>
      <c r="F170" s="290"/>
      <c r="G170" s="290"/>
      <c r="H170" s="288"/>
      <c r="I170" s="287"/>
      <c r="J170" s="270"/>
      <c r="K170" s="271"/>
      <c r="L170" s="270"/>
      <c r="M170" s="209"/>
      <c r="N170" s="209"/>
      <c r="O170" s="196"/>
      <c r="P170" s="223"/>
    </row>
    <row r="171" spans="1:16" ht="15.75" customHeight="1">
      <c r="A171" s="224"/>
      <c r="B171" s="282"/>
      <c r="C171" s="287"/>
      <c r="D171" s="288"/>
      <c r="E171" s="289"/>
      <c r="F171" s="290"/>
      <c r="G171" s="290"/>
      <c r="H171" s="288"/>
      <c r="I171" s="287"/>
      <c r="J171" s="270"/>
      <c r="K171" s="271"/>
      <c r="L171" s="270"/>
      <c r="M171" s="209"/>
      <c r="N171" s="209"/>
      <c r="O171" s="196"/>
      <c r="P171" s="223"/>
    </row>
    <row r="172" spans="1:16" ht="15.75" customHeight="1">
      <c r="A172" s="224"/>
      <c r="B172" s="282"/>
      <c r="C172" s="287"/>
      <c r="D172" s="288"/>
      <c r="E172" s="289"/>
      <c r="F172" s="290"/>
      <c r="G172" s="290"/>
      <c r="H172" s="288"/>
      <c r="I172" s="287"/>
      <c r="J172" s="270"/>
      <c r="K172" s="271"/>
      <c r="L172" s="270"/>
      <c r="M172" s="209"/>
      <c r="N172" s="209"/>
      <c r="O172" s="196"/>
      <c r="P172" s="223"/>
    </row>
    <row r="173" spans="1:16" ht="15.75" customHeight="1">
      <c r="A173" s="224"/>
      <c r="B173" s="282"/>
      <c r="C173" s="287"/>
      <c r="D173" s="288"/>
      <c r="E173" s="289"/>
      <c r="F173" s="290"/>
      <c r="G173" s="290"/>
      <c r="H173" s="288"/>
      <c r="I173" s="287"/>
      <c r="J173" s="270"/>
      <c r="K173" s="271"/>
      <c r="L173" s="270"/>
      <c r="M173" s="209"/>
      <c r="N173" s="209"/>
      <c r="O173" s="196"/>
      <c r="P173" s="223"/>
    </row>
    <row r="174" spans="1:16" ht="15.75" customHeight="1">
      <c r="A174" s="224"/>
      <c r="B174" s="282"/>
      <c r="C174" s="287"/>
      <c r="D174" s="288"/>
      <c r="E174" s="289"/>
      <c r="F174" s="290"/>
      <c r="G174" s="290"/>
      <c r="H174" s="288"/>
      <c r="I174" s="287"/>
      <c r="J174" s="270"/>
      <c r="K174" s="271"/>
      <c r="L174" s="270"/>
      <c r="M174" s="209"/>
      <c r="N174" s="209"/>
      <c r="O174" s="196"/>
      <c r="P174" s="223"/>
    </row>
    <row r="175" spans="1:16" ht="15.75" customHeight="1">
      <c r="A175" s="224"/>
      <c r="B175" s="282"/>
      <c r="C175" s="287"/>
      <c r="D175" s="288"/>
      <c r="E175" s="289"/>
      <c r="F175" s="290"/>
      <c r="G175" s="290"/>
      <c r="H175" s="288"/>
      <c r="I175" s="287"/>
      <c r="J175" s="270"/>
      <c r="K175" s="271"/>
      <c r="L175" s="270"/>
      <c r="M175" s="209"/>
      <c r="N175" s="209"/>
      <c r="O175" s="196"/>
      <c r="P175" s="223"/>
    </row>
    <row r="176" spans="1:16" ht="15.75" customHeight="1">
      <c r="A176" s="224"/>
      <c r="B176" s="282"/>
      <c r="C176" s="287"/>
      <c r="D176" s="288"/>
      <c r="E176" s="289"/>
      <c r="F176" s="290"/>
      <c r="G176" s="290"/>
      <c r="H176" s="288"/>
      <c r="I176" s="287"/>
      <c r="J176" s="270"/>
      <c r="K176" s="271"/>
      <c r="L176" s="270"/>
      <c r="M176" s="209"/>
      <c r="N176" s="209"/>
      <c r="O176" s="196"/>
      <c r="P176" s="223"/>
    </row>
    <row r="177" spans="1:16" ht="15.75" customHeight="1">
      <c r="A177" s="224"/>
      <c r="B177" s="282"/>
      <c r="C177" s="287"/>
      <c r="D177" s="288"/>
      <c r="E177" s="289"/>
      <c r="F177" s="290"/>
      <c r="G177" s="290"/>
      <c r="H177" s="288"/>
      <c r="I177" s="287"/>
      <c r="J177" s="270"/>
      <c r="K177" s="271"/>
      <c r="L177" s="270"/>
      <c r="M177" s="209"/>
      <c r="N177" s="209"/>
      <c r="O177" s="196"/>
      <c r="P177" s="223"/>
    </row>
    <row r="178" spans="1:16" ht="15.75" customHeight="1">
      <c r="A178" s="224"/>
      <c r="B178" s="282"/>
      <c r="C178" s="287"/>
      <c r="D178" s="288"/>
      <c r="E178" s="289"/>
      <c r="F178" s="290"/>
      <c r="G178" s="290"/>
      <c r="H178" s="288"/>
      <c r="I178" s="287"/>
      <c r="J178" s="270"/>
      <c r="K178" s="271"/>
      <c r="L178" s="270"/>
      <c r="M178" s="209"/>
      <c r="N178" s="209"/>
      <c r="O178" s="196"/>
      <c r="P178" s="223"/>
    </row>
    <row r="179" spans="1:16" ht="15.75" customHeight="1">
      <c r="A179" s="224"/>
      <c r="B179" s="282"/>
      <c r="C179" s="287"/>
      <c r="D179" s="288"/>
      <c r="E179" s="289"/>
      <c r="F179" s="290"/>
      <c r="G179" s="290"/>
      <c r="H179" s="288"/>
      <c r="I179" s="287"/>
      <c r="J179" s="270"/>
      <c r="K179" s="271"/>
      <c r="L179" s="270"/>
      <c r="M179" s="209"/>
      <c r="N179" s="209"/>
      <c r="O179" s="196"/>
      <c r="P179" s="223"/>
    </row>
    <row r="180" spans="1:16" ht="15.75" customHeight="1">
      <c r="A180" s="224"/>
      <c r="B180" s="282"/>
      <c r="C180" s="287"/>
      <c r="D180" s="288"/>
      <c r="E180" s="289"/>
      <c r="F180" s="290"/>
      <c r="G180" s="290"/>
      <c r="H180" s="288"/>
      <c r="I180" s="287"/>
      <c r="J180" s="270"/>
      <c r="K180" s="271"/>
      <c r="L180" s="270"/>
      <c r="M180" s="209"/>
      <c r="N180" s="209"/>
      <c r="O180" s="196"/>
      <c r="P180" s="223"/>
    </row>
    <row r="181" spans="1:16" ht="15.75" customHeight="1">
      <c r="A181" s="224"/>
      <c r="B181" s="282"/>
      <c r="C181" s="287"/>
      <c r="D181" s="288"/>
      <c r="E181" s="289"/>
      <c r="F181" s="290"/>
      <c r="G181" s="290"/>
      <c r="H181" s="288"/>
      <c r="I181" s="287"/>
      <c r="J181" s="270"/>
      <c r="K181" s="271"/>
      <c r="L181" s="270"/>
      <c r="M181" s="209"/>
      <c r="N181" s="209"/>
      <c r="O181" s="196"/>
      <c r="P181" s="223"/>
    </row>
    <row r="182" spans="1:16" ht="15.75" customHeight="1">
      <c r="A182" s="224"/>
      <c r="B182" s="282"/>
      <c r="C182" s="287"/>
      <c r="D182" s="288"/>
      <c r="E182" s="289"/>
      <c r="F182" s="290"/>
      <c r="G182" s="290"/>
      <c r="H182" s="288"/>
      <c r="I182" s="287"/>
      <c r="J182" s="270"/>
      <c r="K182" s="271"/>
      <c r="L182" s="270"/>
      <c r="M182" s="209"/>
      <c r="N182" s="209"/>
      <c r="O182" s="196"/>
      <c r="P182" s="223"/>
    </row>
    <row r="183" spans="1:16" ht="15.75" customHeight="1">
      <c r="A183" s="224"/>
      <c r="B183" s="282"/>
      <c r="C183" s="287"/>
      <c r="D183" s="288"/>
      <c r="E183" s="289"/>
      <c r="F183" s="290"/>
      <c r="G183" s="290"/>
      <c r="H183" s="288"/>
      <c r="I183" s="287"/>
      <c r="J183" s="270"/>
      <c r="K183" s="271"/>
      <c r="L183" s="270"/>
      <c r="M183" s="209"/>
      <c r="N183" s="209"/>
      <c r="O183" s="196"/>
      <c r="P183" s="223"/>
    </row>
    <row r="184" spans="1:16" ht="15.75" customHeight="1">
      <c r="A184" s="224"/>
      <c r="B184" s="282"/>
      <c r="C184" s="287"/>
      <c r="D184" s="288"/>
      <c r="E184" s="289"/>
      <c r="F184" s="290"/>
      <c r="G184" s="290"/>
      <c r="H184" s="288"/>
      <c r="I184" s="287"/>
      <c r="J184" s="270"/>
      <c r="K184" s="271"/>
      <c r="L184" s="270"/>
      <c r="M184" s="209"/>
      <c r="N184" s="209"/>
      <c r="O184" s="196"/>
      <c r="P184" s="223"/>
    </row>
    <row r="185" spans="1:16" ht="15.75" customHeight="1">
      <c r="A185" s="224"/>
      <c r="B185" s="282"/>
      <c r="C185" s="287"/>
      <c r="D185" s="288"/>
      <c r="E185" s="289"/>
      <c r="F185" s="290"/>
      <c r="G185" s="290"/>
      <c r="H185" s="288"/>
      <c r="I185" s="287"/>
      <c r="J185" s="270"/>
      <c r="K185" s="271"/>
      <c r="L185" s="270"/>
      <c r="M185" s="209"/>
      <c r="N185" s="209"/>
      <c r="O185" s="196"/>
      <c r="P185" s="223"/>
    </row>
    <row r="186" spans="1:16" ht="15.75" customHeight="1">
      <c r="A186" s="224"/>
      <c r="B186" s="282"/>
      <c r="C186" s="287"/>
      <c r="D186" s="288"/>
      <c r="E186" s="289"/>
      <c r="F186" s="290"/>
      <c r="G186" s="290"/>
      <c r="H186" s="288"/>
      <c r="I186" s="287"/>
      <c r="J186" s="270"/>
      <c r="K186" s="271"/>
      <c r="L186" s="270"/>
      <c r="M186" s="209"/>
      <c r="N186" s="209"/>
      <c r="O186" s="196"/>
      <c r="P186" s="223"/>
    </row>
    <row r="187" spans="1:16" ht="15.75" customHeight="1">
      <c r="A187" s="224"/>
      <c r="B187" s="282"/>
      <c r="C187" s="287"/>
      <c r="D187" s="288"/>
      <c r="E187" s="289"/>
      <c r="F187" s="290"/>
      <c r="G187" s="290"/>
      <c r="H187" s="288"/>
      <c r="I187" s="287"/>
      <c r="J187" s="270"/>
      <c r="K187" s="271"/>
      <c r="L187" s="270"/>
      <c r="M187" s="209"/>
      <c r="N187" s="209"/>
      <c r="O187" s="196"/>
      <c r="P187" s="223"/>
    </row>
    <row r="188" spans="1:16" ht="15.75" customHeight="1">
      <c r="A188" s="224"/>
      <c r="B188" s="282"/>
      <c r="C188" s="287"/>
      <c r="D188" s="288"/>
      <c r="E188" s="289"/>
      <c r="F188" s="290"/>
      <c r="G188" s="290"/>
      <c r="H188" s="288"/>
      <c r="I188" s="287"/>
      <c r="J188" s="270"/>
      <c r="K188" s="271"/>
      <c r="L188" s="270"/>
      <c r="M188" s="209"/>
      <c r="N188" s="209"/>
      <c r="O188" s="196"/>
      <c r="P188" s="223"/>
    </row>
    <row r="189" spans="1:16" ht="15.75" customHeight="1">
      <c r="A189" s="224"/>
      <c r="B189" s="282"/>
      <c r="C189" s="287"/>
      <c r="D189" s="288"/>
      <c r="E189" s="289"/>
      <c r="F189" s="290"/>
      <c r="G189" s="290"/>
      <c r="H189" s="288"/>
      <c r="I189" s="287"/>
      <c r="J189" s="270"/>
      <c r="K189" s="271"/>
      <c r="L189" s="270"/>
      <c r="M189" s="209"/>
      <c r="N189" s="209"/>
      <c r="O189" s="196"/>
      <c r="P189" s="223"/>
    </row>
    <row r="190" spans="1:16" ht="15.75" customHeight="1">
      <c r="A190" s="224"/>
      <c r="B190" s="282"/>
      <c r="C190" s="287"/>
      <c r="D190" s="288"/>
      <c r="E190" s="289"/>
      <c r="F190" s="290"/>
      <c r="G190" s="290"/>
      <c r="H190" s="288"/>
      <c r="I190" s="287"/>
      <c r="J190" s="270"/>
      <c r="K190" s="271"/>
      <c r="L190" s="270"/>
      <c r="M190" s="209"/>
      <c r="N190" s="209"/>
      <c r="O190" s="196"/>
      <c r="P190" s="223"/>
    </row>
    <row r="191" spans="1:16" ht="15.75" customHeight="1">
      <c r="A191" s="224"/>
      <c r="B191" s="282"/>
      <c r="C191" s="287"/>
      <c r="D191" s="288"/>
      <c r="E191" s="289"/>
      <c r="F191" s="290"/>
      <c r="G191" s="290"/>
      <c r="H191" s="288"/>
      <c r="I191" s="287"/>
      <c r="J191" s="270"/>
      <c r="K191" s="271"/>
      <c r="L191" s="270"/>
      <c r="M191" s="209"/>
      <c r="N191" s="209"/>
      <c r="O191" s="196"/>
      <c r="P191" s="223"/>
    </row>
    <row r="192" spans="1:16" ht="15.75" customHeight="1">
      <c r="A192" s="224"/>
      <c r="B192" s="282"/>
      <c r="C192" s="287"/>
      <c r="D192" s="288"/>
      <c r="E192" s="289"/>
      <c r="F192" s="290"/>
      <c r="G192" s="290"/>
      <c r="H192" s="288"/>
      <c r="I192" s="287"/>
      <c r="J192" s="270"/>
      <c r="K192" s="271"/>
      <c r="L192" s="270"/>
      <c r="M192" s="209"/>
      <c r="N192" s="209"/>
      <c r="O192" s="196"/>
      <c r="P192" s="223"/>
    </row>
    <row r="193" spans="1:16" ht="15.75" customHeight="1">
      <c r="A193" s="224"/>
      <c r="B193" s="282"/>
      <c r="C193" s="287"/>
      <c r="D193" s="288"/>
      <c r="E193" s="289"/>
      <c r="F193" s="290"/>
      <c r="G193" s="290"/>
      <c r="H193" s="288"/>
      <c r="I193" s="287"/>
      <c r="J193" s="270"/>
      <c r="K193" s="271"/>
      <c r="L193" s="270"/>
      <c r="M193" s="209"/>
      <c r="N193" s="209"/>
      <c r="O193" s="196"/>
      <c r="P193" s="223"/>
    </row>
    <row r="194" spans="1:16" ht="15.75" customHeight="1">
      <c r="A194" s="224"/>
      <c r="B194" s="282"/>
      <c r="C194" s="287"/>
      <c r="D194" s="288"/>
      <c r="E194" s="289"/>
      <c r="F194" s="290"/>
      <c r="G194" s="290"/>
      <c r="H194" s="288"/>
      <c r="I194" s="287"/>
      <c r="J194" s="270"/>
      <c r="K194" s="271"/>
      <c r="L194" s="270"/>
      <c r="M194" s="209"/>
      <c r="N194" s="209"/>
      <c r="O194" s="196"/>
      <c r="P194" s="223"/>
    </row>
    <row r="195" spans="1:16" ht="15.75" customHeight="1">
      <c r="A195" s="224"/>
      <c r="B195" s="282"/>
      <c r="C195" s="287"/>
      <c r="D195" s="288"/>
      <c r="E195" s="289"/>
      <c r="F195" s="290"/>
      <c r="G195" s="290"/>
      <c r="H195" s="288"/>
      <c r="I195" s="287"/>
      <c r="J195" s="270"/>
      <c r="K195" s="271"/>
      <c r="L195" s="270"/>
      <c r="M195" s="209"/>
      <c r="N195" s="209"/>
      <c r="O195" s="196"/>
      <c r="P195" s="223"/>
    </row>
    <row r="196" spans="1:16" ht="15.75" customHeight="1">
      <c r="A196" s="224"/>
      <c r="B196" s="282"/>
      <c r="C196" s="287"/>
      <c r="D196" s="288"/>
      <c r="E196" s="289"/>
      <c r="F196" s="290"/>
      <c r="G196" s="290"/>
      <c r="H196" s="288"/>
      <c r="I196" s="287"/>
      <c r="J196" s="270"/>
      <c r="K196" s="271"/>
      <c r="L196" s="270"/>
      <c r="M196" s="209"/>
      <c r="N196" s="209"/>
      <c r="O196" s="196"/>
      <c r="P196" s="223"/>
    </row>
    <row r="197" spans="1:16" ht="15.75" customHeight="1">
      <c r="A197" s="224"/>
      <c r="B197" s="282"/>
      <c r="C197" s="287"/>
      <c r="D197" s="288"/>
      <c r="E197" s="289"/>
      <c r="F197" s="290"/>
      <c r="G197" s="290"/>
      <c r="H197" s="288"/>
      <c r="I197" s="287"/>
      <c r="J197" s="270"/>
      <c r="K197" s="271"/>
      <c r="L197" s="270"/>
      <c r="M197" s="209"/>
      <c r="N197" s="209"/>
      <c r="O197" s="196"/>
      <c r="P197" s="223"/>
    </row>
    <row r="198" spans="1:16" ht="15.75" customHeight="1">
      <c r="A198" s="224"/>
      <c r="B198" s="282"/>
      <c r="C198" s="287"/>
      <c r="D198" s="288"/>
      <c r="E198" s="289"/>
      <c r="F198" s="290"/>
      <c r="G198" s="290"/>
      <c r="H198" s="288"/>
      <c r="I198" s="287"/>
      <c r="J198" s="270"/>
      <c r="K198" s="271"/>
      <c r="L198" s="270"/>
      <c r="M198" s="209"/>
      <c r="N198" s="209"/>
      <c r="O198" s="196"/>
      <c r="P198" s="223"/>
    </row>
    <row r="199" spans="1:16" ht="15.75" customHeight="1">
      <c r="A199" s="224"/>
      <c r="B199" s="282"/>
      <c r="C199" s="287"/>
      <c r="D199" s="288"/>
      <c r="E199" s="289"/>
      <c r="F199" s="290"/>
      <c r="G199" s="290"/>
      <c r="H199" s="288"/>
      <c r="I199" s="287"/>
      <c r="J199" s="270"/>
      <c r="K199" s="271"/>
      <c r="L199" s="270"/>
      <c r="M199" s="209"/>
      <c r="N199" s="209"/>
      <c r="O199" s="196"/>
      <c r="P199" s="223"/>
    </row>
    <row r="200" spans="1:16" ht="15.75" customHeight="1">
      <c r="A200" s="224"/>
      <c r="B200" s="282"/>
      <c r="C200" s="287"/>
      <c r="D200" s="288"/>
      <c r="E200" s="289"/>
      <c r="F200" s="290"/>
      <c r="G200" s="290"/>
      <c r="H200" s="288"/>
      <c r="I200" s="287"/>
      <c r="J200" s="270"/>
      <c r="K200" s="271"/>
      <c r="L200" s="270"/>
      <c r="M200" s="209"/>
      <c r="N200" s="209"/>
      <c r="O200" s="196"/>
      <c r="P200" s="223"/>
    </row>
    <row r="201" spans="1:16" ht="15.75" customHeight="1">
      <c r="A201" s="224"/>
      <c r="B201" s="282"/>
      <c r="C201" s="287"/>
      <c r="D201" s="288"/>
      <c r="E201" s="289"/>
      <c r="F201" s="290"/>
      <c r="G201" s="290"/>
      <c r="H201" s="288"/>
      <c r="I201" s="287"/>
      <c r="J201" s="270"/>
      <c r="K201" s="271"/>
      <c r="L201" s="270"/>
      <c r="M201" s="209"/>
      <c r="N201" s="209"/>
      <c r="O201" s="196"/>
      <c r="P201" s="223"/>
    </row>
    <row r="202" spans="1:16" ht="15.75" customHeight="1">
      <c r="A202" s="224"/>
      <c r="B202" s="282"/>
      <c r="C202" s="287"/>
      <c r="D202" s="288"/>
      <c r="E202" s="289"/>
      <c r="F202" s="290"/>
      <c r="G202" s="290"/>
      <c r="H202" s="288"/>
      <c r="I202" s="287"/>
      <c r="J202" s="270"/>
      <c r="K202" s="271"/>
      <c r="L202" s="270"/>
      <c r="M202" s="209"/>
      <c r="N202" s="209"/>
      <c r="O202" s="196"/>
      <c r="P202" s="223"/>
    </row>
    <row r="203" spans="1:16" ht="15.75" customHeight="1">
      <c r="A203" s="224"/>
      <c r="B203" s="282"/>
      <c r="C203" s="287"/>
      <c r="D203" s="288"/>
      <c r="E203" s="289"/>
      <c r="F203" s="290"/>
      <c r="G203" s="290"/>
      <c r="H203" s="288"/>
      <c r="I203" s="287"/>
      <c r="J203" s="270"/>
      <c r="K203" s="271"/>
      <c r="L203" s="270"/>
      <c r="M203" s="209"/>
      <c r="N203" s="209"/>
      <c r="O203" s="196"/>
      <c r="P203" s="223"/>
    </row>
    <row r="204" spans="1:16" ht="15.75" customHeight="1">
      <c r="A204" s="224"/>
      <c r="B204" s="282"/>
      <c r="C204" s="287"/>
      <c r="D204" s="288"/>
      <c r="E204" s="289"/>
      <c r="F204" s="290"/>
      <c r="G204" s="290"/>
      <c r="H204" s="288"/>
      <c r="I204" s="287"/>
      <c r="J204" s="270"/>
      <c r="K204" s="271"/>
      <c r="L204" s="270"/>
      <c r="M204" s="209"/>
      <c r="N204" s="209"/>
      <c r="O204" s="196"/>
      <c r="P204" s="223"/>
    </row>
    <row r="205" spans="1:16" ht="15.75" customHeight="1">
      <c r="A205" s="224"/>
      <c r="B205" s="282"/>
      <c r="C205" s="287"/>
      <c r="D205" s="288"/>
      <c r="E205" s="289"/>
      <c r="F205" s="290"/>
      <c r="G205" s="290"/>
      <c r="H205" s="288"/>
      <c r="I205" s="287"/>
      <c r="J205" s="270"/>
      <c r="K205" s="271"/>
      <c r="L205" s="270"/>
      <c r="M205" s="209"/>
      <c r="N205" s="209"/>
      <c r="O205" s="196"/>
      <c r="P205" s="223"/>
    </row>
    <row r="206" spans="1:16" ht="15.75" customHeight="1">
      <c r="A206" s="224"/>
      <c r="B206" s="282"/>
      <c r="C206" s="287"/>
      <c r="D206" s="288"/>
      <c r="E206" s="289"/>
      <c r="F206" s="290"/>
      <c r="G206" s="290"/>
      <c r="H206" s="288"/>
      <c r="I206" s="287"/>
      <c r="J206" s="270"/>
      <c r="K206" s="271"/>
      <c r="L206" s="270"/>
      <c r="M206" s="209"/>
      <c r="N206" s="209"/>
      <c r="O206" s="196"/>
      <c r="P206" s="223"/>
    </row>
    <row r="207" spans="1:16" ht="15.75" customHeight="1">
      <c r="A207" s="224"/>
      <c r="B207" s="282"/>
      <c r="C207" s="287"/>
      <c r="D207" s="288"/>
      <c r="E207" s="289"/>
      <c r="F207" s="290"/>
      <c r="G207" s="290"/>
      <c r="H207" s="288"/>
      <c r="I207" s="287"/>
      <c r="J207" s="270"/>
      <c r="K207" s="271"/>
      <c r="L207" s="270"/>
      <c r="M207" s="209"/>
      <c r="N207" s="209"/>
      <c r="O207" s="196"/>
      <c r="P207" s="223"/>
    </row>
    <row r="208" spans="1:16" ht="15.75" customHeight="1">
      <c r="A208" s="224"/>
      <c r="B208" s="282"/>
      <c r="C208" s="287"/>
      <c r="D208" s="288"/>
      <c r="E208" s="289"/>
      <c r="F208" s="290"/>
      <c r="G208" s="290"/>
      <c r="H208" s="288"/>
      <c r="I208" s="287"/>
      <c r="J208" s="270"/>
      <c r="K208" s="271"/>
      <c r="L208" s="270"/>
      <c r="M208" s="209"/>
      <c r="N208" s="209"/>
      <c r="O208" s="196"/>
      <c r="P208" s="223"/>
    </row>
    <row r="209" spans="1:16" ht="15.75" customHeight="1">
      <c r="A209" s="224"/>
      <c r="B209" s="282"/>
      <c r="C209" s="287"/>
      <c r="D209" s="288"/>
      <c r="E209" s="289"/>
      <c r="F209" s="290"/>
      <c r="G209" s="290"/>
      <c r="H209" s="288"/>
      <c r="I209" s="287"/>
      <c r="J209" s="270"/>
      <c r="K209" s="271"/>
      <c r="L209" s="270"/>
      <c r="M209" s="209"/>
      <c r="N209" s="209"/>
      <c r="O209" s="196"/>
      <c r="P209" s="223"/>
    </row>
    <row r="210" spans="1:16" ht="15.75" customHeight="1">
      <c r="A210" s="224"/>
      <c r="B210" s="282"/>
      <c r="C210" s="287"/>
      <c r="D210" s="288"/>
      <c r="E210" s="289"/>
      <c r="F210" s="290"/>
      <c r="G210" s="290"/>
      <c r="H210" s="288"/>
      <c r="I210" s="287"/>
      <c r="J210" s="270"/>
      <c r="K210" s="271"/>
      <c r="L210" s="270"/>
      <c r="M210" s="209"/>
      <c r="N210" s="209"/>
      <c r="O210" s="196"/>
      <c r="P210" s="223"/>
    </row>
    <row r="211" spans="1:16" ht="15.75" customHeight="1">
      <c r="A211" s="224"/>
      <c r="B211" s="282"/>
      <c r="C211" s="287"/>
      <c r="D211" s="288"/>
      <c r="E211" s="289"/>
      <c r="F211" s="290"/>
      <c r="G211" s="290"/>
      <c r="H211" s="288"/>
      <c r="I211" s="287"/>
      <c r="J211" s="270"/>
      <c r="K211" s="271"/>
      <c r="L211" s="270"/>
      <c r="M211" s="209"/>
      <c r="N211" s="209"/>
      <c r="O211" s="196"/>
      <c r="P211" s="223"/>
    </row>
    <row r="212" spans="1:16" ht="15.75" customHeight="1">
      <c r="A212" s="224"/>
      <c r="B212" s="282"/>
      <c r="C212" s="287"/>
      <c r="D212" s="288"/>
      <c r="E212" s="289"/>
      <c r="F212" s="290"/>
      <c r="G212" s="290"/>
      <c r="H212" s="288"/>
      <c r="I212" s="287"/>
      <c r="J212" s="270"/>
      <c r="K212" s="271"/>
      <c r="L212" s="270"/>
      <c r="M212" s="209"/>
      <c r="N212" s="209"/>
      <c r="O212" s="196"/>
      <c r="P212" s="223"/>
    </row>
    <row r="213" spans="1:16" ht="15.75" customHeight="1">
      <c r="A213" s="224"/>
      <c r="B213" s="282"/>
      <c r="C213" s="287"/>
      <c r="D213" s="288"/>
      <c r="E213" s="289"/>
      <c r="F213" s="290"/>
      <c r="G213" s="290"/>
      <c r="H213" s="288"/>
      <c r="I213" s="287"/>
      <c r="J213" s="270"/>
      <c r="K213" s="271"/>
      <c r="L213" s="270"/>
      <c r="M213" s="209"/>
      <c r="N213" s="209"/>
      <c r="O213" s="196"/>
      <c r="P213" s="223"/>
    </row>
    <row r="214" spans="1:16" ht="15.75" customHeight="1">
      <c r="A214" s="224"/>
      <c r="B214" s="282"/>
      <c r="C214" s="287"/>
      <c r="D214" s="288"/>
      <c r="E214" s="289"/>
      <c r="F214" s="290"/>
      <c r="G214" s="290"/>
      <c r="H214" s="288"/>
      <c r="I214" s="287"/>
      <c r="J214" s="270"/>
      <c r="K214" s="271"/>
      <c r="L214" s="270"/>
      <c r="M214" s="209"/>
      <c r="N214" s="209"/>
      <c r="O214" s="196"/>
      <c r="P214" s="223"/>
    </row>
    <row r="215" spans="1:16" ht="15.75" customHeight="1">
      <c r="A215" s="224"/>
      <c r="B215" s="282"/>
      <c r="C215" s="287"/>
      <c r="D215" s="288"/>
      <c r="E215" s="289"/>
      <c r="F215" s="290"/>
      <c r="G215" s="290"/>
      <c r="H215" s="288"/>
      <c r="I215" s="287"/>
      <c r="J215" s="270"/>
      <c r="K215" s="271"/>
      <c r="L215" s="270"/>
      <c r="M215" s="209"/>
      <c r="N215" s="209"/>
      <c r="O215" s="196"/>
      <c r="P215" s="223"/>
    </row>
    <row r="216" spans="1:16" ht="15.75" customHeight="1">
      <c r="A216" s="224"/>
      <c r="B216" s="282"/>
      <c r="C216" s="287"/>
      <c r="D216" s="288"/>
      <c r="E216" s="289"/>
      <c r="F216" s="290"/>
      <c r="G216" s="290"/>
      <c r="H216" s="288"/>
      <c r="I216" s="287"/>
      <c r="J216" s="270"/>
      <c r="K216" s="271"/>
      <c r="L216" s="270"/>
      <c r="M216" s="209"/>
      <c r="N216" s="209"/>
      <c r="O216" s="196"/>
      <c r="P216" s="223"/>
    </row>
    <row r="217" spans="1:16" ht="15.75" customHeight="1">
      <c r="A217" s="224"/>
      <c r="B217" s="282"/>
      <c r="C217" s="287"/>
      <c r="D217" s="288"/>
      <c r="E217" s="289"/>
      <c r="F217" s="290"/>
      <c r="G217" s="290"/>
      <c r="H217" s="288"/>
      <c r="I217" s="287"/>
      <c r="J217" s="270"/>
      <c r="K217" s="271"/>
      <c r="L217" s="270"/>
      <c r="M217" s="209"/>
      <c r="N217" s="209"/>
      <c r="O217" s="196"/>
      <c r="P217" s="223"/>
    </row>
    <row r="218" spans="1:16" ht="15.75" customHeight="1">
      <c r="A218" s="224"/>
      <c r="B218" s="282"/>
      <c r="C218" s="287"/>
      <c r="D218" s="288"/>
      <c r="E218" s="289"/>
      <c r="F218" s="290"/>
      <c r="G218" s="290"/>
      <c r="H218" s="288"/>
      <c r="I218" s="287"/>
      <c r="J218" s="270"/>
      <c r="K218" s="271"/>
      <c r="L218" s="270"/>
      <c r="M218" s="209"/>
      <c r="N218" s="209"/>
      <c r="O218" s="196"/>
      <c r="P218" s="223"/>
    </row>
    <row r="219" spans="1:16" ht="15.75" customHeight="1">
      <c r="A219" s="224"/>
      <c r="B219" s="282"/>
      <c r="C219" s="287"/>
      <c r="D219" s="288"/>
      <c r="E219" s="289"/>
      <c r="F219" s="290"/>
      <c r="G219" s="290"/>
      <c r="H219" s="288"/>
      <c r="I219" s="287"/>
      <c r="J219" s="270"/>
      <c r="K219" s="271"/>
      <c r="L219" s="270"/>
      <c r="M219" s="209"/>
      <c r="N219" s="209"/>
      <c r="O219" s="196"/>
      <c r="P219" s="223"/>
    </row>
    <row r="220" spans="1:16" ht="15.75" customHeight="1">
      <c r="A220" s="224"/>
      <c r="B220" s="282"/>
      <c r="C220" s="287"/>
      <c r="D220" s="288"/>
      <c r="E220" s="289"/>
      <c r="F220" s="290"/>
      <c r="G220" s="290"/>
      <c r="H220" s="288"/>
      <c r="I220" s="287"/>
      <c r="J220" s="270"/>
      <c r="K220" s="271"/>
      <c r="L220" s="270"/>
      <c r="M220" s="209"/>
      <c r="N220" s="209"/>
      <c r="O220" s="196"/>
      <c r="P220" s="223"/>
    </row>
    <row r="221" spans="1:16" ht="15.75" customHeight="1">
      <c r="A221" s="224"/>
      <c r="B221" s="282"/>
      <c r="C221" s="287"/>
      <c r="D221" s="288"/>
      <c r="E221" s="289"/>
      <c r="F221" s="290"/>
      <c r="G221" s="290"/>
      <c r="H221" s="288"/>
      <c r="I221" s="287"/>
      <c r="J221" s="270"/>
      <c r="K221" s="271"/>
      <c r="L221" s="270"/>
      <c r="M221" s="209"/>
      <c r="N221" s="209"/>
      <c r="O221" s="196"/>
      <c r="P221" s="223"/>
    </row>
    <row r="222" spans="1:16" ht="15.75" customHeight="1">
      <c r="A222" s="224"/>
      <c r="B222" s="282"/>
      <c r="C222" s="287"/>
      <c r="D222" s="288"/>
      <c r="E222" s="289"/>
      <c r="F222" s="290"/>
      <c r="G222" s="290"/>
      <c r="H222" s="288"/>
      <c r="I222" s="287"/>
      <c r="J222" s="270"/>
      <c r="K222" s="271"/>
      <c r="L222" s="270"/>
      <c r="M222" s="209"/>
      <c r="N222" s="209"/>
      <c r="O222" s="196"/>
      <c r="P222" s="223"/>
    </row>
    <row r="223" spans="1:16" ht="15.75" customHeight="1">
      <c r="A223" s="224"/>
      <c r="B223" s="282"/>
      <c r="C223" s="287"/>
      <c r="D223" s="288"/>
      <c r="E223" s="289"/>
      <c r="F223" s="290"/>
      <c r="G223" s="290"/>
      <c r="H223" s="288"/>
      <c r="I223" s="287"/>
      <c r="J223" s="270"/>
      <c r="K223" s="271"/>
      <c r="L223" s="270"/>
      <c r="M223" s="209"/>
      <c r="N223" s="209"/>
      <c r="O223" s="196"/>
      <c r="P223" s="223"/>
    </row>
    <row r="224" spans="1:16" ht="15.75" customHeight="1">
      <c r="A224" s="224"/>
      <c r="B224" s="282"/>
      <c r="C224" s="287"/>
      <c r="D224" s="288"/>
      <c r="E224" s="289"/>
      <c r="F224" s="290"/>
      <c r="G224" s="290"/>
      <c r="H224" s="288"/>
      <c r="I224" s="287"/>
      <c r="J224" s="270"/>
      <c r="K224" s="271"/>
      <c r="L224" s="270"/>
      <c r="M224" s="209"/>
      <c r="N224" s="209"/>
      <c r="O224" s="196"/>
      <c r="P224" s="223"/>
    </row>
    <row r="225" spans="1:16" ht="15.75" customHeight="1">
      <c r="A225" s="224"/>
      <c r="B225" s="282"/>
      <c r="C225" s="287"/>
      <c r="D225" s="288"/>
      <c r="E225" s="289"/>
      <c r="F225" s="290"/>
      <c r="G225" s="290"/>
      <c r="H225" s="288"/>
      <c r="I225" s="287"/>
      <c r="J225" s="270"/>
      <c r="K225" s="271"/>
      <c r="L225" s="270"/>
      <c r="M225" s="209"/>
      <c r="N225" s="209"/>
      <c r="O225" s="196"/>
      <c r="P225" s="223"/>
    </row>
    <row r="226" spans="1:16" ht="15.75" customHeight="1">
      <c r="A226" s="224"/>
      <c r="B226" s="282"/>
      <c r="C226" s="287"/>
      <c r="D226" s="288"/>
      <c r="E226" s="289"/>
      <c r="F226" s="290"/>
      <c r="G226" s="290"/>
      <c r="H226" s="288"/>
      <c r="I226" s="287"/>
      <c r="J226" s="270"/>
      <c r="K226" s="271"/>
      <c r="L226" s="270"/>
      <c r="M226" s="209"/>
      <c r="N226" s="209"/>
      <c r="O226" s="196"/>
      <c r="P226" s="223"/>
    </row>
    <row r="227" spans="1:16" ht="15.75" customHeight="1">
      <c r="A227" s="224"/>
      <c r="B227" s="282"/>
      <c r="C227" s="287"/>
      <c r="D227" s="288"/>
      <c r="E227" s="289"/>
      <c r="F227" s="290"/>
      <c r="G227" s="290"/>
      <c r="H227" s="288"/>
      <c r="I227" s="287"/>
      <c r="J227" s="270"/>
      <c r="K227" s="271"/>
      <c r="L227" s="270"/>
      <c r="M227" s="209"/>
      <c r="N227" s="209"/>
      <c r="O227" s="196"/>
      <c r="P227" s="223"/>
    </row>
    <row r="228" spans="1:16" ht="15.75" customHeight="1">
      <c r="A228" s="224"/>
      <c r="B228" s="282"/>
      <c r="C228" s="287"/>
      <c r="D228" s="288"/>
      <c r="E228" s="289"/>
      <c r="F228" s="290"/>
      <c r="G228" s="290"/>
      <c r="H228" s="288"/>
      <c r="I228" s="287"/>
      <c r="J228" s="270"/>
      <c r="K228" s="271"/>
      <c r="L228" s="270"/>
      <c r="M228" s="209"/>
      <c r="N228" s="209"/>
      <c r="O228" s="196"/>
      <c r="P228" s="223"/>
    </row>
    <row r="229" spans="1:16" ht="15.75" customHeight="1">
      <c r="A229" s="224"/>
      <c r="B229" s="282"/>
      <c r="C229" s="287"/>
      <c r="D229" s="288"/>
      <c r="E229" s="289"/>
      <c r="F229" s="290"/>
      <c r="G229" s="290"/>
      <c r="H229" s="288"/>
      <c r="I229" s="287"/>
      <c r="J229" s="270"/>
      <c r="K229" s="271"/>
      <c r="L229" s="270"/>
      <c r="M229" s="209"/>
      <c r="N229" s="209"/>
      <c r="O229" s="196"/>
      <c r="P229" s="223"/>
    </row>
    <row r="230" spans="1:16" ht="15.75" customHeight="1">
      <c r="A230" s="224"/>
      <c r="B230" s="282"/>
      <c r="C230" s="287"/>
      <c r="D230" s="288"/>
      <c r="E230" s="289"/>
      <c r="F230" s="290"/>
      <c r="G230" s="290"/>
      <c r="H230" s="288"/>
      <c r="I230" s="287"/>
      <c r="J230" s="270"/>
      <c r="K230" s="271"/>
      <c r="L230" s="270"/>
      <c r="M230" s="209"/>
      <c r="N230" s="209"/>
      <c r="O230" s="196"/>
      <c r="P230" s="223"/>
    </row>
    <row r="231" spans="1:16" ht="15.75" customHeight="1">
      <c r="A231" s="224"/>
      <c r="B231" s="282"/>
      <c r="C231" s="287"/>
      <c r="D231" s="288"/>
      <c r="E231" s="289"/>
      <c r="F231" s="290"/>
      <c r="G231" s="290"/>
      <c r="H231" s="288"/>
      <c r="I231" s="287"/>
      <c r="J231" s="270"/>
      <c r="K231" s="271"/>
      <c r="L231" s="270"/>
      <c r="M231" s="209"/>
      <c r="N231" s="209"/>
      <c r="O231" s="196"/>
      <c r="P231" s="223"/>
    </row>
    <row r="232" spans="1:16" ht="15.75" customHeight="1">
      <c r="A232" s="224"/>
      <c r="B232" s="282"/>
      <c r="C232" s="287"/>
      <c r="D232" s="288"/>
      <c r="E232" s="289"/>
      <c r="F232" s="290"/>
      <c r="G232" s="290"/>
      <c r="H232" s="288"/>
      <c r="I232" s="287"/>
      <c r="J232" s="270"/>
      <c r="K232" s="271"/>
      <c r="L232" s="270"/>
      <c r="M232" s="209"/>
      <c r="N232" s="209"/>
      <c r="O232" s="196"/>
      <c r="P232" s="223"/>
    </row>
    <row r="233" spans="1:16" ht="15.75" customHeight="1">
      <c r="A233" s="224"/>
      <c r="B233" s="282"/>
      <c r="C233" s="287"/>
      <c r="D233" s="288"/>
      <c r="E233" s="289"/>
      <c r="F233" s="290"/>
      <c r="G233" s="290"/>
      <c r="H233" s="288"/>
      <c r="I233" s="287"/>
      <c r="J233" s="270"/>
      <c r="K233" s="271"/>
      <c r="L233" s="270"/>
      <c r="M233" s="209"/>
      <c r="N233" s="209"/>
      <c r="O233" s="196"/>
      <c r="P233" s="223"/>
    </row>
    <row r="234" spans="1:16" ht="15.75" customHeight="1">
      <c r="A234" s="224"/>
      <c r="B234" s="282"/>
      <c r="C234" s="287"/>
      <c r="D234" s="288"/>
      <c r="E234" s="289"/>
      <c r="F234" s="290"/>
      <c r="G234" s="290"/>
      <c r="H234" s="288"/>
      <c r="I234" s="287"/>
      <c r="J234" s="270"/>
      <c r="K234" s="271"/>
      <c r="L234" s="270"/>
      <c r="M234" s="209"/>
      <c r="N234" s="209"/>
      <c r="O234" s="196"/>
      <c r="P234" s="223"/>
    </row>
    <row r="235" spans="1:16" ht="15.75" customHeight="1">
      <c r="A235" s="224"/>
      <c r="B235" s="282"/>
      <c r="C235" s="287"/>
      <c r="D235" s="288"/>
      <c r="E235" s="289"/>
      <c r="F235" s="290"/>
      <c r="G235" s="290"/>
      <c r="H235" s="288"/>
      <c r="I235" s="287"/>
      <c r="J235" s="270"/>
      <c r="K235" s="271"/>
      <c r="L235" s="270"/>
      <c r="M235" s="209"/>
      <c r="N235" s="209"/>
      <c r="O235" s="196"/>
      <c r="P235" s="223"/>
    </row>
    <row r="236" spans="1:16" ht="15.75" customHeight="1">
      <c r="A236" s="224"/>
      <c r="B236" s="282"/>
      <c r="C236" s="287"/>
      <c r="D236" s="288"/>
      <c r="E236" s="289"/>
      <c r="F236" s="290"/>
      <c r="G236" s="290"/>
      <c r="H236" s="288"/>
      <c r="I236" s="287"/>
      <c r="J236" s="270"/>
      <c r="K236" s="271"/>
      <c r="L236" s="270"/>
      <c r="M236" s="209"/>
      <c r="N236" s="209"/>
      <c r="O236" s="196"/>
      <c r="P236" s="223"/>
    </row>
    <row r="237" spans="1:16" ht="15.75" customHeight="1">
      <c r="A237" s="224"/>
      <c r="B237" s="282"/>
      <c r="C237" s="287"/>
      <c r="D237" s="288"/>
      <c r="E237" s="289"/>
      <c r="F237" s="290"/>
      <c r="G237" s="290"/>
      <c r="H237" s="288"/>
      <c r="I237" s="287"/>
      <c r="J237" s="270"/>
      <c r="K237" s="271"/>
      <c r="L237" s="270"/>
      <c r="M237" s="209"/>
      <c r="N237" s="209"/>
      <c r="O237" s="196"/>
      <c r="P237" s="223"/>
    </row>
    <row r="238" spans="1:16" ht="15.75" customHeight="1">
      <c r="A238" s="224"/>
      <c r="B238" s="282"/>
      <c r="C238" s="287"/>
      <c r="D238" s="288"/>
      <c r="E238" s="289"/>
      <c r="F238" s="290"/>
      <c r="G238" s="290"/>
      <c r="H238" s="288"/>
      <c r="I238" s="287"/>
      <c r="J238" s="270"/>
      <c r="K238" s="271"/>
      <c r="L238" s="270"/>
      <c r="M238" s="209"/>
      <c r="N238" s="209"/>
      <c r="O238" s="196"/>
      <c r="P238" s="223"/>
    </row>
    <row r="239" spans="1:16" ht="15.75" customHeight="1">
      <c r="A239" s="224"/>
      <c r="B239" s="282"/>
      <c r="C239" s="287"/>
      <c r="D239" s="288"/>
      <c r="E239" s="289"/>
      <c r="F239" s="290"/>
      <c r="G239" s="290"/>
      <c r="H239" s="288"/>
      <c r="I239" s="287"/>
      <c r="J239" s="270"/>
      <c r="K239" s="271"/>
      <c r="L239" s="270"/>
      <c r="M239" s="209"/>
      <c r="N239" s="209"/>
      <c r="O239" s="196"/>
      <c r="P239" s="223"/>
    </row>
    <row r="240" spans="1:16" ht="15.75" customHeight="1">
      <c r="A240" s="224"/>
      <c r="B240" s="282"/>
      <c r="C240" s="287"/>
      <c r="D240" s="288"/>
      <c r="E240" s="289"/>
      <c r="F240" s="290"/>
      <c r="G240" s="290"/>
      <c r="H240" s="288"/>
      <c r="I240" s="287"/>
      <c r="J240" s="270"/>
      <c r="K240" s="271"/>
      <c r="L240" s="270"/>
      <c r="M240" s="209"/>
      <c r="N240" s="209"/>
      <c r="O240" s="196"/>
      <c r="P240" s="223"/>
    </row>
    <row r="241" spans="1:16" ht="15.75" customHeight="1">
      <c r="A241" s="224"/>
      <c r="B241" s="282"/>
      <c r="C241" s="287"/>
      <c r="D241" s="288"/>
      <c r="E241" s="289"/>
      <c r="F241" s="290"/>
      <c r="G241" s="290"/>
      <c r="H241" s="288"/>
      <c r="I241" s="287"/>
      <c r="J241" s="270"/>
      <c r="K241" s="271"/>
      <c r="L241" s="270"/>
      <c r="M241" s="209"/>
      <c r="N241" s="209"/>
      <c r="O241" s="196"/>
      <c r="P241" s="223"/>
    </row>
    <row r="242" spans="1:16" ht="15.75" customHeight="1">
      <c r="A242" s="224"/>
      <c r="B242" s="282"/>
      <c r="C242" s="287"/>
      <c r="D242" s="288"/>
      <c r="E242" s="289"/>
      <c r="F242" s="290"/>
      <c r="G242" s="290"/>
      <c r="H242" s="288"/>
      <c r="I242" s="287"/>
      <c r="J242" s="270"/>
      <c r="K242" s="271"/>
      <c r="L242" s="270"/>
      <c r="M242" s="209"/>
      <c r="N242" s="209"/>
      <c r="O242" s="196"/>
      <c r="P242" s="223"/>
    </row>
    <row r="243" spans="1:16" ht="15.75" customHeight="1">
      <c r="A243" s="224"/>
      <c r="B243" s="282"/>
      <c r="C243" s="287"/>
      <c r="D243" s="288"/>
      <c r="E243" s="289"/>
      <c r="F243" s="290"/>
      <c r="G243" s="290"/>
      <c r="H243" s="288"/>
      <c r="I243" s="287"/>
      <c r="J243" s="270"/>
      <c r="K243" s="271"/>
      <c r="L243" s="270"/>
      <c r="M243" s="209"/>
      <c r="N243" s="209"/>
      <c r="O243" s="196"/>
      <c r="P243" s="223"/>
    </row>
    <row r="244" spans="1:16" ht="15.75" customHeight="1">
      <c r="A244" s="224"/>
      <c r="B244" s="282"/>
      <c r="C244" s="287"/>
      <c r="D244" s="288"/>
      <c r="E244" s="289"/>
      <c r="F244" s="290"/>
      <c r="G244" s="290"/>
      <c r="H244" s="288"/>
      <c r="I244" s="287"/>
      <c r="J244" s="270"/>
      <c r="K244" s="271"/>
      <c r="L244" s="270"/>
      <c r="M244" s="209"/>
      <c r="N244" s="209"/>
      <c r="O244" s="196"/>
      <c r="P244" s="223"/>
    </row>
    <row r="245" spans="1:16" ht="15.75" customHeight="1">
      <c r="A245" s="224"/>
      <c r="B245" s="282"/>
      <c r="C245" s="287"/>
      <c r="D245" s="288"/>
      <c r="E245" s="289"/>
      <c r="F245" s="290"/>
      <c r="G245" s="290"/>
      <c r="H245" s="288"/>
      <c r="I245" s="287"/>
      <c r="J245" s="270"/>
      <c r="K245" s="271"/>
      <c r="L245" s="270"/>
      <c r="M245" s="209"/>
      <c r="N245" s="209"/>
      <c r="O245" s="196"/>
      <c r="P245" s="223"/>
    </row>
    <row r="246" spans="1:16" ht="15.75" customHeight="1">
      <c r="A246" s="224"/>
      <c r="B246" s="282"/>
      <c r="C246" s="287"/>
      <c r="D246" s="288"/>
      <c r="E246" s="289"/>
      <c r="F246" s="290"/>
      <c r="G246" s="290"/>
      <c r="H246" s="288"/>
      <c r="I246" s="287"/>
      <c r="J246" s="270"/>
      <c r="K246" s="271"/>
      <c r="L246" s="270"/>
      <c r="M246" s="209"/>
      <c r="N246" s="209"/>
      <c r="O246" s="196"/>
      <c r="P246" s="223"/>
    </row>
    <row r="247" spans="1:16" ht="15.75" customHeight="1">
      <c r="A247" s="224"/>
      <c r="B247" s="282"/>
      <c r="C247" s="287"/>
      <c r="D247" s="288"/>
      <c r="E247" s="289"/>
      <c r="F247" s="290"/>
      <c r="G247" s="290"/>
      <c r="H247" s="288"/>
      <c r="I247" s="287"/>
      <c r="J247" s="270"/>
      <c r="K247" s="271"/>
      <c r="L247" s="270"/>
      <c r="M247" s="209"/>
      <c r="N247" s="209"/>
      <c r="O247" s="196"/>
      <c r="P247" s="223"/>
    </row>
    <row r="248" spans="1:16" ht="15.75" customHeight="1">
      <c r="A248" s="224"/>
      <c r="B248" s="282"/>
      <c r="C248" s="287"/>
      <c r="D248" s="288"/>
      <c r="E248" s="289"/>
      <c r="F248" s="290"/>
      <c r="G248" s="290"/>
      <c r="H248" s="288"/>
      <c r="I248" s="287"/>
      <c r="J248" s="270"/>
      <c r="K248" s="271"/>
      <c r="L248" s="270"/>
      <c r="M248" s="209"/>
      <c r="N248" s="209"/>
      <c r="O248" s="196"/>
      <c r="P248" s="223"/>
    </row>
    <row r="249" spans="1:16" ht="15.75" customHeight="1">
      <c r="A249" s="224"/>
      <c r="B249" s="282"/>
      <c r="C249" s="287"/>
      <c r="D249" s="288"/>
      <c r="E249" s="289"/>
      <c r="F249" s="290"/>
      <c r="G249" s="290"/>
      <c r="H249" s="288"/>
      <c r="I249" s="287"/>
      <c r="J249" s="270"/>
      <c r="K249" s="271"/>
      <c r="L249" s="270"/>
      <c r="M249" s="209"/>
      <c r="N249" s="209"/>
      <c r="O249" s="196"/>
      <c r="P249" s="223"/>
    </row>
    <row r="250" spans="1:16" ht="15.75" customHeight="1">
      <c r="A250" s="224"/>
      <c r="B250" s="282"/>
      <c r="C250" s="287"/>
      <c r="D250" s="288"/>
      <c r="E250" s="289"/>
      <c r="F250" s="290"/>
      <c r="G250" s="290"/>
      <c r="H250" s="288"/>
      <c r="I250" s="287"/>
      <c r="J250" s="270"/>
      <c r="K250" s="271"/>
      <c r="L250" s="270"/>
      <c r="M250" s="209"/>
      <c r="N250" s="209"/>
      <c r="O250" s="196"/>
      <c r="P250" s="223"/>
    </row>
    <row r="251" spans="1:16" ht="15.75" customHeight="1">
      <c r="A251" s="224"/>
      <c r="B251" s="282"/>
      <c r="C251" s="287"/>
      <c r="D251" s="288"/>
      <c r="E251" s="289"/>
      <c r="F251" s="290"/>
      <c r="G251" s="290"/>
      <c r="H251" s="288"/>
      <c r="I251" s="287"/>
      <c r="J251" s="270"/>
      <c r="K251" s="271"/>
      <c r="L251" s="270"/>
      <c r="M251" s="209"/>
      <c r="N251" s="209"/>
      <c r="O251" s="196"/>
      <c r="P251" s="223"/>
    </row>
    <row r="252" spans="1:16" ht="15.75" customHeight="1">
      <c r="A252" s="224"/>
      <c r="B252" s="282"/>
      <c r="C252" s="287"/>
      <c r="D252" s="288"/>
      <c r="E252" s="289"/>
      <c r="F252" s="290"/>
      <c r="G252" s="290"/>
      <c r="H252" s="288"/>
      <c r="I252" s="287"/>
      <c r="J252" s="270"/>
      <c r="K252" s="271"/>
      <c r="L252" s="270"/>
      <c r="M252" s="209"/>
      <c r="N252" s="209"/>
      <c r="O252" s="196"/>
      <c r="P252" s="223"/>
    </row>
    <row r="253" spans="1:16" ht="15.75" customHeight="1">
      <c r="A253" s="224"/>
      <c r="B253" s="282"/>
      <c r="C253" s="287"/>
      <c r="D253" s="288"/>
      <c r="E253" s="289"/>
      <c r="F253" s="290"/>
      <c r="G253" s="290"/>
      <c r="H253" s="288"/>
      <c r="I253" s="287"/>
      <c r="J253" s="270"/>
      <c r="K253" s="271"/>
      <c r="L253" s="270"/>
      <c r="M253" s="209"/>
      <c r="N253" s="209"/>
      <c r="O253" s="196"/>
      <c r="P253" s="223"/>
    </row>
    <row r="254" spans="1:16" ht="15.75" customHeight="1">
      <c r="A254" s="224"/>
      <c r="B254" s="282"/>
      <c r="C254" s="287"/>
      <c r="D254" s="288"/>
      <c r="E254" s="289"/>
      <c r="F254" s="290"/>
      <c r="G254" s="290"/>
      <c r="H254" s="288"/>
      <c r="I254" s="287"/>
      <c r="J254" s="270"/>
      <c r="K254" s="271"/>
      <c r="L254" s="270"/>
      <c r="M254" s="209"/>
      <c r="N254" s="209"/>
      <c r="O254" s="196"/>
      <c r="P254" s="223"/>
    </row>
    <row r="255" spans="1:16" ht="15.75" customHeight="1">
      <c r="A255" s="224"/>
      <c r="B255" s="282"/>
      <c r="C255" s="287"/>
      <c r="D255" s="288"/>
      <c r="E255" s="289"/>
      <c r="F255" s="290"/>
      <c r="G255" s="290"/>
      <c r="H255" s="288"/>
      <c r="I255" s="287"/>
      <c r="J255" s="270"/>
      <c r="K255" s="271"/>
      <c r="L255" s="270"/>
      <c r="M255" s="209"/>
      <c r="N255" s="209"/>
      <c r="O255" s="196"/>
      <c r="P255" s="223"/>
    </row>
    <row r="256" spans="1:16" ht="15.75" customHeight="1">
      <c r="A256" s="224"/>
      <c r="B256" s="282"/>
      <c r="C256" s="287"/>
      <c r="D256" s="288"/>
      <c r="E256" s="289"/>
      <c r="F256" s="290"/>
      <c r="G256" s="290"/>
      <c r="H256" s="288"/>
      <c r="I256" s="287"/>
      <c r="J256" s="270"/>
      <c r="K256" s="271"/>
      <c r="L256" s="270"/>
      <c r="M256" s="209"/>
      <c r="N256" s="209"/>
      <c r="O256" s="196"/>
      <c r="P256" s="223"/>
    </row>
    <row r="257" spans="1:16" ht="15.75" customHeight="1">
      <c r="A257" s="224"/>
      <c r="B257" s="282"/>
      <c r="C257" s="287"/>
      <c r="D257" s="288"/>
      <c r="E257" s="289"/>
      <c r="F257" s="290"/>
      <c r="G257" s="290"/>
      <c r="H257" s="288"/>
      <c r="I257" s="287"/>
      <c r="J257" s="270"/>
      <c r="K257" s="271"/>
      <c r="L257" s="270"/>
      <c r="M257" s="209"/>
      <c r="N257" s="209"/>
      <c r="O257" s="196"/>
      <c r="P257" s="223"/>
    </row>
    <row r="258" spans="1:16" ht="15.75" customHeight="1">
      <c r="A258" s="224"/>
      <c r="B258" s="282"/>
      <c r="C258" s="287"/>
      <c r="D258" s="288"/>
      <c r="E258" s="289"/>
      <c r="F258" s="290"/>
      <c r="G258" s="290"/>
      <c r="H258" s="288"/>
      <c r="I258" s="287"/>
      <c r="J258" s="270"/>
      <c r="K258" s="271"/>
      <c r="L258" s="270"/>
      <c r="M258" s="209"/>
      <c r="N258" s="209"/>
      <c r="O258" s="196"/>
      <c r="P258" s="223"/>
    </row>
    <row r="259" spans="1:16" ht="15.75" customHeight="1">
      <c r="A259" s="224"/>
      <c r="B259" s="282"/>
      <c r="C259" s="287"/>
      <c r="D259" s="288"/>
      <c r="E259" s="289"/>
      <c r="F259" s="290"/>
      <c r="G259" s="290"/>
      <c r="H259" s="288"/>
      <c r="I259" s="287"/>
      <c r="J259" s="270"/>
      <c r="K259" s="271"/>
      <c r="L259" s="270"/>
      <c r="M259" s="209"/>
      <c r="N259" s="209"/>
      <c r="O259" s="196"/>
      <c r="P259" s="223"/>
    </row>
    <row r="260" spans="1:16" ht="15.75" customHeight="1">
      <c r="A260" s="224"/>
      <c r="B260" s="282"/>
      <c r="C260" s="287"/>
      <c r="D260" s="288"/>
      <c r="E260" s="289"/>
      <c r="F260" s="290"/>
      <c r="G260" s="290"/>
      <c r="H260" s="288"/>
      <c r="I260" s="287"/>
      <c r="J260" s="270"/>
      <c r="K260" s="271"/>
      <c r="L260" s="270"/>
      <c r="M260" s="209"/>
      <c r="N260" s="209"/>
      <c r="O260" s="196"/>
      <c r="P260" s="223"/>
    </row>
    <row r="261" spans="1:16" ht="15.75" customHeight="1">
      <c r="A261" s="224"/>
      <c r="B261" s="282"/>
      <c r="C261" s="287"/>
      <c r="D261" s="288"/>
      <c r="E261" s="289"/>
      <c r="F261" s="290"/>
      <c r="G261" s="290"/>
      <c r="H261" s="288"/>
      <c r="I261" s="287"/>
      <c r="J261" s="270"/>
      <c r="K261" s="271"/>
      <c r="L261" s="270"/>
      <c r="M261" s="209"/>
      <c r="N261" s="209"/>
      <c r="O261" s="196"/>
      <c r="P261" s="223"/>
    </row>
    <row r="262" spans="1:16" ht="15.75" customHeight="1">
      <c r="A262" s="224"/>
      <c r="B262" s="282"/>
      <c r="C262" s="287"/>
      <c r="D262" s="288"/>
      <c r="E262" s="289"/>
      <c r="F262" s="290"/>
      <c r="G262" s="290"/>
      <c r="H262" s="288"/>
      <c r="I262" s="287"/>
      <c r="J262" s="270"/>
      <c r="K262" s="271"/>
      <c r="L262" s="270"/>
      <c r="M262" s="209"/>
      <c r="N262" s="209"/>
      <c r="O262" s="196"/>
      <c r="P262" s="223"/>
    </row>
    <row r="263" spans="1:16" ht="15.75" customHeight="1">
      <c r="A263" s="224"/>
      <c r="B263" s="282"/>
      <c r="C263" s="287"/>
      <c r="D263" s="288"/>
      <c r="E263" s="289"/>
      <c r="F263" s="290"/>
      <c r="G263" s="290"/>
      <c r="H263" s="288"/>
      <c r="I263" s="287"/>
      <c r="J263" s="270"/>
      <c r="K263" s="271"/>
      <c r="L263" s="270"/>
      <c r="M263" s="209"/>
      <c r="N263" s="209"/>
      <c r="O263" s="196"/>
      <c r="P263" s="223"/>
    </row>
    <row r="264" spans="1:16" ht="15.75" customHeight="1">
      <c r="A264" s="224"/>
      <c r="B264" s="282"/>
      <c r="C264" s="287"/>
      <c r="D264" s="288"/>
      <c r="E264" s="289"/>
      <c r="F264" s="290"/>
      <c r="G264" s="290"/>
      <c r="H264" s="288"/>
      <c r="I264" s="287"/>
      <c r="J264" s="270"/>
      <c r="K264" s="271"/>
      <c r="L264" s="270"/>
      <c r="M264" s="209"/>
      <c r="N264" s="209"/>
      <c r="O264" s="196"/>
      <c r="P264" s="223"/>
    </row>
    <row r="265" spans="1:16" ht="15.75" customHeight="1">
      <c r="A265" s="224"/>
      <c r="B265" s="282"/>
      <c r="C265" s="287"/>
      <c r="D265" s="288"/>
      <c r="E265" s="289"/>
      <c r="F265" s="290"/>
      <c r="G265" s="290"/>
      <c r="H265" s="288"/>
      <c r="I265" s="287"/>
      <c r="J265" s="270"/>
      <c r="K265" s="271"/>
      <c r="L265" s="270"/>
      <c r="M265" s="209"/>
      <c r="N265" s="209"/>
      <c r="O265" s="196"/>
      <c r="P265" s="223"/>
    </row>
    <row r="266" spans="1:16" ht="15.75" customHeight="1">
      <c r="A266" s="224"/>
      <c r="B266" s="282"/>
      <c r="C266" s="287"/>
      <c r="D266" s="288"/>
      <c r="E266" s="289"/>
      <c r="F266" s="290"/>
      <c r="G266" s="290"/>
      <c r="H266" s="288"/>
      <c r="I266" s="287"/>
      <c r="J266" s="270"/>
      <c r="K266" s="271"/>
      <c r="L266" s="270"/>
      <c r="M266" s="209"/>
      <c r="N266" s="209"/>
      <c r="O266" s="196"/>
      <c r="P266" s="223"/>
    </row>
    <row r="267" spans="1:16" ht="15.75" customHeight="1">
      <c r="A267" s="224"/>
      <c r="B267" s="282"/>
      <c r="C267" s="287"/>
      <c r="D267" s="288"/>
      <c r="E267" s="289"/>
      <c r="F267" s="290"/>
      <c r="G267" s="290"/>
      <c r="H267" s="288"/>
      <c r="I267" s="287"/>
      <c r="J267" s="270"/>
      <c r="K267" s="271"/>
      <c r="L267" s="270"/>
      <c r="M267" s="209"/>
      <c r="N267" s="209"/>
      <c r="O267" s="196"/>
      <c r="P267" s="223"/>
    </row>
    <row r="268" spans="1:16" ht="15.75" customHeight="1">
      <c r="A268" s="224"/>
      <c r="B268" s="282"/>
      <c r="C268" s="287"/>
      <c r="D268" s="288"/>
      <c r="E268" s="289"/>
      <c r="F268" s="290"/>
      <c r="G268" s="290"/>
      <c r="H268" s="288"/>
      <c r="I268" s="287"/>
      <c r="J268" s="270"/>
      <c r="K268" s="271"/>
      <c r="L268" s="270"/>
      <c r="M268" s="209"/>
      <c r="N268" s="209"/>
      <c r="O268" s="196"/>
      <c r="P268" s="223"/>
    </row>
    <row r="269" spans="1:16" ht="15.75" customHeight="1">
      <c r="A269" s="224"/>
      <c r="B269" s="282"/>
      <c r="C269" s="287"/>
      <c r="D269" s="288"/>
      <c r="E269" s="289"/>
      <c r="F269" s="290"/>
      <c r="G269" s="290"/>
      <c r="H269" s="288"/>
      <c r="I269" s="287"/>
      <c r="J269" s="270"/>
      <c r="K269" s="271"/>
      <c r="L269" s="270"/>
      <c r="M269" s="209"/>
      <c r="N269" s="209"/>
      <c r="O269" s="196"/>
      <c r="P269" s="223"/>
    </row>
    <row r="270" spans="1:16" ht="15.75" customHeight="1">
      <c r="A270" s="224"/>
      <c r="B270" s="282"/>
      <c r="C270" s="287"/>
      <c r="D270" s="288"/>
      <c r="E270" s="289"/>
      <c r="F270" s="290"/>
      <c r="G270" s="290"/>
      <c r="H270" s="288"/>
      <c r="I270" s="287"/>
      <c r="J270" s="270"/>
      <c r="K270" s="271"/>
      <c r="L270" s="270"/>
      <c r="M270" s="209"/>
      <c r="N270" s="209"/>
      <c r="O270" s="196"/>
      <c r="P270" s="223"/>
    </row>
    <row r="271" spans="1:16" ht="15.75" customHeight="1">
      <c r="A271" s="224"/>
      <c r="B271" s="282"/>
      <c r="C271" s="287"/>
      <c r="D271" s="288"/>
      <c r="E271" s="289"/>
      <c r="F271" s="290"/>
      <c r="G271" s="290"/>
      <c r="H271" s="288"/>
      <c r="I271" s="287"/>
      <c r="J271" s="270"/>
      <c r="K271" s="271"/>
      <c r="L271" s="270"/>
      <c r="M271" s="209"/>
      <c r="N271" s="209"/>
      <c r="O271" s="196"/>
      <c r="P271" s="223"/>
    </row>
    <row r="272" spans="1:16" ht="15.75" customHeight="1">
      <c r="A272" s="224"/>
      <c r="B272" s="282"/>
      <c r="C272" s="287"/>
      <c r="D272" s="288"/>
      <c r="E272" s="289"/>
      <c r="F272" s="290"/>
      <c r="G272" s="290"/>
      <c r="H272" s="288"/>
      <c r="I272" s="287"/>
      <c r="J272" s="270"/>
      <c r="K272" s="271"/>
      <c r="L272" s="270"/>
      <c r="M272" s="209"/>
      <c r="N272" s="209"/>
      <c r="O272" s="196"/>
      <c r="P272" s="223"/>
    </row>
    <row r="273" spans="1:16" ht="15.75" customHeight="1">
      <c r="A273" s="224"/>
      <c r="B273" s="282"/>
      <c r="C273" s="287"/>
      <c r="D273" s="288"/>
      <c r="E273" s="289"/>
      <c r="F273" s="290"/>
      <c r="G273" s="290"/>
      <c r="H273" s="288"/>
      <c r="I273" s="287"/>
      <c r="J273" s="270"/>
      <c r="K273" s="271"/>
      <c r="L273" s="270"/>
      <c r="M273" s="209"/>
      <c r="N273" s="209"/>
      <c r="O273" s="196"/>
      <c r="P273" s="223"/>
    </row>
    <row r="274" spans="1:16" ht="15.75" customHeight="1">
      <c r="A274" s="224"/>
      <c r="B274" s="282"/>
      <c r="C274" s="287"/>
      <c r="D274" s="288"/>
      <c r="E274" s="289"/>
      <c r="F274" s="290"/>
      <c r="G274" s="290"/>
      <c r="H274" s="288"/>
      <c r="I274" s="287"/>
      <c r="J274" s="270"/>
      <c r="K274" s="271"/>
      <c r="L274" s="270"/>
      <c r="M274" s="209"/>
      <c r="N274" s="209"/>
      <c r="O274" s="196"/>
      <c r="P274" s="223"/>
    </row>
    <row r="275" spans="1:16" ht="15.75" customHeight="1">
      <c r="A275" s="224"/>
      <c r="B275" s="282"/>
      <c r="C275" s="287"/>
      <c r="D275" s="288"/>
      <c r="E275" s="289"/>
      <c r="F275" s="290"/>
      <c r="G275" s="290"/>
      <c r="H275" s="288"/>
      <c r="I275" s="287"/>
      <c r="J275" s="270"/>
      <c r="K275" s="271"/>
      <c r="L275" s="270"/>
      <c r="M275" s="209"/>
      <c r="N275" s="209"/>
      <c r="O275" s="196"/>
      <c r="P275" s="223"/>
    </row>
    <row r="276" spans="1:16" ht="15.75" customHeight="1">
      <c r="A276" s="224"/>
      <c r="B276" s="282"/>
      <c r="C276" s="287"/>
      <c r="D276" s="288"/>
      <c r="E276" s="289"/>
      <c r="F276" s="290"/>
      <c r="G276" s="290"/>
      <c r="H276" s="288"/>
      <c r="I276" s="287"/>
      <c r="J276" s="270"/>
      <c r="K276" s="271"/>
      <c r="L276" s="270"/>
      <c r="M276" s="209"/>
      <c r="N276" s="209"/>
      <c r="O276" s="196"/>
      <c r="P276" s="223"/>
    </row>
    <row r="277" spans="1:16" ht="15.75" customHeight="1">
      <c r="A277" s="224"/>
      <c r="B277" s="282"/>
      <c r="C277" s="287"/>
      <c r="D277" s="288"/>
      <c r="E277" s="289"/>
      <c r="F277" s="290"/>
      <c r="G277" s="290"/>
      <c r="H277" s="288"/>
      <c r="I277" s="287"/>
      <c r="J277" s="270"/>
      <c r="K277" s="271"/>
      <c r="L277" s="270"/>
      <c r="M277" s="209"/>
      <c r="N277" s="209"/>
      <c r="O277" s="196"/>
      <c r="P277" s="223"/>
    </row>
    <row r="278" spans="1:16" ht="15.75" customHeight="1">
      <c r="A278" s="224"/>
      <c r="B278" s="282"/>
      <c r="C278" s="287"/>
      <c r="D278" s="288"/>
      <c r="E278" s="289"/>
      <c r="F278" s="290"/>
      <c r="G278" s="290"/>
      <c r="H278" s="288"/>
      <c r="I278" s="287"/>
      <c r="J278" s="270"/>
      <c r="K278" s="271"/>
      <c r="L278" s="270"/>
      <c r="M278" s="209"/>
      <c r="N278" s="209"/>
      <c r="O278" s="196"/>
      <c r="P278" s="223"/>
    </row>
    <row r="279" spans="1:16" ht="15.75" customHeight="1">
      <c r="A279" s="224"/>
      <c r="B279" s="282"/>
      <c r="C279" s="287"/>
      <c r="D279" s="288"/>
      <c r="E279" s="289"/>
      <c r="F279" s="290"/>
      <c r="G279" s="290"/>
      <c r="H279" s="288"/>
      <c r="I279" s="287"/>
      <c r="J279" s="270"/>
      <c r="K279" s="271"/>
      <c r="L279" s="270"/>
      <c r="M279" s="209"/>
      <c r="N279" s="209"/>
      <c r="O279" s="196"/>
      <c r="P279" s="223"/>
    </row>
    <row r="280" spans="1:16" ht="15.75" customHeight="1">
      <c r="A280" s="224"/>
      <c r="B280" s="282"/>
      <c r="C280" s="287"/>
      <c r="D280" s="288"/>
      <c r="E280" s="289"/>
      <c r="F280" s="290"/>
      <c r="G280" s="290"/>
      <c r="H280" s="288"/>
      <c r="I280" s="287"/>
      <c r="J280" s="270"/>
      <c r="K280" s="271"/>
      <c r="L280" s="270"/>
      <c r="M280" s="209"/>
      <c r="N280" s="209"/>
      <c r="O280" s="196"/>
      <c r="P280" s="223"/>
    </row>
    <row r="281" spans="1:16" ht="15.75" customHeight="1">
      <c r="A281" s="224"/>
      <c r="B281" s="282"/>
      <c r="C281" s="287"/>
      <c r="D281" s="288"/>
      <c r="E281" s="289"/>
      <c r="F281" s="290"/>
      <c r="G281" s="290"/>
      <c r="H281" s="288"/>
      <c r="I281" s="287"/>
      <c r="J281" s="270"/>
      <c r="K281" s="271"/>
      <c r="L281" s="270"/>
      <c r="M281" s="209"/>
      <c r="N281" s="209"/>
      <c r="O281" s="196"/>
      <c r="P281" s="223"/>
    </row>
    <row r="282" spans="1:16" ht="15.75" customHeight="1">
      <c r="A282" s="224"/>
      <c r="B282" s="282"/>
      <c r="C282" s="287"/>
      <c r="D282" s="288"/>
      <c r="E282" s="289"/>
      <c r="F282" s="290"/>
      <c r="G282" s="290"/>
      <c r="H282" s="288"/>
      <c r="I282" s="287"/>
      <c r="J282" s="270"/>
      <c r="K282" s="271"/>
      <c r="L282" s="270"/>
      <c r="M282" s="209"/>
      <c r="N282" s="209"/>
      <c r="O282" s="196"/>
      <c r="P282" s="223"/>
    </row>
    <row r="283" spans="1:16" ht="15.75" customHeight="1">
      <c r="A283" s="224"/>
      <c r="B283" s="282"/>
      <c r="C283" s="287"/>
      <c r="D283" s="288"/>
      <c r="E283" s="289"/>
      <c r="F283" s="290"/>
      <c r="G283" s="290"/>
      <c r="H283" s="288"/>
      <c r="I283" s="287"/>
      <c r="J283" s="270"/>
      <c r="K283" s="271"/>
      <c r="L283" s="270"/>
      <c r="M283" s="209"/>
      <c r="N283" s="209"/>
      <c r="O283" s="196"/>
      <c r="P283" s="223"/>
    </row>
    <row r="284" spans="1:16" ht="15.75" customHeight="1">
      <c r="A284" s="224"/>
      <c r="B284" s="282"/>
      <c r="C284" s="287"/>
      <c r="D284" s="288"/>
      <c r="E284" s="289"/>
      <c r="F284" s="290"/>
      <c r="G284" s="290"/>
      <c r="H284" s="288"/>
      <c r="I284" s="287"/>
      <c r="J284" s="270"/>
      <c r="K284" s="271"/>
      <c r="L284" s="270"/>
      <c r="M284" s="209"/>
      <c r="N284" s="209"/>
      <c r="O284" s="196"/>
      <c r="P284" s="223"/>
    </row>
    <row r="285" spans="1:16" ht="15.75" customHeight="1">
      <c r="A285" s="224"/>
      <c r="B285" s="282"/>
      <c r="C285" s="287"/>
      <c r="D285" s="288"/>
      <c r="E285" s="289"/>
      <c r="F285" s="290"/>
      <c r="G285" s="290"/>
      <c r="H285" s="288"/>
      <c r="I285" s="287"/>
      <c r="J285" s="270"/>
      <c r="K285" s="271"/>
      <c r="L285" s="270"/>
      <c r="M285" s="209"/>
      <c r="N285" s="209"/>
      <c r="O285" s="196"/>
      <c r="P285" s="223"/>
    </row>
    <row r="286" spans="1:16" ht="15.75" customHeight="1">
      <c r="A286" s="224"/>
      <c r="B286" s="282"/>
      <c r="C286" s="287"/>
      <c r="D286" s="288"/>
      <c r="E286" s="289"/>
      <c r="F286" s="290"/>
      <c r="G286" s="290"/>
      <c r="H286" s="288"/>
      <c r="I286" s="287"/>
      <c r="J286" s="270"/>
      <c r="K286" s="271"/>
      <c r="L286" s="270"/>
      <c r="M286" s="209"/>
      <c r="N286" s="209"/>
      <c r="O286" s="196"/>
      <c r="P286" s="223"/>
    </row>
    <row r="287" spans="1:16" ht="15.75" customHeight="1">
      <c r="A287" s="224"/>
      <c r="B287" s="282"/>
      <c r="C287" s="287"/>
      <c r="D287" s="288"/>
      <c r="E287" s="289"/>
      <c r="F287" s="290"/>
      <c r="G287" s="290"/>
      <c r="H287" s="288"/>
      <c r="I287" s="287"/>
      <c r="J287" s="270"/>
      <c r="K287" s="271"/>
      <c r="L287" s="270"/>
      <c r="M287" s="209"/>
      <c r="N287" s="209"/>
      <c r="O287" s="196"/>
      <c r="P287" s="223"/>
    </row>
    <row r="288" spans="1:16" ht="15.75" customHeight="1">
      <c r="A288" s="224"/>
      <c r="B288" s="282"/>
      <c r="C288" s="287"/>
      <c r="D288" s="288"/>
      <c r="E288" s="289"/>
      <c r="F288" s="290"/>
      <c r="G288" s="290"/>
      <c r="H288" s="288"/>
      <c r="I288" s="287"/>
      <c r="J288" s="270"/>
      <c r="K288" s="271"/>
      <c r="L288" s="270"/>
      <c r="M288" s="209"/>
      <c r="N288" s="209"/>
      <c r="O288" s="196"/>
      <c r="P288" s="223"/>
    </row>
    <row r="289" spans="1:16" ht="15.75" customHeight="1">
      <c r="A289" s="224"/>
      <c r="B289" s="282"/>
      <c r="C289" s="287"/>
      <c r="D289" s="288"/>
      <c r="E289" s="289"/>
      <c r="F289" s="290"/>
      <c r="G289" s="290"/>
      <c r="H289" s="288"/>
      <c r="I289" s="287"/>
      <c r="J289" s="270"/>
      <c r="K289" s="271"/>
      <c r="L289" s="270"/>
      <c r="M289" s="209"/>
      <c r="N289" s="209"/>
      <c r="O289" s="196"/>
      <c r="P289" s="223"/>
    </row>
    <row r="290" spans="1:16" ht="15.75" customHeight="1">
      <c r="A290" s="224"/>
      <c r="B290" s="282"/>
      <c r="C290" s="287"/>
      <c r="D290" s="288"/>
      <c r="E290" s="289"/>
      <c r="F290" s="290"/>
      <c r="G290" s="290"/>
      <c r="H290" s="288"/>
      <c r="I290" s="287"/>
      <c r="J290" s="270"/>
      <c r="K290" s="271"/>
      <c r="L290" s="270"/>
      <c r="M290" s="209"/>
      <c r="N290" s="209"/>
      <c r="O290" s="196"/>
      <c r="P290" s="223"/>
    </row>
    <row r="291" spans="1:16" ht="15.75" customHeight="1">
      <c r="A291" s="224"/>
      <c r="B291" s="282"/>
      <c r="C291" s="287"/>
      <c r="D291" s="288"/>
      <c r="E291" s="289"/>
      <c r="F291" s="290"/>
      <c r="G291" s="290"/>
      <c r="H291" s="288"/>
      <c r="I291" s="287"/>
      <c r="J291" s="270"/>
      <c r="K291" s="271"/>
      <c r="L291" s="270"/>
      <c r="M291" s="209"/>
      <c r="N291" s="209"/>
      <c r="O291" s="196"/>
      <c r="P291" s="223"/>
    </row>
    <row r="292" spans="1:16" ht="15.75" customHeight="1">
      <c r="A292" s="224"/>
      <c r="B292" s="282"/>
      <c r="C292" s="287"/>
      <c r="D292" s="288"/>
      <c r="E292" s="289"/>
      <c r="F292" s="290"/>
      <c r="G292" s="290"/>
      <c r="H292" s="288"/>
      <c r="I292" s="287"/>
      <c r="J292" s="270"/>
      <c r="K292" s="271"/>
      <c r="L292" s="270"/>
      <c r="M292" s="209"/>
      <c r="N292" s="209"/>
      <c r="O292" s="196"/>
      <c r="P292" s="223"/>
    </row>
    <row r="293" spans="1:16" ht="15.75" customHeight="1">
      <c r="A293" s="224"/>
      <c r="B293" s="282"/>
      <c r="C293" s="287"/>
      <c r="D293" s="288"/>
      <c r="E293" s="289"/>
      <c r="F293" s="290"/>
      <c r="G293" s="290"/>
      <c r="H293" s="288"/>
      <c r="I293" s="287"/>
      <c r="J293" s="270"/>
      <c r="K293" s="271"/>
      <c r="L293" s="270"/>
      <c r="M293" s="209"/>
      <c r="N293" s="209"/>
      <c r="O293" s="196"/>
      <c r="P293" s="223"/>
    </row>
    <row r="294" spans="1:16" ht="15.75" customHeight="1">
      <c r="A294" s="224"/>
      <c r="B294" s="282"/>
      <c r="C294" s="287"/>
      <c r="D294" s="288"/>
      <c r="E294" s="289"/>
      <c r="F294" s="290"/>
      <c r="G294" s="290"/>
      <c r="H294" s="288"/>
      <c r="I294" s="287"/>
      <c r="J294" s="270"/>
      <c r="K294" s="271"/>
      <c r="L294" s="270"/>
      <c r="M294" s="209"/>
      <c r="N294" s="209"/>
      <c r="O294" s="196"/>
      <c r="P294" s="223"/>
    </row>
    <row r="295" spans="1:16" ht="15.75" customHeight="1">
      <c r="A295" s="224"/>
      <c r="B295" s="282"/>
      <c r="C295" s="287"/>
      <c r="D295" s="288"/>
      <c r="E295" s="289"/>
      <c r="F295" s="290"/>
      <c r="G295" s="290"/>
      <c r="H295" s="288"/>
      <c r="I295" s="287"/>
      <c r="J295" s="270"/>
      <c r="K295" s="271"/>
      <c r="L295" s="270"/>
      <c r="M295" s="209"/>
      <c r="N295" s="209"/>
      <c r="O295" s="196"/>
      <c r="P295" s="223"/>
    </row>
    <row r="296" spans="1:16" ht="15.75" customHeight="1">
      <c r="A296" s="224"/>
      <c r="B296" s="282"/>
      <c r="C296" s="287"/>
      <c r="D296" s="288"/>
      <c r="E296" s="289"/>
      <c r="F296" s="290"/>
      <c r="G296" s="290"/>
      <c r="H296" s="288"/>
      <c r="I296" s="287"/>
      <c r="J296" s="270"/>
      <c r="K296" s="271"/>
      <c r="L296" s="270"/>
      <c r="M296" s="209"/>
      <c r="N296" s="209"/>
      <c r="O296" s="196"/>
      <c r="P296" s="223"/>
    </row>
    <row r="297" spans="1:16" ht="15.75" customHeight="1">
      <c r="A297" s="224"/>
      <c r="B297" s="282"/>
      <c r="C297" s="287"/>
      <c r="D297" s="288"/>
      <c r="E297" s="289"/>
      <c r="F297" s="290"/>
      <c r="G297" s="290"/>
      <c r="H297" s="288"/>
      <c r="I297" s="287"/>
      <c r="J297" s="270"/>
      <c r="K297" s="271"/>
      <c r="L297" s="270"/>
      <c r="M297" s="209"/>
      <c r="N297" s="209"/>
      <c r="O297" s="196"/>
      <c r="P297" s="223"/>
    </row>
    <row r="298" spans="1:16" ht="15.75" customHeight="1">
      <c r="A298" s="224"/>
      <c r="B298" s="282"/>
      <c r="C298" s="287"/>
      <c r="D298" s="288"/>
      <c r="E298" s="289"/>
      <c r="F298" s="290"/>
      <c r="G298" s="290"/>
      <c r="H298" s="288"/>
      <c r="I298" s="287"/>
      <c r="J298" s="270"/>
      <c r="K298" s="271"/>
      <c r="L298" s="270"/>
      <c r="M298" s="209"/>
      <c r="N298" s="209"/>
      <c r="O298" s="196"/>
      <c r="P298" s="223"/>
    </row>
    <row r="299" spans="1:16" ht="15.75" customHeight="1">
      <c r="A299" s="224"/>
      <c r="B299" s="282"/>
      <c r="C299" s="287"/>
      <c r="D299" s="288"/>
      <c r="E299" s="289"/>
      <c r="F299" s="290"/>
      <c r="G299" s="290"/>
      <c r="H299" s="288"/>
      <c r="I299" s="287"/>
      <c r="J299" s="270"/>
      <c r="K299" s="271"/>
      <c r="L299" s="270"/>
      <c r="M299" s="209"/>
      <c r="N299" s="209"/>
      <c r="O299" s="196"/>
      <c r="P299" s="223"/>
    </row>
    <row r="300" spans="1:16" ht="15.75" customHeight="1">
      <c r="A300" s="224"/>
      <c r="B300" s="282"/>
      <c r="C300" s="287"/>
      <c r="D300" s="288"/>
      <c r="E300" s="289"/>
      <c r="F300" s="290"/>
      <c r="G300" s="290"/>
      <c r="H300" s="288"/>
      <c r="I300" s="287"/>
      <c r="J300" s="270"/>
      <c r="K300" s="271"/>
      <c r="L300" s="270"/>
      <c r="M300" s="209"/>
      <c r="N300" s="209"/>
      <c r="O300" s="196"/>
      <c r="P300" s="223"/>
    </row>
    <row r="301" spans="1:16" ht="15.75" customHeight="1">
      <c r="A301" s="224"/>
      <c r="B301" s="282"/>
      <c r="C301" s="287"/>
      <c r="D301" s="288"/>
      <c r="E301" s="289"/>
      <c r="F301" s="290"/>
      <c r="G301" s="290"/>
      <c r="H301" s="288"/>
      <c r="I301" s="287"/>
      <c r="J301" s="270"/>
      <c r="K301" s="271"/>
      <c r="L301" s="270"/>
      <c r="M301" s="209"/>
      <c r="N301" s="209"/>
      <c r="O301" s="196"/>
      <c r="P301" s="223"/>
    </row>
    <row r="302" spans="1:16" ht="15.75" customHeight="1">
      <c r="A302" s="224"/>
      <c r="B302" s="282"/>
      <c r="C302" s="287"/>
      <c r="D302" s="288"/>
      <c r="E302" s="289"/>
      <c r="F302" s="290"/>
      <c r="G302" s="290"/>
      <c r="H302" s="288"/>
      <c r="I302" s="287"/>
      <c r="J302" s="270"/>
      <c r="K302" s="271"/>
      <c r="L302" s="270"/>
      <c r="M302" s="209"/>
      <c r="N302" s="209"/>
      <c r="O302" s="196"/>
      <c r="P302" s="223"/>
    </row>
    <row r="303" spans="1:16" ht="15.75" customHeight="1">
      <c r="A303" s="224"/>
      <c r="B303" s="282"/>
      <c r="C303" s="287"/>
      <c r="D303" s="288"/>
      <c r="E303" s="289"/>
      <c r="F303" s="290"/>
      <c r="G303" s="290"/>
      <c r="H303" s="288"/>
      <c r="I303" s="287"/>
      <c r="J303" s="270"/>
      <c r="K303" s="271"/>
      <c r="L303" s="270"/>
      <c r="M303" s="209"/>
      <c r="N303" s="209"/>
      <c r="O303" s="196"/>
      <c r="P303" s="223"/>
    </row>
    <row r="304" spans="1:16" ht="15.75" customHeight="1">
      <c r="A304" s="224"/>
      <c r="B304" s="282"/>
      <c r="C304" s="287"/>
      <c r="D304" s="288"/>
      <c r="E304" s="289"/>
      <c r="F304" s="290"/>
      <c r="G304" s="290"/>
      <c r="H304" s="288"/>
      <c r="I304" s="287"/>
      <c r="J304" s="270"/>
      <c r="K304" s="271"/>
      <c r="L304" s="270"/>
      <c r="M304" s="209"/>
      <c r="N304" s="209"/>
      <c r="O304" s="196"/>
      <c r="P304" s="223"/>
    </row>
    <row r="305" spans="1:16" ht="15.75" customHeight="1">
      <c r="A305" s="224"/>
      <c r="B305" s="282"/>
      <c r="C305" s="287"/>
      <c r="D305" s="288"/>
      <c r="E305" s="289"/>
      <c r="F305" s="290"/>
      <c r="G305" s="290"/>
      <c r="H305" s="288"/>
      <c r="I305" s="287"/>
      <c r="J305" s="270"/>
      <c r="K305" s="271"/>
      <c r="L305" s="270"/>
      <c r="M305" s="209"/>
      <c r="N305" s="209"/>
      <c r="O305" s="196"/>
      <c r="P305" s="223"/>
    </row>
    <row r="306" spans="1:16" ht="15.75" customHeight="1">
      <c r="A306" s="224"/>
      <c r="B306" s="282"/>
      <c r="C306" s="287"/>
      <c r="D306" s="288"/>
      <c r="E306" s="289"/>
      <c r="F306" s="290"/>
      <c r="G306" s="290"/>
      <c r="H306" s="288"/>
      <c r="I306" s="287"/>
      <c r="J306" s="270"/>
      <c r="K306" s="271"/>
      <c r="L306" s="270"/>
      <c r="M306" s="209"/>
      <c r="N306" s="209"/>
      <c r="O306" s="196"/>
      <c r="P306" s="223"/>
    </row>
    <row r="307" spans="1:16" ht="15.75" customHeight="1">
      <c r="A307" s="224"/>
      <c r="B307" s="282"/>
      <c r="C307" s="287"/>
      <c r="D307" s="288"/>
      <c r="E307" s="289"/>
      <c r="F307" s="290"/>
      <c r="G307" s="290"/>
      <c r="H307" s="288"/>
      <c r="I307" s="287"/>
      <c r="J307" s="270"/>
      <c r="K307" s="271"/>
      <c r="L307" s="270"/>
      <c r="M307" s="209"/>
      <c r="N307" s="209"/>
      <c r="O307" s="196"/>
      <c r="P307" s="223"/>
    </row>
    <row r="308" spans="1:16" ht="15.75" customHeight="1">
      <c r="A308" s="224"/>
      <c r="B308" s="282"/>
      <c r="C308" s="287"/>
      <c r="D308" s="288"/>
      <c r="E308" s="289"/>
      <c r="F308" s="290"/>
      <c r="G308" s="290"/>
      <c r="H308" s="288"/>
      <c r="I308" s="287"/>
      <c r="J308" s="270"/>
      <c r="K308" s="271"/>
      <c r="L308" s="270"/>
      <c r="M308" s="209"/>
      <c r="N308" s="209"/>
      <c r="O308" s="196"/>
      <c r="P308" s="223"/>
    </row>
    <row r="309" spans="1:16" ht="15.75" customHeight="1">
      <c r="A309" s="224"/>
      <c r="B309" s="282"/>
      <c r="C309" s="287"/>
      <c r="D309" s="288"/>
      <c r="E309" s="289"/>
      <c r="F309" s="290"/>
      <c r="G309" s="290"/>
      <c r="H309" s="288"/>
      <c r="I309" s="287"/>
      <c r="J309" s="270"/>
      <c r="K309" s="271"/>
      <c r="L309" s="270"/>
      <c r="M309" s="209"/>
      <c r="N309" s="209"/>
      <c r="O309" s="196"/>
      <c r="P309" s="223"/>
    </row>
    <row r="310" spans="1:16" ht="15.75" customHeight="1">
      <c r="A310" s="224"/>
      <c r="B310" s="282"/>
      <c r="C310" s="287"/>
      <c r="D310" s="288"/>
      <c r="E310" s="289"/>
      <c r="F310" s="290"/>
      <c r="G310" s="290"/>
      <c r="H310" s="288"/>
      <c r="I310" s="287"/>
      <c r="J310" s="270"/>
      <c r="K310" s="271"/>
      <c r="L310" s="270"/>
      <c r="M310" s="209"/>
      <c r="N310" s="209"/>
      <c r="O310" s="196"/>
      <c r="P310" s="223"/>
    </row>
    <row r="311" spans="1:16" ht="15.75" customHeight="1">
      <c r="A311" s="224"/>
      <c r="B311" s="282"/>
      <c r="C311" s="287"/>
      <c r="D311" s="288"/>
      <c r="E311" s="289"/>
      <c r="F311" s="290"/>
      <c r="G311" s="290"/>
      <c r="H311" s="288"/>
      <c r="I311" s="287"/>
      <c r="J311" s="270"/>
      <c r="K311" s="271"/>
      <c r="L311" s="270"/>
      <c r="M311" s="209"/>
      <c r="N311" s="209"/>
      <c r="O311" s="196"/>
      <c r="P311" s="223"/>
    </row>
    <row r="312" spans="1:16" ht="15.75" customHeight="1">
      <c r="A312" s="224"/>
      <c r="B312" s="282"/>
      <c r="C312" s="287"/>
      <c r="D312" s="288"/>
      <c r="E312" s="289"/>
      <c r="F312" s="290"/>
      <c r="G312" s="290"/>
      <c r="H312" s="288"/>
      <c r="I312" s="287"/>
      <c r="J312" s="270"/>
      <c r="K312" s="271"/>
      <c r="L312" s="270"/>
      <c r="M312" s="209"/>
      <c r="N312" s="209"/>
      <c r="O312" s="196"/>
      <c r="P312" s="223"/>
    </row>
    <row r="313" spans="1:16" ht="15.75" customHeight="1">
      <c r="A313" s="224"/>
      <c r="B313" s="282"/>
      <c r="C313" s="287"/>
      <c r="D313" s="288"/>
      <c r="E313" s="289"/>
      <c r="F313" s="290"/>
      <c r="G313" s="290"/>
      <c r="H313" s="288"/>
      <c r="I313" s="287"/>
      <c r="J313" s="270"/>
      <c r="K313" s="271"/>
      <c r="L313" s="270"/>
      <c r="M313" s="209"/>
      <c r="N313" s="209"/>
      <c r="O313" s="196"/>
      <c r="P313" s="223"/>
    </row>
    <row r="314" spans="1:16" ht="15.75" customHeight="1">
      <c r="A314" s="224"/>
      <c r="B314" s="282"/>
      <c r="C314" s="287"/>
      <c r="D314" s="288"/>
      <c r="E314" s="289"/>
      <c r="F314" s="290"/>
      <c r="G314" s="290"/>
      <c r="H314" s="288"/>
      <c r="I314" s="287"/>
      <c r="J314" s="270"/>
      <c r="K314" s="271"/>
      <c r="L314" s="270"/>
      <c r="M314" s="209"/>
      <c r="N314" s="209"/>
      <c r="O314" s="196"/>
      <c r="P314" s="223"/>
    </row>
    <row r="315" spans="1:16" ht="15.75" customHeight="1">
      <c r="A315" s="224"/>
      <c r="B315" s="282"/>
      <c r="C315" s="287"/>
      <c r="D315" s="288"/>
      <c r="E315" s="289"/>
      <c r="F315" s="290"/>
      <c r="G315" s="290"/>
      <c r="H315" s="288"/>
      <c r="I315" s="287"/>
      <c r="J315" s="270"/>
      <c r="K315" s="271"/>
      <c r="L315" s="270"/>
      <c r="M315" s="209"/>
      <c r="N315" s="209"/>
      <c r="O315" s="196"/>
      <c r="P315" s="223"/>
    </row>
    <row r="316" spans="1:16" ht="15.75" customHeight="1">
      <c r="A316" s="224"/>
      <c r="B316" s="282"/>
      <c r="C316" s="287"/>
      <c r="D316" s="288"/>
      <c r="E316" s="289"/>
      <c r="F316" s="290"/>
      <c r="G316" s="290"/>
      <c r="H316" s="288"/>
      <c r="I316" s="287"/>
      <c r="J316" s="270"/>
      <c r="K316" s="271"/>
      <c r="L316" s="270"/>
      <c r="M316" s="209"/>
      <c r="N316" s="209"/>
      <c r="O316" s="196"/>
      <c r="P316" s="223"/>
    </row>
    <row r="317" spans="1:16" ht="15.75" customHeight="1">
      <c r="A317" s="224"/>
      <c r="B317" s="282"/>
      <c r="C317" s="287"/>
      <c r="D317" s="288"/>
      <c r="E317" s="289"/>
      <c r="F317" s="290"/>
      <c r="G317" s="290"/>
      <c r="H317" s="288"/>
      <c r="I317" s="287"/>
      <c r="J317" s="270"/>
      <c r="K317" s="271"/>
      <c r="L317" s="270"/>
      <c r="M317" s="209"/>
      <c r="N317" s="209"/>
      <c r="O317" s="196"/>
      <c r="P317" s="223"/>
    </row>
    <row r="318" spans="1:16" ht="15.75" customHeight="1">
      <c r="A318" s="224"/>
      <c r="B318" s="282"/>
      <c r="C318" s="287"/>
      <c r="D318" s="288"/>
      <c r="E318" s="289"/>
      <c r="F318" s="290"/>
      <c r="G318" s="290"/>
      <c r="H318" s="288"/>
      <c r="I318" s="287"/>
      <c r="J318" s="270"/>
      <c r="K318" s="271"/>
      <c r="L318" s="270"/>
      <c r="M318" s="209"/>
      <c r="N318" s="209"/>
      <c r="O318" s="196"/>
      <c r="P318" s="223"/>
    </row>
    <row r="319" spans="1:16" ht="15.75" customHeight="1">
      <c r="A319" s="224"/>
      <c r="B319" s="282"/>
      <c r="C319" s="287"/>
      <c r="D319" s="288"/>
      <c r="E319" s="289"/>
      <c r="F319" s="290"/>
      <c r="G319" s="290"/>
      <c r="H319" s="288"/>
      <c r="I319" s="287"/>
      <c r="J319" s="270"/>
      <c r="K319" s="271"/>
      <c r="L319" s="270"/>
      <c r="M319" s="209"/>
      <c r="N319" s="209"/>
      <c r="O319" s="196"/>
      <c r="P319" s="223"/>
    </row>
    <row r="320" spans="1:16" ht="15.75" customHeight="1">
      <c r="A320" s="224"/>
      <c r="B320" s="282"/>
      <c r="C320" s="287"/>
      <c r="D320" s="288"/>
      <c r="E320" s="289"/>
      <c r="F320" s="290"/>
      <c r="G320" s="290"/>
      <c r="H320" s="288"/>
      <c r="I320" s="287"/>
      <c r="J320" s="270"/>
      <c r="K320" s="271"/>
      <c r="L320" s="270"/>
      <c r="M320" s="209"/>
      <c r="N320" s="209"/>
      <c r="O320" s="196"/>
      <c r="P320" s="223"/>
    </row>
    <row r="321" spans="1:16" ht="15.75" customHeight="1">
      <c r="A321" s="224"/>
      <c r="B321" s="282"/>
      <c r="C321" s="287"/>
      <c r="D321" s="288"/>
      <c r="E321" s="289"/>
      <c r="F321" s="290"/>
      <c r="G321" s="290"/>
      <c r="H321" s="288"/>
      <c r="I321" s="287"/>
      <c r="J321" s="270"/>
      <c r="K321" s="271"/>
      <c r="L321" s="270"/>
      <c r="M321" s="209"/>
      <c r="N321" s="209"/>
      <c r="O321" s="196"/>
      <c r="P321" s="223"/>
    </row>
    <row r="322" spans="1:16" ht="15.75" customHeight="1">
      <c r="A322" s="224"/>
      <c r="B322" s="282"/>
      <c r="C322" s="287"/>
      <c r="D322" s="288"/>
      <c r="E322" s="289"/>
      <c r="F322" s="290"/>
      <c r="G322" s="290"/>
      <c r="H322" s="288"/>
      <c r="I322" s="287"/>
      <c r="J322" s="270"/>
      <c r="K322" s="271"/>
      <c r="L322" s="270"/>
      <c r="M322" s="209"/>
      <c r="N322" s="209"/>
      <c r="O322" s="196"/>
      <c r="P322" s="223"/>
    </row>
    <row r="323" spans="1:16" ht="15.75" customHeight="1">
      <c r="A323" s="224"/>
      <c r="B323" s="282"/>
      <c r="C323" s="287"/>
      <c r="D323" s="288"/>
      <c r="E323" s="289"/>
      <c r="F323" s="290"/>
      <c r="G323" s="290"/>
      <c r="H323" s="288"/>
      <c r="I323" s="287"/>
      <c r="J323" s="270"/>
      <c r="K323" s="271"/>
      <c r="L323" s="270"/>
      <c r="M323" s="209"/>
      <c r="N323" s="209"/>
      <c r="O323" s="196"/>
      <c r="P323" s="223"/>
    </row>
    <row r="324" spans="1:16" ht="15.75" customHeight="1">
      <c r="A324" s="224"/>
      <c r="B324" s="282"/>
      <c r="C324" s="287"/>
      <c r="D324" s="288"/>
      <c r="E324" s="289"/>
      <c r="F324" s="290"/>
      <c r="G324" s="290"/>
      <c r="H324" s="288"/>
      <c r="I324" s="287"/>
      <c r="J324" s="270"/>
      <c r="K324" s="271"/>
      <c r="L324" s="270"/>
      <c r="M324" s="209"/>
      <c r="N324" s="209"/>
      <c r="O324" s="196"/>
      <c r="P324" s="223"/>
    </row>
    <row r="325" spans="1:16" ht="15.75" customHeight="1">
      <c r="A325" s="224"/>
      <c r="B325" s="282"/>
      <c r="C325" s="287"/>
      <c r="D325" s="288"/>
      <c r="E325" s="289"/>
      <c r="F325" s="290"/>
      <c r="G325" s="290"/>
      <c r="H325" s="288"/>
      <c r="I325" s="287"/>
      <c r="J325" s="270"/>
      <c r="K325" s="271"/>
      <c r="L325" s="270"/>
      <c r="M325" s="209"/>
      <c r="N325" s="209"/>
      <c r="O325" s="196"/>
      <c r="P325" s="223"/>
    </row>
    <row r="326" spans="1:16" ht="15.75" customHeight="1">
      <c r="A326" s="224"/>
      <c r="B326" s="282"/>
      <c r="C326" s="287"/>
      <c r="D326" s="288"/>
      <c r="E326" s="289"/>
      <c r="F326" s="290"/>
      <c r="G326" s="290"/>
      <c r="H326" s="288"/>
      <c r="I326" s="287"/>
      <c r="J326" s="270"/>
      <c r="K326" s="271"/>
      <c r="L326" s="270"/>
      <c r="M326" s="209"/>
      <c r="N326" s="209"/>
      <c r="O326" s="196"/>
      <c r="P326" s="223"/>
    </row>
    <row r="327" spans="1:16" ht="15.75" customHeight="1">
      <c r="A327" s="224"/>
      <c r="B327" s="282"/>
      <c r="C327" s="287"/>
      <c r="D327" s="288"/>
      <c r="E327" s="289"/>
      <c r="F327" s="290"/>
      <c r="G327" s="290"/>
      <c r="H327" s="288"/>
      <c r="I327" s="287"/>
      <c r="J327" s="270"/>
      <c r="K327" s="271"/>
      <c r="L327" s="270"/>
      <c r="M327" s="209"/>
      <c r="N327" s="209"/>
      <c r="O327" s="196"/>
      <c r="P327" s="223"/>
    </row>
    <row r="328" spans="1:16" ht="15.75" customHeight="1">
      <c r="A328" s="224"/>
      <c r="B328" s="282"/>
      <c r="C328" s="287"/>
      <c r="D328" s="288"/>
      <c r="E328" s="289"/>
      <c r="F328" s="290"/>
      <c r="G328" s="290"/>
      <c r="H328" s="288"/>
      <c r="I328" s="287"/>
      <c r="J328" s="270"/>
      <c r="K328" s="271"/>
      <c r="L328" s="270"/>
      <c r="M328" s="209"/>
      <c r="N328" s="209"/>
      <c r="O328" s="196"/>
      <c r="P328" s="223"/>
    </row>
    <row r="329" spans="1:16" ht="15.75" customHeight="1">
      <c r="A329" s="224"/>
      <c r="B329" s="282"/>
      <c r="C329" s="287"/>
      <c r="D329" s="288"/>
      <c r="E329" s="289"/>
      <c r="F329" s="290"/>
      <c r="G329" s="290"/>
      <c r="H329" s="288"/>
      <c r="I329" s="287"/>
      <c r="J329" s="270"/>
      <c r="K329" s="271"/>
      <c r="L329" s="270"/>
      <c r="M329" s="209"/>
      <c r="N329" s="209"/>
      <c r="O329" s="196"/>
      <c r="P329" s="223"/>
    </row>
    <row r="330" spans="1:16" ht="15.75" customHeight="1">
      <c r="A330" s="224"/>
      <c r="B330" s="282"/>
      <c r="C330" s="287"/>
      <c r="D330" s="288"/>
      <c r="E330" s="289"/>
      <c r="F330" s="290"/>
      <c r="G330" s="290"/>
      <c r="H330" s="288"/>
      <c r="I330" s="287"/>
      <c r="J330" s="270"/>
      <c r="K330" s="271"/>
      <c r="L330" s="270"/>
      <c r="M330" s="209"/>
      <c r="N330" s="209"/>
      <c r="O330" s="196"/>
      <c r="P330" s="223"/>
    </row>
    <row r="331" spans="1:16" ht="15.75" customHeight="1">
      <c r="A331" s="224"/>
      <c r="B331" s="282"/>
      <c r="C331" s="287"/>
      <c r="D331" s="288"/>
      <c r="E331" s="289"/>
      <c r="F331" s="290"/>
      <c r="G331" s="290"/>
      <c r="H331" s="288"/>
      <c r="I331" s="287"/>
      <c r="J331" s="270"/>
      <c r="K331" s="271"/>
      <c r="L331" s="270"/>
      <c r="M331" s="209"/>
      <c r="N331" s="209"/>
      <c r="O331" s="196"/>
      <c r="P331" s="223"/>
    </row>
    <row r="332" spans="1:16" ht="15.75" customHeight="1">
      <c r="A332" s="224"/>
      <c r="B332" s="282"/>
      <c r="C332" s="287"/>
      <c r="D332" s="288"/>
      <c r="E332" s="289"/>
      <c r="F332" s="290"/>
      <c r="G332" s="290"/>
      <c r="H332" s="288"/>
      <c r="I332" s="287"/>
      <c r="J332" s="270"/>
      <c r="K332" s="271"/>
      <c r="L332" s="270"/>
      <c r="M332" s="209"/>
      <c r="N332" s="209"/>
      <c r="O332" s="196"/>
      <c r="P332" s="223"/>
    </row>
    <row r="333" spans="1:16" ht="15.75" customHeight="1">
      <c r="A333" s="224"/>
      <c r="B333" s="282"/>
      <c r="C333" s="287"/>
      <c r="D333" s="288"/>
      <c r="E333" s="289"/>
      <c r="F333" s="290"/>
      <c r="G333" s="290"/>
      <c r="H333" s="288"/>
      <c r="I333" s="287"/>
      <c r="J333" s="270"/>
      <c r="K333" s="271"/>
      <c r="L333" s="270"/>
      <c r="M333" s="209"/>
      <c r="N333" s="209"/>
      <c r="O333" s="196"/>
      <c r="P333" s="223"/>
    </row>
    <row r="334" spans="1:16" ht="15.75" customHeight="1">
      <c r="A334" s="224"/>
      <c r="B334" s="282"/>
      <c r="C334" s="287"/>
      <c r="D334" s="288"/>
      <c r="E334" s="289"/>
      <c r="F334" s="290"/>
      <c r="G334" s="290"/>
      <c r="H334" s="288"/>
      <c r="I334" s="287"/>
      <c r="J334" s="270"/>
      <c r="K334" s="271"/>
      <c r="L334" s="270"/>
      <c r="M334" s="209"/>
      <c r="N334" s="209"/>
      <c r="O334" s="196"/>
      <c r="P334" s="223"/>
    </row>
    <row r="335" spans="1:16" ht="15.75" customHeight="1">
      <c r="A335" s="224"/>
      <c r="B335" s="282"/>
      <c r="C335" s="287"/>
      <c r="D335" s="288"/>
      <c r="E335" s="289"/>
      <c r="F335" s="290"/>
      <c r="G335" s="290"/>
      <c r="H335" s="288"/>
      <c r="I335" s="287"/>
      <c r="J335" s="270"/>
      <c r="K335" s="271"/>
      <c r="L335" s="270"/>
      <c r="M335" s="209"/>
      <c r="N335" s="209"/>
      <c r="O335" s="196"/>
      <c r="P335" s="223"/>
    </row>
    <row r="336" spans="1:16" ht="15.75" customHeight="1">
      <c r="A336" s="224"/>
      <c r="B336" s="282"/>
      <c r="C336" s="287"/>
      <c r="D336" s="288"/>
      <c r="E336" s="289"/>
      <c r="F336" s="290"/>
      <c r="G336" s="290"/>
      <c r="H336" s="288"/>
      <c r="I336" s="287"/>
      <c r="J336" s="270"/>
      <c r="K336" s="271"/>
      <c r="L336" s="270"/>
      <c r="M336" s="209"/>
      <c r="N336" s="209"/>
      <c r="O336" s="196"/>
      <c r="P336" s="223"/>
    </row>
    <row r="337" spans="1:16" ht="15.75" customHeight="1">
      <c r="A337" s="224"/>
      <c r="B337" s="282"/>
      <c r="C337" s="287"/>
      <c r="D337" s="288"/>
      <c r="E337" s="289"/>
      <c r="F337" s="290"/>
      <c r="G337" s="290"/>
      <c r="H337" s="288"/>
      <c r="I337" s="287"/>
      <c r="J337" s="270"/>
      <c r="K337" s="271"/>
      <c r="L337" s="270"/>
      <c r="M337" s="209"/>
      <c r="N337" s="209"/>
      <c r="O337" s="196"/>
      <c r="P337" s="223"/>
    </row>
    <row r="338" spans="1:16" ht="15.75" customHeight="1">
      <c r="A338" s="224"/>
      <c r="B338" s="282"/>
      <c r="C338" s="287"/>
      <c r="D338" s="288"/>
      <c r="E338" s="289"/>
      <c r="F338" s="290"/>
      <c r="G338" s="290"/>
      <c r="H338" s="288"/>
      <c r="I338" s="287"/>
      <c r="J338" s="270"/>
      <c r="K338" s="271"/>
      <c r="L338" s="270"/>
      <c r="M338" s="209"/>
      <c r="N338" s="209"/>
      <c r="O338" s="196"/>
      <c r="P338" s="223"/>
    </row>
    <row r="339" spans="1:16" ht="15.75" customHeight="1">
      <c r="A339" s="224"/>
      <c r="B339" s="282"/>
      <c r="C339" s="287"/>
      <c r="D339" s="288"/>
      <c r="E339" s="289"/>
      <c r="F339" s="290"/>
      <c r="G339" s="290"/>
      <c r="H339" s="288"/>
      <c r="I339" s="287"/>
      <c r="J339" s="270"/>
      <c r="K339" s="271"/>
      <c r="L339" s="270"/>
      <c r="M339" s="209"/>
      <c r="N339" s="209"/>
      <c r="O339" s="196"/>
      <c r="P339" s="223"/>
    </row>
    <row r="340" spans="1:16" ht="15.75" customHeight="1">
      <c r="A340" s="224"/>
      <c r="B340" s="282"/>
      <c r="C340" s="287"/>
      <c r="D340" s="288"/>
      <c r="E340" s="289"/>
      <c r="F340" s="290"/>
      <c r="G340" s="290"/>
      <c r="H340" s="288"/>
      <c r="I340" s="287"/>
      <c r="J340" s="270"/>
      <c r="K340" s="271"/>
      <c r="L340" s="270"/>
      <c r="M340" s="209"/>
      <c r="N340" s="209"/>
      <c r="O340" s="196"/>
      <c r="P340" s="223"/>
    </row>
    <row r="341" spans="1:16" ht="15.75" customHeight="1">
      <c r="A341" s="224"/>
      <c r="B341" s="282"/>
      <c r="C341" s="287"/>
      <c r="D341" s="288"/>
      <c r="E341" s="289"/>
      <c r="F341" s="290"/>
      <c r="G341" s="290"/>
      <c r="H341" s="288"/>
      <c r="I341" s="287"/>
      <c r="J341" s="270"/>
      <c r="K341" s="271"/>
      <c r="L341" s="270"/>
      <c r="M341" s="209"/>
      <c r="N341" s="209"/>
      <c r="O341" s="196"/>
      <c r="P341" s="223"/>
    </row>
    <row r="342" spans="1:16" ht="15.75" customHeight="1">
      <c r="A342" s="224"/>
      <c r="B342" s="282"/>
      <c r="C342" s="287"/>
      <c r="D342" s="288"/>
      <c r="E342" s="289"/>
      <c r="F342" s="290"/>
      <c r="G342" s="290"/>
      <c r="H342" s="288"/>
      <c r="I342" s="287"/>
      <c r="J342" s="270"/>
      <c r="K342" s="271"/>
      <c r="L342" s="270"/>
      <c r="M342" s="209"/>
      <c r="N342" s="209"/>
      <c r="O342" s="196"/>
      <c r="P342" s="223"/>
    </row>
    <row r="343" spans="1:16" ht="15.75" customHeight="1">
      <c r="A343" s="224"/>
      <c r="B343" s="282"/>
      <c r="C343" s="287"/>
      <c r="D343" s="288"/>
      <c r="E343" s="289"/>
      <c r="F343" s="290"/>
      <c r="G343" s="290"/>
      <c r="H343" s="288"/>
      <c r="I343" s="287"/>
      <c r="J343" s="270"/>
      <c r="K343" s="271"/>
      <c r="L343" s="270"/>
      <c r="M343" s="209"/>
      <c r="N343" s="209"/>
      <c r="O343" s="196"/>
      <c r="P343" s="223"/>
    </row>
    <row r="344" spans="1:16" ht="15.75" customHeight="1">
      <c r="A344" s="224"/>
      <c r="B344" s="282"/>
      <c r="C344" s="287"/>
      <c r="D344" s="288"/>
      <c r="E344" s="289"/>
      <c r="F344" s="290"/>
      <c r="G344" s="290"/>
      <c r="H344" s="288"/>
      <c r="I344" s="287"/>
      <c r="J344" s="270"/>
      <c r="K344" s="271"/>
      <c r="L344" s="270"/>
      <c r="M344" s="209"/>
      <c r="N344" s="209"/>
      <c r="O344" s="196"/>
      <c r="P344" s="223"/>
    </row>
    <row r="345" spans="1:16" ht="15.75" customHeight="1">
      <c r="A345" s="224"/>
      <c r="B345" s="282"/>
      <c r="C345" s="287"/>
      <c r="D345" s="288"/>
      <c r="E345" s="289"/>
      <c r="F345" s="290"/>
      <c r="G345" s="290"/>
      <c r="H345" s="288"/>
      <c r="I345" s="287"/>
      <c r="J345" s="270"/>
      <c r="K345" s="271"/>
      <c r="L345" s="270"/>
      <c r="M345" s="209"/>
      <c r="N345" s="209"/>
      <c r="O345" s="196"/>
      <c r="P345" s="223"/>
    </row>
    <row r="346" spans="1:16" ht="15.75" customHeight="1">
      <c r="A346" s="224"/>
      <c r="B346" s="282"/>
      <c r="C346" s="287"/>
      <c r="D346" s="288"/>
      <c r="E346" s="289"/>
      <c r="F346" s="290"/>
      <c r="G346" s="290"/>
      <c r="H346" s="288"/>
      <c r="I346" s="287"/>
      <c r="J346" s="270"/>
      <c r="K346" s="271"/>
      <c r="L346" s="270"/>
      <c r="M346" s="209"/>
      <c r="N346" s="209"/>
      <c r="O346" s="196"/>
      <c r="P346" s="223"/>
    </row>
    <row r="347" spans="1:16" ht="15.75" customHeight="1">
      <c r="A347" s="224"/>
      <c r="B347" s="282"/>
      <c r="C347" s="287"/>
      <c r="D347" s="288"/>
      <c r="E347" s="289"/>
      <c r="F347" s="290"/>
      <c r="G347" s="290"/>
      <c r="H347" s="288"/>
      <c r="I347" s="287"/>
      <c r="J347" s="270"/>
      <c r="K347" s="271"/>
      <c r="L347" s="270"/>
      <c r="M347" s="209"/>
      <c r="N347" s="209"/>
      <c r="O347" s="196"/>
      <c r="P347" s="223"/>
    </row>
    <row r="348" spans="1:16" ht="15.75" customHeight="1">
      <c r="A348" s="224"/>
      <c r="B348" s="282"/>
      <c r="C348" s="287"/>
      <c r="D348" s="288"/>
      <c r="E348" s="289"/>
      <c r="F348" s="290"/>
      <c r="G348" s="290"/>
      <c r="H348" s="288"/>
      <c r="I348" s="287"/>
      <c r="J348" s="270"/>
      <c r="K348" s="271"/>
      <c r="L348" s="270"/>
      <c r="M348" s="209"/>
      <c r="N348" s="209"/>
      <c r="O348" s="196"/>
      <c r="P348" s="223"/>
    </row>
    <row r="349" spans="1:16" ht="15.75" customHeight="1">
      <c r="A349" s="224"/>
      <c r="B349" s="282"/>
      <c r="C349" s="287"/>
      <c r="D349" s="288"/>
      <c r="E349" s="289"/>
      <c r="F349" s="290"/>
      <c r="G349" s="290"/>
      <c r="H349" s="288"/>
      <c r="I349" s="287"/>
      <c r="J349" s="270"/>
      <c r="K349" s="271"/>
      <c r="L349" s="270"/>
      <c r="M349" s="209"/>
      <c r="N349" s="209"/>
      <c r="O349" s="196"/>
      <c r="P349" s="223"/>
    </row>
    <row r="350" spans="1:16" ht="15.75" customHeight="1">
      <c r="A350" s="224"/>
      <c r="B350" s="282"/>
      <c r="C350" s="287"/>
      <c r="D350" s="288"/>
      <c r="E350" s="289"/>
      <c r="F350" s="290"/>
      <c r="G350" s="290"/>
      <c r="H350" s="288"/>
      <c r="I350" s="287"/>
      <c r="J350" s="270"/>
      <c r="K350" s="271"/>
      <c r="L350" s="270"/>
      <c r="M350" s="209"/>
      <c r="N350" s="209"/>
      <c r="O350" s="196"/>
      <c r="P350" s="223"/>
    </row>
    <row r="351" spans="1:16" ht="15.75" customHeight="1">
      <c r="A351" s="224"/>
      <c r="B351" s="282"/>
      <c r="C351" s="287"/>
      <c r="D351" s="288"/>
      <c r="E351" s="289"/>
      <c r="F351" s="290"/>
      <c r="G351" s="290"/>
      <c r="H351" s="288"/>
      <c r="I351" s="287"/>
      <c r="J351" s="270"/>
      <c r="K351" s="271"/>
      <c r="L351" s="270"/>
      <c r="M351" s="209"/>
      <c r="N351" s="209"/>
      <c r="O351" s="196"/>
      <c r="P351" s="223"/>
    </row>
    <row r="352" spans="1:16" ht="15.75" customHeight="1">
      <c r="A352" s="224"/>
      <c r="B352" s="282"/>
      <c r="C352" s="287"/>
      <c r="D352" s="288"/>
      <c r="E352" s="289"/>
      <c r="F352" s="290"/>
      <c r="G352" s="290"/>
      <c r="H352" s="288"/>
      <c r="I352" s="287"/>
      <c r="J352" s="270"/>
      <c r="K352" s="271"/>
      <c r="L352" s="270"/>
      <c r="M352" s="209"/>
      <c r="N352" s="209"/>
      <c r="O352" s="196"/>
      <c r="P352" s="223"/>
    </row>
    <row r="353" spans="1:16" ht="15.75" customHeight="1">
      <c r="A353" s="224"/>
      <c r="B353" s="282"/>
      <c r="C353" s="287"/>
      <c r="D353" s="288"/>
      <c r="E353" s="289"/>
      <c r="F353" s="290"/>
      <c r="G353" s="290"/>
      <c r="H353" s="288"/>
      <c r="I353" s="287"/>
      <c r="J353" s="270"/>
      <c r="K353" s="271"/>
      <c r="L353" s="270"/>
      <c r="M353" s="209"/>
      <c r="N353" s="209"/>
      <c r="O353" s="196"/>
      <c r="P353" s="223"/>
    </row>
    <row r="354" spans="1:16" ht="15.75" customHeight="1">
      <c r="A354" s="224"/>
      <c r="B354" s="282"/>
      <c r="C354" s="287"/>
      <c r="D354" s="288"/>
      <c r="E354" s="289"/>
      <c r="F354" s="290"/>
      <c r="G354" s="290"/>
      <c r="H354" s="288"/>
      <c r="I354" s="287"/>
      <c r="J354" s="270"/>
      <c r="K354" s="271"/>
      <c r="L354" s="270"/>
      <c r="M354" s="209"/>
      <c r="N354" s="209"/>
      <c r="O354" s="196"/>
      <c r="P354" s="223"/>
    </row>
    <row r="355" spans="1:16" ht="15.75" customHeight="1">
      <c r="A355" s="224"/>
      <c r="B355" s="282"/>
      <c r="C355" s="287"/>
      <c r="D355" s="288"/>
      <c r="E355" s="289"/>
      <c r="F355" s="290"/>
      <c r="G355" s="290"/>
      <c r="H355" s="288"/>
      <c r="I355" s="287"/>
      <c r="J355" s="270"/>
      <c r="K355" s="271"/>
      <c r="L355" s="270"/>
      <c r="M355" s="209"/>
      <c r="N355" s="209"/>
      <c r="O355" s="196"/>
      <c r="P355" s="223"/>
    </row>
    <row r="356" spans="1:16" ht="15.75" customHeight="1">
      <c r="A356" s="224"/>
      <c r="B356" s="282"/>
      <c r="C356" s="287"/>
      <c r="D356" s="288"/>
      <c r="E356" s="289"/>
      <c r="F356" s="290"/>
      <c r="G356" s="290"/>
      <c r="H356" s="288"/>
      <c r="I356" s="287"/>
      <c r="J356" s="270"/>
      <c r="K356" s="271"/>
      <c r="L356" s="270"/>
      <c r="M356" s="209"/>
      <c r="N356" s="209"/>
      <c r="O356" s="196"/>
      <c r="P356" s="223"/>
    </row>
    <row r="357" spans="1:16" ht="15.75" customHeight="1">
      <c r="A357" s="224"/>
      <c r="B357" s="282"/>
      <c r="C357" s="287"/>
      <c r="D357" s="288"/>
      <c r="E357" s="289"/>
      <c r="F357" s="290"/>
      <c r="G357" s="290"/>
      <c r="H357" s="288"/>
      <c r="I357" s="287"/>
      <c r="J357" s="270"/>
      <c r="K357" s="271"/>
      <c r="L357" s="270"/>
      <c r="M357" s="209"/>
      <c r="N357" s="209"/>
      <c r="O357" s="196"/>
      <c r="P357" s="223"/>
    </row>
    <row r="358" spans="1:16" ht="15.75" customHeight="1">
      <c r="A358" s="224"/>
      <c r="B358" s="282"/>
      <c r="C358" s="287"/>
      <c r="D358" s="288"/>
      <c r="E358" s="289"/>
      <c r="F358" s="290"/>
      <c r="G358" s="290"/>
      <c r="H358" s="288"/>
      <c r="I358" s="287"/>
      <c r="J358" s="270"/>
      <c r="K358" s="271"/>
      <c r="L358" s="270"/>
      <c r="M358" s="209"/>
      <c r="N358" s="209"/>
      <c r="O358" s="196"/>
      <c r="P358" s="223"/>
    </row>
    <row r="359" spans="1:16" ht="15.75" customHeight="1">
      <c r="A359" s="224"/>
      <c r="B359" s="282"/>
      <c r="C359" s="287"/>
      <c r="D359" s="288"/>
      <c r="E359" s="289"/>
      <c r="F359" s="290"/>
      <c r="G359" s="290"/>
      <c r="H359" s="288"/>
      <c r="I359" s="287"/>
      <c r="J359" s="270"/>
      <c r="K359" s="271"/>
      <c r="L359" s="270"/>
      <c r="M359" s="209"/>
      <c r="N359" s="209"/>
      <c r="O359" s="196"/>
      <c r="P359" s="223"/>
    </row>
    <row r="360" spans="1:16" ht="15.75" customHeight="1">
      <c r="A360" s="224"/>
      <c r="B360" s="282"/>
      <c r="C360" s="287"/>
      <c r="D360" s="288"/>
      <c r="E360" s="289"/>
      <c r="F360" s="290"/>
      <c r="G360" s="290"/>
      <c r="H360" s="288"/>
      <c r="I360" s="287"/>
      <c r="J360" s="270"/>
      <c r="K360" s="271"/>
      <c r="L360" s="270"/>
      <c r="M360" s="209"/>
      <c r="N360" s="209"/>
      <c r="O360" s="196"/>
      <c r="P360" s="223"/>
    </row>
    <row r="361" spans="1:16" ht="15.75" customHeight="1">
      <c r="A361" s="224"/>
      <c r="B361" s="282"/>
      <c r="C361" s="287"/>
      <c r="D361" s="288"/>
      <c r="E361" s="289"/>
      <c r="F361" s="290"/>
      <c r="G361" s="290"/>
      <c r="H361" s="288"/>
      <c r="I361" s="287"/>
      <c r="J361" s="270"/>
      <c r="K361" s="271"/>
      <c r="L361" s="270"/>
      <c r="M361" s="209"/>
      <c r="N361" s="209"/>
      <c r="O361" s="196"/>
      <c r="P361" s="223"/>
    </row>
    <row r="362" spans="1:16" ht="15.75" customHeight="1">
      <c r="A362" s="224"/>
      <c r="B362" s="282"/>
      <c r="C362" s="287"/>
      <c r="D362" s="288"/>
      <c r="E362" s="289"/>
      <c r="F362" s="290"/>
      <c r="G362" s="290"/>
      <c r="H362" s="288"/>
      <c r="I362" s="287"/>
      <c r="J362" s="270"/>
      <c r="K362" s="271"/>
      <c r="L362" s="270"/>
      <c r="M362" s="209"/>
      <c r="N362" s="209"/>
      <c r="O362" s="196"/>
      <c r="P362" s="223"/>
    </row>
    <row r="363" spans="1:16" ht="15.75" customHeight="1">
      <c r="A363" s="224"/>
      <c r="B363" s="282"/>
      <c r="C363" s="287"/>
      <c r="D363" s="288"/>
      <c r="E363" s="289"/>
      <c r="F363" s="290"/>
      <c r="G363" s="290"/>
      <c r="H363" s="288"/>
      <c r="I363" s="287"/>
      <c r="J363" s="270"/>
      <c r="K363" s="271"/>
      <c r="L363" s="270"/>
      <c r="M363" s="209"/>
      <c r="N363" s="209"/>
      <c r="O363" s="196"/>
      <c r="P363" s="223"/>
    </row>
    <row r="364" spans="1:16" ht="15.75" customHeight="1">
      <c r="A364" s="224"/>
      <c r="B364" s="282"/>
      <c r="C364" s="287"/>
      <c r="D364" s="288"/>
      <c r="E364" s="289"/>
      <c r="F364" s="290"/>
      <c r="G364" s="290"/>
      <c r="H364" s="288"/>
      <c r="I364" s="287"/>
      <c r="J364" s="270"/>
      <c r="K364" s="271"/>
      <c r="L364" s="270"/>
      <c r="M364" s="209"/>
      <c r="N364" s="209"/>
      <c r="O364" s="196"/>
      <c r="P364" s="223"/>
    </row>
    <row r="365" spans="1:16" ht="15.75" customHeight="1">
      <c r="A365" s="224"/>
      <c r="B365" s="282"/>
      <c r="C365" s="287"/>
      <c r="D365" s="288"/>
      <c r="E365" s="289"/>
      <c r="F365" s="290"/>
      <c r="G365" s="290"/>
      <c r="H365" s="288"/>
      <c r="I365" s="287"/>
      <c r="J365" s="270"/>
      <c r="K365" s="271"/>
      <c r="L365" s="270"/>
      <c r="M365" s="209"/>
      <c r="N365" s="209"/>
      <c r="O365" s="196"/>
      <c r="P365" s="223"/>
    </row>
    <row r="366" spans="1:16" ht="15.75" customHeight="1">
      <c r="A366" s="224"/>
      <c r="B366" s="282"/>
      <c r="C366" s="287"/>
      <c r="D366" s="288"/>
      <c r="E366" s="289"/>
      <c r="F366" s="290"/>
      <c r="G366" s="290"/>
      <c r="H366" s="288"/>
      <c r="I366" s="287"/>
      <c r="J366" s="270"/>
      <c r="K366" s="271"/>
      <c r="L366" s="270"/>
      <c r="M366" s="209"/>
      <c r="N366" s="209"/>
      <c r="O366" s="196"/>
      <c r="P366" s="223"/>
    </row>
    <row r="367" spans="1:16" ht="15.75" customHeight="1">
      <c r="A367" s="224"/>
      <c r="B367" s="282"/>
      <c r="C367" s="287"/>
      <c r="D367" s="288"/>
      <c r="E367" s="289"/>
      <c r="F367" s="290"/>
      <c r="G367" s="290"/>
      <c r="H367" s="288"/>
      <c r="I367" s="287"/>
      <c r="J367" s="270"/>
      <c r="K367" s="271"/>
      <c r="L367" s="270"/>
      <c r="M367" s="209"/>
      <c r="N367" s="209"/>
      <c r="O367" s="196"/>
      <c r="P367" s="223"/>
    </row>
    <row r="368" spans="1:16" ht="15.75" customHeight="1">
      <c r="A368" s="224"/>
      <c r="B368" s="282"/>
      <c r="C368" s="287"/>
      <c r="D368" s="288"/>
      <c r="E368" s="289"/>
      <c r="F368" s="290"/>
      <c r="G368" s="290"/>
      <c r="H368" s="288"/>
      <c r="I368" s="287"/>
      <c r="J368" s="270"/>
      <c r="K368" s="271"/>
      <c r="L368" s="270"/>
      <c r="M368" s="209"/>
      <c r="N368" s="209"/>
      <c r="O368" s="196"/>
      <c r="P368" s="223"/>
    </row>
    <row r="369" spans="1:16" ht="15.75" customHeight="1">
      <c r="A369" s="224"/>
      <c r="B369" s="282"/>
      <c r="C369" s="287"/>
      <c r="D369" s="288"/>
      <c r="E369" s="289"/>
      <c r="F369" s="290"/>
      <c r="G369" s="290"/>
      <c r="H369" s="288"/>
      <c r="I369" s="287"/>
      <c r="J369" s="270"/>
      <c r="K369" s="271"/>
      <c r="L369" s="270"/>
      <c r="M369" s="209"/>
      <c r="N369" s="209"/>
      <c r="O369" s="196"/>
      <c r="P369" s="223"/>
    </row>
    <row r="370" spans="1:16" ht="15.75" customHeight="1">
      <c r="A370" s="224"/>
      <c r="B370" s="282"/>
      <c r="C370" s="287"/>
      <c r="D370" s="288"/>
      <c r="E370" s="289"/>
      <c r="F370" s="290"/>
      <c r="G370" s="290"/>
      <c r="H370" s="288"/>
      <c r="I370" s="287"/>
      <c r="J370" s="270"/>
      <c r="K370" s="271"/>
      <c r="L370" s="270"/>
      <c r="M370" s="209"/>
      <c r="N370" s="209"/>
      <c r="O370" s="196"/>
      <c r="P370" s="223"/>
    </row>
    <row r="371" spans="1:16" ht="15.75" customHeight="1">
      <c r="A371" s="224"/>
      <c r="B371" s="282"/>
      <c r="C371" s="287"/>
      <c r="D371" s="288"/>
      <c r="E371" s="289"/>
      <c r="F371" s="290"/>
      <c r="G371" s="290"/>
      <c r="H371" s="288"/>
      <c r="I371" s="287"/>
      <c r="J371" s="270"/>
      <c r="K371" s="271"/>
      <c r="L371" s="270"/>
      <c r="M371" s="209"/>
      <c r="N371" s="209"/>
      <c r="O371" s="196"/>
      <c r="P371" s="223"/>
    </row>
    <row r="372" spans="1:16" ht="15.75" customHeight="1">
      <c r="A372" s="224"/>
      <c r="B372" s="282"/>
      <c r="C372" s="287"/>
      <c r="D372" s="288"/>
      <c r="E372" s="289"/>
      <c r="F372" s="290"/>
      <c r="G372" s="290"/>
      <c r="H372" s="288"/>
      <c r="I372" s="287"/>
      <c r="J372" s="270"/>
      <c r="K372" s="271"/>
      <c r="L372" s="270"/>
      <c r="M372" s="209"/>
      <c r="N372" s="209"/>
      <c r="O372" s="196"/>
      <c r="P372" s="223"/>
    </row>
    <row r="373" spans="1:16" ht="15.75" customHeight="1">
      <c r="A373" s="224"/>
      <c r="B373" s="282"/>
      <c r="C373" s="287"/>
      <c r="D373" s="288"/>
      <c r="E373" s="289"/>
      <c r="F373" s="290"/>
      <c r="G373" s="290"/>
      <c r="H373" s="288"/>
      <c r="I373" s="287"/>
      <c r="J373" s="270"/>
      <c r="K373" s="271"/>
      <c r="L373" s="270"/>
      <c r="M373" s="209"/>
      <c r="N373" s="209"/>
      <c r="O373" s="196"/>
      <c r="P373" s="223"/>
    </row>
    <row r="374" spans="1:16" ht="15.75" customHeight="1">
      <c r="A374" s="224"/>
      <c r="B374" s="282"/>
      <c r="C374" s="287"/>
      <c r="D374" s="288"/>
      <c r="E374" s="289"/>
      <c r="F374" s="290"/>
      <c r="G374" s="290"/>
      <c r="H374" s="288"/>
      <c r="I374" s="287"/>
      <c r="J374" s="270"/>
      <c r="K374" s="271"/>
      <c r="L374" s="270"/>
      <c r="M374" s="209"/>
      <c r="N374" s="209"/>
      <c r="O374" s="196"/>
      <c r="P374" s="223"/>
    </row>
    <row r="375" spans="1:16" ht="15.75" customHeight="1">
      <c r="A375" s="224"/>
      <c r="B375" s="282"/>
      <c r="C375" s="287"/>
      <c r="D375" s="288"/>
      <c r="E375" s="289"/>
      <c r="F375" s="290"/>
      <c r="G375" s="290"/>
      <c r="H375" s="288"/>
      <c r="I375" s="287"/>
      <c r="J375" s="270"/>
      <c r="K375" s="271"/>
      <c r="L375" s="270"/>
      <c r="M375" s="209"/>
      <c r="N375" s="209"/>
      <c r="O375" s="196"/>
      <c r="P375" s="223"/>
    </row>
    <row r="376" spans="1:16" ht="15.75" customHeight="1">
      <c r="A376" s="224"/>
      <c r="B376" s="282"/>
      <c r="C376" s="287"/>
      <c r="D376" s="288"/>
      <c r="E376" s="289"/>
      <c r="F376" s="290"/>
      <c r="G376" s="290"/>
      <c r="H376" s="288"/>
      <c r="I376" s="287"/>
      <c r="J376" s="270"/>
      <c r="K376" s="271"/>
      <c r="L376" s="270"/>
      <c r="M376" s="209"/>
      <c r="N376" s="209"/>
      <c r="O376" s="196"/>
      <c r="P376" s="223"/>
    </row>
    <row r="377" spans="1:16" ht="15.75" customHeight="1">
      <c r="A377" s="224"/>
      <c r="B377" s="282"/>
      <c r="C377" s="287"/>
      <c r="D377" s="288"/>
      <c r="E377" s="289"/>
      <c r="F377" s="290"/>
      <c r="G377" s="290"/>
      <c r="H377" s="288"/>
      <c r="I377" s="287"/>
      <c r="J377" s="270"/>
      <c r="K377" s="271"/>
      <c r="L377" s="270"/>
      <c r="M377" s="209"/>
      <c r="N377" s="209"/>
      <c r="O377" s="196"/>
      <c r="P377" s="223"/>
    </row>
    <row r="378" spans="1:16" ht="15.75" customHeight="1">
      <c r="A378" s="224"/>
      <c r="B378" s="282"/>
      <c r="C378" s="287"/>
      <c r="D378" s="288"/>
      <c r="E378" s="289"/>
      <c r="F378" s="290"/>
      <c r="G378" s="290"/>
      <c r="H378" s="288"/>
      <c r="I378" s="287"/>
      <c r="J378" s="270"/>
      <c r="K378" s="271"/>
      <c r="L378" s="270"/>
      <c r="M378" s="209"/>
      <c r="N378" s="209"/>
      <c r="O378" s="196"/>
      <c r="P378" s="223"/>
    </row>
    <row r="379" spans="1:16" ht="15.75" customHeight="1">
      <c r="A379" s="224"/>
      <c r="B379" s="282"/>
      <c r="C379" s="287"/>
      <c r="D379" s="288"/>
      <c r="E379" s="289"/>
      <c r="F379" s="290"/>
      <c r="G379" s="290"/>
      <c r="H379" s="288"/>
      <c r="I379" s="287"/>
      <c r="J379" s="270"/>
      <c r="K379" s="271"/>
      <c r="L379" s="270"/>
      <c r="M379" s="209"/>
      <c r="N379" s="209"/>
      <c r="O379" s="196"/>
      <c r="P379" s="223"/>
    </row>
    <row r="380" spans="1:16" ht="15.75" customHeight="1">
      <c r="A380" s="224"/>
      <c r="B380" s="282"/>
      <c r="C380" s="287"/>
      <c r="D380" s="288"/>
      <c r="E380" s="289"/>
      <c r="F380" s="290"/>
      <c r="G380" s="290"/>
      <c r="H380" s="288"/>
      <c r="I380" s="287"/>
      <c r="J380" s="270"/>
      <c r="K380" s="271"/>
      <c r="L380" s="270"/>
      <c r="M380" s="209"/>
      <c r="N380" s="209"/>
      <c r="O380" s="196"/>
      <c r="P380" s="223"/>
    </row>
    <row r="381" spans="1:16" ht="15.75" customHeight="1">
      <c r="A381" s="224"/>
      <c r="B381" s="282"/>
      <c r="C381" s="287"/>
      <c r="D381" s="288"/>
      <c r="E381" s="289"/>
      <c r="F381" s="290"/>
      <c r="G381" s="290"/>
      <c r="H381" s="288"/>
      <c r="I381" s="287"/>
      <c r="J381" s="270"/>
      <c r="K381" s="271"/>
      <c r="L381" s="270"/>
      <c r="M381" s="209"/>
      <c r="N381" s="209"/>
      <c r="O381" s="196"/>
      <c r="P381" s="223"/>
    </row>
    <row r="382" spans="1:16" ht="15.75" customHeight="1">
      <c r="A382" s="224"/>
      <c r="B382" s="282"/>
      <c r="C382" s="287"/>
      <c r="D382" s="288"/>
      <c r="E382" s="289"/>
      <c r="F382" s="290"/>
      <c r="G382" s="290"/>
      <c r="H382" s="288"/>
      <c r="I382" s="287"/>
      <c r="J382" s="270"/>
      <c r="K382" s="271"/>
      <c r="L382" s="270"/>
      <c r="M382" s="209"/>
      <c r="N382" s="209"/>
      <c r="O382" s="196"/>
      <c r="P382" s="223"/>
    </row>
    <row r="383" spans="1:16" ht="15.75" customHeight="1">
      <c r="A383" s="224"/>
      <c r="B383" s="282"/>
      <c r="C383" s="287"/>
      <c r="D383" s="288"/>
      <c r="E383" s="289"/>
      <c r="F383" s="290"/>
      <c r="G383" s="290"/>
      <c r="H383" s="288"/>
      <c r="I383" s="287"/>
      <c r="J383" s="270"/>
      <c r="K383" s="271"/>
      <c r="L383" s="270"/>
      <c r="M383" s="209"/>
      <c r="N383" s="209"/>
      <c r="O383" s="196"/>
      <c r="P383" s="223"/>
    </row>
    <row r="384" spans="1:16" ht="15.75" customHeight="1">
      <c r="A384" s="224"/>
      <c r="B384" s="282"/>
      <c r="C384" s="287"/>
      <c r="D384" s="288"/>
      <c r="E384" s="289"/>
      <c r="F384" s="290"/>
      <c r="G384" s="290"/>
      <c r="H384" s="288"/>
      <c r="I384" s="287"/>
      <c r="J384" s="270"/>
      <c r="K384" s="271"/>
      <c r="L384" s="270"/>
      <c r="M384" s="209"/>
      <c r="N384" s="209"/>
      <c r="O384" s="196"/>
      <c r="P384" s="223"/>
    </row>
    <row r="385" spans="1:16" ht="15.75" customHeight="1">
      <c r="A385" s="224"/>
      <c r="B385" s="282"/>
      <c r="C385" s="287"/>
      <c r="D385" s="288"/>
      <c r="E385" s="289"/>
      <c r="F385" s="290"/>
      <c r="G385" s="290"/>
      <c r="H385" s="288"/>
      <c r="I385" s="287"/>
      <c r="J385" s="270"/>
      <c r="K385" s="271"/>
      <c r="L385" s="270"/>
      <c r="M385" s="209"/>
      <c r="N385" s="209"/>
      <c r="O385" s="196"/>
      <c r="P385" s="223"/>
    </row>
    <row r="386" spans="1:16" ht="15.75" customHeight="1">
      <c r="A386" s="224"/>
      <c r="B386" s="282"/>
      <c r="C386" s="287"/>
      <c r="D386" s="288"/>
      <c r="E386" s="289"/>
      <c r="F386" s="290"/>
      <c r="G386" s="290"/>
      <c r="H386" s="288"/>
      <c r="I386" s="287"/>
      <c r="J386" s="270"/>
      <c r="K386" s="271"/>
      <c r="L386" s="270"/>
      <c r="M386" s="209"/>
      <c r="N386" s="209"/>
      <c r="O386" s="196"/>
      <c r="P386" s="223"/>
    </row>
    <row r="387" spans="1:16" ht="15.75" customHeight="1">
      <c r="A387" s="224"/>
      <c r="B387" s="282"/>
      <c r="C387" s="287"/>
      <c r="D387" s="288"/>
      <c r="E387" s="289"/>
      <c r="F387" s="290"/>
      <c r="G387" s="290"/>
      <c r="H387" s="288"/>
      <c r="I387" s="287"/>
      <c r="J387" s="270"/>
      <c r="K387" s="271"/>
      <c r="L387" s="270"/>
      <c r="M387" s="209"/>
      <c r="N387" s="209"/>
      <c r="O387" s="196"/>
      <c r="P387" s="223"/>
    </row>
    <row r="388" spans="1:16" ht="15.75" customHeight="1">
      <c r="A388" s="224"/>
      <c r="B388" s="282"/>
      <c r="C388" s="287"/>
      <c r="D388" s="288"/>
      <c r="E388" s="289"/>
      <c r="F388" s="290"/>
      <c r="G388" s="290"/>
      <c r="H388" s="288"/>
      <c r="I388" s="287"/>
      <c r="J388" s="270"/>
      <c r="K388" s="271"/>
      <c r="L388" s="270"/>
      <c r="M388" s="209"/>
      <c r="N388" s="209"/>
      <c r="O388" s="196"/>
      <c r="P388" s="223"/>
    </row>
    <row r="389" spans="1:16" ht="15.75" customHeight="1">
      <c r="A389" s="224"/>
      <c r="B389" s="282"/>
      <c r="C389" s="287"/>
      <c r="D389" s="288"/>
      <c r="E389" s="289"/>
      <c r="F389" s="290"/>
      <c r="G389" s="290"/>
      <c r="H389" s="288"/>
      <c r="I389" s="287"/>
      <c r="J389" s="270"/>
      <c r="K389" s="271"/>
      <c r="L389" s="270"/>
      <c r="M389" s="209"/>
      <c r="N389" s="209"/>
      <c r="O389" s="196"/>
      <c r="P389" s="223"/>
    </row>
    <row r="390" spans="1:16" ht="15.75" customHeight="1">
      <c r="A390" s="224"/>
      <c r="B390" s="282"/>
      <c r="C390" s="287"/>
      <c r="D390" s="288"/>
      <c r="E390" s="289"/>
      <c r="F390" s="290"/>
      <c r="G390" s="290"/>
      <c r="H390" s="288"/>
      <c r="I390" s="287"/>
      <c r="J390" s="270"/>
      <c r="K390" s="271"/>
      <c r="L390" s="270"/>
      <c r="M390" s="209"/>
      <c r="N390" s="209"/>
      <c r="O390" s="196"/>
      <c r="P390" s="223"/>
    </row>
    <row r="391" spans="1:16" ht="15.75" customHeight="1">
      <c r="A391" s="224"/>
      <c r="B391" s="282"/>
      <c r="C391" s="287"/>
      <c r="D391" s="288"/>
      <c r="E391" s="289"/>
      <c r="F391" s="290"/>
      <c r="G391" s="290"/>
      <c r="H391" s="288"/>
      <c r="I391" s="287"/>
      <c r="J391" s="270"/>
      <c r="K391" s="271"/>
      <c r="L391" s="270"/>
      <c r="M391" s="209"/>
      <c r="N391" s="209"/>
      <c r="O391" s="196"/>
      <c r="P391" s="223"/>
    </row>
    <row r="392" spans="1:16" ht="15.75" customHeight="1">
      <c r="A392" s="224"/>
      <c r="B392" s="282"/>
      <c r="C392" s="287"/>
      <c r="D392" s="288"/>
      <c r="E392" s="289"/>
      <c r="F392" s="290"/>
      <c r="G392" s="290"/>
      <c r="H392" s="288"/>
      <c r="I392" s="287"/>
      <c r="J392" s="270"/>
      <c r="K392" s="271"/>
      <c r="L392" s="270"/>
      <c r="M392" s="209"/>
      <c r="N392" s="209"/>
      <c r="O392" s="196"/>
      <c r="P392" s="223"/>
    </row>
    <row r="393" spans="1:16" ht="15.75" customHeight="1">
      <c r="A393" s="224"/>
      <c r="B393" s="282"/>
      <c r="C393" s="287"/>
      <c r="D393" s="288"/>
      <c r="E393" s="289"/>
      <c r="F393" s="290"/>
      <c r="G393" s="290"/>
      <c r="H393" s="288"/>
      <c r="I393" s="287"/>
      <c r="J393" s="270"/>
      <c r="K393" s="271"/>
      <c r="L393" s="270"/>
      <c r="M393" s="209"/>
      <c r="N393" s="209"/>
      <c r="O393" s="196"/>
      <c r="P393" s="223"/>
    </row>
    <row r="394" spans="1:16" ht="15.75" customHeight="1">
      <c r="A394" s="224"/>
      <c r="B394" s="282"/>
      <c r="C394" s="287"/>
      <c r="D394" s="288"/>
      <c r="E394" s="289"/>
      <c r="F394" s="290"/>
      <c r="G394" s="290"/>
      <c r="H394" s="288"/>
      <c r="I394" s="287"/>
      <c r="J394" s="270"/>
      <c r="K394" s="271"/>
      <c r="L394" s="270"/>
      <c r="M394" s="209"/>
      <c r="N394" s="209"/>
      <c r="O394" s="196"/>
      <c r="P394" s="223"/>
    </row>
    <row r="395" spans="1:16" ht="15.75" customHeight="1">
      <c r="A395" s="224"/>
      <c r="B395" s="282"/>
      <c r="C395" s="287"/>
      <c r="D395" s="288"/>
      <c r="E395" s="289"/>
      <c r="F395" s="290"/>
      <c r="G395" s="290"/>
      <c r="H395" s="288"/>
      <c r="I395" s="287"/>
      <c r="J395" s="270"/>
      <c r="K395" s="271"/>
      <c r="L395" s="270"/>
      <c r="M395" s="209"/>
      <c r="N395" s="209"/>
      <c r="O395" s="196"/>
      <c r="P395" s="223"/>
    </row>
    <row r="396" spans="1:16" ht="15.75" customHeight="1">
      <c r="A396" s="224"/>
      <c r="B396" s="282"/>
      <c r="C396" s="287"/>
      <c r="D396" s="288"/>
      <c r="E396" s="289"/>
      <c r="F396" s="290"/>
      <c r="G396" s="290"/>
      <c r="H396" s="288"/>
      <c r="I396" s="287"/>
      <c r="J396" s="270"/>
      <c r="K396" s="271"/>
      <c r="L396" s="270"/>
      <c r="M396" s="209"/>
      <c r="N396" s="209"/>
      <c r="O396" s="196"/>
      <c r="P396" s="223"/>
    </row>
    <row r="397" spans="1:16" ht="15.75" customHeight="1">
      <c r="A397" s="224"/>
      <c r="B397" s="282"/>
      <c r="C397" s="287"/>
      <c r="D397" s="288"/>
      <c r="E397" s="289"/>
      <c r="F397" s="290"/>
      <c r="G397" s="290"/>
      <c r="H397" s="288"/>
      <c r="I397" s="287"/>
      <c r="J397" s="270"/>
      <c r="K397" s="271"/>
      <c r="L397" s="270"/>
      <c r="M397" s="209"/>
      <c r="N397" s="209"/>
      <c r="O397" s="196"/>
      <c r="P397" s="223"/>
    </row>
    <row r="398" spans="1:16" ht="15.75" customHeight="1">
      <c r="A398" s="224"/>
      <c r="B398" s="282"/>
      <c r="C398" s="287"/>
      <c r="D398" s="288"/>
      <c r="E398" s="289"/>
      <c r="F398" s="290"/>
      <c r="G398" s="290"/>
      <c r="H398" s="288"/>
      <c r="I398" s="287"/>
      <c r="J398" s="270"/>
      <c r="K398" s="271"/>
      <c r="L398" s="270"/>
      <c r="M398" s="209"/>
      <c r="N398" s="209"/>
      <c r="O398" s="196"/>
      <c r="P398" s="223"/>
    </row>
    <row r="399" spans="1:16" ht="15.75" customHeight="1">
      <c r="A399" s="224"/>
      <c r="B399" s="282"/>
      <c r="C399" s="287"/>
      <c r="D399" s="288"/>
      <c r="E399" s="289"/>
      <c r="F399" s="290"/>
      <c r="G399" s="290"/>
      <c r="H399" s="288"/>
      <c r="I399" s="287"/>
      <c r="J399" s="270"/>
      <c r="K399" s="271"/>
      <c r="L399" s="270"/>
      <c r="M399" s="209"/>
      <c r="N399" s="209"/>
      <c r="O399" s="196"/>
      <c r="P399" s="223"/>
    </row>
    <row r="400" spans="1:16" ht="15.75" customHeight="1">
      <c r="A400" s="224"/>
      <c r="B400" s="282"/>
      <c r="C400" s="287"/>
      <c r="D400" s="288"/>
      <c r="E400" s="289"/>
      <c r="F400" s="290"/>
      <c r="G400" s="290"/>
      <c r="H400" s="288"/>
      <c r="I400" s="287"/>
      <c r="J400" s="270"/>
      <c r="K400" s="271"/>
      <c r="L400" s="270"/>
      <c r="M400" s="209"/>
      <c r="N400" s="209"/>
      <c r="O400" s="196"/>
      <c r="P400" s="223"/>
    </row>
    <row r="401" spans="1:16" ht="15.75" customHeight="1">
      <c r="A401" s="224"/>
      <c r="B401" s="282"/>
      <c r="C401" s="287"/>
      <c r="D401" s="288"/>
      <c r="E401" s="289"/>
      <c r="F401" s="290"/>
      <c r="G401" s="290"/>
      <c r="H401" s="288"/>
      <c r="I401" s="287"/>
      <c r="J401" s="270"/>
      <c r="K401" s="271"/>
      <c r="L401" s="270"/>
      <c r="M401" s="209"/>
      <c r="N401" s="209"/>
      <c r="O401" s="196"/>
      <c r="P401" s="223"/>
    </row>
    <row r="402" spans="1:16" ht="15.75" customHeight="1">
      <c r="A402" s="224"/>
      <c r="B402" s="282"/>
      <c r="C402" s="287"/>
      <c r="D402" s="288"/>
      <c r="E402" s="289"/>
      <c r="F402" s="290"/>
      <c r="G402" s="290"/>
      <c r="H402" s="288"/>
      <c r="I402" s="287"/>
      <c r="J402" s="270"/>
      <c r="K402" s="271"/>
      <c r="L402" s="270"/>
      <c r="M402" s="209"/>
      <c r="N402" s="209"/>
      <c r="O402" s="196"/>
      <c r="P402" s="223"/>
    </row>
    <row r="403" spans="1:16" ht="15.75" customHeight="1">
      <c r="A403" s="224"/>
      <c r="B403" s="282"/>
      <c r="C403" s="287"/>
      <c r="D403" s="288"/>
      <c r="E403" s="289"/>
      <c r="F403" s="290"/>
      <c r="G403" s="290"/>
      <c r="H403" s="288"/>
      <c r="I403" s="287"/>
      <c r="J403" s="270"/>
      <c r="K403" s="271"/>
      <c r="L403" s="270"/>
      <c r="M403" s="209"/>
      <c r="N403" s="209"/>
      <c r="O403" s="196"/>
      <c r="P403" s="223"/>
    </row>
    <row r="404" spans="1:16" ht="15.75" customHeight="1">
      <c r="A404" s="224"/>
      <c r="B404" s="282"/>
      <c r="C404" s="287"/>
      <c r="D404" s="288"/>
      <c r="E404" s="289"/>
      <c r="F404" s="290"/>
      <c r="G404" s="290"/>
      <c r="H404" s="288"/>
      <c r="I404" s="287"/>
      <c r="J404" s="270"/>
      <c r="K404" s="271"/>
      <c r="L404" s="270"/>
      <c r="M404" s="209"/>
      <c r="N404" s="209"/>
      <c r="O404" s="196"/>
      <c r="P404" s="223"/>
    </row>
    <row r="405" spans="1:16" ht="15.75" customHeight="1">
      <c r="A405" s="224"/>
      <c r="B405" s="282"/>
      <c r="C405" s="287"/>
      <c r="D405" s="288"/>
      <c r="E405" s="289"/>
      <c r="F405" s="290"/>
      <c r="G405" s="290"/>
      <c r="H405" s="288"/>
      <c r="I405" s="287"/>
      <c r="J405" s="270"/>
      <c r="K405" s="271"/>
      <c r="L405" s="270"/>
      <c r="M405" s="209"/>
      <c r="N405" s="209"/>
      <c r="O405" s="196"/>
      <c r="P405" s="223"/>
    </row>
    <row r="406" spans="1:16" ht="15.75" customHeight="1">
      <c r="A406" s="224"/>
      <c r="B406" s="282"/>
      <c r="C406" s="287"/>
      <c r="D406" s="288"/>
      <c r="E406" s="289"/>
      <c r="F406" s="290"/>
      <c r="G406" s="290"/>
      <c r="H406" s="288"/>
      <c r="I406" s="287"/>
      <c r="J406" s="270"/>
      <c r="K406" s="271"/>
      <c r="L406" s="270"/>
      <c r="M406" s="209"/>
      <c r="N406" s="209"/>
      <c r="O406" s="196"/>
      <c r="P406" s="223"/>
    </row>
    <row r="407" spans="1:16" ht="15.75" customHeight="1">
      <c r="A407" s="224"/>
      <c r="B407" s="282"/>
      <c r="C407" s="287"/>
      <c r="D407" s="288"/>
      <c r="E407" s="289"/>
      <c r="F407" s="290"/>
      <c r="G407" s="290"/>
      <c r="H407" s="288"/>
      <c r="I407" s="287"/>
      <c r="J407" s="270"/>
      <c r="K407" s="271"/>
      <c r="L407" s="270"/>
      <c r="M407" s="209"/>
      <c r="N407" s="209"/>
      <c r="O407" s="196"/>
      <c r="P407" s="223"/>
    </row>
    <row r="408" spans="1:16" ht="15.75" customHeight="1">
      <c r="A408" s="224"/>
      <c r="B408" s="282"/>
      <c r="C408" s="287"/>
      <c r="D408" s="288"/>
      <c r="E408" s="289"/>
      <c r="F408" s="290"/>
      <c r="G408" s="290"/>
      <c r="H408" s="288"/>
      <c r="I408" s="287"/>
      <c r="J408" s="270"/>
      <c r="K408" s="271"/>
      <c r="L408" s="270"/>
      <c r="M408" s="209"/>
      <c r="N408" s="209"/>
      <c r="O408" s="196"/>
      <c r="P408" s="223"/>
    </row>
    <row r="409" spans="1:16" ht="15.75" customHeight="1">
      <c r="A409" s="224"/>
      <c r="B409" s="282"/>
      <c r="C409" s="287"/>
      <c r="D409" s="288"/>
      <c r="E409" s="289"/>
      <c r="F409" s="290"/>
      <c r="G409" s="290"/>
      <c r="H409" s="288"/>
      <c r="I409" s="287"/>
      <c r="J409" s="270"/>
      <c r="K409" s="271"/>
      <c r="L409" s="270"/>
      <c r="M409" s="209"/>
      <c r="N409" s="209"/>
      <c r="O409" s="196"/>
      <c r="P409" s="223"/>
    </row>
    <row r="410" spans="1:16" ht="15.75" customHeight="1">
      <c r="A410" s="224"/>
      <c r="B410" s="282"/>
      <c r="C410" s="287"/>
      <c r="D410" s="288"/>
      <c r="E410" s="289"/>
      <c r="F410" s="290"/>
      <c r="G410" s="290"/>
      <c r="H410" s="288"/>
      <c r="I410" s="287"/>
      <c r="J410" s="270"/>
      <c r="K410" s="271"/>
      <c r="L410" s="270"/>
      <c r="M410" s="209"/>
      <c r="N410" s="209"/>
      <c r="O410" s="196"/>
      <c r="P410" s="223"/>
    </row>
    <row r="411" spans="1:16" ht="15.75" customHeight="1">
      <c r="A411" s="224"/>
      <c r="B411" s="282"/>
      <c r="C411" s="287"/>
      <c r="D411" s="288"/>
      <c r="E411" s="289"/>
      <c r="F411" s="290"/>
      <c r="G411" s="290"/>
      <c r="H411" s="288"/>
      <c r="I411" s="287"/>
      <c r="J411" s="270"/>
      <c r="K411" s="271"/>
      <c r="L411" s="270"/>
      <c r="M411" s="209"/>
      <c r="N411" s="209"/>
      <c r="O411" s="196"/>
      <c r="P411" s="223"/>
    </row>
    <row r="412" spans="1:16" ht="15.75" customHeight="1">
      <c r="A412" s="224"/>
      <c r="B412" s="282"/>
      <c r="C412" s="287"/>
      <c r="D412" s="288"/>
      <c r="E412" s="289"/>
      <c r="F412" s="290"/>
      <c r="G412" s="290"/>
      <c r="H412" s="288"/>
      <c r="I412" s="287"/>
      <c r="J412" s="270"/>
      <c r="K412" s="271"/>
      <c r="L412" s="270"/>
      <c r="M412" s="209"/>
      <c r="N412" s="209"/>
      <c r="O412" s="196"/>
      <c r="P412" s="223"/>
    </row>
    <row r="413" spans="1:16" ht="15.75" customHeight="1">
      <c r="A413" s="224"/>
      <c r="B413" s="282"/>
      <c r="C413" s="287"/>
      <c r="D413" s="288"/>
      <c r="E413" s="289"/>
      <c r="F413" s="290"/>
      <c r="G413" s="290"/>
      <c r="H413" s="288"/>
      <c r="I413" s="287"/>
      <c r="J413" s="270"/>
      <c r="K413" s="271"/>
      <c r="L413" s="270"/>
      <c r="M413" s="209"/>
      <c r="N413" s="209"/>
      <c r="O413" s="196"/>
      <c r="P413" s="223"/>
    </row>
    <row r="414" spans="1:16" ht="15.75" customHeight="1">
      <c r="A414" s="224"/>
      <c r="B414" s="282"/>
      <c r="C414" s="287"/>
      <c r="D414" s="288"/>
      <c r="E414" s="289"/>
      <c r="F414" s="290"/>
      <c r="G414" s="290"/>
      <c r="H414" s="288"/>
      <c r="I414" s="287"/>
      <c r="J414" s="270"/>
      <c r="K414" s="271"/>
      <c r="L414" s="270"/>
      <c r="M414" s="209"/>
      <c r="N414" s="209"/>
      <c r="O414" s="196"/>
      <c r="P414" s="223"/>
    </row>
    <row r="415" spans="1:16" ht="15.75" customHeight="1">
      <c r="A415" s="224"/>
      <c r="B415" s="282"/>
      <c r="C415" s="287"/>
      <c r="D415" s="288"/>
      <c r="E415" s="289"/>
      <c r="F415" s="290"/>
      <c r="G415" s="290"/>
      <c r="H415" s="288"/>
      <c r="I415" s="287"/>
      <c r="J415" s="270"/>
      <c r="K415" s="271"/>
      <c r="L415" s="270"/>
      <c r="M415" s="209"/>
      <c r="N415" s="209"/>
      <c r="O415" s="196"/>
      <c r="P415" s="223"/>
    </row>
    <row r="416" spans="1:16" ht="15.75" customHeight="1">
      <c r="A416" s="224"/>
      <c r="B416" s="282"/>
      <c r="C416" s="287"/>
      <c r="D416" s="288"/>
      <c r="E416" s="289"/>
      <c r="F416" s="290"/>
      <c r="G416" s="290"/>
      <c r="H416" s="288"/>
      <c r="I416" s="287"/>
      <c r="J416" s="270"/>
      <c r="K416" s="271"/>
      <c r="L416" s="270"/>
      <c r="M416" s="209"/>
      <c r="N416" s="209"/>
      <c r="O416" s="196"/>
      <c r="P416" s="223"/>
    </row>
    <row r="417" spans="1:16" ht="15.75" customHeight="1">
      <c r="A417" s="224"/>
      <c r="B417" s="282"/>
      <c r="C417" s="287"/>
      <c r="D417" s="288"/>
      <c r="E417" s="289"/>
      <c r="F417" s="290"/>
      <c r="G417" s="290"/>
      <c r="H417" s="288"/>
      <c r="I417" s="287"/>
      <c r="J417" s="270"/>
      <c r="K417" s="271"/>
      <c r="L417" s="270"/>
      <c r="M417" s="209"/>
      <c r="N417" s="209"/>
      <c r="O417" s="196"/>
      <c r="P417" s="223"/>
    </row>
    <row r="418" spans="1:16" ht="15.75" customHeight="1">
      <c r="A418" s="224"/>
      <c r="B418" s="282"/>
      <c r="C418" s="287"/>
      <c r="D418" s="288"/>
      <c r="E418" s="289"/>
      <c r="F418" s="290"/>
      <c r="G418" s="290"/>
      <c r="H418" s="288"/>
      <c r="I418" s="287"/>
      <c r="J418" s="270"/>
      <c r="K418" s="271"/>
      <c r="L418" s="270"/>
      <c r="M418" s="209"/>
      <c r="N418" s="209"/>
      <c r="O418" s="196"/>
      <c r="P418" s="223"/>
    </row>
    <row r="419" spans="1:16" ht="15.75" customHeight="1">
      <c r="A419" s="224"/>
      <c r="B419" s="282"/>
      <c r="C419" s="287"/>
      <c r="D419" s="288"/>
      <c r="E419" s="289"/>
      <c r="F419" s="290"/>
      <c r="G419" s="290"/>
      <c r="H419" s="288"/>
      <c r="I419" s="287"/>
      <c r="J419" s="270"/>
      <c r="K419" s="271"/>
      <c r="L419" s="270"/>
      <c r="M419" s="209"/>
      <c r="N419" s="209"/>
      <c r="O419" s="196"/>
      <c r="P419" s="223"/>
    </row>
    <row r="420" spans="1:16" ht="15.75" customHeight="1">
      <c r="A420" s="224"/>
      <c r="B420" s="282"/>
      <c r="C420" s="287"/>
      <c r="D420" s="288"/>
      <c r="E420" s="289"/>
      <c r="F420" s="290"/>
      <c r="G420" s="290"/>
      <c r="H420" s="288"/>
      <c r="I420" s="287"/>
      <c r="J420" s="270"/>
      <c r="K420" s="271"/>
      <c r="L420" s="270"/>
      <c r="M420" s="209"/>
      <c r="N420" s="209"/>
      <c r="O420" s="196"/>
      <c r="P420" s="223"/>
    </row>
    <row r="421" spans="1:16" ht="15.75" customHeight="1">
      <c r="A421" s="224"/>
      <c r="B421" s="282"/>
      <c r="C421" s="287"/>
      <c r="D421" s="288"/>
      <c r="E421" s="289"/>
      <c r="F421" s="290"/>
      <c r="G421" s="290"/>
      <c r="H421" s="288"/>
      <c r="I421" s="287"/>
      <c r="J421" s="270"/>
      <c r="K421" s="271"/>
      <c r="L421" s="270"/>
      <c r="M421" s="209"/>
      <c r="N421" s="209"/>
      <c r="O421" s="196"/>
      <c r="P421" s="223"/>
    </row>
    <row r="422" spans="1:16" ht="15.75" customHeight="1">
      <c r="A422" s="224"/>
      <c r="B422" s="282"/>
      <c r="C422" s="287"/>
      <c r="D422" s="288"/>
      <c r="E422" s="289"/>
      <c r="F422" s="290"/>
      <c r="G422" s="290"/>
      <c r="H422" s="288"/>
      <c r="I422" s="287"/>
      <c r="J422" s="270"/>
      <c r="K422" s="271"/>
      <c r="L422" s="270"/>
      <c r="M422" s="209"/>
      <c r="N422" s="209"/>
      <c r="O422" s="196"/>
      <c r="P422" s="223"/>
    </row>
    <row r="423" spans="1:16" ht="15.75" customHeight="1">
      <c r="A423" s="224"/>
      <c r="B423" s="282"/>
      <c r="C423" s="287"/>
      <c r="D423" s="288"/>
      <c r="E423" s="289"/>
      <c r="F423" s="290"/>
      <c r="G423" s="290"/>
      <c r="H423" s="288"/>
      <c r="I423" s="287"/>
      <c r="J423" s="270"/>
      <c r="K423" s="271"/>
      <c r="L423" s="270"/>
      <c r="M423" s="209"/>
      <c r="N423" s="209"/>
      <c r="O423" s="196"/>
      <c r="P423" s="223"/>
    </row>
    <row r="424" spans="1:16" ht="15.75" customHeight="1">
      <c r="A424" s="224"/>
      <c r="B424" s="282"/>
      <c r="C424" s="287"/>
      <c r="D424" s="288"/>
      <c r="E424" s="289"/>
      <c r="F424" s="290"/>
      <c r="G424" s="290"/>
      <c r="H424" s="288"/>
      <c r="I424" s="287"/>
      <c r="J424" s="270"/>
      <c r="K424" s="271"/>
      <c r="L424" s="270"/>
      <c r="M424" s="209"/>
      <c r="N424" s="209"/>
      <c r="O424" s="196"/>
      <c r="P424" s="223"/>
    </row>
    <row r="425" spans="1:16" ht="15.75" customHeight="1">
      <c r="A425" s="224"/>
      <c r="B425" s="282"/>
      <c r="C425" s="287"/>
      <c r="D425" s="288"/>
      <c r="E425" s="289"/>
      <c r="F425" s="290"/>
      <c r="G425" s="290"/>
      <c r="H425" s="288"/>
      <c r="I425" s="287"/>
      <c r="J425" s="270"/>
      <c r="K425" s="271"/>
      <c r="L425" s="270"/>
      <c r="M425" s="209"/>
      <c r="N425" s="209"/>
      <c r="O425" s="196"/>
      <c r="P425" s="223"/>
    </row>
    <row r="426" spans="1:16" ht="15.75" customHeight="1">
      <c r="A426" s="224"/>
      <c r="B426" s="282"/>
      <c r="C426" s="287"/>
      <c r="D426" s="288"/>
      <c r="E426" s="289"/>
      <c r="F426" s="290"/>
      <c r="G426" s="290"/>
      <c r="H426" s="288"/>
      <c r="I426" s="287"/>
      <c r="J426" s="270"/>
      <c r="K426" s="271"/>
      <c r="L426" s="270"/>
      <c r="M426" s="209"/>
      <c r="N426" s="209"/>
      <c r="O426" s="196"/>
      <c r="P426" s="223"/>
    </row>
    <row r="427" spans="1:16" ht="15.75" customHeight="1">
      <c r="A427" s="224"/>
      <c r="B427" s="282"/>
      <c r="C427" s="287"/>
      <c r="D427" s="288"/>
      <c r="E427" s="289"/>
      <c r="F427" s="290"/>
      <c r="G427" s="290"/>
      <c r="H427" s="288"/>
      <c r="I427" s="287"/>
      <c r="J427" s="270"/>
      <c r="K427" s="271"/>
      <c r="L427" s="270"/>
      <c r="M427" s="209"/>
      <c r="N427" s="209"/>
      <c r="O427" s="196"/>
      <c r="P427" s="223"/>
    </row>
    <row r="428" spans="1:16" ht="15.75" customHeight="1">
      <c r="A428" s="224"/>
      <c r="B428" s="282"/>
      <c r="C428" s="287"/>
      <c r="D428" s="288"/>
      <c r="E428" s="289"/>
      <c r="F428" s="290"/>
      <c r="G428" s="290"/>
      <c r="H428" s="288"/>
      <c r="I428" s="287"/>
      <c r="J428" s="270"/>
      <c r="K428" s="271"/>
      <c r="L428" s="270"/>
      <c r="M428" s="209"/>
      <c r="N428" s="209"/>
      <c r="O428" s="196"/>
      <c r="P428" s="223"/>
    </row>
    <row r="429" spans="1:16" ht="15.75" customHeight="1">
      <c r="A429" s="224"/>
      <c r="B429" s="282"/>
      <c r="C429" s="287"/>
      <c r="D429" s="288"/>
      <c r="E429" s="289"/>
      <c r="F429" s="290"/>
      <c r="G429" s="290"/>
      <c r="H429" s="288"/>
      <c r="I429" s="287"/>
      <c r="J429" s="270"/>
      <c r="K429" s="271"/>
      <c r="L429" s="270"/>
      <c r="M429" s="209"/>
      <c r="N429" s="209"/>
      <c r="O429" s="196"/>
      <c r="P429" s="223"/>
    </row>
    <row r="430" spans="1:16" ht="15.75" customHeight="1">
      <c r="A430" s="224"/>
      <c r="B430" s="282"/>
      <c r="C430" s="287"/>
      <c r="D430" s="288"/>
      <c r="E430" s="289"/>
      <c r="F430" s="290"/>
      <c r="G430" s="290"/>
      <c r="H430" s="288"/>
      <c r="I430" s="287"/>
      <c r="J430" s="270"/>
      <c r="K430" s="271"/>
      <c r="L430" s="270"/>
      <c r="M430" s="209"/>
      <c r="N430" s="209"/>
      <c r="O430" s="196"/>
      <c r="P430" s="223"/>
    </row>
    <row r="431" spans="1:16" ht="15.75" customHeight="1">
      <c r="A431" s="224"/>
      <c r="B431" s="282"/>
      <c r="C431" s="287"/>
      <c r="D431" s="288"/>
      <c r="E431" s="289"/>
      <c r="F431" s="290"/>
      <c r="G431" s="290"/>
      <c r="H431" s="288"/>
      <c r="I431" s="287"/>
      <c r="J431" s="270"/>
      <c r="K431" s="271"/>
      <c r="L431" s="270"/>
      <c r="M431" s="209"/>
      <c r="N431" s="209"/>
      <c r="O431" s="196"/>
      <c r="P431" s="223"/>
    </row>
    <row r="432" spans="1:16" ht="15.75" customHeight="1">
      <c r="A432" s="224"/>
      <c r="B432" s="282"/>
      <c r="C432" s="287"/>
      <c r="D432" s="288"/>
      <c r="E432" s="289"/>
      <c r="F432" s="290"/>
      <c r="G432" s="290"/>
      <c r="H432" s="288"/>
      <c r="I432" s="287"/>
      <c r="J432" s="270"/>
      <c r="K432" s="271"/>
      <c r="L432" s="270"/>
      <c r="M432" s="209"/>
      <c r="N432" s="209"/>
      <c r="O432" s="196"/>
      <c r="P432" s="223"/>
    </row>
    <row r="433" spans="1:16" ht="15.75" customHeight="1">
      <c r="A433" s="224"/>
      <c r="B433" s="282"/>
      <c r="C433" s="287"/>
      <c r="D433" s="288"/>
      <c r="E433" s="289"/>
      <c r="F433" s="290"/>
      <c r="G433" s="290"/>
      <c r="H433" s="288"/>
      <c r="I433" s="287"/>
      <c r="J433" s="270"/>
      <c r="K433" s="271"/>
      <c r="L433" s="270"/>
      <c r="M433" s="209"/>
      <c r="N433" s="209"/>
      <c r="O433" s="196"/>
      <c r="P433" s="223"/>
    </row>
    <row r="434" spans="1:16" ht="15.75" customHeight="1">
      <c r="A434" s="224"/>
      <c r="B434" s="282"/>
      <c r="C434" s="287"/>
      <c r="D434" s="288"/>
      <c r="E434" s="289"/>
      <c r="F434" s="290"/>
      <c r="G434" s="290"/>
      <c r="H434" s="288"/>
      <c r="I434" s="287"/>
      <c r="J434" s="270"/>
      <c r="K434" s="271"/>
      <c r="L434" s="270"/>
      <c r="M434" s="209"/>
      <c r="N434" s="209"/>
      <c r="O434" s="196"/>
      <c r="P434" s="223"/>
    </row>
    <row r="435" spans="1:16" ht="15.75" customHeight="1">
      <c r="A435" s="224"/>
      <c r="B435" s="282"/>
      <c r="C435" s="287"/>
      <c r="D435" s="288"/>
      <c r="E435" s="289"/>
      <c r="F435" s="290"/>
      <c r="G435" s="290"/>
      <c r="H435" s="288"/>
      <c r="I435" s="287"/>
      <c r="J435" s="270"/>
      <c r="K435" s="271"/>
      <c r="L435" s="270"/>
      <c r="M435" s="209"/>
      <c r="N435" s="209"/>
      <c r="O435" s="196"/>
      <c r="P435" s="223"/>
    </row>
    <row r="436" spans="1:16" ht="15.75" customHeight="1">
      <c r="A436" s="224"/>
      <c r="B436" s="282"/>
      <c r="C436" s="287"/>
      <c r="D436" s="288"/>
      <c r="E436" s="289"/>
      <c r="F436" s="290"/>
      <c r="G436" s="290"/>
      <c r="H436" s="288"/>
      <c r="I436" s="287"/>
      <c r="J436" s="270"/>
      <c r="K436" s="271"/>
      <c r="L436" s="270"/>
      <c r="M436" s="209"/>
      <c r="N436" s="209"/>
      <c r="O436" s="196"/>
      <c r="P436" s="223"/>
    </row>
    <row r="437" spans="1:16" ht="15.75" customHeight="1">
      <c r="A437" s="224"/>
      <c r="B437" s="282"/>
      <c r="C437" s="287"/>
      <c r="D437" s="288"/>
      <c r="E437" s="289"/>
      <c r="F437" s="290"/>
      <c r="G437" s="290"/>
      <c r="H437" s="288"/>
      <c r="I437" s="287"/>
      <c r="J437" s="270"/>
      <c r="K437" s="271"/>
      <c r="L437" s="270"/>
      <c r="M437" s="209"/>
      <c r="N437" s="209"/>
      <c r="O437" s="196"/>
      <c r="P437" s="223"/>
    </row>
    <row r="438" spans="1:16" ht="15.75" customHeight="1">
      <c r="A438" s="224"/>
      <c r="B438" s="282"/>
      <c r="C438" s="287"/>
      <c r="D438" s="288"/>
      <c r="E438" s="289"/>
      <c r="F438" s="290"/>
      <c r="G438" s="290"/>
      <c r="H438" s="288"/>
      <c r="I438" s="287"/>
      <c r="J438" s="270"/>
      <c r="K438" s="271"/>
      <c r="L438" s="270"/>
      <c r="M438" s="209"/>
      <c r="N438" s="209"/>
      <c r="O438" s="196"/>
      <c r="P438" s="223"/>
    </row>
    <row r="439" spans="1:16" ht="15.75" customHeight="1">
      <c r="A439" s="224"/>
      <c r="B439" s="282"/>
      <c r="C439" s="287"/>
      <c r="D439" s="288"/>
      <c r="E439" s="289"/>
      <c r="F439" s="290"/>
      <c r="G439" s="290"/>
      <c r="H439" s="288"/>
      <c r="I439" s="287"/>
      <c r="J439" s="270"/>
      <c r="K439" s="271"/>
      <c r="L439" s="270"/>
      <c r="M439" s="209"/>
      <c r="N439" s="209"/>
      <c r="O439" s="196"/>
      <c r="P439" s="223"/>
    </row>
    <row r="440" spans="1:16" ht="15.75" customHeight="1">
      <c r="A440" s="224"/>
      <c r="B440" s="282"/>
      <c r="C440" s="287"/>
      <c r="D440" s="288"/>
      <c r="E440" s="289"/>
      <c r="F440" s="290"/>
      <c r="G440" s="290"/>
      <c r="H440" s="288"/>
      <c r="I440" s="287"/>
      <c r="J440" s="270"/>
      <c r="K440" s="271"/>
      <c r="L440" s="270"/>
      <c r="M440" s="209"/>
      <c r="N440" s="209"/>
      <c r="O440" s="196"/>
      <c r="P440" s="223"/>
    </row>
    <row r="441" spans="1:16" ht="15.75" customHeight="1">
      <c r="A441" s="224"/>
      <c r="B441" s="282"/>
      <c r="C441" s="287"/>
      <c r="D441" s="288"/>
      <c r="E441" s="289"/>
      <c r="F441" s="290"/>
      <c r="G441" s="290"/>
      <c r="H441" s="288"/>
      <c r="I441" s="287"/>
      <c r="J441" s="270"/>
      <c r="K441" s="271"/>
      <c r="L441" s="270"/>
      <c r="M441" s="209"/>
      <c r="N441" s="209"/>
      <c r="O441" s="196"/>
      <c r="P441" s="223"/>
    </row>
    <row r="442" spans="1:16" ht="15.75" customHeight="1">
      <c r="A442" s="224"/>
      <c r="B442" s="282"/>
      <c r="C442" s="287"/>
      <c r="D442" s="288"/>
      <c r="E442" s="289"/>
      <c r="F442" s="290"/>
      <c r="G442" s="290"/>
      <c r="H442" s="288"/>
      <c r="I442" s="287"/>
      <c r="J442" s="270"/>
      <c r="K442" s="271"/>
      <c r="L442" s="270"/>
      <c r="M442" s="209"/>
      <c r="N442" s="209"/>
      <c r="O442" s="196"/>
      <c r="P442" s="223"/>
    </row>
    <row r="443" spans="1:16" ht="15.75" customHeight="1">
      <c r="A443" s="224"/>
      <c r="B443" s="282"/>
      <c r="C443" s="287"/>
      <c r="D443" s="288"/>
      <c r="E443" s="289"/>
      <c r="F443" s="290"/>
      <c r="G443" s="290"/>
      <c r="H443" s="288"/>
      <c r="I443" s="287"/>
      <c r="J443" s="270"/>
      <c r="K443" s="271"/>
      <c r="L443" s="270"/>
      <c r="M443" s="209"/>
      <c r="N443" s="209"/>
      <c r="O443" s="196"/>
      <c r="P443" s="223"/>
    </row>
    <row r="444" spans="1:16" ht="15.75" customHeight="1">
      <c r="A444" s="224"/>
      <c r="B444" s="282"/>
      <c r="C444" s="287"/>
      <c r="D444" s="288"/>
      <c r="E444" s="289"/>
      <c r="F444" s="290"/>
      <c r="G444" s="290"/>
      <c r="H444" s="288"/>
      <c r="I444" s="287"/>
      <c r="J444" s="270"/>
      <c r="K444" s="271"/>
      <c r="L444" s="270"/>
      <c r="M444" s="209"/>
      <c r="N444" s="209"/>
      <c r="O444" s="196"/>
      <c r="P444" s="223"/>
    </row>
    <row r="445" spans="1:16" ht="15.75" customHeight="1">
      <c r="A445" s="224"/>
      <c r="B445" s="282"/>
      <c r="C445" s="287"/>
      <c r="D445" s="288"/>
      <c r="E445" s="289"/>
      <c r="F445" s="290"/>
      <c r="G445" s="290"/>
      <c r="H445" s="288"/>
      <c r="I445" s="287"/>
      <c r="J445" s="270"/>
      <c r="K445" s="271"/>
      <c r="L445" s="270"/>
      <c r="M445" s="209"/>
      <c r="N445" s="209"/>
      <c r="O445" s="196"/>
      <c r="P445" s="223"/>
    </row>
    <row r="446" spans="1:16" ht="15.75" customHeight="1">
      <c r="A446" s="224"/>
      <c r="B446" s="282"/>
      <c r="C446" s="287"/>
      <c r="D446" s="288"/>
      <c r="E446" s="289"/>
      <c r="F446" s="290"/>
      <c r="G446" s="290"/>
      <c r="H446" s="288"/>
      <c r="I446" s="287"/>
      <c r="J446" s="270"/>
      <c r="K446" s="271"/>
      <c r="L446" s="270"/>
      <c r="M446" s="209"/>
      <c r="N446" s="209"/>
      <c r="O446" s="196"/>
      <c r="P446" s="223"/>
    </row>
    <row r="447" spans="1:16" ht="15.75" customHeight="1">
      <c r="A447" s="224"/>
      <c r="B447" s="282"/>
      <c r="C447" s="287"/>
      <c r="D447" s="288"/>
      <c r="E447" s="289"/>
      <c r="F447" s="290"/>
      <c r="G447" s="290"/>
      <c r="H447" s="288"/>
      <c r="I447" s="287"/>
      <c r="J447" s="270"/>
      <c r="K447" s="271"/>
      <c r="L447" s="270"/>
      <c r="M447" s="209"/>
      <c r="N447" s="209"/>
      <c r="O447" s="196"/>
      <c r="P447" s="223"/>
    </row>
    <row r="448" spans="1:16" ht="15.75" customHeight="1">
      <c r="A448" s="224"/>
      <c r="B448" s="282"/>
      <c r="C448" s="287"/>
      <c r="D448" s="288"/>
      <c r="E448" s="289"/>
      <c r="F448" s="290"/>
      <c r="G448" s="290"/>
      <c r="H448" s="288"/>
      <c r="I448" s="287"/>
      <c r="J448" s="270"/>
      <c r="K448" s="271"/>
      <c r="L448" s="270"/>
      <c r="M448" s="209"/>
      <c r="N448" s="209"/>
      <c r="O448" s="196"/>
      <c r="P448" s="223"/>
    </row>
    <row r="449" spans="1:16" ht="15.75" customHeight="1">
      <c r="A449" s="224"/>
      <c r="B449" s="282"/>
      <c r="C449" s="287"/>
      <c r="D449" s="288"/>
      <c r="E449" s="289"/>
      <c r="F449" s="290"/>
      <c r="G449" s="290"/>
      <c r="H449" s="288"/>
      <c r="I449" s="287"/>
      <c r="J449" s="270"/>
      <c r="K449" s="271"/>
      <c r="L449" s="270"/>
      <c r="M449" s="209"/>
      <c r="N449" s="209"/>
      <c r="O449" s="196"/>
      <c r="P449" s="223"/>
    </row>
    <row r="450" spans="1:16" ht="15.75" customHeight="1">
      <c r="A450" s="224"/>
      <c r="B450" s="282"/>
      <c r="C450" s="287"/>
      <c r="D450" s="288"/>
      <c r="E450" s="289"/>
      <c r="F450" s="290"/>
      <c r="G450" s="290"/>
      <c r="H450" s="288"/>
      <c r="I450" s="287"/>
      <c r="J450" s="270"/>
      <c r="K450" s="271"/>
      <c r="L450" s="270"/>
      <c r="M450" s="209"/>
      <c r="N450" s="209"/>
      <c r="O450" s="196"/>
      <c r="P450" s="223"/>
    </row>
    <row r="451" spans="1:16" ht="15.75" customHeight="1">
      <c r="A451" s="224"/>
      <c r="B451" s="282"/>
      <c r="C451" s="287"/>
      <c r="D451" s="288"/>
      <c r="E451" s="289"/>
      <c r="F451" s="290"/>
      <c r="G451" s="290"/>
      <c r="H451" s="288"/>
      <c r="I451" s="287"/>
      <c r="J451" s="270"/>
      <c r="K451" s="271"/>
      <c r="L451" s="270"/>
      <c r="M451" s="209"/>
      <c r="N451" s="209"/>
      <c r="O451" s="196"/>
      <c r="P451" s="223"/>
    </row>
    <row r="452" spans="1:16" ht="15.75" customHeight="1">
      <c r="A452" s="224"/>
      <c r="B452" s="282"/>
      <c r="C452" s="287"/>
      <c r="D452" s="288"/>
      <c r="E452" s="289"/>
      <c r="F452" s="290"/>
      <c r="G452" s="290"/>
      <c r="H452" s="288"/>
      <c r="I452" s="287"/>
      <c r="J452" s="270"/>
      <c r="K452" s="271"/>
      <c r="L452" s="270"/>
      <c r="M452" s="209"/>
      <c r="N452" s="209"/>
      <c r="O452" s="196"/>
      <c r="P452" s="223"/>
    </row>
    <row r="453" spans="1:16" ht="15.75" customHeight="1">
      <c r="A453" s="224"/>
      <c r="B453" s="282"/>
      <c r="C453" s="287"/>
      <c r="D453" s="288"/>
      <c r="E453" s="289"/>
      <c r="F453" s="290"/>
      <c r="G453" s="290"/>
      <c r="H453" s="288"/>
      <c r="I453" s="287"/>
      <c r="J453" s="270"/>
      <c r="K453" s="271"/>
      <c r="L453" s="270"/>
      <c r="M453" s="209"/>
      <c r="N453" s="209"/>
      <c r="O453" s="196"/>
      <c r="P453" s="223"/>
    </row>
    <row r="454" spans="1:16" ht="15.75" customHeight="1">
      <c r="A454" s="224"/>
      <c r="B454" s="282"/>
      <c r="C454" s="287"/>
      <c r="D454" s="288"/>
      <c r="E454" s="289"/>
      <c r="F454" s="290"/>
      <c r="G454" s="290"/>
      <c r="H454" s="288"/>
      <c r="I454" s="287"/>
      <c r="J454" s="270"/>
      <c r="K454" s="271"/>
      <c r="L454" s="270"/>
      <c r="M454" s="209"/>
      <c r="N454" s="209"/>
      <c r="O454" s="196"/>
      <c r="P454" s="223"/>
    </row>
    <row r="455" spans="1:16" ht="15.75" customHeight="1">
      <c r="A455" s="224"/>
      <c r="B455" s="282"/>
      <c r="C455" s="287"/>
      <c r="D455" s="288"/>
      <c r="E455" s="289"/>
      <c r="F455" s="290"/>
      <c r="G455" s="290"/>
      <c r="H455" s="288"/>
      <c r="I455" s="287"/>
      <c r="J455" s="270"/>
      <c r="K455" s="271"/>
      <c r="L455" s="270"/>
      <c r="M455" s="209"/>
      <c r="N455" s="209"/>
      <c r="O455" s="196"/>
      <c r="P455" s="223"/>
    </row>
    <row r="456" spans="1:16" ht="15.75" customHeight="1">
      <c r="A456" s="224"/>
      <c r="B456" s="282"/>
      <c r="C456" s="287"/>
      <c r="D456" s="288"/>
      <c r="E456" s="289"/>
      <c r="F456" s="290"/>
      <c r="G456" s="290"/>
      <c r="H456" s="288"/>
      <c r="I456" s="287"/>
      <c r="J456" s="270"/>
      <c r="K456" s="271"/>
      <c r="L456" s="270"/>
      <c r="M456" s="209"/>
      <c r="N456" s="209"/>
      <c r="O456" s="196"/>
      <c r="P456" s="223"/>
    </row>
    <row r="457" spans="1:16" ht="15.75" customHeight="1">
      <c r="A457" s="224"/>
      <c r="B457" s="282"/>
      <c r="C457" s="287"/>
      <c r="D457" s="288"/>
      <c r="E457" s="289"/>
      <c r="F457" s="290"/>
      <c r="G457" s="290"/>
      <c r="H457" s="288"/>
      <c r="I457" s="287"/>
      <c r="J457" s="270"/>
      <c r="K457" s="271"/>
      <c r="L457" s="270"/>
      <c r="M457" s="209"/>
      <c r="N457" s="209"/>
      <c r="O457" s="196"/>
      <c r="P457" s="223"/>
    </row>
    <row r="458" spans="1:16" ht="15.75" customHeight="1">
      <c r="A458" s="224"/>
      <c r="B458" s="282"/>
      <c r="C458" s="287"/>
      <c r="D458" s="288"/>
      <c r="E458" s="289"/>
      <c r="F458" s="290"/>
      <c r="G458" s="290"/>
      <c r="H458" s="288"/>
      <c r="I458" s="287"/>
      <c r="J458" s="270"/>
      <c r="K458" s="271"/>
      <c r="L458" s="270"/>
      <c r="M458" s="209"/>
      <c r="N458" s="209"/>
      <c r="O458" s="196"/>
      <c r="P458" s="223"/>
    </row>
    <row r="459" spans="1:16" ht="15.75" customHeight="1">
      <c r="A459" s="224"/>
      <c r="B459" s="282"/>
      <c r="C459" s="287"/>
      <c r="D459" s="288"/>
      <c r="E459" s="289"/>
      <c r="F459" s="290"/>
      <c r="G459" s="290"/>
      <c r="H459" s="288"/>
      <c r="I459" s="287"/>
      <c r="J459" s="270"/>
      <c r="K459" s="271"/>
      <c r="L459" s="270"/>
      <c r="M459" s="209"/>
      <c r="N459" s="209"/>
      <c r="O459" s="196"/>
      <c r="P459" s="223"/>
    </row>
    <row r="460" spans="1:16" ht="15.75" customHeight="1">
      <c r="A460" s="224"/>
      <c r="B460" s="282"/>
      <c r="C460" s="287"/>
      <c r="D460" s="288"/>
      <c r="E460" s="289"/>
      <c r="F460" s="290"/>
      <c r="G460" s="290"/>
      <c r="H460" s="288"/>
      <c r="I460" s="287"/>
      <c r="J460" s="270"/>
      <c r="K460" s="271"/>
      <c r="L460" s="270"/>
      <c r="M460" s="209"/>
      <c r="N460" s="209"/>
      <c r="O460" s="196"/>
      <c r="P460" s="223"/>
    </row>
    <row r="461" spans="1:16" ht="15.75" customHeight="1">
      <c r="A461" s="224"/>
      <c r="B461" s="282"/>
      <c r="C461" s="287"/>
      <c r="D461" s="288"/>
      <c r="E461" s="289"/>
      <c r="F461" s="290"/>
      <c r="G461" s="290"/>
      <c r="H461" s="288"/>
      <c r="I461" s="287"/>
      <c r="J461" s="270"/>
      <c r="K461" s="271"/>
      <c r="L461" s="270"/>
      <c r="M461" s="209"/>
      <c r="N461" s="209"/>
      <c r="O461" s="196"/>
      <c r="P461" s="223"/>
    </row>
    <row r="462" spans="1:16" ht="15.75" customHeight="1">
      <c r="A462" s="224"/>
      <c r="B462" s="282"/>
      <c r="C462" s="287"/>
      <c r="D462" s="288"/>
      <c r="E462" s="289"/>
      <c r="F462" s="290"/>
      <c r="G462" s="290"/>
      <c r="H462" s="288"/>
      <c r="I462" s="287"/>
      <c r="J462" s="270"/>
      <c r="K462" s="271"/>
      <c r="L462" s="270"/>
      <c r="M462" s="209"/>
      <c r="N462" s="209"/>
      <c r="O462" s="196"/>
      <c r="P462" s="223"/>
    </row>
    <row r="463" spans="1:16" ht="15.75" customHeight="1">
      <c r="A463" s="224"/>
      <c r="B463" s="282"/>
      <c r="C463" s="287"/>
      <c r="D463" s="288"/>
      <c r="E463" s="289"/>
      <c r="F463" s="290"/>
      <c r="G463" s="290"/>
      <c r="H463" s="288"/>
      <c r="I463" s="287"/>
      <c r="J463" s="270"/>
      <c r="K463" s="271"/>
      <c r="L463" s="270"/>
      <c r="M463" s="209"/>
      <c r="N463" s="209"/>
      <c r="O463" s="196"/>
      <c r="P463" s="223"/>
    </row>
    <row r="464" spans="1:16" ht="15.75" customHeight="1">
      <c r="A464" s="224"/>
      <c r="B464" s="282"/>
      <c r="C464" s="287"/>
      <c r="D464" s="288"/>
      <c r="E464" s="289"/>
      <c r="F464" s="290"/>
      <c r="G464" s="290"/>
      <c r="H464" s="288"/>
      <c r="I464" s="287"/>
      <c r="J464" s="270"/>
      <c r="K464" s="271"/>
      <c r="L464" s="270"/>
      <c r="M464" s="209"/>
      <c r="N464" s="209"/>
      <c r="O464" s="196"/>
      <c r="P464" s="223"/>
    </row>
    <row r="465" spans="1:16" ht="15.75" customHeight="1">
      <c r="A465" s="224"/>
      <c r="B465" s="282"/>
      <c r="C465" s="287"/>
      <c r="D465" s="288"/>
      <c r="E465" s="289"/>
      <c r="F465" s="290"/>
      <c r="G465" s="290"/>
      <c r="H465" s="288"/>
      <c r="I465" s="287"/>
      <c r="J465" s="270"/>
      <c r="K465" s="271"/>
      <c r="L465" s="270"/>
      <c r="M465" s="209"/>
      <c r="N465" s="209"/>
      <c r="O465" s="196"/>
      <c r="P465" s="223"/>
    </row>
    <row r="466" spans="1:16" ht="15.75" customHeight="1">
      <c r="A466" s="224"/>
      <c r="B466" s="282"/>
      <c r="C466" s="287"/>
      <c r="D466" s="288"/>
      <c r="E466" s="289"/>
      <c r="F466" s="290"/>
      <c r="G466" s="290"/>
      <c r="H466" s="288"/>
      <c r="I466" s="287"/>
      <c r="J466" s="270"/>
      <c r="K466" s="271"/>
      <c r="L466" s="270"/>
      <c r="M466" s="209"/>
      <c r="N466" s="209"/>
      <c r="O466" s="196"/>
      <c r="P466" s="223"/>
    </row>
    <row r="467" spans="1:16" ht="15.75" customHeight="1">
      <c r="A467" s="224"/>
      <c r="B467" s="282"/>
      <c r="C467" s="287"/>
      <c r="D467" s="288"/>
      <c r="E467" s="289"/>
      <c r="F467" s="290"/>
      <c r="G467" s="290"/>
      <c r="H467" s="288"/>
      <c r="I467" s="287"/>
      <c r="J467" s="270"/>
      <c r="K467" s="271"/>
      <c r="L467" s="270"/>
      <c r="M467" s="209"/>
      <c r="N467" s="209"/>
      <c r="O467" s="196"/>
      <c r="P467" s="223"/>
    </row>
    <row r="468" spans="1:16" ht="15.75" customHeight="1">
      <c r="A468" s="224"/>
      <c r="B468" s="282"/>
      <c r="C468" s="287"/>
      <c r="D468" s="288"/>
      <c r="E468" s="289"/>
      <c r="F468" s="290"/>
      <c r="G468" s="290"/>
      <c r="H468" s="288"/>
      <c r="I468" s="287"/>
      <c r="J468" s="270"/>
      <c r="K468" s="271"/>
      <c r="L468" s="270"/>
      <c r="M468" s="209"/>
      <c r="N468" s="209"/>
      <c r="O468" s="196"/>
      <c r="P468" s="223"/>
    </row>
    <row r="469" spans="1:16" ht="15.75" customHeight="1">
      <c r="A469" s="224"/>
      <c r="B469" s="282"/>
      <c r="C469" s="287"/>
      <c r="D469" s="288"/>
      <c r="E469" s="289"/>
      <c r="F469" s="290"/>
      <c r="G469" s="290"/>
      <c r="H469" s="288"/>
      <c r="I469" s="287"/>
      <c r="J469" s="270"/>
      <c r="K469" s="271"/>
      <c r="L469" s="270"/>
      <c r="M469" s="209"/>
      <c r="N469" s="209"/>
      <c r="O469" s="196"/>
      <c r="P469" s="223"/>
    </row>
    <row r="470" spans="1:16" ht="15.75" customHeight="1">
      <c r="A470" s="224"/>
      <c r="B470" s="282"/>
      <c r="C470" s="287"/>
      <c r="D470" s="288"/>
      <c r="E470" s="289"/>
      <c r="F470" s="290"/>
      <c r="G470" s="290"/>
      <c r="H470" s="288"/>
      <c r="I470" s="287"/>
      <c r="J470" s="270"/>
      <c r="K470" s="271"/>
      <c r="L470" s="270"/>
      <c r="M470" s="209"/>
      <c r="N470" s="209"/>
      <c r="O470" s="196"/>
      <c r="P470" s="223"/>
    </row>
    <row r="471" spans="1:16" ht="15.75" customHeight="1">
      <c r="A471" s="224"/>
      <c r="B471" s="282"/>
      <c r="C471" s="287"/>
      <c r="D471" s="288"/>
      <c r="E471" s="289"/>
      <c r="F471" s="290"/>
      <c r="G471" s="290"/>
      <c r="H471" s="288"/>
      <c r="I471" s="287"/>
      <c r="J471" s="270"/>
      <c r="K471" s="271"/>
      <c r="L471" s="270"/>
      <c r="M471" s="209"/>
      <c r="N471" s="209"/>
      <c r="O471" s="196"/>
      <c r="P471" s="223"/>
    </row>
    <row r="472" spans="1:16" ht="15.75" customHeight="1">
      <c r="A472" s="224"/>
      <c r="B472" s="282"/>
      <c r="C472" s="287"/>
      <c r="D472" s="288"/>
      <c r="E472" s="289"/>
      <c r="F472" s="290"/>
      <c r="G472" s="290"/>
      <c r="H472" s="288"/>
      <c r="I472" s="287"/>
      <c r="J472" s="270"/>
      <c r="K472" s="271"/>
      <c r="L472" s="270"/>
      <c r="M472" s="209"/>
      <c r="N472" s="209"/>
      <c r="O472" s="196"/>
      <c r="P472" s="223"/>
    </row>
    <row r="473" spans="1:16" ht="15.75" customHeight="1">
      <c r="A473" s="224"/>
      <c r="B473" s="282"/>
      <c r="C473" s="287"/>
      <c r="D473" s="288"/>
      <c r="E473" s="289"/>
      <c r="F473" s="290"/>
      <c r="G473" s="290"/>
      <c r="H473" s="288"/>
      <c r="I473" s="287"/>
      <c r="J473" s="270"/>
      <c r="K473" s="271"/>
      <c r="L473" s="270"/>
      <c r="M473" s="209"/>
      <c r="N473" s="209"/>
      <c r="O473" s="196"/>
      <c r="P473" s="223"/>
    </row>
    <row r="474" spans="1:16" ht="15.75" customHeight="1">
      <c r="A474" s="224"/>
      <c r="B474" s="282"/>
      <c r="C474" s="287"/>
      <c r="D474" s="288"/>
      <c r="E474" s="289"/>
      <c r="F474" s="290"/>
      <c r="G474" s="290"/>
      <c r="H474" s="288"/>
      <c r="I474" s="287"/>
      <c r="J474" s="270"/>
      <c r="K474" s="271"/>
      <c r="L474" s="270"/>
      <c r="M474" s="209"/>
      <c r="N474" s="209"/>
      <c r="O474" s="196"/>
      <c r="P474" s="223"/>
    </row>
    <row r="475" spans="1:16" ht="15.75" customHeight="1">
      <c r="A475" s="224"/>
      <c r="B475" s="282"/>
      <c r="C475" s="287"/>
      <c r="D475" s="288"/>
      <c r="E475" s="289"/>
      <c r="F475" s="290"/>
      <c r="G475" s="290"/>
      <c r="H475" s="288"/>
      <c r="I475" s="287"/>
      <c r="J475" s="270"/>
      <c r="K475" s="271"/>
      <c r="L475" s="270"/>
      <c r="M475" s="209"/>
      <c r="N475" s="209"/>
      <c r="O475" s="196"/>
      <c r="P475" s="223"/>
    </row>
    <row r="476" spans="1:16" ht="15.75" customHeight="1">
      <c r="A476" s="224"/>
      <c r="B476" s="282"/>
      <c r="C476" s="287"/>
      <c r="D476" s="288"/>
      <c r="E476" s="289"/>
      <c r="F476" s="290"/>
      <c r="G476" s="290"/>
      <c r="H476" s="288"/>
      <c r="I476" s="287"/>
      <c r="J476" s="270"/>
      <c r="K476" s="271"/>
      <c r="L476" s="270"/>
      <c r="M476" s="209"/>
      <c r="N476" s="209"/>
      <c r="O476" s="196"/>
      <c r="P476" s="223"/>
    </row>
    <row r="477" spans="1:16" ht="15.75" customHeight="1">
      <c r="A477" s="224"/>
      <c r="B477" s="282"/>
      <c r="C477" s="287"/>
      <c r="D477" s="288"/>
      <c r="E477" s="289"/>
      <c r="F477" s="290"/>
      <c r="G477" s="290"/>
      <c r="H477" s="288"/>
      <c r="I477" s="287"/>
      <c r="J477" s="270"/>
      <c r="K477" s="271"/>
      <c r="L477" s="270"/>
      <c r="M477" s="209"/>
      <c r="N477" s="209"/>
      <c r="O477" s="196"/>
      <c r="P477" s="223"/>
    </row>
    <row r="478" spans="1:16" ht="15.75" customHeight="1">
      <c r="A478" s="224"/>
      <c r="B478" s="282"/>
      <c r="C478" s="287"/>
      <c r="D478" s="288"/>
      <c r="E478" s="289"/>
      <c r="F478" s="290"/>
      <c r="G478" s="290"/>
      <c r="H478" s="288"/>
      <c r="I478" s="287"/>
      <c r="J478" s="270"/>
      <c r="K478" s="271"/>
      <c r="L478" s="270"/>
      <c r="M478" s="209"/>
      <c r="N478" s="209"/>
      <c r="O478" s="196"/>
      <c r="P478" s="223"/>
    </row>
    <row r="479" spans="1:16" ht="15.75" customHeight="1">
      <c r="A479" s="224"/>
      <c r="B479" s="282"/>
      <c r="C479" s="287"/>
      <c r="D479" s="288"/>
      <c r="E479" s="289"/>
      <c r="F479" s="290"/>
      <c r="G479" s="290"/>
      <c r="H479" s="288"/>
      <c r="I479" s="287"/>
      <c r="J479" s="270"/>
      <c r="K479" s="271"/>
      <c r="L479" s="270"/>
      <c r="M479" s="209"/>
      <c r="N479" s="209"/>
      <c r="O479" s="196"/>
      <c r="P479" s="223"/>
    </row>
    <row r="480" spans="1:16" ht="15.75" customHeight="1">
      <c r="A480" s="224"/>
      <c r="B480" s="282"/>
      <c r="C480" s="287"/>
      <c r="D480" s="288"/>
      <c r="E480" s="289"/>
      <c r="F480" s="290"/>
      <c r="G480" s="290"/>
      <c r="H480" s="288"/>
      <c r="I480" s="287"/>
      <c r="J480" s="270"/>
      <c r="K480" s="271"/>
      <c r="L480" s="270"/>
      <c r="M480" s="209"/>
      <c r="N480" s="209"/>
      <c r="O480" s="196"/>
      <c r="P480" s="223"/>
    </row>
    <row r="481" spans="1:16" ht="15.75" customHeight="1">
      <c r="A481" s="224"/>
      <c r="B481" s="282"/>
      <c r="C481" s="287"/>
      <c r="D481" s="288"/>
      <c r="E481" s="289"/>
      <c r="F481" s="290"/>
      <c r="G481" s="290"/>
      <c r="H481" s="288"/>
      <c r="I481" s="287"/>
      <c r="J481" s="270"/>
      <c r="K481" s="271"/>
      <c r="L481" s="270"/>
      <c r="M481" s="209"/>
      <c r="N481" s="209"/>
      <c r="O481" s="196"/>
      <c r="P481" s="223"/>
    </row>
    <row r="482" spans="1:16" ht="15.75" customHeight="1">
      <c r="A482" s="224"/>
      <c r="B482" s="282"/>
      <c r="C482" s="287"/>
      <c r="D482" s="288"/>
      <c r="E482" s="289"/>
      <c r="F482" s="290"/>
      <c r="G482" s="290"/>
      <c r="H482" s="288"/>
      <c r="I482" s="287"/>
      <c r="J482" s="270"/>
      <c r="K482" s="271"/>
      <c r="L482" s="270"/>
      <c r="M482" s="209"/>
      <c r="N482" s="209"/>
      <c r="O482" s="196"/>
      <c r="P482" s="223"/>
    </row>
    <row r="483" spans="1:16" ht="15.75" customHeight="1">
      <c r="A483" s="224"/>
      <c r="B483" s="282"/>
      <c r="C483" s="287"/>
      <c r="D483" s="288"/>
      <c r="E483" s="289"/>
      <c r="F483" s="290"/>
      <c r="G483" s="290"/>
      <c r="H483" s="288"/>
      <c r="I483" s="287"/>
      <c r="J483" s="270"/>
      <c r="K483" s="271"/>
      <c r="L483" s="270"/>
      <c r="M483" s="209"/>
      <c r="N483" s="209"/>
      <c r="O483" s="196"/>
      <c r="P483" s="223"/>
    </row>
    <row r="484" spans="1:16" ht="15.75" customHeight="1">
      <c r="A484" s="224"/>
      <c r="B484" s="282"/>
      <c r="C484" s="287"/>
      <c r="D484" s="288"/>
      <c r="E484" s="289"/>
      <c r="F484" s="290"/>
      <c r="G484" s="290"/>
      <c r="H484" s="288"/>
      <c r="I484" s="287"/>
      <c r="J484" s="270"/>
      <c r="K484" s="271"/>
      <c r="L484" s="270"/>
      <c r="M484" s="209"/>
      <c r="N484" s="209"/>
      <c r="O484" s="196"/>
      <c r="P484" s="223"/>
    </row>
    <row r="485" spans="1:16" ht="15.75" customHeight="1">
      <c r="A485" s="224"/>
      <c r="B485" s="282"/>
      <c r="C485" s="287"/>
      <c r="D485" s="288"/>
      <c r="E485" s="289"/>
      <c r="F485" s="290"/>
      <c r="G485" s="290"/>
      <c r="H485" s="288"/>
      <c r="I485" s="287"/>
      <c r="J485" s="270"/>
      <c r="K485" s="271"/>
      <c r="L485" s="270"/>
      <c r="M485" s="209"/>
      <c r="N485" s="209"/>
      <c r="O485" s="196"/>
      <c r="P485" s="223"/>
    </row>
    <row r="486" spans="1:16" ht="15.75" customHeight="1">
      <c r="A486" s="224"/>
      <c r="B486" s="282"/>
      <c r="C486" s="287"/>
      <c r="D486" s="288"/>
      <c r="E486" s="289"/>
      <c r="F486" s="290"/>
      <c r="G486" s="290"/>
      <c r="H486" s="288"/>
      <c r="I486" s="287"/>
      <c r="J486" s="270"/>
      <c r="K486" s="271"/>
      <c r="L486" s="270"/>
      <c r="M486" s="209"/>
      <c r="N486" s="209"/>
      <c r="O486" s="196"/>
      <c r="P486" s="223"/>
    </row>
    <row r="487" spans="1:16" ht="15.75" customHeight="1">
      <c r="A487" s="224"/>
      <c r="B487" s="282"/>
      <c r="C487" s="287"/>
      <c r="D487" s="288"/>
      <c r="E487" s="289"/>
      <c r="F487" s="290"/>
      <c r="G487" s="290"/>
      <c r="H487" s="288"/>
      <c r="I487" s="287"/>
      <c r="J487" s="270"/>
      <c r="K487" s="271"/>
      <c r="L487" s="270"/>
      <c r="M487" s="209"/>
      <c r="N487" s="209"/>
      <c r="O487" s="196"/>
      <c r="P487" s="223"/>
    </row>
    <row r="488" spans="1:16" ht="15.75" customHeight="1">
      <c r="A488" s="224"/>
      <c r="B488" s="282"/>
      <c r="C488" s="287"/>
      <c r="D488" s="288"/>
      <c r="E488" s="289"/>
      <c r="F488" s="290"/>
      <c r="G488" s="290"/>
      <c r="H488" s="288"/>
      <c r="I488" s="287"/>
      <c r="J488" s="270"/>
      <c r="K488" s="271"/>
      <c r="L488" s="270"/>
      <c r="M488" s="209"/>
      <c r="N488" s="209"/>
      <c r="O488" s="196"/>
      <c r="P488" s="223"/>
    </row>
    <row r="489" spans="1:16" ht="15.75" customHeight="1">
      <c r="A489" s="224"/>
      <c r="B489" s="282"/>
      <c r="C489" s="287"/>
      <c r="D489" s="288"/>
      <c r="E489" s="289"/>
      <c r="F489" s="290"/>
      <c r="G489" s="290"/>
      <c r="H489" s="288"/>
      <c r="I489" s="287"/>
      <c r="J489" s="270"/>
      <c r="K489" s="271"/>
      <c r="L489" s="270"/>
      <c r="M489" s="209"/>
      <c r="N489" s="209"/>
      <c r="O489" s="196"/>
      <c r="P489" s="223"/>
    </row>
    <row r="490" spans="1:16" ht="15.75" customHeight="1">
      <c r="A490" s="224"/>
      <c r="B490" s="282"/>
      <c r="C490" s="287"/>
      <c r="D490" s="288"/>
      <c r="E490" s="289"/>
      <c r="F490" s="290"/>
      <c r="G490" s="290"/>
      <c r="H490" s="288"/>
      <c r="I490" s="287"/>
      <c r="J490" s="270"/>
      <c r="K490" s="271"/>
      <c r="L490" s="270"/>
      <c r="M490" s="209"/>
      <c r="N490" s="209"/>
      <c r="O490" s="196"/>
      <c r="P490" s="223"/>
    </row>
    <row r="491" spans="1:16" ht="15.75" customHeight="1">
      <c r="A491" s="224"/>
      <c r="B491" s="282"/>
      <c r="C491" s="287"/>
      <c r="D491" s="288"/>
      <c r="E491" s="289"/>
      <c r="F491" s="290"/>
      <c r="G491" s="290"/>
      <c r="H491" s="288"/>
      <c r="I491" s="287"/>
      <c r="J491" s="270"/>
      <c r="K491" s="271"/>
      <c r="L491" s="270"/>
      <c r="M491" s="209"/>
      <c r="N491" s="209"/>
      <c r="O491" s="196"/>
      <c r="P491" s="223"/>
    </row>
    <row r="492" spans="1:16" ht="15.75" customHeight="1">
      <c r="A492" s="224"/>
      <c r="B492" s="282"/>
      <c r="C492" s="287"/>
      <c r="D492" s="288"/>
      <c r="E492" s="289"/>
      <c r="F492" s="290"/>
      <c r="G492" s="290"/>
      <c r="H492" s="288"/>
      <c r="I492" s="287"/>
      <c r="J492" s="270"/>
      <c r="K492" s="271"/>
      <c r="L492" s="270"/>
      <c r="M492" s="209"/>
      <c r="N492" s="209"/>
      <c r="O492" s="196"/>
      <c r="P492" s="223"/>
    </row>
    <row r="493" spans="1:16" ht="15.75" customHeight="1">
      <c r="A493" s="224"/>
      <c r="B493" s="282"/>
      <c r="C493" s="287"/>
      <c r="D493" s="288"/>
      <c r="E493" s="289"/>
      <c r="F493" s="290"/>
      <c r="G493" s="290"/>
      <c r="H493" s="288"/>
      <c r="I493" s="287"/>
      <c r="J493" s="270"/>
      <c r="K493" s="271"/>
      <c r="L493" s="270"/>
      <c r="M493" s="209"/>
      <c r="N493" s="209"/>
      <c r="O493" s="196"/>
      <c r="P493" s="223"/>
    </row>
    <row r="494" spans="1:16" ht="15.75" customHeight="1">
      <c r="A494" s="224"/>
      <c r="B494" s="282"/>
      <c r="C494" s="287"/>
      <c r="D494" s="288"/>
      <c r="E494" s="289"/>
      <c r="F494" s="290"/>
      <c r="G494" s="290"/>
      <c r="H494" s="288"/>
      <c r="I494" s="287"/>
      <c r="J494" s="270"/>
      <c r="K494" s="271"/>
      <c r="L494" s="270"/>
      <c r="M494" s="209"/>
      <c r="N494" s="209"/>
      <c r="O494" s="196"/>
      <c r="P494" s="223"/>
    </row>
    <row r="495" spans="1:16" ht="15.75" customHeight="1">
      <c r="A495" s="224"/>
      <c r="B495" s="282"/>
      <c r="C495" s="287"/>
      <c r="D495" s="288"/>
      <c r="E495" s="289"/>
      <c r="F495" s="290"/>
      <c r="G495" s="290"/>
      <c r="H495" s="288"/>
      <c r="I495" s="287"/>
      <c r="J495" s="270"/>
      <c r="K495" s="271"/>
      <c r="L495" s="270"/>
      <c r="M495" s="209"/>
      <c r="N495" s="209"/>
      <c r="O495" s="196"/>
      <c r="P495" s="223"/>
    </row>
    <row r="496" spans="1:16" ht="15.75" customHeight="1">
      <c r="A496" s="224"/>
      <c r="B496" s="282"/>
      <c r="C496" s="287"/>
      <c r="D496" s="288"/>
      <c r="E496" s="289"/>
      <c r="F496" s="290"/>
      <c r="G496" s="290"/>
      <c r="H496" s="288"/>
      <c r="I496" s="287"/>
      <c r="J496" s="270"/>
      <c r="K496" s="271"/>
      <c r="L496" s="270"/>
      <c r="M496" s="209"/>
      <c r="N496" s="209"/>
      <c r="O496" s="196"/>
      <c r="P496" s="223"/>
    </row>
    <row r="497" spans="1:16" ht="15.75" customHeight="1">
      <c r="A497" s="224"/>
      <c r="B497" s="282"/>
      <c r="C497" s="287"/>
      <c r="D497" s="288"/>
      <c r="E497" s="289"/>
      <c r="F497" s="290"/>
      <c r="G497" s="290"/>
      <c r="H497" s="288"/>
      <c r="I497" s="287"/>
      <c r="J497" s="270"/>
      <c r="K497" s="271"/>
      <c r="L497" s="270"/>
      <c r="M497" s="209"/>
      <c r="N497" s="209"/>
      <c r="O497" s="196"/>
      <c r="P497" s="223"/>
    </row>
    <row r="498" spans="1:16" ht="15.75" customHeight="1">
      <c r="A498" s="224"/>
      <c r="B498" s="282"/>
      <c r="C498" s="287"/>
      <c r="D498" s="288"/>
      <c r="E498" s="289"/>
      <c r="F498" s="290"/>
      <c r="G498" s="290"/>
      <c r="H498" s="288"/>
      <c r="I498" s="287"/>
      <c r="J498" s="270"/>
      <c r="K498" s="271"/>
      <c r="L498" s="270"/>
      <c r="M498" s="209"/>
      <c r="N498" s="209"/>
      <c r="O498" s="196"/>
      <c r="P498" s="223"/>
    </row>
    <row r="499" spans="1:16" ht="15.75" customHeight="1">
      <c r="A499" s="224"/>
      <c r="B499" s="282"/>
      <c r="C499" s="287"/>
      <c r="D499" s="288"/>
      <c r="E499" s="289"/>
      <c r="F499" s="290"/>
      <c r="G499" s="290"/>
      <c r="H499" s="288"/>
      <c r="I499" s="287"/>
      <c r="J499" s="270"/>
      <c r="K499" s="271"/>
      <c r="L499" s="270"/>
      <c r="M499" s="209"/>
      <c r="N499" s="209"/>
      <c r="O499" s="196"/>
      <c r="P499" s="223"/>
    </row>
    <row r="500" spans="1:16" ht="15.75" customHeight="1">
      <c r="A500" s="224"/>
      <c r="B500" s="282"/>
      <c r="C500" s="287"/>
      <c r="D500" s="288"/>
      <c r="E500" s="289"/>
      <c r="F500" s="290"/>
      <c r="G500" s="290"/>
      <c r="H500" s="288"/>
      <c r="I500" s="287"/>
      <c r="J500" s="270"/>
      <c r="K500" s="271"/>
      <c r="L500" s="270"/>
      <c r="M500" s="209"/>
      <c r="N500" s="209"/>
      <c r="O500" s="196"/>
      <c r="P500" s="223"/>
    </row>
    <row r="501" spans="1:16" ht="15.75" customHeight="1">
      <c r="A501" s="224"/>
      <c r="B501" s="282"/>
      <c r="C501" s="287"/>
      <c r="D501" s="288"/>
      <c r="E501" s="289"/>
      <c r="F501" s="290"/>
      <c r="G501" s="290"/>
      <c r="H501" s="288"/>
      <c r="I501" s="287"/>
      <c r="J501" s="270"/>
      <c r="K501" s="271"/>
      <c r="L501" s="270"/>
      <c r="M501" s="209"/>
      <c r="N501" s="209"/>
      <c r="O501" s="196"/>
      <c r="P501" s="223"/>
    </row>
    <row r="502" spans="1:16" ht="15.75" customHeight="1">
      <c r="A502" s="224"/>
      <c r="B502" s="282"/>
      <c r="C502" s="287"/>
      <c r="D502" s="288"/>
      <c r="E502" s="289"/>
      <c r="F502" s="290"/>
      <c r="G502" s="290"/>
      <c r="H502" s="288"/>
      <c r="I502" s="287"/>
      <c r="J502" s="270"/>
      <c r="K502" s="271"/>
      <c r="L502" s="270"/>
      <c r="M502" s="209"/>
      <c r="N502" s="209"/>
      <c r="O502" s="196"/>
      <c r="P502" s="223"/>
    </row>
    <row r="503" spans="1:16" ht="15.75" customHeight="1">
      <c r="A503" s="224"/>
      <c r="B503" s="282"/>
      <c r="C503" s="287"/>
      <c r="D503" s="288"/>
      <c r="E503" s="289"/>
      <c r="F503" s="290"/>
      <c r="G503" s="290"/>
      <c r="H503" s="288"/>
      <c r="I503" s="287"/>
      <c r="J503" s="270"/>
      <c r="K503" s="271"/>
      <c r="L503" s="270"/>
      <c r="M503" s="209"/>
      <c r="N503" s="209"/>
      <c r="O503" s="196"/>
      <c r="P503" s="223"/>
    </row>
    <row r="504" spans="1:16" ht="15.75" customHeight="1">
      <c r="A504" s="224"/>
      <c r="B504" s="282"/>
      <c r="C504" s="287"/>
      <c r="D504" s="288"/>
      <c r="E504" s="289"/>
      <c r="F504" s="290"/>
      <c r="G504" s="290"/>
      <c r="H504" s="288"/>
      <c r="I504" s="287"/>
      <c r="J504" s="270"/>
      <c r="K504" s="271"/>
      <c r="L504" s="270"/>
      <c r="M504" s="209"/>
      <c r="N504" s="209"/>
      <c r="O504" s="196"/>
      <c r="P504" s="223"/>
    </row>
    <row r="505" spans="1:16" ht="15.75" customHeight="1">
      <c r="A505" s="224"/>
      <c r="B505" s="282"/>
      <c r="C505" s="287"/>
      <c r="D505" s="288"/>
      <c r="E505" s="289"/>
      <c r="F505" s="290"/>
      <c r="G505" s="290"/>
      <c r="H505" s="288"/>
      <c r="I505" s="287"/>
      <c r="J505" s="270"/>
      <c r="K505" s="271"/>
      <c r="L505" s="270"/>
      <c r="M505" s="209"/>
      <c r="N505" s="209"/>
      <c r="O505" s="196"/>
      <c r="P505" s="223"/>
    </row>
    <row r="506" spans="1:16" ht="15.75" customHeight="1">
      <c r="A506" s="224"/>
      <c r="B506" s="282"/>
      <c r="C506" s="287"/>
      <c r="D506" s="288"/>
      <c r="E506" s="289"/>
      <c r="F506" s="290"/>
      <c r="G506" s="290"/>
      <c r="H506" s="288"/>
      <c r="I506" s="287"/>
      <c r="J506" s="270"/>
      <c r="K506" s="271"/>
      <c r="L506" s="270"/>
      <c r="M506" s="209"/>
      <c r="N506" s="209"/>
      <c r="O506" s="196"/>
      <c r="P506" s="223"/>
    </row>
    <row r="507" spans="1:16" ht="15.75" customHeight="1">
      <c r="A507" s="224"/>
      <c r="B507" s="282"/>
      <c r="C507" s="287"/>
      <c r="D507" s="288"/>
      <c r="E507" s="289"/>
      <c r="F507" s="290"/>
      <c r="G507" s="290"/>
      <c r="H507" s="288"/>
      <c r="I507" s="287"/>
      <c r="J507" s="270"/>
      <c r="K507" s="271"/>
      <c r="L507" s="270"/>
      <c r="M507" s="209"/>
      <c r="N507" s="209"/>
      <c r="O507" s="196"/>
      <c r="P507" s="223"/>
    </row>
    <row r="508" spans="1:16" ht="15.75" customHeight="1">
      <c r="A508" s="224"/>
      <c r="B508" s="282"/>
      <c r="C508" s="287"/>
      <c r="D508" s="288"/>
      <c r="E508" s="289"/>
      <c r="F508" s="290"/>
      <c r="G508" s="290"/>
      <c r="H508" s="288"/>
      <c r="I508" s="287"/>
      <c r="J508" s="270"/>
      <c r="K508" s="271"/>
      <c r="L508" s="270"/>
      <c r="M508" s="209"/>
      <c r="N508" s="209"/>
      <c r="O508" s="196"/>
      <c r="P508" s="223"/>
    </row>
    <row r="509" spans="1:16" ht="15.75" customHeight="1">
      <c r="A509" s="224"/>
      <c r="B509" s="282"/>
      <c r="C509" s="287"/>
      <c r="D509" s="288"/>
      <c r="E509" s="289"/>
      <c r="F509" s="290"/>
      <c r="G509" s="290"/>
      <c r="H509" s="288"/>
      <c r="I509" s="287"/>
      <c r="J509" s="270"/>
      <c r="K509" s="271"/>
      <c r="L509" s="270"/>
      <c r="M509" s="209"/>
      <c r="N509" s="209"/>
      <c r="O509" s="196"/>
      <c r="P509" s="223"/>
    </row>
    <row r="510" spans="1:16" ht="15.75" customHeight="1">
      <c r="A510" s="224"/>
      <c r="B510" s="282"/>
      <c r="C510" s="287"/>
      <c r="D510" s="288"/>
      <c r="E510" s="289"/>
      <c r="F510" s="290"/>
      <c r="G510" s="290"/>
      <c r="H510" s="288"/>
      <c r="I510" s="287"/>
      <c r="J510" s="270"/>
      <c r="K510" s="271"/>
      <c r="L510" s="270"/>
      <c r="M510" s="209"/>
      <c r="N510" s="209"/>
      <c r="O510" s="196"/>
      <c r="P510" s="223"/>
    </row>
    <row r="511" spans="1:16" ht="15.75" customHeight="1">
      <c r="A511" s="224"/>
      <c r="B511" s="282"/>
      <c r="C511" s="287"/>
      <c r="D511" s="288"/>
      <c r="E511" s="289"/>
      <c r="F511" s="290"/>
      <c r="G511" s="290"/>
      <c r="H511" s="288"/>
      <c r="I511" s="287"/>
      <c r="J511" s="270"/>
      <c r="K511" s="271"/>
      <c r="L511" s="270"/>
      <c r="M511" s="209"/>
      <c r="N511" s="209"/>
      <c r="O511" s="196"/>
      <c r="P511" s="223"/>
    </row>
    <row r="512" spans="1:16" ht="15.75" customHeight="1">
      <c r="A512" s="224"/>
      <c r="B512" s="282"/>
      <c r="C512" s="287"/>
      <c r="D512" s="288"/>
      <c r="E512" s="289"/>
      <c r="F512" s="290"/>
      <c r="G512" s="290"/>
      <c r="H512" s="288"/>
      <c r="I512" s="287"/>
      <c r="J512" s="270"/>
      <c r="K512" s="271"/>
      <c r="L512" s="270"/>
      <c r="M512" s="209"/>
      <c r="N512" s="209"/>
      <c r="O512" s="196"/>
      <c r="P512" s="223"/>
    </row>
    <row r="513" spans="1:16" ht="15.75" customHeight="1">
      <c r="A513" s="224"/>
      <c r="B513" s="282"/>
      <c r="C513" s="287"/>
      <c r="D513" s="288"/>
      <c r="E513" s="289"/>
      <c r="F513" s="290"/>
      <c r="G513" s="290"/>
      <c r="H513" s="288"/>
      <c r="I513" s="287"/>
      <c r="J513" s="270"/>
      <c r="K513" s="271"/>
      <c r="L513" s="270"/>
      <c r="M513" s="209"/>
      <c r="N513" s="209"/>
      <c r="O513" s="196"/>
      <c r="P513" s="223"/>
    </row>
    <row r="514" spans="1:16" ht="15.75" customHeight="1">
      <c r="A514" s="224"/>
      <c r="B514" s="282"/>
      <c r="C514" s="287"/>
      <c r="D514" s="288"/>
      <c r="E514" s="289"/>
      <c r="F514" s="290"/>
      <c r="G514" s="290"/>
      <c r="H514" s="288"/>
      <c r="I514" s="287"/>
      <c r="J514" s="270"/>
      <c r="K514" s="271"/>
      <c r="L514" s="270"/>
      <c r="M514" s="209"/>
      <c r="N514" s="209"/>
      <c r="O514" s="196"/>
      <c r="P514" s="223"/>
    </row>
    <row r="515" spans="1:16" ht="15.75" customHeight="1">
      <c r="A515" s="224"/>
      <c r="B515" s="282"/>
      <c r="C515" s="287"/>
      <c r="D515" s="288"/>
      <c r="E515" s="289"/>
      <c r="F515" s="290"/>
      <c r="G515" s="290"/>
      <c r="H515" s="288"/>
      <c r="I515" s="287"/>
      <c r="J515" s="270"/>
      <c r="K515" s="271"/>
      <c r="L515" s="270"/>
      <c r="M515" s="209"/>
      <c r="N515" s="209"/>
      <c r="O515" s="196"/>
      <c r="P515" s="223"/>
    </row>
    <row r="516" spans="1:16" ht="15.75" customHeight="1">
      <c r="A516" s="224"/>
      <c r="B516" s="282"/>
      <c r="C516" s="287"/>
      <c r="D516" s="288"/>
      <c r="E516" s="289"/>
      <c r="F516" s="290"/>
      <c r="G516" s="290"/>
      <c r="H516" s="288"/>
      <c r="I516" s="287"/>
      <c r="J516" s="270"/>
      <c r="K516" s="271"/>
      <c r="L516" s="270"/>
      <c r="M516" s="209"/>
      <c r="N516" s="209"/>
      <c r="O516" s="196"/>
      <c r="P516" s="223"/>
    </row>
    <row r="517" spans="1:16" ht="15.75" customHeight="1">
      <c r="A517" s="224"/>
      <c r="B517" s="282"/>
      <c r="C517" s="287"/>
      <c r="D517" s="288"/>
      <c r="E517" s="289"/>
      <c r="F517" s="290"/>
      <c r="G517" s="290"/>
      <c r="H517" s="288"/>
      <c r="I517" s="287"/>
      <c r="J517" s="270"/>
      <c r="K517" s="271"/>
      <c r="L517" s="270"/>
      <c r="M517" s="209"/>
      <c r="N517" s="209"/>
      <c r="O517" s="196"/>
      <c r="P517" s="223"/>
    </row>
    <row r="518" spans="1:16" ht="15.75" customHeight="1">
      <c r="A518" s="224"/>
      <c r="B518" s="282"/>
      <c r="C518" s="287"/>
      <c r="D518" s="288"/>
      <c r="E518" s="289"/>
      <c r="F518" s="290"/>
      <c r="G518" s="290"/>
      <c r="H518" s="288"/>
      <c r="I518" s="287"/>
      <c r="J518" s="270"/>
      <c r="K518" s="271"/>
      <c r="L518" s="270"/>
      <c r="M518" s="209"/>
      <c r="N518" s="209"/>
      <c r="O518" s="196"/>
      <c r="P518" s="223"/>
    </row>
    <row r="519" spans="1:16" ht="15.75" customHeight="1">
      <c r="A519" s="224"/>
      <c r="B519" s="282"/>
      <c r="C519" s="287"/>
      <c r="D519" s="288"/>
      <c r="E519" s="289"/>
      <c r="F519" s="290"/>
      <c r="G519" s="290"/>
      <c r="H519" s="288"/>
      <c r="I519" s="287"/>
      <c r="J519" s="270"/>
      <c r="K519" s="271"/>
      <c r="L519" s="270"/>
      <c r="M519" s="209"/>
      <c r="N519" s="209"/>
      <c r="O519" s="196"/>
      <c r="P519" s="223"/>
    </row>
    <row r="520" spans="1:16" ht="15.75" customHeight="1">
      <c r="A520" s="224"/>
      <c r="B520" s="282"/>
      <c r="C520" s="287"/>
      <c r="D520" s="288"/>
      <c r="E520" s="289"/>
      <c r="F520" s="290"/>
      <c r="G520" s="290"/>
      <c r="H520" s="288"/>
      <c r="I520" s="287"/>
      <c r="J520" s="270"/>
      <c r="K520" s="271"/>
      <c r="L520" s="270"/>
      <c r="M520" s="209"/>
      <c r="N520" s="209"/>
      <c r="O520" s="196"/>
      <c r="P520" s="223"/>
    </row>
    <row r="521" spans="1:16" ht="15.75" customHeight="1">
      <c r="A521" s="224"/>
      <c r="B521" s="282"/>
      <c r="C521" s="287"/>
      <c r="D521" s="288"/>
      <c r="E521" s="289"/>
      <c r="F521" s="290"/>
      <c r="G521" s="290"/>
      <c r="H521" s="288"/>
      <c r="I521" s="287"/>
      <c r="J521" s="270"/>
      <c r="K521" s="271"/>
      <c r="L521" s="270"/>
      <c r="M521" s="209"/>
      <c r="N521" s="209"/>
      <c r="O521" s="196"/>
      <c r="P521" s="223"/>
    </row>
    <row r="522" spans="1:16" ht="15.75" customHeight="1">
      <c r="A522" s="224"/>
      <c r="B522" s="282"/>
      <c r="C522" s="287"/>
      <c r="D522" s="288"/>
      <c r="E522" s="289"/>
      <c r="F522" s="290"/>
      <c r="G522" s="290"/>
      <c r="H522" s="288"/>
      <c r="I522" s="287"/>
      <c r="J522" s="270"/>
      <c r="K522" s="271"/>
      <c r="L522" s="270"/>
      <c r="M522" s="209"/>
      <c r="N522" s="209"/>
      <c r="O522" s="196"/>
      <c r="P522" s="223"/>
    </row>
    <row r="523" spans="1:16" ht="15.75" customHeight="1">
      <c r="A523" s="224"/>
      <c r="B523" s="282"/>
      <c r="C523" s="287"/>
      <c r="D523" s="288"/>
      <c r="E523" s="289"/>
      <c r="F523" s="290"/>
      <c r="G523" s="290"/>
      <c r="H523" s="288"/>
      <c r="I523" s="287"/>
      <c r="J523" s="270"/>
      <c r="K523" s="271"/>
      <c r="L523" s="270"/>
      <c r="M523" s="209"/>
      <c r="N523" s="209"/>
      <c r="O523" s="196"/>
      <c r="P523" s="223"/>
    </row>
    <row r="524" spans="1:16" ht="15.75" customHeight="1">
      <c r="A524" s="224"/>
      <c r="B524" s="282"/>
      <c r="C524" s="287"/>
      <c r="D524" s="288"/>
      <c r="E524" s="289"/>
      <c r="F524" s="290"/>
      <c r="G524" s="290"/>
      <c r="H524" s="288"/>
      <c r="I524" s="287"/>
      <c r="J524" s="270"/>
      <c r="K524" s="271"/>
      <c r="L524" s="270"/>
      <c r="M524" s="209"/>
      <c r="N524" s="209"/>
      <c r="O524" s="196"/>
      <c r="P524" s="223"/>
    </row>
    <row r="525" spans="1:16" ht="15.75" customHeight="1">
      <c r="A525" s="224"/>
      <c r="B525" s="282"/>
      <c r="C525" s="287"/>
      <c r="D525" s="288"/>
      <c r="E525" s="289"/>
      <c r="F525" s="290"/>
      <c r="G525" s="290"/>
      <c r="H525" s="288"/>
      <c r="I525" s="287"/>
      <c r="J525" s="270"/>
      <c r="K525" s="271"/>
      <c r="L525" s="270"/>
      <c r="M525" s="209"/>
      <c r="N525" s="209"/>
      <c r="O525" s="196"/>
      <c r="P525" s="223"/>
    </row>
    <row r="526" spans="1:16" ht="15.75" customHeight="1">
      <c r="A526" s="224"/>
      <c r="B526" s="282"/>
      <c r="C526" s="287"/>
      <c r="D526" s="288"/>
      <c r="E526" s="289"/>
      <c r="F526" s="290"/>
      <c r="G526" s="290"/>
      <c r="H526" s="288"/>
      <c r="I526" s="287"/>
      <c r="J526" s="270"/>
      <c r="K526" s="271"/>
      <c r="L526" s="270"/>
      <c r="M526" s="209"/>
      <c r="N526" s="209"/>
      <c r="O526" s="196"/>
      <c r="P526" s="223"/>
    </row>
    <row r="527" spans="1:16" ht="15.75" customHeight="1">
      <c r="A527" s="224"/>
      <c r="B527" s="282"/>
      <c r="C527" s="287"/>
      <c r="D527" s="288"/>
      <c r="E527" s="289"/>
      <c r="F527" s="290"/>
      <c r="G527" s="290"/>
      <c r="H527" s="288"/>
      <c r="I527" s="287"/>
      <c r="J527" s="270"/>
      <c r="K527" s="271"/>
      <c r="L527" s="270"/>
      <c r="M527" s="209"/>
      <c r="N527" s="209"/>
      <c r="O527" s="196"/>
      <c r="P527" s="223"/>
    </row>
    <row r="528" spans="1:16" ht="15.75" customHeight="1">
      <c r="A528" s="224"/>
      <c r="B528" s="282"/>
      <c r="C528" s="287"/>
      <c r="D528" s="288"/>
      <c r="E528" s="289"/>
      <c r="F528" s="290"/>
      <c r="G528" s="290"/>
      <c r="H528" s="288"/>
      <c r="I528" s="287"/>
      <c r="J528" s="270"/>
      <c r="K528" s="271"/>
      <c r="L528" s="270"/>
      <c r="M528" s="209"/>
      <c r="N528" s="209"/>
      <c r="O528" s="196"/>
      <c r="P528" s="223"/>
    </row>
    <row r="529" spans="1:16" ht="15.75" customHeight="1">
      <c r="A529" s="224"/>
      <c r="B529" s="282"/>
      <c r="C529" s="287"/>
      <c r="D529" s="288"/>
      <c r="E529" s="289"/>
      <c r="F529" s="290"/>
      <c r="G529" s="290"/>
      <c r="H529" s="288"/>
      <c r="I529" s="287"/>
      <c r="J529" s="270"/>
      <c r="K529" s="271"/>
      <c r="L529" s="270"/>
      <c r="M529" s="209"/>
      <c r="N529" s="209"/>
      <c r="O529" s="196"/>
      <c r="P529" s="223"/>
    </row>
    <row r="530" spans="1:16" ht="15.75" customHeight="1">
      <c r="A530" s="224"/>
      <c r="B530" s="282"/>
      <c r="C530" s="287"/>
      <c r="D530" s="288"/>
      <c r="E530" s="289"/>
      <c r="F530" s="290"/>
      <c r="G530" s="290"/>
      <c r="H530" s="288"/>
      <c r="I530" s="287"/>
      <c r="J530" s="270"/>
      <c r="K530" s="271"/>
      <c r="L530" s="270"/>
      <c r="M530" s="209"/>
      <c r="N530" s="209"/>
      <c r="O530" s="196"/>
      <c r="P530" s="223"/>
    </row>
    <row r="531" spans="1:16" ht="15.75" customHeight="1">
      <c r="A531" s="224"/>
      <c r="B531" s="282"/>
      <c r="C531" s="287"/>
      <c r="D531" s="288"/>
      <c r="E531" s="289"/>
      <c r="F531" s="290"/>
      <c r="G531" s="290"/>
      <c r="H531" s="288"/>
      <c r="I531" s="287"/>
      <c r="J531" s="270"/>
      <c r="K531" s="271"/>
      <c r="L531" s="270"/>
      <c r="M531" s="209"/>
      <c r="N531" s="209"/>
      <c r="O531" s="196"/>
      <c r="P531" s="223"/>
    </row>
    <row r="532" spans="1:16" ht="15.75" customHeight="1">
      <c r="A532" s="224"/>
      <c r="B532" s="282"/>
      <c r="C532" s="287"/>
      <c r="D532" s="288"/>
      <c r="E532" s="289"/>
      <c r="F532" s="290"/>
      <c r="G532" s="290"/>
      <c r="H532" s="288"/>
      <c r="I532" s="287"/>
      <c r="J532" s="270"/>
      <c r="K532" s="271"/>
      <c r="L532" s="270"/>
      <c r="M532" s="209"/>
      <c r="N532" s="209"/>
      <c r="O532" s="196"/>
      <c r="P532" s="223"/>
    </row>
    <row r="533" spans="1:16" ht="15.75" customHeight="1">
      <c r="A533" s="224"/>
      <c r="B533" s="282"/>
      <c r="C533" s="287"/>
      <c r="D533" s="288"/>
      <c r="E533" s="289"/>
      <c r="F533" s="290"/>
      <c r="G533" s="290"/>
      <c r="H533" s="288"/>
      <c r="I533" s="287"/>
      <c r="J533" s="270"/>
      <c r="K533" s="271"/>
      <c r="L533" s="270"/>
      <c r="M533" s="209"/>
      <c r="N533" s="209"/>
      <c r="O533" s="196"/>
      <c r="P533" s="223"/>
    </row>
    <row r="534" spans="1:16" ht="15.75" customHeight="1">
      <c r="A534" s="224"/>
      <c r="B534" s="282"/>
      <c r="C534" s="287"/>
      <c r="D534" s="288"/>
      <c r="E534" s="289"/>
      <c r="F534" s="290"/>
      <c r="G534" s="290"/>
      <c r="H534" s="288"/>
      <c r="I534" s="287"/>
      <c r="J534" s="270"/>
      <c r="K534" s="271"/>
      <c r="L534" s="270"/>
      <c r="M534" s="209"/>
      <c r="N534" s="209"/>
      <c r="O534" s="196"/>
      <c r="P534" s="223"/>
    </row>
    <row r="535" spans="1:16" ht="15.75" customHeight="1">
      <c r="A535" s="224"/>
      <c r="B535" s="282"/>
      <c r="C535" s="287"/>
      <c r="D535" s="288"/>
      <c r="E535" s="289"/>
      <c r="F535" s="290"/>
      <c r="G535" s="290"/>
      <c r="H535" s="288"/>
      <c r="I535" s="287"/>
      <c r="J535" s="270"/>
      <c r="K535" s="271"/>
      <c r="L535" s="270"/>
      <c r="M535" s="209"/>
      <c r="N535" s="209"/>
      <c r="O535" s="196"/>
      <c r="P535" s="223"/>
    </row>
    <row r="536" spans="1:16" ht="15.75" customHeight="1">
      <c r="A536" s="224"/>
      <c r="B536" s="282"/>
      <c r="C536" s="287"/>
      <c r="D536" s="288"/>
      <c r="E536" s="289"/>
      <c r="F536" s="290"/>
      <c r="G536" s="290"/>
      <c r="H536" s="288"/>
      <c r="I536" s="287"/>
      <c r="J536" s="270"/>
      <c r="K536" s="271"/>
      <c r="L536" s="270"/>
      <c r="M536" s="209"/>
      <c r="N536" s="209"/>
      <c r="O536" s="196"/>
      <c r="P536" s="223"/>
    </row>
    <row r="537" spans="1:16" ht="15.75" customHeight="1">
      <c r="A537" s="224"/>
      <c r="B537" s="282"/>
      <c r="C537" s="287"/>
      <c r="D537" s="288"/>
      <c r="E537" s="289"/>
      <c r="F537" s="290"/>
      <c r="G537" s="290"/>
      <c r="H537" s="288"/>
      <c r="I537" s="287"/>
      <c r="J537" s="270"/>
      <c r="K537" s="271"/>
      <c r="L537" s="270"/>
      <c r="M537" s="209"/>
      <c r="N537" s="209"/>
      <c r="O537" s="196"/>
      <c r="P537" s="223"/>
    </row>
    <row r="538" spans="1:16" ht="15.75" customHeight="1">
      <c r="A538" s="224"/>
      <c r="B538" s="282"/>
      <c r="C538" s="287"/>
      <c r="D538" s="288"/>
      <c r="E538" s="289"/>
      <c r="F538" s="290"/>
      <c r="G538" s="290"/>
      <c r="H538" s="288"/>
      <c r="I538" s="287"/>
      <c r="J538" s="270"/>
      <c r="K538" s="271"/>
      <c r="L538" s="270"/>
      <c r="M538" s="209"/>
      <c r="N538" s="209"/>
      <c r="O538" s="196"/>
      <c r="P538" s="223"/>
    </row>
    <row r="539" spans="1:16" ht="15.75" customHeight="1">
      <c r="A539" s="224"/>
      <c r="B539" s="282"/>
      <c r="C539" s="287"/>
      <c r="D539" s="288"/>
      <c r="E539" s="289"/>
      <c r="F539" s="290"/>
      <c r="G539" s="290"/>
      <c r="H539" s="288"/>
      <c r="I539" s="287"/>
      <c r="J539" s="270"/>
      <c r="K539" s="271"/>
      <c r="L539" s="270"/>
      <c r="M539" s="209"/>
      <c r="N539" s="209"/>
      <c r="O539" s="196"/>
      <c r="P539" s="223"/>
    </row>
    <row r="540" spans="1:16" ht="15.75" customHeight="1">
      <c r="A540" s="224"/>
      <c r="B540" s="282"/>
      <c r="C540" s="287"/>
      <c r="D540" s="288"/>
      <c r="E540" s="289"/>
      <c r="F540" s="290"/>
      <c r="G540" s="290"/>
      <c r="H540" s="288"/>
      <c r="I540" s="287"/>
      <c r="J540" s="270"/>
      <c r="K540" s="271"/>
      <c r="L540" s="270"/>
      <c r="M540" s="209"/>
      <c r="N540" s="209"/>
      <c r="O540" s="196"/>
      <c r="P540" s="223"/>
    </row>
    <row r="541" spans="1:16" ht="15.75" customHeight="1">
      <c r="A541" s="224"/>
      <c r="B541" s="282"/>
      <c r="C541" s="287"/>
      <c r="D541" s="288"/>
      <c r="E541" s="289"/>
      <c r="F541" s="290"/>
      <c r="G541" s="290"/>
      <c r="H541" s="288"/>
      <c r="I541" s="287"/>
      <c r="J541" s="270"/>
      <c r="K541" s="271"/>
      <c r="L541" s="270"/>
      <c r="M541" s="209"/>
      <c r="N541" s="209"/>
      <c r="O541" s="196"/>
      <c r="P541" s="223"/>
    </row>
    <row r="542" spans="1:16" ht="15.75" customHeight="1">
      <c r="A542" s="224"/>
      <c r="B542" s="282"/>
      <c r="C542" s="287"/>
      <c r="D542" s="288"/>
      <c r="E542" s="289"/>
      <c r="F542" s="290"/>
      <c r="G542" s="290"/>
      <c r="H542" s="288"/>
      <c r="I542" s="287"/>
      <c r="J542" s="270"/>
      <c r="K542" s="271"/>
      <c r="L542" s="270"/>
      <c r="M542" s="209"/>
      <c r="N542" s="209"/>
      <c r="O542" s="196"/>
      <c r="P542" s="223"/>
    </row>
    <row r="543" spans="1:16" ht="15.75" customHeight="1">
      <c r="A543" s="224"/>
      <c r="B543" s="282"/>
      <c r="C543" s="287"/>
      <c r="D543" s="288"/>
      <c r="E543" s="289"/>
      <c r="F543" s="290"/>
      <c r="G543" s="290"/>
      <c r="H543" s="288"/>
      <c r="I543" s="287"/>
      <c r="J543" s="270"/>
      <c r="K543" s="271"/>
      <c r="L543" s="270"/>
      <c r="M543" s="209"/>
      <c r="N543" s="209"/>
      <c r="O543" s="196"/>
      <c r="P543" s="223"/>
    </row>
    <row r="544" spans="1:16" ht="15.75" customHeight="1">
      <c r="A544" s="224"/>
      <c r="B544" s="282"/>
      <c r="C544" s="287"/>
      <c r="D544" s="288"/>
      <c r="E544" s="289"/>
      <c r="F544" s="290"/>
      <c r="G544" s="290"/>
      <c r="H544" s="288"/>
      <c r="I544" s="287"/>
      <c r="J544" s="270"/>
      <c r="K544" s="271"/>
      <c r="L544" s="270"/>
      <c r="M544" s="209"/>
      <c r="N544" s="209"/>
      <c r="O544" s="196"/>
      <c r="P544" s="223"/>
    </row>
    <row r="545" spans="1:16" ht="15.75" customHeight="1">
      <c r="A545" s="224"/>
      <c r="B545" s="282"/>
      <c r="C545" s="287"/>
      <c r="D545" s="288"/>
      <c r="E545" s="289"/>
      <c r="F545" s="290"/>
      <c r="G545" s="290"/>
      <c r="H545" s="288"/>
      <c r="I545" s="287"/>
      <c r="J545" s="270"/>
      <c r="K545" s="271"/>
      <c r="L545" s="270"/>
      <c r="M545" s="209"/>
      <c r="N545" s="209"/>
      <c r="O545" s="196"/>
      <c r="P545" s="223"/>
    </row>
    <row r="546" spans="1:16" ht="15.75" customHeight="1">
      <c r="A546" s="224"/>
      <c r="B546" s="282"/>
      <c r="C546" s="287"/>
      <c r="D546" s="288"/>
      <c r="E546" s="289"/>
      <c r="F546" s="290"/>
      <c r="G546" s="290"/>
      <c r="H546" s="288"/>
      <c r="I546" s="287"/>
      <c r="J546" s="270"/>
      <c r="K546" s="271"/>
      <c r="L546" s="270"/>
      <c r="M546" s="209"/>
      <c r="N546" s="209"/>
      <c r="O546" s="196"/>
      <c r="P546" s="223"/>
    </row>
    <row r="547" spans="1:16" ht="15.75" customHeight="1">
      <c r="A547" s="224"/>
      <c r="B547" s="282"/>
      <c r="C547" s="287"/>
      <c r="D547" s="288"/>
      <c r="E547" s="289"/>
      <c r="F547" s="290"/>
      <c r="G547" s="290"/>
      <c r="H547" s="288"/>
      <c r="I547" s="287"/>
      <c r="J547" s="270"/>
      <c r="K547" s="271"/>
      <c r="L547" s="270"/>
      <c r="M547" s="209"/>
      <c r="N547" s="209"/>
      <c r="O547" s="196"/>
      <c r="P547" s="223"/>
    </row>
    <row r="548" spans="1:16" ht="15.75" customHeight="1">
      <c r="A548" s="224"/>
      <c r="B548" s="282"/>
      <c r="C548" s="287"/>
      <c r="D548" s="288"/>
      <c r="E548" s="289"/>
      <c r="F548" s="290"/>
      <c r="G548" s="290"/>
      <c r="H548" s="288"/>
      <c r="I548" s="287"/>
      <c r="J548" s="270"/>
      <c r="K548" s="271"/>
      <c r="L548" s="270"/>
      <c r="M548" s="209"/>
      <c r="N548" s="209"/>
      <c r="O548" s="196"/>
      <c r="P548" s="223"/>
    </row>
    <row r="549" spans="1:16" ht="15.75" customHeight="1">
      <c r="A549" s="224"/>
      <c r="B549" s="282"/>
      <c r="C549" s="287"/>
      <c r="D549" s="288"/>
      <c r="E549" s="289"/>
      <c r="F549" s="290"/>
      <c r="G549" s="290"/>
      <c r="H549" s="288"/>
      <c r="I549" s="287"/>
      <c r="J549" s="270"/>
      <c r="K549" s="271"/>
      <c r="L549" s="270"/>
      <c r="M549" s="209"/>
      <c r="N549" s="209"/>
      <c r="O549" s="196"/>
      <c r="P549" s="223"/>
    </row>
    <row r="550" spans="1:16" ht="15.75" customHeight="1">
      <c r="A550" s="224"/>
      <c r="B550" s="282"/>
      <c r="C550" s="287"/>
      <c r="D550" s="288"/>
      <c r="E550" s="289"/>
      <c r="F550" s="290"/>
      <c r="G550" s="290"/>
      <c r="H550" s="288"/>
      <c r="I550" s="287"/>
      <c r="J550" s="270"/>
      <c r="K550" s="271"/>
      <c r="L550" s="270"/>
      <c r="M550" s="209"/>
      <c r="N550" s="209"/>
      <c r="O550" s="196"/>
      <c r="P550" s="223"/>
    </row>
    <row r="551" spans="1:16" ht="15.75" customHeight="1">
      <c r="A551" s="224"/>
      <c r="B551" s="282"/>
      <c r="C551" s="287"/>
      <c r="D551" s="288"/>
      <c r="E551" s="289"/>
      <c r="F551" s="290"/>
      <c r="G551" s="290"/>
      <c r="H551" s="288"/>
      <c r="I551" s="287"/>
      <c r="J551" s="270"/>
      <c r="K551" s="271"/>
      <c r="L551" s="270"/>
      <c r="M551" s="209"/>
      <c r="N551" s="209"/>
      <c r="O551" s="196"/>
      <c r="P551" s="223"/>
    </row>
    <row r="552" spans="1:16" ht="15.75" customHeight="1">
      <c r="A552" s="224"/>
      <c r="B552" s="282"/>
      <c r="C552" s="287"/>
      <c r="D552" s="288"/>
      <c r="E552" s="289"/>
      <c r="F552" s="290"/>
      <c r="G552" s="290"/>
      <c r="H552" s="288"/>
      <c r="I552" s="287"/>
      <c r="J552" s="270"/>
      <c r="K552" s="271"/>
      <c r="L552" s="270"/>
      <c r="M552" s="209"/>
      <c r="N552" s="209"/>
      <c r="O552" s="196"/>
      <c r="P552" s="223"/>
    </row>
    <row r="553" spans="1:16" ht="15.75" customHeight="1">
      <c r="A553" s="224"/>
      <c r="B553" s="282"/>
      <c r="C553" s="287"/>
      <c r="D553" s="288"/>
      <c r="E553" s="289"/>
      <c r="F553" s="290"/>
      <c r="G553" s="290"/>
      <c r="H553" s="288"/>
      <c r="I553" s="287"/>
      <c r="J553" s="270"/>
      <c r="K553" s="271"/>
      <c r="L553" s="270"/>
      <c r="M553" s="209"/>
      <c r="N553" s="209"/>
      <c r="O553" s="196"/>
      <c r="P553" s="223"/>
    </row>
    <row r="554" spans="1:16" ht="15.75" customHeight="1">
      <c r="A554" s="224"/>
      <c r="B554" s="282"/>
      <c r="C554" s="287"/>
      <c r="D554" s="288"/>
      <c r="E554" s="289"/>
      <c r="F554" s="290"/>
      <c r="G554" s="290"/>
      <c r="H554" s="288"/>
      <c r="I554" s="287"/>
      <c r="J554" s="270"/>
      <c r="K554" s="271"/>
      <c r="L554" s="270"/>
      <c r="M554" s="209"/>
      <c r="N554" s="209"/>
      <c r="O554" s="196"/>
      <c r="P554" s="223"/>
    </row>
    <row r="555" spans="1:16" ht="15.75" customHeight="1">
      <c r="A555" s="224"/>
      <c r="B555" s="282"/>
      <c r="C555" s="287"/>
      <c r="D555" s="288"/>
      <c r="E555" s="289"/>
      <c r="F555" s="290"/>
      <c r="G555" s="290"/>
      <c r="H555" s="288"/>
      <c r="I555" s="287"/>
      <c r="J555" s="270"/>
      <c r="K555" s="271"/>
      <c r="L555" s="270"/>
      <c r="M555" s="209"/>
      <c r="N555" s="209"/>
      <c r="O555" s="196"/>
      <c r="P555" s="223"/>
    </row>
    <row r="556" spans="1:16" ht="15.75" customHeight="1">
      <c r="A556" s="224"/>
      <c r="B556" s="282"/>
      <c r="C556" s="287"/>
      <c r="D556" s="288"/>
      <c r="E556" s="289"/>
      <c r="F556" s="290"/>
      <c r="G556" s="290"/>
      <c r="H556" s="288"/>
      <c r="I556" s="287"/>
      <c r="J556" s="270"/>
      <c r="K556" s="271"/>
      <c r="L556" s="270"/>
      <c r="M556" s="209"/>
      <c r="N556" s="209"/>
      <c r="O556" s="196"/>
      <c r="P556" s="223"/>
    </row>
    <row r="557" spans="1:16" ht="15.75" customHeight="1">
      <c r="A557" s="224"/>
      <c r="B557" s="282"/>
      <c r="C557" s="287"/>
      <c r="D557" s="288"/>
      <c r="E557" s="289"/>
      <c r="F557" s="290"/>
      <c r="G557" s="290"/>
      <c r="H557" s="288"/>
      <c r="I557" s="287"/>
      <c r="J557" s="270"/>
      <c r="K557" s="271"/>
      <c r="L557" s="270"/>
      <c r="M557" s="209"/>
      <c r="N557" s="209"/>
      <c r="O557" s="196"/>
      <c r="P557" s="223"/>
    </row>
    <row r="558" spans="1:16" ht="15.75" customHeight="1">
      <c r="A558" s="224"/>
      <c r="B558" s="282"/>
      <c r="C558" s="287"/>
      <c r="D558" s="288"/>
      <c r="E558" s="289"/>
      <c r="F558" s="290"/>
      <c r="G558" s="290"/>
      <c r="H558" s="288"/>
      <c r="I558" s="287"/>
      <c r="J558" s="270"/>
      <c r="K558" s="271"/>
      <c r="L558" s="270"/>
      <c r="M558" s="209"/>
      <c r="N558" s="209"/>
      <c r="O558" s="196"/>
      <c r="P558" s="223"/>
    </row>
    <row r="559" spans="1:16" ht="15.75" customHeight="1">
      <c r="A559" s="224"/>
      <c r="B559" s="282"/>
      <c r="C559" s="287"/>
      <c r="D559" s="288"/>
      <c r="E559" s="289"/>
      <c r="F559" s="290"/>
      <c r="G559" s="290"/>
      <c r="H559" s="288"/>
      <c r="I559" s="287"/>
      <c r="J559" s="270"/>
      <c r="K559" s="271"/>
      <c r="L559" s="270"/>
      <c r="M559" s="209"/>
      <c r="N559" s="209"/>
      <c r="O559" s="196"/>
      <c r="P559" s="223"/>
    </row>
    <row r="560" spans="1:16" ht="15.75" customHeight="1">
      <c r="A560" s="224"/>
      <c r="B560" s="282"/>
      <c r="C560" s="287"/>
      <c r="D560" s="288"/>
      <c r="E560" s="289"/>
      <c r="F560" s="290"/>
      <c r="G560" s="290"/>
      <c r="H560" s="288"/>
      <c r="I560" s="287"/>
      <c r="J560" s="270"/>
      <c r="K560" s="271"/>
      <c r="L560" s="270"/>
      <c r="M560" s="209"/>
      <c r="N560" s="209"/>
      <c r="O560" s="196"/>
      <c r="P560" s="223"/>
    </row>
    <row r="561" spans="1:16" ht="15.75" customHeight="1">
      <c r="A561" s="224"/>
      <c r="B561" s="282"/>
      <c r="C561" s="287"/>
      <c r="D561" s="288"/>
      <c r="E561" s="289"/>
      <c r="F561" s="290"/>
      <c r="G561" s="290"/>
      <c r="H561" s="288"/>
      <c r="I561" s="287"/>
      <c r="J561" s="270"/>
      <c r="K561" s="271"/>
      <c r="L561" s="270"/>
      <c r="M561" s="209"/>
      <c r="N561" s="209"/>
      <c r="O561" s="196"/>
      <c r="P561" s="223"/>
    </row>
    <row r="562" spans="1:16" ht="15.75" customHeight="1">
      <c r="A562" s="224"/>
      <c r="B562" s="282"/>
      <c r="C562" s="287"/>
      <c r="D562" s="288"/>
      <c r="E562" s="289"/>
      <c r="F562" s="290"/>
      <c r="G562" s="290"/>
      <c r="H562" s="288"/>
      <c r="I562" s="287"/>
      <c r="J562" s="270"/>
      <c r="K562" s="271"/>
      <c r="L562" s="270"/>
      <c r="M562" s="209"/>
      <c r="N562" s="209"/>
      <c r="O562" s="196"/>
      <c r="P562" s="223"/>
    </row>
    <row r="563" spans="1:16" ht="15.75" customHeight="1">
      <c r="A563" s="224"/>
      <c r="B563" s="282"/>
      <c r="C563" s="287"/>
      <c r="D563" s="288"/>
      <c r="E563" s="289"/>
      <c r="F563" s="290"/>
      <c r="G563" s="290"/>
      <c r="H563" s="288"/>
      <c r="I563" s="287"/>
      <c r="J563" s="270"/>
      <c r="K563" s="271"/>
      <c r="L563" s="270"/>
      <c r="M563" s="209"/>
      <c r="N563" s="209"/>
      <c r="O563" s="196"/>
      <c r="P563" s="223"/>
    </row>
    <row r="564" spans="1:16" ht="15.75" customHeight="1">
      <c r="A564" s="224"/>
      <c r="B564" s="282"/>
      <c r="C564" s="287"/>
      <c r="D564" s="288"/>
      <c r="E564" s="289"/>
      <c r="F564" s="290"/>
      <c r="G564" s="290"/>
      <c r="H564" s="288"/>
      <c r="I564" s="287"/>
      <c r="J564" s="270"/>
      <c r="K564" s="271"/>
      <c r="L564" s="270"/>
      <c r="M564" s="209"/>
      <c r="N564" s="209"/>
      <c r="O564" s="196"/>
      <c r="P564" s="223"/>
    </row>
    <row r="565" spans="1:16" ht="15.75" customHeight="1">
      <c r="A565" s="224"/>
      <c r="B565" s="282"/>
      <c r="C565" s="287"/>
      <c r="D565" s="288"/>
      <c r="E565" s="289"/>
      <c r="F565" s="290"/>
      <c r="G565" s="290"/>
      <c r="H565" s="288"/>
      <c r="I565" s="287"/>
      <c r="J565" s="270"/>
      <c r="K565" s="271"/>
      <c r="L565" s="270"/>
      <c r="M565" s="209"/>
      <c r="N565" s="209"/>
      <c r="O565" s="196"/>
      <c r="P565" s="223"/>
    </row>
    <row r="566" spans="1:16" ht="15.75" customHeight="1">
      <c r="A566" s="224"/>
      <c r="B566" s="282"/>
      <c r="C566" s="287"/>
      <c r="D566" s="288"/>
      <c r="E566" s="289"/>
      <c r="F566" s="290"/>
      <c r="G566" s="290"/>
      <c r="H566" s="288"/>
      <c r="I566" s="287"/>
      <c r="J566" s="270"/>
      <c r="K566" s="271"/>
      <c r="L566" s="270"/>
      <c r="M566" s="209"/>
      <c r="N566" s="209"/>
      <c r="O566" s="196"/>
      <c r="P566" s="223"/>
    </row>
    <row r="567" spans="1:16" ht="15.75" customHeight="1">
      <c r="A567" s="224"/>
      <c r="B567" s="282"/>
      <c r="C567" s="287"/>
      <c r="D567" s="288"/>
      <c r="E567" s="289"/>
      <c r="F567" s="290"/>
      <c r="G567" s="290"/>
      <c r="H567" s="288"/>
      <c r="I567" s="287"/>
      <c r="J567" s="270"/>
      <c r="K567" s="271"/>
      <c r="L567" s="270"/>
      <c r="M567" s="209"/>
      <c r="N567" s="209"/>
      <c r="O567" s="196"/>
      <c r="P567" s="223"/>
    </row>
    <row r="568" spans="1:16" ht="15.75" customHeight="1">
      <c r="A568" s="224"/>
      <c r="B568" s="282"/>
      <c r="C568" s="287"/>
      <c r="D568" s="288"/>
      <c r="E568" s="289"/>
      <c r="F568" s="290"/>
      <c r="G568" s="290"/>
      <c r="H568" s="288"/>
      <c r="I568" s="287"/>
      <c r="J568" s="270"/>
      <c r="K568" s="271"/>
      <c r="L568" s="270"/>
      <c r="M568" s="209"/>
      <c r="N568" s="209"/>
      <c r="O568" s="196"/>
      <c r="P568" s="223"/>
    </row>
    <row r="569" spans="1:16" ht="15.75" customHeight="1">
      <c r="A569" s="224"/>
      <c r="B569" s="282"/>
      <c r="C569" s="287"/>
      <c r="D569" s="288"/>
      <c r="E569" s="289"/>
      <c r="F569" s="290"/>
      <c r="G569" s="290"/>
      <c r="H569" s="288"/>
      <c r="I569" s="287"/>
      <c r="J569" s="270"/>
      <c r="K569" s="271"/>
      <c r="L569" s="270"/>
      <c r="M569" s="209"/>
      <c r="N569" s="209"/>
      <c r="O569" s="196"/>
      <c r="P569" s="223"/>
    </row>
    <row r="570" spans="1:16" ht="15.75" customHeight="1">
      <c r="A570" s="224"/>
      <c r="B570" s="282"/>
      <c r="C570" s="287"/>
      <c r="D570" s="288"/>
      <c r="E570" s="289"/>
      <c r="F570" s="290"/>
      <c r="G570" s="290"/>
      <c r="H570" s="288"/>
      <c r="I570" s="287"/>
      <c r="J570" s="270"/>
      <c r="K570" s="271"/>
      <c r="L570" s="270"/>
      <c r="M570" s="209"/>
      <c r="N570" s="209"/>
      <c r="O570" s="196"/>
      <c r="P570" s="223"/>
    </row>
    <row r="571" spans="1:16" ht="15.75" customHeight="1">
      <c r="A571" s="224"/>
      <c r="B571" s="282"/>
      <c r="C571" s="287"/>
      <c r="D571" s="288"/>
      <c r="E571" s="289"/>
      <c r="F571" s="290"/>
      <c r="G571" s="290"/>
      <c r="H571" s="288"/>
      <c r="I571" s="287"/>
      <c r="J571" s="270"/>
      <c r="K571" s="271"/>
      <c r="L571" s="270"/>
      <c r="M571" s="209"/>
      <c r="N571" s="209"/>
      <c r="O571" s="196"/>
      <c r="P571" s="223"/>
    </row>
    <row r="572" spans="1:16" ht="15.75" customHeight="1">
      <c r="A572" s="224"/>
      <c r="B572" s="282"/>
      <c r="C572" s="287"/>
      <c r="D572" s="288"/>
      <c r="E572" s="289"/>
      <c r="F572" s="290"/>
      <c r="G572" s="290"/>
      <c r="H572" s="288"/>
      <c r="I572" s="287"/>
      <c r="J572" s="270"/>
      <c r="K572" s="271"/>
      <c r="L572" s="270"/>
      <c r="M572" s="209"/>
      <c r="N572" s="209"/>
      <c r="O572" s="196"/>
      <c r="P572" s="223"/>
    </row>
    <row r="573" spans="1:16" ht="15.75" customHeight="1">
      <c r="A573" s="224"/>
      <c r="B573" s="282"/>
      <c r="C573" s="287"/>
      <c r="D573" s="288"/>
      <c r="E573" s="289"/>
      <c r="F573" s="290"/>
      <c r="G573" s="290"/>
      <c r="H573" s="288"/>
      <c r="I573" s="287"/>
      <c r="J573" s="270"/>
      <c r="K573" s="271"/>
      <c r="L573" s="270"/>
      <c r="M573" s="209"/>
      <c r="N573" s="209"/>
      <c r="O573" s="196"/>
      <c r="P573" s="223"/>
    </row>
    <row r="574" spans="1:16" ht="15.75" customHeight="1">
      <c r="A574" s="224"/>
      <c r="B574" s="282"/>
      <c r="C574" s="287"/>
      <c r="D574" s="288"/>
      <c r="E574" s="289"/>
      <c r="F574" s="290"/>
      <c r="G574" s="290"/>
      <c r="H574" s="288"/>
      <c r="I574" s="287"/>
      <c r="J574" s="270"/>
      <c r="K574" s="271"/>
      <c r="L574" s="270"/>
      <c r="M574" s="209"/>
      <c r="N574" s="209"/>
      <c r="O574" s="196"/>
      <c r="P574" s="223"/>
    </row>
    <row r="575" spans="1:16" ht="15.75" customHeight="1">
      <c r="A575" s="224"/>
      <c r="B575" s="282"/>
      <c r="C575" s="287"/>
      <c r="D575" s="288"/>
      <c r="E575" s="289"/>
      <c r="F575" s="290"/>
      <c r="G575" s="290"/>
      <c r="H575" s="288"/>
      <c r="I575" s="287"/>
      <c r="J575" s="270"/>
      <c r="K575" s="271"/>
      <c r="L575" s="270"/>
      <c r="M575" s="209"/>
      <c r="N575" s="209"/>
      <c r="O575" s="196"/>
      <c r="P575" s="223"/>
    </row>
    <row r="576" spans="1:16" ht="15.75" customHeight="1">
      <c r="A576" s="224"/>
      <c r="B576" s="282"/>
      <c r="C576" s="287"/>
      <c r="D576" s="288"/>
      <c r="E576" s="289"/>
      <c r="F576" s="290"/>
      <c r="G576" s="290"/>
      <c r="H576" s="288"/>
      <c r="I576" s="287"/>
      <c r="J576" s="270"/>
      <c r="K576" s="271"/>
      <c r="L576" s="270"/>
      <c r="M576" s="209"/>
      <c r="N576" s="209"/>
      <c r="O576" s="196"/>
      <c r="P576" s="223"/>
    </row>
    <row r="577" spans="1:16" ht="15.75" customHeight="1">
      <c r="A577" s="224"/>
      <c r="B577" s="282"/>
      <c r="C577" s="287"/>
      <c r="D577" s="288"/>
      <c r="E577" s="289"/>
      <c r="F577" s="290"/>
      <c r="G577" s="290"/>
      <c r="H577" s="288"/>
      <c r="I577" s="287"/>
      <c r="J577" s="270"/>
      <c r="K577" s="271"/>
      <c r="L577" s="270"/>
      <c r="M577" s="209"/>
      <c r="N577" s="209"/>
      <c r="O577" s="196"/>
      <c r="P577" s="223"/>
    </row>
    <row r="578" spans="1:16" ht="15.75" customHeight="1">
      <c r="A578" s="224"/>
      <c r="B578" s="282"/>
      <c r="C578" s="287"/>
      <c r="D578" s="288"/>
      <c r="E578" s="289"/>
      <c r="F578" s="290"/>
      <c r="G578" s="290"/>
      <c r="H578" s="288"/>
      <c r="I578" s="287"/>
      <c r="J578" s="270"/>
      <c r="K578" s="271"/>
      <c r="L578" s="270"/>
      <c r="M578" s="209"/>
      <c r="N578" s="209"/>
      <c r="O578" s="196"/>
      <c r="P578" s="223"/>
    </row>
    <row r="579" spans="1:16" ht="15.75" customHeight="1">
      <c r="A579" s="224"/>
      <c r="B579" s="282"/>
      <c r="C579" s="287"/>
      <c r="D579" s="288"/>
      <c r="E579" s="289"/>
      <c r="F579" s="290"/>
      <c r="G579" s="290"/>
      <c r="H579" s="288"/>
      <c r="I579" s="287"/>
      <c r="J579" s="270"/>
      <c r="K579" s="271"/>
      <c r="L579" s="270"/>
      <c r="M579" s="209"/>
      <c r="N579" s="209"/>
      <c r="O579" s="196"/>
      <c r="P579" s="223"/>
    </row>
    <row r="580" spans="1:16" ht="15.75" customHeight="1">
      <c r="A580" s="224"/>
      <c r="B580" s="282"/>
      <c r="C580" s="287"/>
      <c r="D580" s="288"/>
      <c r="E580" s="289"/>
      <c r="F580" s="290"/>
      <c r="G580" s="290"/>
      <c r="H580" s="288"/>
      <c r="I580" s="287"/>
      <c r="J580" s="270"/>
      <c r="K580" s="271"/>
      <c r="L580" s="270"/>
      <c r="M580" s="209"/>
      <c r="N580" s="209"/>
      <c r="O580" s="196"/>
      <c r="P580" s="223"/>
    </row>
    <row r="581" spans="1:16" ht="15.75" customHeight="1">
      <c r="A581" s="224"/>
      <c r="B581" s="282"/>
      <c r="C581" s="287"/>
      <c r="D581" s="288"/>
      <c r="E581" s="289"/>
      <c r="F581" s="290"/>
      <c r="G581" s="290"/>
      <c r="H581" s="288"/>
      <c r="I581" s="287"/>
      <c r="J581" s="270"/>
      <c r="K581" s="271"/>
      <c r="L581" s="270"/>
      <c r="M581" s="209"/>
      <c r="N581" s="209"/>
      <c r="O581" s="196"/>
      <c r="P581" s="223"/>
    </row>
    <row r="582" spans="1:16" ht="15.75" customHeight="1">
      <c r="A582" s="224"/>
      <c r="B582" s="282"/>
      <c r="C582" s="287"/>
      <c r="D582" s="288"/>
      <c r="E582" s="289"/>
      <c r="F582" s="290"/>
      <c r="G582" s="290"/>
      <c r="H582" s="288"/>
      <c r="I582" s="287"/>
      <c r="J582" s="270"/>
      <c r="K582" s="271"/>
      <c r="L582" s="270"/>
      <c r="M582" s="209"/>
      <c r="N582" s="209"/>
      <c r="O582" s="196"/>
      <c r="P582" s="223"/>
    </row>
    <row r="583" spans="1:16" ht="15.75" customHeight="1">
      <c r="A583" s="224"/>
      <c r="B583" s="282"/>
      <c r="C583" s="287"/>
      <c r="D583" s="288"/>
      <c r="E583" s="289"/>
      <c r="F583" s="290"/>
      <c r="G583" s="290"/>
      <c r="H583" s="288"/>
      <c r="I583" s="287"/>
      <c r="J583" s="270"/>
      <c r="K583" s="271"/>
      <c r="L583" s="270"/>
      <c r="M583" s="209"/>
      <c r="N583" s="209"/>
      <c r="O583" s="196"/>
      <c r="P583" s="223"/>
    </row>
    <row r="584" spans="1:16" ht="15.75" customHeight="1">
      <c r="A584" s="224"/>
      <c r="B584" s="282"/>
      <c r="C584" s="287"/>
      <c r="D584" s="288"/>
      <c r="E584" s="289"/>
      <c r="F584" s="290"/>
      <c r="G584" s="290"/>
      <c r="H584" s="288"/>
      <c r="I584" s="287"/>
      <c r="J584" s="270"/>
      <c r="K584" s="271"/>
      <c r="L584" s="270"/>
      <c r="M584" s="209"/>
      <c r="N584" s="209"/>
      <c r="O584" s="196"/>
      <c r="P584" s="223"/>
    </row>
    <row r="585" spans="1:16" ht="15.75" customHeight="1">
      <c r="A585" s="224"/>
      <c r="B585" s="282"/>
      <c r="C585" s="287"/>
      <c r="D585" s="288"/>
      <c r="E585" s="289"/>
      <c r="F585" s="290"/>
      <c r="G585" s="290"/>
      <c r="H585" s="288"/>
      <c r="I585" s="287"/>
      <c r="J585" s="270"/>
      <c r="K585" s="271"/>
      <c r="L585" s="270"/>
      <c r="M585" s="209"/>
      <c r="N585" s="209"/>
      <c r="O585" s="196"/>
      <c r="P585" s="223"/>
    </row>
    <row r="586" spans="1:16" ht="15.75" customHeight="1">
      <c r="A586" s="224"/>
      <c r="B586" s="282"/>
      <c r="C586" s="287"/>
      <c r="D586" s="288"/>
      <c r="E586" s="289"/>
      <c r="F586" s="290"/>
      <c r="G586" s="290"/>
      <c r="H586" s="288"/>
      <c r="I586" s="287"/>
      <c r="J586" s="270"/>
      <c r="K586" s="271"/>
      <c r="L586" s="270"/>
      <c r="M586" s="209"/>
      <c r="N586" s="209"/>
      <c r="O586" s="196"/>
      <c r="P586" s="223"/>
    </row>
    <row r="587" spans="1:16" ht="15.75" customHeight="1">
      <c r="A587" s="224"/>
      <c r="B587" s="282"/>
      <c r="C587" s="287"/>
      <c r="D587" s="288"/>
      <c r="E587" s="289"/>
      <c r="F587" s="290"/>
      <c r="G587" s="290"/>
      <c r="H587" s="288"/>
      <c r="I587" s="287"/>
      <c r="J587" s="270"/>
      <c r="K587" s="271"/>
      <c r="L587" s="270"/>
      <c r="M587" s="209"/>
      <c r="N587" s="209"/>
      <c r="O587" s="196"/>
      <c r="P587" s="223"/>
    </row>
    <row r="588" spans="1:16" ht="15.75" customHeight="1">
      <c r="A588" s="224"/>
      <c r="B588" s="282"/>
      <c r="C588" s="287"/>
      <c r="D588" s="288"/>
      <c r="E588" s="289"/>
      <c r="F588" s="290"/>
      <c r="G588" s="290"/>
      <c r="H588" s="288"/>
      <c r="I588" s="287"/>
      <c r="J588" s="270"/>
      <c r="K588" s="271"/>
      <c r="L588" s="270"/>
      <c r="M588" s="209"/>
      <c r="N588" s="209"/>
      <c r="O588" s="196"/>
      <c r="P588" s="223"/>
    </row>
    <row r="589" spans="1:16" ht="15.75" customHeight="1">
      <c r="A589" s="224"/>
      <c r="B589" s="282"/>
      <c r="C589" s="287"/>
      <c r="D589" s="288"/>
      <c r="E589" s="289"/>
      <c r="F589" s="290"/>
      <c r="G589" s="290"/>
      <c r="H589" s="288"/>
      <c r="I589" s="287"/>
      <c r="J589" s="270"/>
      <c r="K589" s="271"/>
      <c r="L589" s="270"/>
      <c r="M589" s="209"/>
      <c r="N589" s="209"/>
      <c r="O589" s="196"/>
      <c r="P589" s="223"/>
    </row>
    <row r="590" spans="1:16" ht="15.75" customHeight="1">
      <c r="A590" s="224"/>
      <c r="B590" s="282"/>
      <c r="C590" s="287"/>
      <c r="D590" s="288"/>
      <c r="E590" s="289"/>
      <c r="F590" s="290"/>
      <c r="G590" s="290"/>
      <c r="H590" s="288"/>
      <c r="I590" s="287"/>
      <c r="J590" s="270"/>
      <c r="K590" s="271"/>
      <c r="L590" s="270"/>
      <c r="M590" s="209"/>
      <c r="N590" s="209"/>
      <c r="O590" s="196"/>
      <c r="P590" s="223"/>
    </row>
    <row r="591" spans="1:16" ht="15.75" customHeight="1">
      <c r="A591" s="224"/>
      <c r="B591" s="282"/>
      <c r="C591" s="287"/>
      <c r="D591" s="288"/>
      <c r="E591" s="289"/>
      <c r="F591" s="290"/>
      <c r="G591" s="290"/>
      <c r="H591" s="288"/>
      <c r="I591" s="287"/>
      <c r="J591" s="270"/>
      <c r="K591" s="271"/>
      <c r="L591" s="270"/>
      <c r="M591" s="209"/>
      <c r="N591" s="209"/>
      <c r="O591" s="196"/>
      <c r="P591" s="223"/>
    </row>
    <row r="592" spans="1:16" ht="15.75" customHeight="1">
      <c r="A592" s="224"/>
      <c r="B592" s="282"/>
      <c r="C592" s="287"/>
      <c r="D592" s="288"/>
      <c r="E592" s="289"/>
      <c r="F592" s="290"/>
      <c r="G592" s="290"/>
      <c r="H592" s="288"/>
      <c r="I592" s="287"/>
      <c r="J592" s="270"/>
      <c r="K592" s="271"/>
      <c r="L592" s="270"/>
      <c r="M592" s="209"/>
      <c r="N592" s="209"/>
      <c r="O592" s="196"/>
      <c r="P592" s="223"/>
    </row>
    <row r="593" spans="1:16" ht="15.75" customHeight="1">
      <c r="A593" s="224"/>
      <c r="B593" s="282"/>
      <c r="C593" s="287"/>
      <c r="D593" s="288"/>
      <c r="E593" s="289"/>
      <c r="F593" s="290"/>
      <c r="G593" s="290"/>
      <c r="H593" s="288"/>
      <c r="I593" s="287"/>
      <c r="J593" s="270"/>
      <c r="K593" s="271"/>
      <c r="L593" s="270"/>
      <c r="M593" s="209"/>
      <c r="N593" s="209"/>
      <c r="O593" s="196"/>
      <c r="P593" s="223"/>
    </row>
    <row r="594" spans="1:16" ht="15.75" customHeight="1">
      <c r="A594" s="224"/>
      <c r="B594" s="282"/>
      <c r="C594" s="287"/>
      <c r="D594" s="288"/>
      <c r="E594" s="289"/>
      <c r="F594" s="290"/>
      <c r="G594" s="290"/>
      <c r="H594" s="288"/>
      <c r="I594" s="287"/>
      <c r="J594" s="270"/>
      <c r="K594" s="271"/>
      <c r="L594" s="270"/>
      <c r="M594" s="209"/>
      <c r="N594" s="209"/>
      <c r="O594" s="196"/>
      <c r="P594" s="223"/>
    </row>
    <row r="595" spans="1:16" ht="15.75" customHeight="1">
      <c r="A595" s="224"/>
      <c r="B595" s="282"/>
      <c r="C595" s="287"/>
      <c r="D595" s="288"/>
      <c r="E595" s="289"/>
      <c r="F595" s="290"/>
      <c r="G595" s="290"/>
      <c r="H595" s="288"/>
      <c r="I595" s="287"/>
      <c r="J595" s="270"/>
      <c r="K595" s="271"/>
      <c r="L595" s="270"/>
      <c r="M595" s="209"/>
      <c r="N595" s="209"/>
      <c r="O595" s="196"/>
      <c r="P595" s="223"/>
    </row>
    <row r="596" spans="1:16" ht="15.75" customHeight="1">
      <c r="A596" s="224"/>
      <c r="B596" s="282"/>
      <c r="C596" s="287"/>
      <c r="D596" s="288"/>
      <c r="E596" s="289"/>
      <c r="F596" s="290"/>
      <c r="G596" s="290"/>
      <c r="H596" s="288"/>
      <c r="I596" s="287"/>
      <c r="J596" s="270"/>
      <c r="K596" s="271"/>
      <c r="L596" s="270"/>
      <c r="M596" s="209"/>
      <c r="N596" s="209"/>
      <c r="O596" s="196"/>
      <c r="P596" s="223"/>
    </row>
    <row r="597" spans="1:16" ht="15.75" customHeight="1">
      <c r="A597" s="224"/>
      <c r="B597" s="282"/>
      <c r="C597" s="287"/>
      <c r="D597" s="288"/>
      <c r="E597" s="289"/>
      <c r="F597" s="290"/>
      <c r="G597" s="290"/>
      <c r="H597" s="288"/>
      <c r="I597" s="287"/>
      <c r="J597" s="270"/>
      <c r="K597" s="271"/>
      <c r="L597" s="270"/>
      <c r="M597" s="209"/>
      <c r="N597" s="209"/>
      <c r="O597" s="196"/>
      <c r="P597" s="223"/>
    </row>
    <row r="598" spans="1:16" ht="15.75" customHeight="1">
      <c r="A598" s="224"/>
      <c r="B598" s="282"/>
      <c r="C598" s="287"/>
      <c r="D598" s="288"/>
      <c r="E598" s="289"/>
      <c r="F598" s="290"/>
      <c r="G598" s="290"/>
      <c r="H598" s="288"/>
      <c r="I598" s="287"/>
      <c r="J598" s="270"/>
      <c r="K598" s="271"/>
      <c r="L598" s="270"/>
      <c r="M598" s="209"/>
      <c r="N598" s="209"/>
      <c r="O598" s="196"/>
      <c r="P598" s="223"/>
    </row>
    <row r="599" spans="1:16" ht="15.75" customHeight="1">
      <c r="A599" s="224"/>
      <c r="B599" s="282"/>
      <c r="C599" s="287"/>
      <c r="D599" s="288"/>
      <c r="E599" s="289"/>
      <c r="F599" s="290"/>
      <c r="G599" s="290"/>
      <c r="H599" s="288"/>
      <c r="I599" s="287"/>
      <c r="J599" s="270"/>
      <c r="K599" s="271"/>
      <c r="L599" s="270"/>
      <c r="M599" s="209"/>
      <c r="N599" s="209"/>
      <c r="O599" s="196"/>
      <c r="P599" s="223"/>
    </row>
    <row r="600" spans="1:16" ht="15.75" customHeight="1">
      <c r="A600" s="224"/>
      <c r="B600" s="282"/>
      <c r="C600" s="287"/>
      <c r="D600" s="288"/>
      <c r="E600" s="289"/>
      <c r="F600" s="290"/>
      <c r="G600" s="290"/>
      <c r="H600" s="288"/>
      <c r="I600" s="287"/>
      <c r="J600" s="270"/>
      <c r="K600" s="271"/>
      <c r="L600" s="270"/>
      <c r="M600" s="209"/>
      <c r="N600" s="209"/>
      <c r="O600" s="196"/>
      <c r="P600" s="223"/>
    </row>
    <row r="601" spans="1:16" ht="15.75" customHeight="1">
      <c r="A601" s="224"/>
      <c r="B601" s="282"/>
      <c r="C601" s="287"/>
      <c r="D601" s="288"/>
      <c r="E601" s="289"/>
      <c r="F601" s="290"/>
      <c r="G601" s="290"/>
      <c r="H601" s="288"/>
      <c r="I601" s="287"/>
      <c r="J601" s="270"/>
      <c r="K601" s="271"/>
      <c r="L601" s="270"/>
      <c r="M601" s="209"/>
      <c r="N601" s="209"/>
      <c r="O601" s="196"/>
      <c r="P601" s="223"/>
    </row>
    <row r="602" spans="1:16" ht="15.75" customHeight="1">
      <c r="A602" s="224"/>
      <c r="B602" s="282"/>
      <c r="C602" s="287"/>
      <c r="D602" s="288"/>
      <c r="E602" s="289"/>
      <c r="F602" s="290"/>
      <c r="G602" s="290"/>
      <c r="H602" s="288"/>
      <c r="I602" s="287"/>
      <c r="J602" s="270"/>
      <c r="K602" s="271"/>
      <c r="L602" s="270"/>
      <c r="M602" s="209"/>
      <c r="N602" s="209"/>
      <c r="O602" s="196"/>
      <c r="P602" s="223"/>
    </row>
    <row r="603" spans="1:16" ht="15.75" customHeight="1">
      <c r="A603" s="224"/>
      <c r="B603" s="282"/>
      <c r="C603" s="287"/>
      <c r="D603" s="288"/>
      <c r="E603" s="289"/>
      <c r="F603" s="290"/>
      <c r="G603" s="290"/>
      <c r="H603" s="288"/>
      <c r="I603" s="287"/>
      <c r="J603" s="270"/>
      <c r="K603" s="271"/>
      <c r="L603" s="270"/>
      <c r="M603" s="209"/>
      <c r="N603" s="209"/>
      <c r="O603" s="196"/>
      <c r="P603" s="223"/>
    </row>
    <row r="604" spans="1:16" ht="15.75" customHeight="1">
      <c r="A604" s="224"/>
      <c r="B604" s="282"/>
      <c r="C604" s="287"/>
      <c r="D604" s="288"/>
      <c r="E604" s="289"/>
      <c r="F604" s="290"/>
      <c r="G604" s="290"/>
      <c r="H604" s="288"/>
      <c r="I604" s="287"/>
      <c r="J604" s="270"/>
      <c r="K604" s="271"/>
      <c r="L604" s="270"/>
      <c r="M604" s="209"/>
      <c r="N604" s="209"/>
      <c r="O604" s="196"/>
      <c r="P604" s="223"/>
    </row>
    <row r="605" spans="1:16" ht="15.75" customHeight="1">
      <c r="A605" s="224"/>
      <c r="B605" s="282"/>
      <c r="C605" s="287"/>
      <c r="D605" s="288"/>
      <c r="E605" s="289"/>
      <c r="F605" s="290"/>
      <c r="G605" s="290"/>
      <c r="H605" s="288"/>
      <c r="I605" s="287"/>
      <c r="J605" s="270"/>
      <c r="K605" s="271"/>
      <c r="L605" s="270"/>
      <c r="M605" s="209"/>
      <c r="N605" s="209"/>
      <c r="O605" s="196"/>
      <c r="P605" s="223"/>
    </row>
    <row r="606" spans="1:16" ht="15.75" customHeight="1">
      <c r="A606" s="224"/>
      <c r="B606" s="282"/>
      <c r="C606" s="287"/>
      <c r="D606" s="288"/>
      <c r="E606" s="289"/>
      <c r="F606" s="290"/>
      <c r="G606" s="290"/>
      <c r="H606" s="288"/>
      <c r="I606" s="287"/>
      <c r="J606" s="270"/>
      <c r="K606" s="271"/>
      <c r="L606" s="270"/>
      <c r="M606" s="209"/>
      <c r="N606" s="209"/>
      <c r="O606" s="196"/>
      <c r="P606" s="223"/>
    </row>
    <row r="607" spans="1:16" ht="15.75" customHeight="1">
      <c r="A607" s="224"/>
      <c r="B607" s="282"/>
      <c r="C607" s="287"/>
      <c r="D607" s="288"/>
      <c r="E607" s="289"/>
      <c r="F607" s="290"/>
      <c r="G607" s="290"/>
      <c r="H607" s="288"/>
      <c r="I607" s="287"/>
      <c r="J607" s="270"/>
      <c r="K607" s="271"/>
      <c r="L607" s="270"/>
      <c r="M607" s="209"/>
      <c r="N607" s="209"/>
      <c r="O607" s="196"/>
      <c r="P607" s="223"/>
    </row>
    <row r="608" spans="1:16" ht="15.75" customHeight="1">
      <c r="A608" s="224"/>
      <c r="B608" s="282"/>
      <c r="C608" s="287"/>
      <c r="D608" s="288"/>
      <c r="E608" s="289"/>
      <c r="F608" s="290"/>
      <c r="G608" s="290"/>
      <c r="H608" s="288"/>
      <c r="I608" s="287"/>
      <c r="J608" s="270"/>
      <c r="K608" s="271"/>
      <c r="L608" s="270"/>
      <c r="M608" s="209"/>
      <c r="N608" s="209"/>
      <c r="O608" s="196"/>
      <c r="P608" s="223"/>
    </row>
    <row r="609" spans="1:16" ht="15.75" customHeight="1">
      <c r="A609" s="224"/>
      <c r="B609" s="282"/>
      <c r="C609" s="287"/>
      <c r="D609" s="288"/>
      <c r="E609" s="289"/>
      <c r="F609" s="290"/>
      <c r="G609" s="290"/>
      <c r="H609" s="288"/>
      <c r="I609" s="287"/>
      <c r="J609" s="270"/>
      <c r="K609" s="271"/>
      <c r="L609" s="270"/>
      <c r="M609" s="209"/>
      <c r="N609" s="209"/>
      <c r="O609" s="196"/>
      <c r="P609" s="223"/>
    </row>
    <row r="610" spans="1:16" ht="15.75" customHeight="1">
      <c r="A610" s="224"/>
      <c r="B610" s="282"/>
      <c r="C610" s="287"/>
      <c r="D610" s="288"/>
      <c r="E610" s="289"/>
      <c r="F610" s="290"/>
      <c r="G610" s="290"/>
      <c r="H610" s="288"/>
      <c r="I610" s="287"/>
      <c r="J610" s="270"/>
      <c r="K610" s="271"/>
      <c r="L610" s="270"/>
      <c r="M610" s="209"/>
      <c r="N610" s="209"/>
      <c r="O610" s="196"/>
      <c r="P610" s="223"/>
    </row>
    <row r="611" spans="1:16" ht="15.75" customHeight="1">
      <c r="A611" s="224"/>
      <c r="B611" s="282"/>
      <c r="C611" s="287"/>
      <c r="D611" s="288"/>
      <c r="E611" s="289"/>
      <c r="F611" s="290"/>
      <c r="G611" s="290"/>
      <c r="H611" s="288"/>
      <c r="I611" s="287"/>
      <c r="J611" s="270"/>
      <c r="K611" s="271"/>
      <c r="L611" s="270"/>
      <c r="M611" s="209"/>
      <c r="N611" s="209"/>
      <c r="O611" s="196"/>
      <c r="P611" s="223"/>
    </row>
    <row r="612" spans="1:16" ht="15.75" customHeight="1">
      <c r="A612" s="224"/>
      <c r="B612" s="282"/>
      <c r="C612" s="287"/>
      <c r="D612" s="288"/>
      <c r="E612" s="289"/>
      <c r="F612" s="290"/>
      <c r="G612" s="290"/>
      <c r="H612" s="288"/>
      <c r="I612" s="287"/>
      <c r="J612" s="270"/>
      <c r="K612" s="271"/>
      <c r="L612" s="270"/>
      <c r="M612" s="209"/>
      <c r="N612" s="209"/>
      <c r="O612" s="196"/>
      <c r="P612" s="223"/>
    </row>
    <row r="613" spans="1:16" ht="15.75" customHeight="1">
      <c r="A613" s="224"/>
      <c r="B613" s="282"/>
      <c r="C613" s="287"/>
      <c r="D613" s="288"/>
      <c r="E613" s="289"/>
      <c r="F613" s="290"/>
      <c r="G613" s="290"/>
      <c r="H613" s="288"/>
      <c r="I613" s="287"/>
      <c r="J613" s="270"/>
      <c r="K613" s="271"/>
      <c r="L613" s="270"/>
      <c r="M613" s="209"/>
      <c r="N613" s="209"/>
      <c r="O613" s="196"/>
      <c r="P613" s="223"/>
    </row>
    <row r="614" spans="1:16" ht="15.75" customHeight="1">
      <c r="A614" s="224"/>
      <c r="B614" s="282"/>
      <c r="C614" s="287"/>
      <c r="D614" s="288"/>
      <c r="E614" s="289"/>
      <c r="F614" s="290"/>
      <c r="G614" s="290"/>
      <c r="H614" s="288"/>
      <c r="I614" s="287"/>
      <c r="J614" s="270"/>
      <c r="K614" s="271"/>
      <c r="L614" s="270"/>
      <c r="M614" s="209"/>
      <c r="N614" s="209"/>
      <c r="O614" s="196"/>
      <c r="P614" s="223"/>
    </row>
    <row r="615" spans="1:16" ht="15.75" customHeight="1">
      <c r="A615" s="224"/>
      <c r="B615" s="282"/>
      <c r="C615" s="287"/>
      <c r="D615" s="288"/>
      <c r="E615" s="289"/>
      <c r="F615" s="290"/>
      <c r="G615" s="290"/>
      <c r="H615" s="288"/>
      <c r="I615" s="287"/>
      <c r="J615" s="270"/>
      <c r="K615" s="271"/>
      <c r="L615" s="270"/>
      <c r="M615" s="209"/>
      <c r="N615" s="209"/>
      <c r="O615" s="196"/>
      <c r="P615" s="223"/>
    </row>
    <row r="616" spans="1:16" ht="15.75" customHeight="1">
      <c r="A616" s="224"/>
      <c r="B616" s="282"/>
      <c r="C616" s="287"/>
      <c r="D616" s="288"/>
      <c r="E616" s="289"/>
      <c r="F616" s="290"/>
      <c r="G616" s="290"/>
      <c r="H616" s="288"/>
      <c r="I616" s="287"/>
      <c r="J616" s="270"/>
      <c r="K616" s="271"/>
      <c r="L616" s="270"/>
      <c r="M616" s="209"/>
      <c r="N616" s="209"/>
      <c r="O616" s="196"/>
      <c r="P616" s="223"/>
    </row>
    <row r="617" spans="1:16" ht="15.75" customHeight="1">
      <c r="A617" s="224"/>
      <c r="B617" s="282"/>
      <c r="C617" s="287"/>
      <c r="D617" s="288"/>
      <c r="E617" s="289"/>
      <c r="F617" s="290"/>
      <c r="G617" s="290"/>
      <c r="H617" s="288"/>
      <c r="I617" s="287"/>
      <c r="J617" s="270"/>
      <c r="K617" s="271"/>
      <c r="L617" s="270"/>
      <c r="M617" s="209"/>
      <c r="N617" s="209"/>
      <c r="O617" s="196"/>
      <c r="P617" s="223"/>
    </row>
    <row r="618" spans="1:16" ht="15.75" customHeight="1">
      <c r="A618" s="224"/>
      <c r="B618" s="282"/>
      <c r="C618" s="287"/>
      <c r="D618" s="288"/>
      <c r="E618" s="289"/>
      <c r="F618" s="290"/>
      <c r="G618" s="290"/>
      <c r="H618" s="288"/>
      <c r="I618" s="287"/>
      <c r="J618" s="270"/>
      <c r="K618" s="271"/>
      <c r="L618" s="270"/>
      <c r="M618" s="209"/>
      <c r="N618" s="209"/>
      <c r="O618" s="196"/>
      <c r="P618" s="223"/>
    </row>
    <row r="619" spans="1:16" ht="15.75" customHeight="1">
      <c r="A619" s="224"/>
      <c r="B619" s="282"/>
      <c r="C619" s="287"/>
      <c r="D619" s="288"/>
      <c r="E619" s="289"/>
      <c r="F619" s="290"/>
      <c r="G619" s="290"/>
      <c r="H619" s="288"/>
      <c r="I619" s="287"/>
      <c r="J619" s="270"/>
      <c r="K619" s="271"/>
      <c r="L619" s="270"/>
      <c r="M619" s="209"/>
      <c r="N619" s="209"/>
      <c r="O619" s="196"/>
      <c r="P619" s="223"/>
    </row>
    <row r="620" spans="1:16" ht="15.75" customHeight="1">
      <c r="A620" s="224"/>
      <c r="B620" s="282"/>
      <c r="C620" s="287"/>
      <c r="D620" s="288"/>
      <c r="E620" s="289"/>
      <c r="F620" s="290"/>
      <c r="G620" s="290"/>
      <c r="H620" s="288"/>
      <c r="I620" s="287"/>
      <c r="J620" s="270"/>
      <c r="K620" s="271"/>
      <c r="L620" s="270"/>
      <c r="M620" s="209"/>
      <c r="N620" s="209"/>
      <c r="O620" s="196"/>
      <c r="P620" s="223"/>
    </row>
    <row r="621" spans="1:16" ht="15.75" customHeight="1">
      <c r="A621" s="224"/>
      <c r="B621" s="282"/>
      <c r="C621" s="287"/>
      <c r="D621" s="288"/>
      <c r="E621" s="289"/>
      <c r="F621" s="290"/>
      <c r="G621" s="290"/>
      <c r="H621" s="288"/>
      <c r="I621" s="287"/>
      <c r="J621" s="270"/>
      <c r="K621" s="271"/>
      <c r="L621" s="270"/>
      <c r="M621" s="209"/>
      <c r="N621" s="209"/>
      <c r="O621" s="196"/>
      <c r="P621" s="223"/>
    </row>
    <row r="622" spans="1:16" ht="15.75" customHeight="1">
      <c r="A622" s="224"/>
      <c r="B622" s="282"/>
      <c r="C622" s="287"/>
      <c r="D622" s="288"/>
      <c r="E622" s="289"/>
      <c r="F622" s="290"/>
      <c r="G622" s="290"/>
      <c r="H622" s="288"/>
      <c r="I622" s="287"/>
      <c r="J622" s="270"/>
      <c r="K622" s="271"/>
      <c r="L622" s="270"/>
      <c r="M622" s="209"/>
      <c r="N622" s="209"/>
      <c r="O622" s="196"/>
      <c r="P622" s="223"/>
    </row>
    <row r="623" spans="1:16" ht="15.75" customHeight="1">
      <c r="A623" s="224"/>
      <c r="B623" s="282"/>
      <c r="C623" s="287"/>
      <c r="D623" s="288"/>
      <c r="E623" s="289"/>
      <c r="F623" s="290"/>
      <c r="G623" s="290"/>
      <c r="H623" s="288"/>
      <c r="I623" s="287"/>
      <c r="J623" s="270"/>
      <c r="K623" s="271"/>
      <c r="L623" s="270"/>
      <c r="M623" s="209"/>
      <c r="N623" s="209"/>
      <c r="O623" s="196"/>
      <c r="P623" s="223"/>
    </row>
    <row r="624" spans="1:16" ht="15.75" customHeight="1">
      <c r="A624" s="224"/>
      <c r="B624" s="282"/>
      <c r="C624" s="287"/>
      <c r="D624" s="288"/>
      <c r="E624" s="289"/>
      <c r="F624" s="290"/>
      <c r="G624" s="290"/>
      <c r="H624" s="288"/>
      <c r="I624" s="287"/>
      <c r="J624" s="270"/>
      <c r="K624" s="271"/>
      <c r="L624" s="270"/>
      <c r="M624" s="209"/>
      <c r="N624" s="209"/>
      <c r="O624" s="196"/>
      <c r="P624" s="223"/>
    </row>
    <row r="625" spans="1:16" ht="15.75" customHeight="1">
      <c r="A625" s="224"/>
      <c r="B625" s="282"/>
      <c r="C625" s="287"/>
      <c r="D625" s="288"/>
      <c r="E625" s="289"/>
      <c r="F625" s="290"/>
      <c r="G625" s="290"/>
      <c r="H625" s="288"/>
      <c r="I625" s="287"/>
      <c r="J625" s="270"/>
      <c r="K625" s="271"/>
      <c r="L625" s="270"/>
      <c r="M625" s="209"/>
      <c r="N625" s="209"/>
      <c r="O625" s="196"/>
      <c r="P625" s="223"/>
    </row>
    <row r="626" spans="1:16" ht="15.75" customHeight="1">
      <c r="A626" s="224"/>
      <c r="B626" s="282"/>
      <c r="C626" s="287"/>
      <c r="D626" s="288"/>
      <c r="E626" s="289"/>
      <c r="F626" s="290"/>
      <c r="G626" s="290"/>
      <c r="H626" s="288"/>
      <c r="I626" s="287"/>
      <c r="J626" s="270"/>
      <c r="K626" s="271"/>
      <c r="L626" s="270"/>
      <c r="M626" s="209"/>
      <c r="N626" s="209"/>
      <c r="O626" s="196"/>
      <c r="P626" s="223"/>
    </row>
    <row r="627" spans="1:16" ht="15.75" customHeight="1">
      <c r="A627" s="224"/>
      <c r="B627" s="282"/>
      <c r="C627" s="287"/>
      <c r="D627" s="288"/>
      <c r="E627" s="289"/>
      <c r="F627" s="290"/>
      <c r="G627" s="290"/>
      <c r="H627" s="288"/>
      <c r="I627" s="287"/>
      <c r="J627" s="270"/>
      <c r="K627" s="271"/>
      <c r="L627" s="270"/>
      <c r="M627" s="209"/>
      <c r="N627" s="209"/>
      <c r="O627" s="196"/>
      <c r="P627" s="223"/>
    </row>
    <row r="628" spans="1:16" ht="15.75" customHeight="1">
      <c r="A628" s="224"/>
      <c r="B628" s="282"/>
      <c r="C628" s="287"/>
      <c r="D628" s="288"/>
      <c r="E628" s="289"/>
      <c r="F628" s="290"/>
      <c r="G628" s="290"/>
      <c r="H628" s="288"/>
      <c r="I628" s="287"/>
      <c r="J628" s="270"/>
      <c r="K628" s="271"/>
      <c r="L628" s="270"/>
      <c r="M628" s="209"/>
      <c r="N628" s="209"/>
      <c r="O628" s="196"/>
      <c r="P628" s="223"/>
    </row>
    <row r="629" spans="1:16" ht="15.75" customHeight="1">
      <c r="A629" s="224"/>
      <c r="B629" s="282"/>
      <c r="C629" s="287"/>
      <c r="D629" s="288"/>
      <c r="E629" s="289"/>
      <c r="F629" s="290"/>
      <c r="G629" s="290"/>
      <c r="H629" s="288"/>
      <c r="I629" s="287"/>
      <c r="J629" s="270"/>
      <c r="K629" s="271"/>
      <c r="L629" s="270"/>
      <c r="M629" s="209"/>
      <c r="N629" s="209"/>
      <c r="O629" s="196"/>
      <c r="P629" s="223"/>
    </row>
    <row r="630" spans="1:16" ht="15.75" customHeight="1">
      <c r="A630" s="224"/>
      <c r="B630" s="282"/>
      <c r="C630" s="287"/>
      <c r="D630" s="288"/>
      <c r="E630" s="289"/>
      <c r="F630" s="290"/>
      <c r="G630" s="290"/>
      <c r="H630" s="288"/>
      <c r="I630" s="287"/>
      <c r="J630" s="270"/>
      <c r="K630" s="271"/>
      <c r="L630" s="270"/>
      <c r="M630" s="209"/>
      <c r="N630" s="209"/>
      <c r="O630" s="196"/>
      <c r="P630" s="223"/>
    </row>
    <row r="631" spans="1:16" ht="15.75" customHeight="1">
      <c r="A631" s="224"/>
      <c r="B631" s="282"/>
      <c r="C631" s="287"/>
      <c r="D631" s="288"/>
      <c r="E631" s="289"/>
      <c r="F631" s="290"/>
      <c r="G631" s="290"/>
      <c r="H631" s="288"/>
      <c r="I631" s="287"/>
      <c r="J631" s="270"/>
      <c r="K631" s="271"/>
      <c r="L631" s="270"/>
      <c r="M631" s="209"/>
      <c r="N631" s="209"/>
      <c r="O631" s="196"/>
      <c r="P631" s="223"/>
    </row>
    <row r="632" spans="1:16" ht="15.75" customHeight="1">
      <c r="A632" s="224"/>
      <c r="B632" s="282"/>
      <c r="C632" s="287"/>
      <c r="D632" s="288"/>
      <c r="E632" s="289"/>
      <c r="F632" s="290"/>
      <c r="G632" s="290"/>
      <c r="H632" s="288"/>
      <c r="I632" s="287"/>
      <c r="J632" s="270"/>
      <c r="K632" s="271"/>
      <c r="L632" s="270"/>
      <c r="M632" s="209"/>
      <c r="N632" s="209"/>
      <c r="O632" s="196"/>
      <c r="P632" s="223"/>
    </row>
    <row r="633" spans="1:16" ht="15.75" customHeight="1">
      <c r="A633" s="224"/>
      <c r="B633" s="282"/>
      <c r="C633" s="287"/>
      <c r="D633" s="288"/>
      <c r="E633" s="289"/>
      <c r="F633" s="290"/>
      <c r="G633" s="290"/>
      <c r="H633" s="288"/>
      <c r="I633" s="287"/>
      <c r="J633" s="270"/>
      <c r="K633" s="271"/>
      <c r="L633" s="270"/>
      <c r="M633" s="209"/>
      <c r="N633" s="209"/>
      <c r="O633" s="196"/>
      <c r="P633" s="223"/>
    </row>
    <row r="634" spans="1:16" ht="15.75" customHeight="1">
      <c r="A634" s="224"/>
      <c r="B634" s="282"/>
      <c r="C634" s="287"/>
      <c r="D634" s="288"/>
      <c r="E634" s="289"/>
      <c r="F634" s="290"/>
      <c r="G634" s="290"/>
      <c r="H634" s="288"/>
      <c r="I634" s="287"/>
      <c r="J634" s="270"/>
      <c r="K634" s="271"/>
      <c r="L634" s="270"/>
      <c r="M634" s="209"/>
      <c r="N634" s="209"/>
      <c r="O634" s="196"/>
      <c r="P634" s="223"/>
    </row>
    <row r="635" spans="1:16" ht="15.75" customHeight="1">
      <c r="A635" s="224"/>
      <c r="B635" s="282"/>
      <c r="C635" s="287"/>
      <c r="D635" s="288"/>
      <c r="E635" s="289"/>
      <c r="F635" s="290"/>
      <c r="G635" s="290"/>
      <c r="H635" s="288"/>
      <c r="I635" s="287"/>
      <c r="J635" s="270"/>
      <c r="K635" s="271"/>
      <c r="L635" s="270"/>
      <c r="M635" s="209"/>
      <c r="N635" s="209"/>
      <c r="O635" s="196"/>
      <c r="P635" s="223"/>
    </row>
    <row r="636" spans="1:16" ht="15.75" customHeight="1">
      <c r="A636" s="224"/>
      <c r="B636" s="282"/>
      <c r="C636" s="287"/>
      <c r="D636" s="288"/>
      <c r="E636" s="289"/>
      <c r="F636" s="290"/>
      <c r="G636" s="290"/>
      <c r="H636" s="288"/>
      <c r="I636" s="287"/>
      <c r="J636" s="270"/>
      <c r="K636" s="271"/>
      <c r="L636" s="270"/>
      <c r="M636" s="209"/>
      <c r="N636" s="209"/>
      <c r="O636" s="196"/>
      <c r="P636" s="223"/>
    </row>
    <row r="637" spans="1:16" ht="15.75" customHeight="1">
      <c r="A637" s="224"/>
      <c r="B637" s="282"/>
      <c r="C637" s="287"/>
      <c r="D637" s="288"/>
      <c r="E637" s="289"/>
      <c r="F637" s="290"/>
      <c r="G637" s="290"/>
      <c r="H637" s="288"/>
      <c r="I637" s="287"/>
      <c r="J637" s="270"/>
      <c r="K637" s="271"/>
      <c r="L637" s="270"/>
      <c r="M637" s="209"/>
      <c r="N637" s="209"/>
      <c r="O637" s="196"/>
      <c r="P637" s="223"/>
    </row>
    <row r="638" spans="1:16" ht="15.75" customHeight="1">
      <c r="A638" s="224"/>
      <c r="B638" s="282"/>
      <c r="C638" s="287"/>
      <c r="D638" s="288"/>
      <c r="E638" s="289"/>
      <c r="F638" s="290"/>
      <c r="G638" s="290"/>
      <c r="H638" s="288"/>
      <c r="I638" s="287"/>
      <c r="J638" s="270"/>
      <c r="K638" s="271"/>
      <c r="L638" s="270"/>
      <c r="M638" s="209"/>
      <c r="N638" s="209"/>
      <c r="O638" s="196"/>
      <c r="P638" s="223"/>
    </row>
    <row r="639" spans="1:16" ht="15.75" customHeight="1">
      <c r="A639" s="224"/>
      <c r="B639" s="282"/>
      <c r="C639" s="287"/>
      <c r="D639" s="288"/>
      <c r="E639" s="289"/>
      <c r="F639" s="290"/>
      <c r="G639" s="290"/>
      <c r="H639" s="288"/>
      <c r="I639" s="287"/>
      <c r="J639" s="270"/>
      <c r="K639" s="271"/>
      <c r="L639" s="270"/>
      <c r="M639" s="209"/>
      <c r="N639" s="209"/>
      <c r="O639" s="196"/>
      <c r="P639" s="223"/>
    </row>
    <row r="640" spans="1:16" ht="15.75" customHeight="1">
      <c r="A640" s="224"/>
      <c r="B640" s="282"/>
      <c r="C640" s="287"/>
      <c r="D640" s="288"/>
      <c r="E640" s="289"/>
      <c r="F640" s="290"/>
      <c r="G640" s="290"/>
      <c r="H640" s="288"/>
      <c r="I640" s="287"/>
      <c r="J640" s="270"/>
      <c r="K640" s="271"/>
      <c r="L640" s="270"/>
      <c r="M640" s="209"/>
      <c r="N640" s="209"/>
      <c r="O640" s="196"/>
      <c r="P640" s="223"/>
    </row>
    <row r="641" spans="1:16" ht="15.75" customHeight="1">
      <c r="A641" s="224"/>
      <c r="B641" s="282"/>
      <c r="C641" s="287"/>
      <c r="D641" s="288"/>
      <c r="E641" s="289"/>
      <c r="F641" s="290"/>
      <c r="G641" s="290"/>
      <c r="H641" s="288"/>
      <c r="I641" s="287"/>
      <c r="J641" s="270"/>
      <c r="K641" s="271"/>
      <c r="L641" s="270"/>
      <c r="M641" s="209"/>
      <c r="N641" s="209"/>
      <c r="O641" s="196"/>
      <c r="P641" s="223"/>
    </row>
    <row r="642" spans="1:16" ht="15.75" customHeight="1">
      <c r="A642" s="224"/>
      <c r="B642" s="282"/>
      <c r="C642" s="287"/>
      <c r="D642" s="288"/>
      <c r="E642" s="289"/>
      <c r="F642" s="290"/>
      <c r="G642" s="290"/>
      <c r="H642" s="288"/>
      <c r="I642" s="287"/>
      <c r="J642" s="270"/>
      <c r="K642" s="271"/>
      <c r="L642" s="270"/>
      <c r="M642" s="209"/>
      <c r="N642" s="209"/>
      <c r="O642" s="196"/>
      <c r="P642" s="223"/>
    </row>
    <row r="643" spans="1:16" ht="15.75" customHeight="1">
      <c r="A643" s="224"/>
      <c r="B643" s="282"/>
      <c r="C643" s="287"/>
      <c r="D643" s="288"/>
      <c r="E643" s="289"/>
      <c r="F643" s="290"/>
      <c r="G643" s="290"/>
      <c r="H643" s="288"/>
      <c r="I643" s="287"/>
      <c r="J643" s="270"/>
      <c r="K643" s="271"/>
      <c r="L643" s="270"/>
      <c r="M643" s="209"/>
      <c r="N643" s="209"/>
      <c r="O643" s="196"/>
      <c r="P643" s="223"/>
    </row>
    <row r="644" spans="1:16" ht="15.75" customHeight="1">
      <c r="A644" s="224"/>
      <c r="B644" s="282"/>
      <c r="C644" s="287"/>
      <c r="D644" s="288"/>
      <c r="E644" s="289"/>
      <c r="F644" s="290"/>
      <c r="G644" s="290"/>
      <c r="H644" s="288"/>
      <c r="I644" s="287"/>
      <c r="J644" s="270"/>
      <c r="K644" s="271"/>
      <c r="L644" s="270"/>
      <c r="M644" s="209"/>
      <c r="N644" s="209"/>
      <c r="O644" s="196"/>
      <c r="P644" s="223"/>
    </row>
    <row r="645" spans="1:16" ht="15.75" customHeight="1">
      <c r="A645" s="224"/>
      <c r="B645" s="282"/>
      <c r="C645" s="287"/>
      <c r="D645" s="288"/>
      <c r="E645" s="289"/>
      <c r="F645" s="290"/>
      <c r="G645" s="290"/>
      <c r="H645" s="288"/>
      <c r="I645" s="287"/>
      <c r="J645" s="270"/>
      <c r="K645" s="271"/>
      <c r="L645" s="270"/>
      <c r="M645" s="209"/>
      <c r="N645" s="209"/>
      <c r="O645" s="196"/>
      <c r="P645" s="223"/>
    </row>
    <row r="646" spans="1:16" ht="15.75" customHeight="1">
      <c r="A646" s="224"/>
      <c r="B646" s="282"/>
      <c r="C646" s="287"/>
      <c r="D646" s="288"/>
      <c r="E646" s="289"/>
      <c r="F646" s="290"/>
      <c r="G646" s="290"/>
      <c r="H646" s="288"/>
      <c r="I646" s="287"/>
      <c r="J646" s="270"/>
      <c r="K646" s="271"/>
      <c r="L646" s="270"/>
      <c r="M646" s="209"/>
      <c r="N646" s="209"/>
      <c r="O646" s="196"/>
      <c r="P646" s="223"/>
    </row>
    <row r="647" spans="1:16" ht="15.75" customHeight="1">
      <c r="A647" s="224"/>
      <c r="B647" s="282"/>
      <c r="C647" s="287"/>
      <c r="D647" s="288"/>
      <c r="E647" s="289"/>
      <c r="F647" s="290"/>
      <c r="G647" s="290"/>
      <c r="H647" s="288"/>
      <c r="I647" s="287"/>
      <c r="J647" s="270"/>
      <c r="K647" s="271"/>
      <c r="L647" s="270"/>
      <c r="M647" s="209"/>
      <c r="N647" s="209"/>
      <c r="O647" s="196"/>
      <c r="P647" s="223"/>
    </row>
    <row r="648" spans="1:16" ht="15.75" customHeight="1">
      <c r="A648" s="224"/>
      <c r="B648" s="282"/>
      <c r="C648" s="287"/>
      <c r="D648" s="288"/>
      <c r="E648" s="289"/>
      <c r="F648" s="290"/>
      <c r="G648" s="290"/>
      <c r="H648" s="288"/>
      <c r="I648" s="287"/>
      <c r="J648" s="270"/>
      <c r="K648" s="271"/>
      <c r="L648" s="270"/>
      <c r="M648" s="209"/>
      <c r="N648" s="209"/>
      <c r="O648" s="196"/>
      <c r="P648" s="223"/>
    </row>
    <row r="649" spans="1:16" ht="15.75" customHeight="1">
      <c r="A649" s="224"/>
      <c r="B649" s="282"/>
      <c r="C649" s="287"/>
      <c r="D649" s="288"/>
      <c r="E649" s="289"/>
      <c r="F649" s="290"/>
      <c r="G649" s="290"/>
      <c r="H649" s="288"/>
      <c r="I649" s="287"/>
      <c r="J649" s="270"/>
      <c r="K649" s="271"/>
      <c r="L649" s="270"/>
      <c r="M649" s="209"/>
      <c r="N649" s="209"/>
      <c r="O649" s="196"/>
      <c r="P649" s="223"/>
    </row>
    <row r="650" spans="1:16" ht="15.75" customHeight="1">
      <c r="A650" s="224"/>
      <c r="B650" s="282"/>
      <c r="C650" s="287"/>
      <c r="D650" s="288"/>
      <c r="E650" s="289"/>
      <c r="F650" s="290"/>
      <c r="G650" s="290"/>
      <c r="H650" s="288"/>
      <c r="I650" s="287"/>
      <c r="J650" s="270"/>
      <c r="K650" s="271"/>
      <c r="L650" s="270"/>
      <c r="M650" s="209"/>
      <c r="N650" s="209"/>
      <c r="O650" s="196"/>
      <c r="P650" s="223"/>
    </row>
    <row r="651" spans="1:16" ht="15.75" customHeight="1">
      <c r="A651" s="224"/>
      <c r="B651" s="282"/>
      <c r="C651" s="287"/>
      <c r="D651" s="288"/>
      <c r="E651" s="289"/>
      <c r="F651" s="290"/>
      <c r="G651" s="290"/>
      <c r="H651" s="288"/>
      <c r="I651" s="287"/>
      <c r="J651" s="270"/>
      <c r="K651" s="271"/>
      <c r="L651" s="270"/>
      <c r="M651" s="209"/>
      <c r="N651" s="209"/>
      <c r="O651" s="196"/>
      <c r="P651" s="223"/>
    </row>
    <row r="652" spans="1:16" ht="15.75" customHeight="1">
      <c r="A652" s="224"/>
      <c r="B652" s="282"/>
      <c r="C652" s="287"/>
      <c r="D652" s="288"/>
      <c r="E652" s="289"/>
      <c r="F652" s="290"/>
      <c r="G652" s="290"/>
      <c r="H652" s="288"/>
      <c r="I652" s="287"/>
      <c r="J652" s="270"/>
      <c r="K652" s="271"/>
      <c r="L652" s="270"/>
      <c r="M652" s="209"/>
      <c r="N652" s="209"/>
      <c r="O652" s="196"/>
      <c r="P652" s="223"/>
    </row>
    <row r="653" spans="1:16" ht="15.75" customHeight="1">
      <c r="A653" s="224"/>
      <c r="B653" s="282"/>
      <c r="C653" s="287"/>
      <c r="D653" s="288"/>
      <c r="E653" s="289"/>
      <c r="F653" s="290"/>
      <c r="G653" s="290"/>
      <c r="H653" s="288"/>
      <c r="I653" s="287"/>
      <c r="J653" s="270"/>
      <c r="K653" s="271"/>
      <c r="L653" s="270"/>
      <c r="M653" s="209"/>
      <c r="N653" s="209"/>
      <c r="O653" s="196"/>
      <c r="P653" s="223"/>
    </row>
    <row r="654" spans="1:16" ht="15.75" customHeight="1">
      <c r="A654" s="224"/>
      <c r="B654" s="282"/>
      <c r="C654" s="287"/>
      <c r="D654" s="288"/>
      <c r="E654" s="289"/>
      <c r="F654" s="290"/>
      <c r="G654" s="290"/>
      <c r="H654" s="288"/>
      <c r="I654" s="287"/>
      <c r="J654" s="270"/>
      <c r="K654" s="271"/>
      <c r="L654" s="270"/>
      <c r="M654" s="209"/>
      <c r="N654" s="209"/>
      <c r="O654" s="196"/>
      <c r="P654" s="223"/>
    </row>
    <row r="655" spans="1:16" ht="15.75" customHeight="1">
      <c r="A655" s="224"/>
      <c r="B655" s="282"/>
      <c r="C655" s="287"/>
      <c r="D655" s="288"/>
      <c r="E655" s="289"/>
      <c r="F655" s="290"/>
      <c r="G655" s="290"/>
      <c r="H655" s="288"/>
      <c r="I655" s="287"/>
      <c r="J655" s="270"/>
      <c r="K655" s="271"/>
      <c r="L655" s="270"/>
      <c r="M655" s="209"/>
      <c r="N655" s="209"/>
      <c r="O655" s="196"/>
      <c r="P655" s="223"/>
    </row>
    <row r="656" spans="1:16" ht="15.75" customHeight="1">
      <c r="A656" s="224"/>
      <c r="B656" s="282"/>
      <c r="C656" s="287"/>
      <c r="D656" s="288"/>
      <c r="E656" s="289"/>
      <c r="F656" s="290"/>
      <c r="G656" s="290"/>
      <c r="H656" s="288"/>
      <c r="I656" s="287"/>
      <c r="J656" s="270"/>
      <c r="K656" s="271"/>
      <c r="L656" s="270"/>
      <c r="M656" s="209"/>
      <c r="N656" s="209"/>
      <c r="O656" s="196"/>
      <c r="P656" s="223"/>
    </row>
    <row r="657" spans="1:16" ht="15.75" customHeight="1">
      <c r="A657" s="224"/>
      <c r="B657" s="282"/>
      <c r="C657" s="287"/>
      <c r="D657" s="288"/>
      <c r="E657" s="289"/>
      <c r="F657" s="290"/>
      <c r="G657" s="290"/>
      <c r="H657" s="288"/>
      <c r="I657" s="287"/>
      <c r="J657" s="270"/>
      <c r="K657" s="271"/>
      <c r="L657" s="270"/>
      <c r="M657" s="209"/>
      <c r="N657" s="209"/>
      <c r="O657" s="196"/>
      <c r="P657" s="223"/>
    </row>
    <row r="658" spans="1:16" ht="15.75" customHeight="1">
      <c r="A658" s="224"/>
      <c r="B658" s="282"/>
      <c r="C658" s="287"/>
      <c r="D658" s="288"/>
      <c r="E658" s="289"/>
      <c r="F658" s="290"/>
      <c r="G658" s="290"/>
      <c r="H658" s="288"/>
      <c r="I658" s="287"/>
      <c r="J658" s="270"/>
      <c r="K658" s="271"/>
      <c r="L658" s="270"/>
      <c r="M658" s="209"/>
      <c r="N658" s="209"/>
      <c r="O658" s="196"/>
      <c r="P658" s="223"/>
    </row>
    <row r="659" spans="1:16" ht="15.75" customHeight="1">
      <c r="A659" s="224"/>
      <c r="B659" s="282"/>
      <c r="C659" s="287"/>
      <c r="D659" s="288"/>
      <c r="E659" s="289"/>
      <c r="F659" s="290"/>
      <c r="G659" s="290"/>
      <c r="H659" s="288"/>
      <c r="I659" s="287"/>
      <c r="J659" s="270"/>
      <c r="K659" s="271"/>
      <c r="L659" s="270"/>
      <c r="M659" s="209"/>
      <c r="N659" s="209"/>
      <c r="O659" s="196"/>
      <c r="P659" s="223"/>
    </row>
    <row r="660" spans="1:16" ht="15.75" customHeight="1">
      <c r="A660" s="224"/>
      <c r="B660" s="282"/>
      <c r="C660" s="287"/>
      <c r="D660" s="288"/>
      <c r="E660" s="289"/>
      <c r="F660" s="290"/>
      <c r="G660" s="290"/>
      <c r="H660" s="288"/>
      <c r="I660" s="287"/>
      <c r="J660" s="270"/>
      <c r="K660" s="271"/>
      <c r="L660" s="270"/>
      <c r="M660" s="209"/>
      <c r="N660" s="209"/>
      <c r="O660" s="196"/>
      <c r="P660" s="223"/>
    </row>
    <row r="661" spans="1:16" ht="15.75" customHeight="1">
      <c r="A661" s="224"/>
      <c r="B661" s="282"/>
      <c r="C661" s="287"/>
      <c r="D661" s="288"/>
      <c r="E661" s="289"/>
      <c r="F661" s="290"/>
      <c r="G661" s="290"/>
      <c r="H661" s="288"/>
      <c r="I661" s="287"/>
      <c r="J661" s="270"/>
      <c r="K661" s="271"/>
      <c r="L661" s="270"/>
      <c r="M661" s="209"/>
      <c r="N661" s="209"/>
      <c r="O661" s="196"/>
      <c r="P661" s="223"/>
    </row>
    <row r="662" spans="1:16" ht="15.75" customHeight="1">
      <c r="A662" s="224"/>
      <c r="B662" s="282"/>
      <c r="C662" s="287"/>
      <c r="D662" s="288"/>
      <c r="E662" s="289"/>
      <c r="F662" s="290"/>
      <c r="G662" s="290"/>
      <c r="H662" s="288"/>
      <c r="I662" s="287"/>
      <c r="J662" s="270"/>
      <c r="K662" s="271"/>
      <c r="L662" s="270"/>
      <c r="M662" s="209"/>
      <c r="N662" s="209"/>
      <c r="O662" s="196"/>
      <c r="P662" s="223"/>
    </row>
    <row r="663" spans="1:16" ht="15.75" customHeight="1">
      <c r="A663" s="224"/>
      <c r="B663" s="282"/>
      <c r="C663" s="287"/>
      <c r="D663" s="288"/>
      <c r="E663" s="289"/>
      <c r="F663" s="290"/>
      <c r="G663" s="290"/>
      <c r="H663" s="288"/>
      <c r="I663" s="287"/>
      <c r="J663" s="270"/>
      <c r="K663" s="271"/>
      <c r="L663" s="270"/>
      <c r="M663" s="209"/>
      <c r="N663" s="209"/>
      <c r="O663" s="196"/>
      <c r="P663" s="223"/>
    </row>
    <row r="664" spans="1:16" ht="15.75" customHeight="1">
      <c r="A664" s="224"/>
      <c r="B664" s="282"/>
      <c r="C664" s="287"/>
      <c r="D664" s="288"/>
      <c r="E664" s="289"/>
      <c r="F664" s="290"/>
      <c r="G664" s="290"/>
      <c r="H664" s="288"/>
      <c r="I664" s="287"/>
      <c r="J664" s="270"/>
      <c r="K664" s="271"/>
      <c r="L664" s="270"/>
      <c r="M664" s="209"/>
      <c r="N664" s="209"/>
      <c r="O664" s="196"/>
      <c r="P664" s="223"/>
    </row>
    <row r="665" spans="1:16" ht="15.75" customHeight="1">
      <c r="A665" s="224"/>
      <c r="B665" s="282"/>
      <c r="C665" s="287"/>
      <c r="D665" s="288"/>
      <c r="E665" s="289"/>
      <c r="F665" s="290"/>
      <c r="G665" s="290"/>
      <c r="H665" s="288"/>
      <c r="I665" s="287"/>
      <c r="J665" s="270"/>
      <c r="K665" s="271"/>
      <c r="L665" s="270"/>
      <c r="M665" s="209"/>
      <c r="N665" s="209"/>
      <c r="O665" s="196"/>
      <c r="P665" s="223"/>
    </row>
    <row r="666" spans="1:16" ht="15.75" customHeight="1">
      <c r="A666" s="224"/>
      <c r="B666" s="282"/>
      <c r="C666" s="287"/>
      <c r="D666" s="288"/>
      <c r="E666" s="289"/>
      <c r="F666" s="290"/>
      <c r="G666" s="290"/>
      <c r="H666" s="288"/>
      <c r="I666" s="287"/>
      <c r="J666" s="270"/>
      <c r="K666" s="271"/>
      <c r="L666" s="270"/>
      <c r="M666" s="209"/>
      <c r="N666" s="209"/>
      <c r="O666" s="196"/>
      <c r="P666" s="223"/>
    </row>
    <row r="667" spans="1:16" ht="15.75" customHeight="1">
      <c r="A667" s="224"/>
      <c r="B667" s="282"/>
      <c r="C667" s="287"/>
      <c r="D667" s="288"/>
      <c r="E667" s="289"/>
      <c r="F667" s="290"/>
      <c r="G667" s="290"/>
      <c r="H667" s="288"/>
      <c r="I667" s="287"/>
      <c r="J667" s="270"/>
      <c r="K667" s="271"/>
      <c r="L667" s="270"/>
      <c r="M667" s="209"/>
      <c r="N667" s="209"/>
      <c r="O667" s="196"/>
      <c r="P667" s="223"/>
    </row>
    <row r="668" spans="1:16" ht="15.75" customHeight="1">
      <c r="A668" s="224"/>
      <c r="B668" s="282"/>
      <c r="C668" s="287"/>
      <c r="D668" s="288"/>
      <c r="E668" s="289"/>
      <c r="F668" s="290"/>
      <c r="G668" s="290"/>
      <c r="H668" s="288"/>
      <c r="I668" s="287"/>
      <c r="J668" s="270"/>
      <c r="K668" s="271"/>
      <c r="L668" s="270"/>
      <c r="M668" s="209"/>
      <c r="N668" s="209"/>
      <c r="O668" s="196"/>
      <c r="P668" s="223"/>
    </row>
    <row r="669" spans="1:16" ht="15.75" customHeight="1">
      <c r="A669" s="224"/>
      <c r="B669" s="282"/>
      <c r="C669" s="287"/>
      <c r="D669" s="288"/>
      <c r="E669" s="289"/>
      <c r="F669" s="290"/>
      <c r="G669" s="290"/>
      <c r="H669" s="288"/>
      <c r="I669" s="287"/>
      <c r="J669" s="270"/>
      <c r="K669" s="271"/>
      <c r="L669" s="270"/>
      <c r="M669" s="209"/>
      <c r="N669" s="209"/>
      <c r="O669" s="196"/>
      <c r="P669" s="223"/>
    </row>
    <row r="670" spans="1:16" ht="15.75" customHeight="1">
      <c r="A670" s="224"/>
      <c r="B670" s="282"/>
      <c r="C670" s="287"/>
      <c r="D670" s="288"/>
      <c r="E670" s="289"/>
      <c r="F670" s="290"/>
      <c r="G670" s="290"/>
      <c r="H670" s="288"/>
      <c r="I670" s="287"/>
      <c r="J670" s="270"/>
      <c r="K670" s="271"/>
      <c r="L670" s="270"/>
      <c r="M670" s="209"/>
      <c r="N670" s="209"/>
      <c r="O670" s="196"/>
      <c r="P670" s="223"/>
    </row>
    <row r="671" spans="1:16" ht="15.75" customHeight="1">
      <c r="A671" s="224"/>
      <c r="B671" s="282"/>
      <c r="C671" s="287"/>
      <c r="D671" s="288"/>
      <c r="E671" s="289"/>
      <c r="F671" s="290"/>
      <c r="G671" s="290"/>
      <c r="H671" s="288"/>
      <c r="I671" s="287"/>
      <c r="J671" s="270"/>
      <c r="K671" s="271"/>
      <c r="L671" s="270"/>
      <c r="M671" s="209"/>
      <c r="N671" s="209"/>
      <c r="O671" s="196"/>
      <c r="P671" s="223"/>
    </row>
    <row r="672" spans="1:16" ht="15.75" customHeight="1">
      <c r="A672" s="224"/>
      <c r="B672" s="282"/>
      <c r="C672" s="287"/>
      <c r="D672" s="288"/>
      <c r="E672" s="289"/>
      <c r="F672" s="290"/>
      <c r="G672" s="290"/>
      <c r="H672" s="288"/>
      <c r="I672" s="287"/>
      <c r="J672" s="270"/>
      <c r="K672" s="271"/>
      <c r="L672" s="270"/>
      <c r="M672" s="209"/>
      <c r="N672" s="209"/>
      <c r="O672" s="196"/>
      <c r="P672" s="223"/>
    </row>
    <row r="673" spans="1:16" ht="15.75" customHeight="1">
      <c r="A673" s="224"/>
      <c r="B673" s="282"/>
      <c r="C673" s="287"/>
      <c r="D673" s="288"/>
      <c r="E673" s="289"/>
      <c r="F673" s="290"/>
      <c r="G673" s="290"/>
      <c r="H673" s="288"/>
      <c r="I673" s="287"/>
      <c r="J673" s="270"/>
      <c r="K673" s="271"/>
      <c r="L673" s="270"/>
      <c r="M673" s="209"/>
      <c r="N673" s="209"/>
      <c r="O673" s="196"/>
      <c r="P673" s="223"/>
    </row>
    <row r="674" spans="1:16" ht="15.75" customHeight="1">
      <c r="A674" s="224"/>
      <c r="B674" s="282"/>
      <c r="C674" s="287"/>
      <c r="D674" s="288"/>
      <c r="E674" s="289"/>
      <c r="F674" s="290"/>
      <c r="G674" s="290"/>
      <c r="H674" s="288"/>
      <c r="I674" s="287"/>
      <c r="J674" s="270"/>
      <c r="K674" s="271"/>
      <c r="L674" s="270"/>
      <c r="M674" s="209"/>
      <c r="N674" s="209"/>
      <c r="O674" s="196"/>
      <c r="P674" s="223"/>
    </row>
    <row r="675" spans="1:16" ht="15.75" customHeight="1">
      <c r="A675" s="224"/>
      <c r="B675" s="282"/>
      <c r="C675" s="287"/>
      <c r="D675" s="288"/>
      <c r="E675" s="289"/>
      <c r="F675" s="290"/>
      <c r="G675" s="290"/>
      <c r="H675" s="288"/>
      <c r="I675" s="287"/>
      <c r="J675" s="270"/>
      <c r="K675" s="271"/>
      <c r="L675" s="270"/>
      <c r="M675" s="209"/>
      <c r="N675" s="209"/>
      <c r="O675" s="196"/>
      <c r="P675" s="223"/>
    </row>
    <row r="676" spans="1:16" ht="15.75" customHeight="1">
      <c r="A676" s="224"/>
      <c r="B676" s="282"/>
      <c r="C676" s="287"/>
      <c r="D676" s="288"/>
      <c r="E676" s="289"/>
      <c r="F676" s="290"/>
      <c r="G676" s="290"/>
      <c r="H676" s="288"/>
      <c r="I676" s="287"/>
      <c r="J676" s="270"/>
      <c r="K676" s="271"/>
      <c r="L676" s="270"/>
      <c r="M676" s="209"/>
      <c r="N676" s="209"/>
      <c r="O676" s="196"/>
      <c r="P676" s="223"/>
    </row>
    <row r="677" spans="1:16" ht="15.75" customHeight="1">
      <c r="A677" s="224"/>
      <c r="B677" s="282"/>
      <c r="C677" s="287"/>
      <c r="D677" s="288"/>
      <c r="E677" s="289"/>
      <c r="F677" s="290"/>
      <c r="G677" s="290"/>
      <c r="H677" s="288"/>
      <c r="I677" s="287"/>
      <c r="J677" s="270"/>
      <c r="K677" s="271"/>
      <c r="L677" s="270"/>
      <c r="M677" s="209"/>
      <c r="N677" s="209"/>
      <c r="O677" s="196"/>
      <c r="P677" s="223"/>
    </row>
    <row r="678" spans="1:16" ht="15.75" customHeight="1">
      <c r="A678" s="224"/>
      <c r="B678" s="282"/>
      <c r="C678" s="287"/>
      <c r="D678" s="288"/>
      <c r="E678" s="289"/>
      <c r="F678" s="290"/>
      <c r="G678" s="290"/>
      <c r="H678" s="288"/>
      <c r="I678" s="287"/>
      <c r="J678" s="270"/>
      <c r="K678" s="271"/>
      <c r="L678" s="270"/>
      <c r="M678" s="209"/>
      <c r="N678" s="209"/>
      <c r="O678" s="196"/>
      <c r="P678" s="223"/>
    </row>
    <row r="679" spans="1:16" ht="15.75" customHeight="1">
      <c r="A679" s="224"/>
      <c r="B679" s="282"/>
      <c r="C679" s="287"/>
      <c r="D679" s="288"/>
      <c r="E679" s="289"/>
      <c r="F679" s="290"/>
      <c r="G679" s="290"/>
      <c r="H679" s="288"/>
      <c r="I679" s="287"/>
      <c r="J679" s="270"/>
      <c r="K679" s="271"/>
      <c r="L679" s="270"/>
      <c r="M679" s="209"/>
      <c r="N679" s="209"/>
      <c r="O679" s="196"/>
      <c r="P679" s="223"/>
    </row>
    <row r="680" spans="1:16" ht="15.75" customHeight="1">
      <c r="A680" s="224"/>
      <c r="B680" s="282"/>
      <c r="C680" s="287"/>
      <c r="D680" s="288"/>
      <c r="E680" s="289"/>
      <c r="F680" s="290"/>
      <c r="G680" s="290"/>
      <c r="H680" s="288"/>
      <c r="I680" s="287"/>
      <c r="J680" s="270"/>
      <c r="K680" s="271"/>
      <c r="L680" s="270"/>
      <c r="M680" s="209"/>
      <c r="N680" s="209"/>
      <c r="O680" s="196"/>
      <c r="P680" s="223"/>
    </row>
    <row r="681" spans="1:16" ht="15.75" customHeight="1">
      <c r="A681" s="224"/>
      <c r="B681" s="282"/>
      <c r="C681" s="287"/>
      <c r="D681" s="288"/>
      <c r="E681" s="289"/>
      <c r="F681" s="290"/>
      <c r="G681" s="290"/>
      <c r="H681" s="288"/>
      <c r="I681" s="287"/>
      <c r="J681" s="270"/>
      <c r="K681" s="271"/>
      <c r="L681" s="270"/>
      <c r="M681" s="209"/>
      <c r="N681" s="209"/>
      <c r="O681" s="196"/>
      <c r="P681" s="223"/>
    </row>
    <row r="682" spans="1:16" ht="15.75" customHeight="1">
      <c r="A682" s="224"/>
      <c r="B682" s="282"/>
      <c r="C682" s="287"/>
      <c r="D682" s="288"/>
      <c r="E682" s="289"/>
      <c r="F682" s="290"/>
      <c r="G682" s="290"/>
      <c r="H682" s="288"/>
      <c r="I682" s="287"/>
      <c r="J682" s="270"/>
      <c r="K682" s="271"/>
      <c r="L682" s="270"/>
      <c r="M682" s="209"/>
      <c r="N682" s="209"/>
      <c r="O682" s="196"/>
      <c r="P682" s="223"/>
    </row>
    <row r="683" spans="1:16" ht="15.75" customHeight="1">
      <c r="A683" s="224"/>
      <c r="B683" s="282"/>
      <c r="C683" s="287"/>
      <c r="D683" s="288"/>
      <c r="E683" s="289"/>
      <c r="F683" s="290"/>
      <c r="G683" s="290"/>
      <c r="H683" s="288"/>
      <c r="I683" s="287"/>
      <c r="J683" s="270"/>
      <c r="K683" s="271"/>
      <c r="L683" s="270"/>
      <c r="M683" s="209"/>
      <c r="N683" s="209"/>
      <c r="O683" s="196"/>
      <c r="P683" s="223"/>
    </row>
    <row r="684" spans="1:16" ht="15.75" customHeight="1">
      <c r="A684" s="224"/>
      <c r="B684" s="282"/>
      <c r="C684" s="287"/>
      <c r="D684" s="288"/>
      <c r="E684" s="289"/>
      <c r="F684" s="290"/>
      <c r="G684" s="290"/>
      <c r="H684" s="288"/>
      <c r="I684" s="287"/>
      <c r="J684" s="270"/>
      <c r="K684" s="271"/>
      <c r="L684" s="270"/>
      <c r="M684" s="209"/>
      <c r="N684" s="209"/>
      <c r="O684" s="196"/>
      <c r="P684" s="223"/>
    </row>
    <row r="685" spans="1:16" ht="15.75" customHeight="1">
      <c r="A685" s="224"/>
      <c r="B685" s="282"/>
      <c r="C685" s="287"/>
      <c r="D685" s="288"/>
      <c r="E685" s="289"/>
      <c r="F685" s="290"/>
      <c r="G685" s="290"/>
      <c r="H685" s="288"/>
      <c r="I685" s="287"/>
      <c r="J685" s="270"/>
      <c r="K685" s="271"/>
      <c r="L685" s="270"/>
      <c r="M685" s="209"/>
      <c r="N685" s="209"/>
      <c r="O685" s="196"/>
      <c r="P685" s="223"/>
    </row>
    <row r="686" spans="1:16" ht="15.75" customHeight="1">
      <c r="A686" s="224"/>
      <c r="B686" s="282"/>
      <c r="C686" s="287"/>
      <c r="D686" s="288"/>
      <c r="E686" s="289"/>
      <c r="F686" s="290"/>
      <c r="G686" s="290"/>
      <c r="H686" s="288"/>
      <c r="I686" s="287"/>
      <c r="J686" s="270"/>
      <c r="K686" s="271"/>
      <c r="L686" s="270"/>
      <c r="M686" s="209"/>
      <c r="N686" s="209"/>
      <c r="O686" s="196"/>
      <c r="P686" s="223"/>
    </row>
    <row r="687" spans="1:16" ht="15.75" customHeight="1">
      <c r="A687" s="224"/>
      <c r="B687" s="282"/>
      <c r="C687" s="287"/>
      <c r="D687" s="288"/>
      <c r="E687" s="289"/>
      <c r="F687" s="290"/>
      <c r="G687" s="290"/>
      <c r="H687" s="288"/>
      <c r="I687" s="287"/>
      <c r="J687" s="270"/>
      <c r="K687" s="271"/>
      <c r="L687" s="270"/>
      <c r="M687" s="209"/>
      <c r="N687" s="209"/>
      <c r="O687" s="196"/>
      <c r="P687" s="223"/>
    </row>
    <row r="688" spans="1:16" ht="15.75" customHeight="1">
      <c r="A688" s="224"/>
      <c r="B688" s="282"/>
      <c r="C688" s="287"/>
      <c r="D688" s="288"/>
      <c r="E688" s="289"/>
      <c r="F688" s="290"/>
      <c r="G688" s="290"/>
      <c r="H688" s="288"/>
      <c r="I688" s="287"/>
      <c r="J688" s="270"/>
      <c r="K688" s="271"/>
      <c r="L688" s="270"/>
      <c r="M688" s="209"/>
      <c r="N688" s="209"/>
      <c r="O688" s="196"/>
      <c r="P688" s="223"/>
    </row>
    <row r="689" spans="1:16" ht="15.75" customHeight="1">
      <c r="A689" s="224"/>
      <c r="B689" s="282"/>
      <c r="C689" s="287"/>
      <c r="D689" s="288"/>
      <c r="E689" s="289"/>
      <c r="F689" s="290"/>
      <c r="G689" s="290"/>
      <c r="H689" s="288"/>
      <c r="I689" s="287"/>
      <c r="J689" s="270"/>
      <c r="K689" s="271"/>
      <c r="L689" s="270"/>
      <c r="M689" s="209"/>
      <c r="N689" s="209"/>
      <c r="O689" s="196"/>
      <c r="P689" s="223"/>
    </row>
    <row r="690" spans="1:16" ht="15.75" customHeight="1">
      <c r="A690" s="224"/>
      <c r="B690" s="282"/>
      <c r="C690" s="287"/>
      <c r="D690" s="288"/>
      <c r="E690" s="289"/>
      <c r="F690" s="290"/>
      <c r="G690" s="290"/>
      <c r="H690" s="288"/>
      <c r="I690" s="287"/>
      <c r="J690" s="270"/>
      <c r="K690" s="271"/>
      <c r="L690" s="270"/>
      <c r="M690" s="209"/>
      <c r="N690" s="209"/>
      <c r="O690" s="196"/>
      <c r="P690" s="223"/>
    </row>
    <row r="691" spans="1:16" ht="15.75" customHeight="1">
      <c r="A691" s="224"/>
      <c r="B691" s="282"/>
      <c r="C691" s="287"/>
      <c r="D691" s="288"/>
      <c r="E691" s="289"/>
      <c r="F691" s="290"/>
      <c r="G691" s="290"/>
      <c r="H691" s="288"/>
      <c r="I691" s="287"/>
      <c r="J691" s="270"/>
      <c r="K691" s="271"/>
      <c r="L691" s="270"/>
      <c r="M691" s="209"/>
      <c r="N691" s="209"/>
      <c r="O691" s="196"/>
      <c r="P691" s="223"/>
    </row>
    <row r="692" spans="1:16" ht="15.75" customHeight="1">
      <c r="A692" s="224"/>
      <c r="B692" s="282"/>
      <c r="C692" s="287"/>
      <c r="D692" s="288"/>
      <c r="E692" s="289"/>
      <c r="F692" s="290"/>
      <c r="G692" s="290"/>
      <c r="H692" s="288"/>
      <c r="I692" s="287"/>
      <c r="J692" s="270"/>
      <c r="K692" s="271"/>
      <c r="L692" s="270"/>
      <c r="M692" s="209"/>
      <c r="N692" s="209"/>
      <c r="O692" s="196"/>
      <c r="P692" s="223"/>
    </row>
    <row r="693" spans="1:16" ht="15.75" customHeight="1">
      <c r="A693" s="224"/>
      <c r="B693" s="282"/>
      <c r="C693" s="287"/>
      <c r="D693" s="288"/>
      <c r="E693" s="289"/>
      <c r="F693" s="290"/>
      <c r="G693" s="290"/>
      <c r="H693" s="288"/>
      <c r="I693" s="287"/>
      <c r="J693" s="270"/>
      <c r="K693" s="271"/>
      <c r="L693" s="270"/>
      <c r="M693" s="209"/>
      <c r="N693" s="209"/>
      <c r="O693" s="196"/>
      <c r="P693" s="223"/>
    </row>
    <row r="694" spans="1:16" ht="15.75" customHeight="1">
      <c r="A694" s="224"/>
      <c r="B694" s="282"/>
      <c r="C694" s="287"/>
      <c r="D694" s="288"/>
      <c r="E694" s="289"/>
      <c r="F694" s="290"/>
      <c r="G694" s="290"/>
      <c r="H694" s="288"/>
      <c r="I694" s="287"/>
      <c r="J694" s="270"/>
      <c r="K694" s="271"/>
      <c r="L694" s="270"/>
      <c r="M694" s="209"/>
      <c r="N694" s="209"/>
      <c r="O694" s="196"/>
      <c r="P694" s="223"/>
    </row>
    <row r="695" spans="1:16" ht="15.75" customHeight="1">
      <c r="A695" s="224"/>
      <c r="B695" s="282"/>
      <c r="C695" s="287"/>
      <c r="D695" s="288"/>
      <c r="E695" s="289"/>
      <c r="F695" s="290"/>
      <c r="G695" s="290"/>
      <c r="H695" s="288"/>
      <c r="I695" s="287"/>
      <c r="J695" s="270"/>
      <c r="K695" s="271"/>
      <c r="L695" s="270"/>
      <c r="M695" s="209"/>
      <c r="N695" s="209"/>
      <c r="O695" s="196"/>
      <c r="P695" s="223"/>
    </row>
    <row r="696" spans="1:16" ht="15.75" customHeight="1">
      <c r="A696" s="224"/>
      <c r="B696" s="282"/>
      <c r="C696" s="287"/>
      <c r="D696" s="288"/>
      <c r="E696" s="289"/>
      <c r="F696" s="290"/>
      <c r="G696" s="290"/>
      <c r="H696" s="288"/>
      <c r="I696" s="287"/>
      <c r="J696" s="270"/>
      <c r="K696" s="271"/>
      <c r="L696" s="270"/>
      <c r="M696" s="209"/>
      <c r="N696" s="209"/>
      <c r="O696" s="196"/>
      <c r="P696" s="223"/>
    </row>
    <row r="697" spans="1:16" ht="15.75" customHeight="1">
      <c r="A697" s="224"/>
      <c r="B697" s="282"/>
      <c r="C697" s="287"/>
      <c r="D697" s="288"/>
      <c r="E697" s="289"/>
      <c r="F697" s="290"/>
      <c r="G697" s="290"/>
      <c r="H697" s="288"/>
      <c r="I697" s="287"/>
      <c r="J697" s="270"/>
      <c r="K697" s="271"/>
      <c r="L697" s="270"/>
      <c r="M697" s="209"/>
      <c r="N697" s="209"/>
      <c r="O697" s="196"/>
      <c r="P697" s="223"/>
    </row>
    <row r="698" spans="1:16" ht="15.75" customHeight="1">
      <c r="A698" s="224"/>
      <c r="B698" s="282"/>
      <c r="C698" s="287"/>
      <c r="D698" s="288"/>
      <c r="E698" s="289"/>
      <c r="F698" s="290"/>
      <c r="G698" s="290"/>
      <c r="H698" s="288"/>
      <c r="I698" s="287"/>
      <c r="J698" s="270"/>
      <c r="K698" s="271"/>
      <c r="L698" s="270"/>
      <c r="M698" s="209"/>
      <c r="N698" s="209"/>
      <c r="O698" s="196"/>
      <c r="P698" s="223"/>
    </row>
    <row r="699" spans="1:16" ht="15.75" customHeight="1">
      <c r="A699" s="224"/>
      <c r="B699" s="282"/>
      <c r="C699" s="287"/>
      <c r="D699" s="288"/>
      <c r="E699" s="289"/>
      <c r="F699" s="290"/>
      <c r="G699" s="290"/>
      <c r="H699" s="288"/>
      <c r="I699" s="287"/>
      <c r="J699" s="270"/>
      <c r="K699" s="271"/>
      <c r="L699" s="270"/>
      <c r="M699" s="209"/>
      <c r="N699" s="209"/>
      <c r="O699" s="196"/>
      <c r="P699" s="223"/>
    </row>
    <row r="700" spans="1:16" ht="15.75" customHeight="1">
      <c r="A700" s="224"/>
      <c r="B700" s="282"/>
      <c r="C700" s="287"/>
      <c r="D700" s="288"/>
      <c r="E700" s="289"/>
      <c r="F700" s="290"/>
      <c r="G700" s="290"/>
      <c r="H700" s="288"/>
      <c r="I700" s="287"/>
      <c r="J700" s="270"/>
      <c r="K700" s="271"/>
      <c r="L700" s="270"/>
      <c r="M700" s="209"/>
      <c r="N700" s="209"/>
      <c r="O700" s="196"/>
      <c r="P700" s="223"/>
    </row>
    <row r="701" spans="1:16" ht="15.75" customHeight="1">
      <c r="A701" s="224"/>
      <c r="B701" s="282"/>
      <c r="C701" s="287"/>
      <c r="D701" s="288"/>
      <c r="E701" s="289"/>
      <c r="F701" s="290"/>
      <c r="G701" s="290"/>
      <c r="H701" s="288"/>
      <c r="I701" s="287"/>
      <c r="J701" s="270"/>
      <c r="K701" s="271"/>
      <c r="L701" s="270"/>
      <c r="M701" s="209"/>
      <c r="N701" s="209"/>
      <c r="O701" s="196"/>
      <c r="P701" s="223"/>
    </row>
    <row r="702" spans="1:16" ht="15.75" customHeight="1">
      <c r="A702" s="224"/>
      <c r="B702" s="282"/>
      <c r="C702" s="287"/>
      <c r="D702" s="288"/>
      <c r="E702" s="289"/>
      <c r="F702" s="290"/>
      <c r="G702" s="290"/>
      <c r="H702" s="288"/>
      <c r="I702" s="287"/>
      <c r="J702" s="270"/>
      <c r="K702" s="271"/>
      <c r="L702" s="270"/>
      <c r="M702" s="209"/>
      <c r="N702" s="209"/>
      <c r="O702" s="196"/>
      <c r="P702" s="223"/>
    </row>
    <row r="703" spans="1:16" ht="15.75" customHeight="1">
      <c r="A703" s="224"/>
      <c r="B703" s="282"/>
      <c r="C703" s="287"/>
      <c r="D703" s="288"/>
      <c r="E703" s="289"/>
      <c r="F703" s="290"/>
      <c r="G703" s="290"/>
      <c r="H703" s="288"/>
      <c r="I703" s="287"/>
      <c r="J703" s="270"/>
      <c r="K703" s="271"/>
      <c r="L703" s="270"/>
      <c r="M703" s="209"/>
      <c r="N703" s="209"/>
      <c r="O703" s="196"/>
      <c r="P703" s="223"/>
    </row>
    <row r="704" spans="1:16" ht="15.75" customHeight="1">
      <c r="A704" s="224"/>
      <c r="B704" s="282"/>
      <c r="C704" s="287"/>
      <c r="D704" s="288"/>
      <c r="E704" s="289"/>
      <c r="F704" s="290"/>
      <c r="G704" s="290"/>
      <c r="H704" s="288"/>
      <c r="I704" s="287"/>
      <c r="J704" s="270"/>
      <c r="K704" s="271"/>
      <c r="L704" s="270"/>
      <c r="M704" s="209"/>
      <c r="N704" s="209"/>
      <c r="O704" s="196"/>
      <c r="P704" s="223"/>
    </row>
    <row r="705" spans="1:16" ht="15.75" customHeight="1">
      <c r="A705" s="224"/>
      <c r="B705" s="282"/>
      <c r="C705" s="287"/>
      <c r="D705" s="288"/>
      <c r="E705" s="289"/>
      <c r="F705" s="290"/>
      <c r="G705" s="290"/>
      <c r="H705" s="288"/>
      <c r="I705" s="287"/>
      <c r="J705" s="270"/>
      <c r="K705" s="271"/>
      <c r="L705" s="270"/>
      <c r="M705" s="209"/>
      <c r="N705" s="209"/>
      <c r="O705" s="196"/>
      <c r="P705" s="223"/>
    </row>
    <row r="706" spans="1:16" ht="15.75" customHeight="1">
      <c r="A706" s="224"/>
      <c r="B706" s="282"/>
      <c r="C706" s="287"/>
      <c r="D706" s="288"/>
      <c r="E706" s="289"/>
      <c r="F706" s="290"/>
      <c r="G706" s="290"/>
      <c r="H706" s="288"/>
      <c r="I706" s="287"/>
      <c r="J706" s="270"/>
      <c r="K706" s="271"/>
      <c r="L706" s="270"/>
      <c r="M706" s="209"/>
      <c r="N706" s="209"/>
      <c r="O706" s="196"/>
      <c r="P706" s="223"/>
    </row>
    <row r="707" spans="1:16" ht="15.75" customHeight="1">
      <c r="A707" s="224"/>
      <c r="B707" s="282"/>
      <c r="C707" s="287"/>
      <c r="D707" s="288"/>
      <c r="E707" s="289"/>
      <c r="F707" s="290"/>
      <c r="G707" s="290"/>
      <c r="H707" s="288"/>
      <c r="I707" s="287"/>
      <c r="J707" s="270"/>
      <c r="K707" s="271"/>
      <c r="L707" s="270"/>
      <c r="M707" s="209"/>
      <c r="N707" s="209"/>
      <c r="O707" s="196"/>
      <c r="P707" s="223"/>
    </row>
    <row r="708" spans="1:16" ht="15.75" customHeight="1">
      <c r="A708" s="224"/>
      <c r="B708" s="282"/>
      <c r="C708" s="287"/>
      <c r="D708" s="288"/>
      <c r="E708" s="289"/>
      <c r="F708" s="290"/>
      <c r="G708" s="290"/>
      <c r="H708" s="288"/>
      <c r="I708" s="287"/>
      <c r="J708" s="270"/>
      <c r="K708" s="271"/>
      <c r="L708" s="270"/>
      <c r="M708" s="209"/>
      <c r="N708" s="209"/>
      <c r="O708" s="196"/>
      <c r="P708" s="223"/>
    </row>
    <row r="709" spans="1:16" ht="15.75" customHeight="1">
      <c r="A709" s="224"/>
      <c r="B709" s="282"/>
      <c r="C709" s="287"/>
      <c r="D709" s="288"/>
      <c r="E709" s="289"/>
      <c r="F709" s="290"/>
      <c r="G709" s="290"/>
      <c r="H709" s="288"/>
      <c r="I709" s="287"/>
      <c r="J709" s="270"/>
      <c r="K709" s="271"/>
      <c r="L709" s="270"/>
      <c r="M709" s="209"/>
      <c r="N709" s="209"/>
      <c r="O709" s="196"/>
      <c r="P709" s="223"/>
    </row>
    <row r="710" spans="1:16" ht="15.75" customHeight="1">
      <c r="A710" s="224"/>
      <c r="B710" s="282"/>
      <c r="C710" s="287"/>
      <c r="D710" s="288"/>
      <c r="E710" s="289"/>
      <c r="F710" s="290"/>
      <c r="G710" s="290"/>
      <c r="H710" s="288"/>
      <c r="I710" s="287"/>
      <c r="J710" s="270"/>
      <c r="K710" s="271"/>
      <c r="L710" s="270"/>
      <c r="M710" s="209"/>
      <c r="N710" s="209"/>
      <c r="O710" s="196"/>
      <c r="P710" s="223"/>
    </row>
    <row r="711" spans="1:16" ht="15.75" customHeight="1">
      <c r="A711" s="224"/>
      <c r="B711" s="282"/>
      <c r="C711" s="287"/>
      <c r="D711" s="288"/>
      <c r="E711" s="289"/>
      <c r="F711" s="290"/>
      <c r="G711" s="290"/>
      <c r="H711" s="288"/>
      <c r="I711" s="287"/>
      <c r="J711" s="270"/>
      <c r="K711" s="271"/>
      <c r="L711" s="270"/>
      <c r="M711" s="209"/>
      <c r="N711" s="209"/>
      <c r="O711" s="196"/>
      <c r="P711" s="223"/>
    </row>
    <row r="712" spans="1:16" ht="15.75" customHeight="1">
      <c r="A712" s="224"/>
      <c r="B712" s="282"/>
      <c r="C712" s="287"/>
      <c r="D712" s="288"/>
      <c r="E712" s="289"/>
      <c r="F712" s="290"/>
      <c r="G712" s="290"/>
      <c r="H712" s="288"/>
      <c r="I712" s="287"/>
      <c r="J712" s="270"/>
      <c r="K712" s="271"/>
      <c r="L712" s="270"/>
      <c r="M712" s="209"/>
      <c r="N712" s="209"/>
      <c r="O712" s="196"/>
      <c r="P712" s="223"/>
    </row>
    <row r="713" spans="1:16" ht="15.75" customHeight="1">
      <c r="A713" s="224"/>
      <c r="B713" s="282"/>
      <c r="C713" s="287"/>
      <c r="D713" s="288"/>
      <c r="E713" s="289"/>
      <c r="F713" s="290"/>
      <c r="G713" s="290"/>
      <c r="H713" s="288"/>
      <c r="I713" s="287"/>
      <c r="J713" s="270"/>
      <c r="K713" s="271"/>
      <c r="L713" s="270"/>
      <c r="M713" s="209"/>
      <c r="N713" s="209"/>
      <c r="O713" s="196"/>
      <c r="P713" s="223"/>
    </row>
    <row r="714" spans="1:16" ht="15.75" customHeight="1">
      <c r="A714" s="224"/>
      <c r="B714" s="282"/>
      <c r="C714" s="287"/>
      <c r="D714" s="288"/>
      <c r="E714" s="289"/>
      <c r="F714" s="290"/>
      <c r="G714" s="290"/>
      <c r="H714" s="288"/>
      <c r="I714" s="287"/>
      <c r="J714" s="270"/>
      <c r="K714" s="271"/>
      <c r="L714" s="270"/>
      <c r="M714" s="209"/>
      <c r="N714" s="209"/>
      <c r="O714" s="196"/>
      <c r="P714" s="223"/>
    </row>
    <row r="715" spans="1:16" ht="15.75" customHeight="1">
      <c r="A715" s="224"/>
      <c r="B715" s="282"/>
      <c r="C715" s="287"/>
      <c r="D715" s="288"/>
      <c r="E715" s="289"/>
      <c r="F715" s="290"/>
      <c r="G715" s="290"/>
      <c r="H715" s="288"/>
      <c r="I715" s="287"/>
      <c r="J715" s="270"/>
      <c r="K715" s="271"/>
      <c r="L715" s="270"/>
      <c r="M715" s="209"/>
      <c r="N715" s="209"/>
      <c r="O715" s="196"/>
      <c r="P715" s="223"/>
    </row>
    <row r="716" spans="1:16" ht="15.75" customHeight="1">
      <c r="A716" s="224"/>
      <c r="B716" s="282"/>
      <c r="C716" s="287"/>
      <c r="D716" s="288"/>
      <c r="E716" s="289"/>
      <c r="F716" s="290"/>
      <c r="G716" s="290"/>
      <c r="H716" s="288"/>
      <c r="I716" s="287"/>
      <c r="J716" s="270"/>
      <c r="K716" s="271"/>
      <c r="L716" s="270"/>
      <c r="M716" s="209"/>
      <c r="N716" s="209"/>
      <c r="O716" s="196"/>
      <c r="P716" s="223"/>
    </row>
    <row r="717" spans="1:16" ht="15.75" customHeight="1">
      <c r="A717" s="224"/>
      <c r="B717" s="282"/>
      <c r="C717" s="287"/>
      <c r="D717" s="288"/>
      <c r="E717" s="289"/>
      <c r="F717" s="290"/>
      <c r="G717" s="290"/>
      <c r="H717" s="288"/>
      <c r="I717" s="287"/>
      <c r="J717" s="270"/>
      <c r="K717" s="271"/>
      <c r="L717" s="270"/>
      <c r="M717" s="209"/>
      <c r="N717" s="209"/>
      <c r="O717" s="196"/>
      <c r="P717" s="223"/>
    </row>
    <row r="718" spans="1:16" ht="15.75" customHeight="1">
      <c r="A718" s="224"/>
      <c r="B718" s="282"/>
      <c r="C718" s="287"/>
      <c r="D718" s="288"/>
      <c r="E718" s="289"/>
      <c r="F718" s="290"/>
      <c r="G718" s="290"/>
      <c r="H718" s="288"/>
      <c r="I718" s="287"/>
      <c r="J718" s="270"/>
      <c r="K718" s="271"/>
      <c r="L718" s="270"/>
      <c r="M718" s="209"/>
      <c r="N718" s="209"/>
      <c r="O718" s="196"/>
      <c r="P718" s="223"/>
    </row>
    <row r="719" spans="1:16" ht="15.75" customHeight="1">
      <c r="A719" s="224"/>
      <c r="B719" s="282"/>
      <c r="C719" s="287"/>
      <c r="D719" s="288"/>
      <c r="E719" s="289"/>
      <c r="F719" s="290"/>
      <c r="G719" s="290"/>
      <c r="H719" s="288"/>
      <c r="I719" s="287"/>
      <c r="J719" s="270"/>
      <c r="K719" s="271"/>
      <c r="L719" s="270"/>
      <c r="M719" s="209"/>
      <c r="N719" s="209"/>
      <c r="O719" s="196"/>
      <c r="P719" s="223"/>
    </row>
    <row r="720" spans="1:16" ht="15.75" customHeight="1">
      <c r="A720" s="224"/>
      <c r="B720" s="282"/>
      <c r="C720" s="287"/>
      <c r="D720" s="288"/>
      <c r="E720" s="289"/>
      <c r="F720" s="290"/>
      <c r="G720" s="290"/>
      <c r="H720" s="288"/>
      <c r="I720" s="287"/>
      <c r="J720" s="270"/>
      <c r="K720" s="271"/>
      <c r="L720" s="270"/>
      <c r="M720" s="209"/>
      <c r="N720" s="209"/>
      <c r="O720" s="196"/>
      <c r="P720" s="223"/>
    </row>
    <row r="721" spans="1:16" ht="15.75" customHeight="1">
      <c r="A721" s="224"/>
      <c r="B721" s="282"/>
      <c r="C721" s="287"/>
      <c r="D721" s="288"/>
      <c r="E721" s="289"/>
      <c r="F721" s="290"/>
      <c r="G721" s="290"/>
      <c r="H721" s="288"/>
      <c r="I721" s="287"/>
      <c r="J721" s="270"/>
      <c r="K721" s="271"/>
      <c r="L721" s="270"/>
      <c r="M721" s="209"/>
      <c r="N721" s="209"/>
      <c r="O721" s="196"/>
      <c r="P721" s="223"/>
    </row>
    <row r="722" spans="1:16" ht="15.75" customHeight="1">
      <c r="A722" s="224"/>
      <c r="B722" s="282"/>
      <c r="C722" s="287"/>
      <c r="D722" s="288"/>
      <c r="E722" s="289"/>
      <c r="F722" s="290"/>
      <c r="G722" s="290"/>
      <c r="H722" s="288"/>
      <c r="I722" s="287"/>
      <c r="J722" s="270"/>
      <c r="K722" s="271"/>
      <c r="L722" s="270"/>
      <c r="M722" s="209"/>
      <c r="N722" s="209"/>
      <c r="O722" s="196"/>
      <c r="P722" s="223"/>
    </row>
    <row r="723" spans="1:16" ht="15.75" customHeight="1">
      <c r="A723" s="224"/>
      <c r="B723" s="282"/>
      <c r="C723" s="287"/>
      <c r="D723" s="288"/>
      <c r="E723" s="289"/>
      <c r="F723" s="290"/>
      <c r="G723" s="290"/>
      <c r="H723" s="288"/>
      <c r="I723" s="287"/>
      <c r="J723" s="270"/>
      <c r="K723" s="271"/>
      <c r="L723" s="270"/>
      <c r="M723" s="209"/>
      <c r="N723" s="209"/>
      <c r="O723" s="196"/>
      <c r="P723" s="223"/>
    </row>
    <row r="724" spans="1:16" ht="15.75" customHeight="1">
      <c r="A724" s="224"/>
      <c r="B724" s="282"/>
      <c r="C724" s="287"/>
      <c r="D724" s="288"/>
      <c r="E724" s="289"/>
      <c r="F724" s="290"/>
      <c r="G724" s="290"/>
      <c r="H724" s="288"/>
      <c r="I724" s="287"/>
      <c r="J724" s="270"/>
      <c r="K724" s="271"/>
      <c r="L724" s="270"/>
      <c r="M724" s="209"/>
      <c r="N724" s="209"/>
      <c r="O724" s="196"/>
      <c r="P724" s="223"/>
    </row>
    <row r="725" spans="1:16" ht="15.75" customHeight="1">
      <c r="A725" s="224"/>
      <c r="B725" s="282"/>
      <c r="C725" s="287"/>
      <c r="D725" s="288"/>
      <c r="E725" s="289"/>
      <c r="F725" s="290"/>
      <c r="G725" s="290"/>
      <c r="H725" s="288"/>
      <c r="I725" s="287"/>
      <c r="J725" s="270"/>
      <c r="K725" s="271"/>
      <c r="L725" s="270"/>
      <c r="M725" s="209"/>
      <c r="N725" s="209"/>
      <c r="O725" s="196"/>
      <c r="P725" s="223"/>
    </row>
    <row r="726" spans="1:16" ht="15.75" customHeight="1">
      <c r="A726" s="224"/>
      <c r="B726" s="282"/>
      <c r="C726" s="287"/>
      <c r="D726" s="288"/>
      <c r="E726" s="289"/>
      <c r="F726" s="290"/>
      <c r="G726" s="290"/>
      <c r="H726" s="288"/>
      <c r="I726" s="287"/>
      <c r="J726" s="270"/>
      <c r="K726" s="271"/>
      <c r="L726" s="270"/>
      <c r="M726" s="209"/>
      <c r="N726" s="209"/>
      <c r="O726" s="196"/>
      <c r="P726" s="223"/>
    </row>
    <row r="727" spans="1:16" ht="15.75" customHeight="1">
      <c r="A727" s="224"/>
      <c r="B727" s="282"/>
      <c r="C727" s="287"/>
      <c r="D727" s="288"/>
      <c r="E727" s="289"/>
      <c r="F727" s="290"/>
      <c r="G727" s="290"/>
      <c r="H727" s="288"/>
      <c r="I727" s="287"/>
      <c r="J727" s="270"/>
      <c r="K727" s="271"/>
      <c r="L727" s="270"/>
      <c r="M727" s="209"/>
      <c r="N727" s="209"/>
      <c r="O727" s="196"/>
      <c r="P727" s="223"/>
    </row>
    <row r="728" spans="1:16" ht="15.75" customHeight="1">
      <c r="A728" s="224"/>
      <c r="B728" s="282"/>
      <c r="C728" s="287"/>
      <c r="D728" s="288"/>
      <c r="E728" s="289"/>
      <c r="F728" s="290"/>
      <c r="G728" s="290"/>
      <c r="H728" s="288"/>
      <c r="I728" s="287"/>
      <c r="J728" s="270"/>
      <c r="K728" s="271"/>
      <c r="L728" s="270"/>
      <c r="M728" s="209"/>
      <c r="N728" s="209"/>
      <c r="O728" s="196"/>
      <c r="P728" s="223"/>
    </row>
    <row r="729" spans="1:16" ht="15.75" customHeight="1">
      <c r="A729" s="224"/>
      <c r="B729" s="282"/>
      <c r="C729" s="287"/>
      <c r="D729" s="288"/>
      <c r="E729" s="289"/>
      <c r="F729" s="290"/>
      <c r="G729" s="290"/>
      <c r="H729" s="288"/>
      <c r="I729" s="287"/>
      <c r="J729" s="270"/>
      <c r="K729" s="271"/>
      <c r="L729" s="270"/>
      <c r="M729" s="209"/>
      <c r="N729" s="209"/>
      <c r="O729" s="196"/>
      <c r="P729" s="223"/>
    </row>
    <row r="730" spans="1:16" ht="15.75" customHeight="1">
      <c r="A730" s="224"/>
      <c r="B730" s="282"/>
      <c r="C730" s="287"/>
      <c r="D730" s="288"/>
      <c r="E730" s="289"/>
      <c r="F730" s="290"/>
      <c r="G730" s="290"/>
      <c r="H730" s="288"/>
      <c r="I730" s="287"/>
      <c r="J730" s="270"/>
      <c r="K730" s="271"/>
      <c r="L730" s="270"/>
      <c r="M730" s="209"/>
      <c r="N730" s="209"/>
      <c r="O730" s="196"/>
      <c r="P730" s="223"/>
    </row>
    <row r="731" spans="1:16" ht="15.75" customHeight="1">
      <c r="A731" s="224"/>
      <c r="B731" s="282"/>
      <c r="C731" s="287"/>
      <c r="D731" s="288"/>
      <c r="E731" s="289"/>
      <c r="F731" s="290"/>
      <c r="G731" s="290"/>
      <c r="H731" s="288"/>
      <c r="I731" s="287"/>
      <c r="J731" s="270"/>
      <c r="K731" s="271"/>
      <c r="L731" s="270"/>
      <c r="M731" s="209"/>
      <c r="N731" s="209"/>
      <c r="O731" s="196"/>
      <c r="P731" s="223"/>
    </row>
    <row r="732" spans="1:16" ht="15.75" customHeight="1">
      <c r="A732" s="224"/>
      <c r="B732" s="282"/>
      <c r="C732" s="287"/>
      <c r="D732" s="288"/>
      <c r="E732" s="289"/>
      <c r="F732" s="290"/>
      <c r="G732" s="290"/>
      <c r="H732" s="288"/>
      <c r="I732" s="287"/>
      <c r="J732" s="270"/>
      <c r="K732" s="271"/>
      <c r="L732" s="270"/>
      <c r="M732" s="209"/>
      <c r="N732" s="209"/>
      <c r="O732" s="196"/>
      <c r="P732" s="223"/>
    </row>
    <row r="733" spans="1:16" ht="15.75" customHeight="1">
      <c r="A733" s="224"/>
      <c r="B733" s="282"/>
      <c r="C733" s="287"/>
      <c r="D733" s="288"/>
      <c r="E733" s="289"/>
      <c r="F733" s="290"/>
      <c r="G733" s="290"/>
      <c r="H733" s="288"/>
      <c r="I733" s="287"/>
      <c r="J733" s="270"/>
      <c r="K733" s="271"/>
      <c r="L733" s="270"/>
      <c r="M733" s="209"/>
      <c r="N733" s="209"/>
      <c r="O733" s="196"/>
      <c r="P733" s="223"/>
    </row>
    <row r="734" spans="1:16" ht="15.75" customHeight="1">
      <c r="A734" s="224"/>
      <c r="B734" s="282"/>
      <c r="C734" s="287"/>
      <c r="D734" s="288"/>
      <c r="E734" s="289"/>
      <c r="F734" s="290"/>
      <c r="G734" s="290"/>
      <c r="H734" s="288"/>
      <c r="I734" s="287"/>
      <c r="J734" s="270"/>
      <c r="K734" s="271"/>
      <c r="L734" s="270"/>
      <c r="M734" s="209"/>
      <c r="N734" s="209"/>
      <c r="O734" s="196"/>
      <c r="P734" s="223"/>
    </row>
    <row r="735" spans="1:16" ht="15.75" customHeight="1">
      <c r="A735" s="224"/>
      <c r="B735" s="282"/>
      <c r="C735" s="287"/>
      <c r="D735" s="288"/>
      <c r="E735" s="289"/>
      <c r="F735" s="290"/>
      <c r="G735" s="290"/>
      <c r="H735" s="288"/>
      <c r="I735" s="287"/>
      <c r="J735" s="270"/>
      <c r="K735" s="271"/>
      <c r="L735" s="270"/>
      <c r="M735" s="209"/>
      <c r="N735" s="209"/>
      <c r="O735" s="196"/>
      <c r="P735" s="223"/>
    </row>
    <row r="736" spans="1:16" ht="15.75" customHeight="1">
      <c r="A736" s="224"/>
      <c r="B736" s="282"/>
      <c r="C736" s="287"/>
      <c r="D736" s="288"/>
      <c r="E736" s="289"/>
      <c r="F736" s="290"/>
      <c r="G736" s="290"/>
      <c r="H736" s="288"/>
      <c r="I736" s="287"/>
      <c r="J736" s="270"/>
      <c r="K736" s="271"/>
      <c r="L736" s="270"/>
      <c r="M736" s="209"/>
      <c r="N736" s="209"/>
      <c r="O736" s="196"/>
      <c r="P736" s="223"/>
    </row>
    <row r="737" spans="1:16" ht="15.75" customHeight="1">
      <c r="A737" s="224"/>
      <c r="B737" s="282"/>
      <c r="C737" s="287"/>
      <c r="D737" s="288"/>
      <c r="E737" s="289"/>
      <c r="F737" s="290"/>
      <c r="G737" s="290"/>
      <c r="H737" s="288"/>
      <c r="I737" s="287"/>
      <c r="J737" s="270"/>
      <c r="K737" s="271"/>
      <c r="L737" s="270"/>
      <c r="M737" s="209"/>
      <c r="N737" s="209"/>
      <c r="O737" s="196"/>
      <c r="P737" s="223"/>
    </row>
    <row r="738" spans="1:16" ht="15.75" customHeight="1">
      <c r="A738" s="224"/>
      <c r="B738" s="282"/>
      <c r="C738" s="287"/>
      <c r="D738" s="288"/>
      <c r="E738" s="289"/>
      <c r="F738" s="290"/>
      <c r="G738" s="290"/>
      <c r="H738" s="288"/>
      <c r="I738" s="287"/>
      <c r="J738" s="270"/>
      <c r="K738" s="271"/>
      <c r="L738" s="270"/>
      <c r="M738" s="209"/>
      <c r="N738" s="209"/>
      <c r="O738" s="196"/>
      <c r="P738" s="223"/>
    </row>
    <row r="739" spans="1:16" ht="15.75" customHeight="1">
      <c r="A739" s="224"/>
      <c r="B739" s="282"/>
      <c r="C739" s="287"/>
      <c r="D739" s="288"/>
      <c r="E739" s="289"/>
      <c r="F739" s="290"/>
      <c r="G739" s="290"/>
      <c r="H739" s="288"/>
      <c r="I739" s="287"/>
      <c r="J739" s="270"/>
      <c r="K739" s="271"/>
      <c r="L739" s="270"/>
      <c r="M739" s="209"/>
      <c r="N739" s="209"/>
      <c r="O739" s="196"/>
      <c r="P739" s="223"/>
    </row>
    <row r="740" spans="1:16" ht="15.75" customHeight="1">
      <c r="A740" s="224"/>
      <c r="B740" s="282"/>
      <c r="C740" s="287"/>
      <c r="D740" s="288"/>
      <c r="E740" s="289"/>
      <c r="F740" s="290"/>
      <c r="G740" s="290"/>
      <c r="H740" s="288"/>
      <c r="I740" s="287"/>
      <c r="J740" s="270"/>
      <c r="K740" s="271"/>
      <c r="L740" s="270"/>
      <c r="M740" s="209"/>
      <c r="N740" s="209"/>
      <c r="O740" s="196"/>
      <c r="P740" s="223"/>
    </row>
    <row r="741" spans="1:16" ht="15.75" customHeight="1">
      <c r="A741" s="224"/>
      <c r="B741" s="282"/>
      <c r="C741" s="287"/>
      <c r="D741" s="288"/>
      <c r="E741" s="289"/>
      <c r="F741" s="290"/>
      <c r="G741" s="290"/>
      <c r="H741" s="288"/>
      <c r="I741" s="287"/>
      <c r="J741" s="270"/>
      <c r="K741" s="271"/>
      <c r="L741" s="270"/>
      <c r="M741" s="209"/>
      <c r="N741" s="209"/>
      <c r="O741" s="196"/>
      <c r="P741" s="223"/>
    </row>
    <row r="742" spans="1:16" ht="15.75" customHeight="1">
      <c r="A742" s="224"/>
      <c r="B742" s="282"/>
      <c r="C742" s="287"/>
      <c r="D742" s="288"/>
      <c r="E742" s="289"/>
      <c r="F742" s="290"/>
      <c r="G742" s="290"/>
      <c r="H742" s="288"/>
      <c r="I742" s="287"/>
      <c r="J742" s="270"/>
      <c r="K742" s="271"/>
      <c r="L742" s="270"/>
      <c r="M742" s="209"/>
      <c r="N742" s="209"/>
      <c r="O742" s="196"/>
      <c r="P742" s="223"/>
    </row>
    <row r="743" spans="1:16" ht="15.75" customHeight="1">
      <c r="A743" s="224"/>
      <c r="B743" s="282"/>
      <c r="C743" s="287"/>
      <c r="D743" s="288"/>
      <c r="E743" s="289"/>
      <c r="F743" s="290"/>
      <c r="G743" s="290"/>
      <c r="H743" s="288"/>
      <c r="I743" s="287"/>
      <c r="J743" s="270"/>
      <c r="K743" s="271"/>
      <c r="L743" s="270"/>
      <c r="M743" s="209"/>
      <c r="N743" s="209"/>
      <c r="O743" s="196"/>
      <c r="P743" s="223"/>
    </row>
    <row r="744" spans="1:16" ht="15.75" customHeight="1">
      <c r="A744" s="224"/>
      <c r="B744" s="282"/>
      <c r="C744" s="287"/>
      <c r="D744" s="288"/>
      <c r="E744" s="289"/>
      <c r="F744" s="290"/>
      <c r="G744" s="290"/>
      <c r="H744" s="288"/>
      <c r="I744" s="287"/>
      <c r="J744" s="270"/>
      <c r="K744" s="271"/>
      <c r="L744" s="270"/>
      <c r="M744" s="209"/>
      <c r="N744" s="209"/>
      <c r="O744" s="196"/>
      <c r="P744" s="223"/>
    </row>
    <row r="745" spans="1:16" ht="15.75" customHeight="1">
      <c r="A745" s="224"/>
      <c r="B745" s="282"/>
      <c r="C745" s="287"/>
      <c r="D745" s="288"/>
      <c r="E745" s="289"/>
      <c r="F745" s="290"/>
      <c r="G745" s="290"/>
      <c r="H745" s="288"/>
      <c r="I745" s="287"/>
      <c r="J745" s="270"/>
      <c r="K745" s="271"/>
      <c r="L745" s="270"/>
      <c r="M745" s="209"/>
      <c r="N745" s="209"/>
      <c r="O745" s="196"/>
      <c r="P745" s="223"/>
    </row>
    <row r="746" spans="1:16" ht="15.75" customHeight="1">
      <c r="A746" s="224"/>
      <c r="B746" s="282"/>
      <c r="C746" s="287"/>
      <c r="D746" s="288"/>
      <c r="E746" s="289"/>
      <c r="F746" s="290"/>
      <c r="G746" s="290"/>
      <c r="H746" s="288"/>
      <c r="I746" s="287"/>
      <c r="J746" s="270"/>
      <c r="K746" s="271"/>
      <c r="L746" s="270"/>
      <c r="M746" s="209"/>
      <c r="N746" s="209"/>
      <c r="O746" s="196"/>
      <c r="P746" s="223"/>
    </row>
    <row r="747" spans="1:16" ht="15.75" customHeight="1">
      <c r="A747" s="224"/>
      <c r="B747" s="282"/>
      <c r="C747" s="287"/>
      <c r="D747" s="288"/>
      <c r="E747" s="289"/>
      <c r="F747" s="290"/>
      <c r="G747" s="290"/>
      <c r="H747" s="288"/>
      <c r="I747" s="287"/>
      <c r="J747" s="270"/>
      <c r="K747" s="271"/>
      <c r="L747" s="270"/>
      <c r="M747" s="209"/>
      <c r="N747" s="209"/>
      <c r="O747" s="196"/>
      <c r="P747" s="223"/>
    </row>
    <row r="748" spans="1:16" ht="15.75" customHeight="1">
      <c r="A748" s="224"/>
      <c r="B748" s="282"/>
      <c r="C748" s="287"/>
      <c r="D748" s="288"/>
      <c r="E748" s="289"/>
      <c r="F748" s="290"/>
      <c r="G748" s="290"/>
      <c r="H748" s="288"/>
      <c r="I748" s="287"/>
      <c r="J748" s="270"/>
      <c r="K748" s="271"/>
      <c r="L748" s="270"/>
      <c r="M748" s="209"/>
      <c r="N748" s="209"/>
      <c r="O748" s="196"/>
      <c r="P748" s="223"/>
    </row>
    <row r="749" spans="1:16" ht="15.75" customHeight="1">
      <c r="A749" s="224"/>
      <c r="B749" s="282"/>
      <c r="C749" s="287"/>
      <c r="D749" s="288"/>
      <c r="E749" s="289"/>
      <c r="F749" s="290"/>
      <c r="G749" s="290"/>
      <c r="H749" s="288"/>
      <c r="I749" s="287"/>
      <c r="J749" s="270"/>
      <c r="K749" s="271"/>
      <c r="L749" s="270"/>
      <c r="M749" s="209"/>
      <c r="N749" s="209"/>
      <c r="O749" s="196"/>
      <c r="P749" s="223"/>
    </row>
    <row r="750" spans="1:16" ht="15.75" customHeight="1">
      <c r="A750" s="224"/>
      <c r="B750" s="282"/>
      <c r="C750" s="287"/>
      <c r="D750" s="288"/>
      <c r="E750" s="289"/>
      <c r="F750" s="290"/>
      <c r="G750" s="290"/>
      <c r="H750" s="288"/>
      <c r="I750" s="287"/>
      <c r="J750" s="270"/>
      <c r="K750" s="271"/>
      <c r="L750" s="270"/>
      <c r="M750" s="209"/>
      <c r="N750" s="209"/>
      <c r="O750" s="196"/>
      <c r="P750" s="223"/>
    </row>
    <row r="751" spans="1:16" ht="15.75" customHeight="1">
      <c r="A751" s="224"/>
      <c r="B751" s="282"/>
      <c r="C751" s="287"/>
      <c r="D751" s="288"/>
      <c r="E751" s="289"/>
      <c r="F751" s="290"/>
      <c r="G751" s="290"/>
      <c r="H751" s="288"/>
      <c r="I751" s="287"/>
      <c r="J751" s="270"/>
      <c r="K751" s="271"/>
      <c r="L751" s="270"/>
      <c r="M751" s="209"/>
      <c r="N751" s="209"/>
      <c r="O751" s="196"/>
      <c r="P751" s="223"/>
    </row>
    <row r="752" spans="1:16" ht="15.75" customHeight="1">
      <c r="A752" s="224"/>
      <c r="B752" s="282"/>
      <c r="C752" s="287"/>
      <c r="D752" s="288"/>
      <c r="E752" s="289"/>
      <c r="F752" s="290"/>
      <c r="G752" s="290"/>
      <c r="H752" s="288"/>
      <c r="I752" s="287"/>
      <c r="J752" s="270"/>
      <c r="K752" s="271"/>
      <c r="L752" s="270"/>
      <c r="M752" s="209"/>
      <c r="N752" s="209"/>
      <c r="O752" s="196"/>
      <c r="P752" s="223"/>
    </row>
    <row r="753" spans="1:16" ht="15.75" customHeight="1">
      <c r="A753" s="224"/>
      <c r="B753" s="282"/>
      <c r="C753" s="287"/>
      <c r="D753" s="288"/>
      <c r="E753" s="289"/>
      <c r="F753" s="290"/>
      <c r="G753" s="290"/>
      <c r="H753" s="288"/>
      <c r="I753" s="287"/>
      <c r="J753" s="270"/>
      <c r="K753" s="271"/>
      <c r="L753" s="270"/>
      <c r="M753" s="209"/>
      <c r="N753" s="209"/>
      <c r="O753" s="196"/>
      <c r="P753" s="223"/>
    </row>
    <row r="754" spans="1:16" ht="15.75" customHeight="1">
      <c r="A754" s="224"/>
      <c r="B754" s="282"/>
      <c r="C754" s="287"/>
      <c r="D754" s="288"/>
      <c r="E754" s="289"/>
      <c r="F754" s="290"/>
      <c r="G754" s="290"/>
      <c r="H754" s="288"/>
      <c r="I754" s="287"/>
      <c r="J754" s="270"/>
      <c r="K754" s="271"/>
      <c r="L754" s="270"/>
      <c r="M754" s="209"/>
      <c r="N754" s="209"/>
      <c r="O754" s="196"/>
      <c r="P754" s="223"/>
    </row>
    <row r="755" spans="1:16" ht="15.75" customHeight="1">
      <c r="A755" s="224"/>
      <c r="B755" s="282"/>
      <c r="C755" s="287"/>
      <c r="D755" s="288"/>
      <c r="E755" s="289"/>
      <c r="F755" s="290"/>
      <c r="G755" s="290"/>
      <c r="H755" s="288"/>
      <c r="I755" s="287"/>
      <c r="J755" s="270"/>
      <c r="K755" s="271"/>
      <c r="L755" s="270"/>
      <c r="M755" s="209"/>
      <c r="N755" s="209"/>
      <c r="O755" s="196"/>
      <c r="P755" s="223"/>
    </row>
    <row r="756" spans="1:16" ht="15.75" customHeight="1">
      <c r="A756" s="224"/>
      <c r="B756" s="282"/>
      <c r="C756" s="287"/>
      <c r="D756" s="288"/>
      <c r="E756" s="289"/>
      <c r="F756" s="290"/>
      <c r="G756" s="290"/>
      <c r="H756" s="288"/>
      <c r="I756" s="287"/>
      <c r="J756" s="270"/>
      <c r="K756" s="271"/>
      <c r="L756" s="270"/>
      <c r="M756" s="209"/>
      <c r="N756" s="209"/>
      <c r="O756" s="196"/>
      <c r="P756" s="223"/>
    </row>
    <row r="757" spans="1:16" ht="15.75" customHeight="1">
      <c r="A757" s="224"/>
      <c r="B757" s="282"/>
      <c r="C757" s="287"/>
      <c r="D757" s="288"/>
      <c r="E757" s="289"/>
      <c r="F757" s="290"/>
      <c r="G757" s="290"/>
      <c r="H757" s="288"/>
      <c r="I757" s="287"/>
      <c r="J757" s="270"/>
      <c r="K757" s="271"/>
      <c r="L757" s="270"/>
      <c r="M757" s="209"/>
      <c r="N757" s="209"/>
      <c r="O757" s="196"/>
      <c r="P757" s="223"/>
    </row>
    <row r="758" spans="1:16" ht="15.75" customHeight="1">
      <c r="A758" s="224"/>
      <c r="B758" s="282"/>
      <c r="C758" s="287"/>
      <c r="D758" s="288"/>
      <c r="E758" s="289"/>
      <c r="F758" s="290"/>
      <c r="G758" s="290"/>
      <c r="H758" s="288"/>
      <c r="I758" s="287"/>
      <c r="J758" s="270"/>
      <c r="K758" s="271"/>
      <c r="L758" s="270"/>
      <c r="M758" s="209"/>
      <c r="N758" s="209"/>
      <c r="O758" s="196"/>
      <c r="P758" s="223"/>
    </row>
    <row r="759" spans="1:16" ht="15.75" customHeight="1">
      <c r="A759" s="224"/>
      <c r="B759" s="282"/>
      <c r="C759" s="287"/>
      <c r="D759" s="288"/>
      <c r="E759" s="289"/>
      <c r="F759" s="290"/>
      <c r="G759" s="290"/>
      <c r="H759" s="288"/>
      <c r="I759" s="287"/>
      <c r="J759" s="270"/>
      <c r="K759" s="271"/>
      <c r="L759" s="270"/>
      <c r="M759" s="209"/>
      <c r="N759" s="209"/>
      <c r="O759" s="196"/>
      <c r="P759" s="223"/>
    </row>
    <row r="760" spans="1:16" ht="15.75" customHeight="1">
      <c r="A760" s="224"/>
      <c r="B760" s="282"/>
      <c r="C760" s="287"/>
      <c r="D760" s="288"/>
      <c r="E760" s="289"/>
      <c r="F760" s="290"/>
      <c r="G760" s="290"/>
      <c r="H760" s="288"/>
      <c r="I760" s="287"/>
      <c r="J760" s="270"/>
      <c r="K760" s="271"/>
      <c r="L760" s="270"/>
      <c r="M760" s="209"/>
      <c r="N760" s="209"/>
      <c r="O760" s="196"/>
      <c r="P760" s="223"/>
    </row>
    <row r="761" spans="1:16" ht="15.75" customHeight="1">
      <c r="A761" s="224"/>
      <c r="B761" s="282"/>
      <c r="C761" s="287"/>
      <c r="D761" s="288"/>
      <c r="E761" s="289"/>
      <c r="F761" s="290"/>
      <c r="G761" s="290"/>
      <c r="H761" s="288"/>
      <c r="I761" s="287"/>
      <c r="J761" s="270"/>
      <c r="K761" s="271"/>
      <c r="L761" s="270"/>
      <c r="M761" s="209"/>
      <c r="N761" s="209"/>
      <c r="O761" s="196"/>
      <c r="P761" s="223"/>
    </row>
    <row r="762" spans="1:16" ht="15.75" customHeight="1">
      <c r="A762" s="224"/>
      <c r="B762" s="282"/>
      <c r="C762" s="287"/>
      <c r="D762" s="288"/>
      <c r="E762" s="289"/>
      <c r="F762" s="290"/>
      <c r="G762" s="290"/>
      <c r="H762" s="288"/>
      <c r="I762" s="287"/>
      <c r="J762" s="270"/>
      <c r="K762" s="271"/>
      <c r="L762" s="270"/>
      <c r="M762" s="209"/>
      <c r="N762" s="209"/>
      <c r="O762" s="196"/>
      <c r="P762" s="223"/>
    </row>
    <row r="763" spans="1:16" ht="15.75" customHeight="1">
      <c r="A763" s="224"/>
      <c r="B763" s="282"/>
      <c r="C763" s="287"/>
      <c r="D763" s="288"/>
      <c r="E763" s="289"/>
      <c r="F763" s="290"/>
      <c r="G763" s="290"/>
      <c r="H763" s="288"/>
      <c r="I763" s="287"/>
      <c r="J763" s="270"/>
      <c r="K763" s="271"/>
      <c r="L763" s="270"/>
      <c r="M763" s="209"/>
      <c r="N763" s="209"/>
      <c r="O763" s="196"/>
      <c r="P763" s="223"/>
    </row>
    <row r="764" spans="1:16" ht="15.75" customHeight="1">
      <c r="A764" s="224"/>
      <c r="B764" s="282"/>
      <c r="C764" s="287"/>
      <c r="D764" s="288"/>
      <c r="E764" s="289"/>
      <c r="F764" s="290"/>
      <c r="G764" s="290"/>
      <c r="H764" s="288"/>
      <c r="I764" s="287"/>
      <c r="J764" s="270"/>
      <c r="K764" s="271"/>
      <c r="L764" s="270"/>
      <c r="M764" s="209"/>
      <c r="N764" s="209"/>
      <c r="O764" s="196"/>
      <c r="P764" s="223"/>
    </row>
    <row r="765" spans="1:16" ht="15.75" customHeight="1">
      <c r="A765" s="224"/>
      <c r="B765" s="282"/>
      <c r="C765" s="287"/>
      <c r="D765" s="288"/>
      <c r="E765" s="289"/>
      <c r="F765" s="290"/>
      <c r="G765" s="290"/>
      <c r="H765" s="288"/>
      <c r="I765" s="287"/>
      <c r="J765" s="270"/>
      <c r="K765" s="271"/>
      <c r="L765" s="270"/>
      <c r="M765" s="209"/>
      <c r="N765" s="209"/>
      <c r="O765" s="196"/>
      <c r="P765" s="223"/>
    </row>
    <row r="766" spans="1:16" ht="15.75" customHeight="1">
      <c r="A766" s="224"/>
      <c r="B766" s="282"/>
      <c r="C766" s="287"/>
      <c r="D766" s="288"/>
      <c r="E766" s="289"/>
      <c r="F766" s="290"/>
      <c r="G766" s="290"/>
      <c r="H766" s="288"/>
      <c r="I766" s="287"/>
      <c r="J766" s="270"/>
      <c r="K766" s="271"/>
      <c r="L766" s="270"/>
      <c r="M766" s="209"/>
      <c r="N766" s="209"/>
      <c r="O766" s="196"/>
      <c r="P766" s="223"/>
    </row>
    <row r="767" spans="1:16" ht="15.75" customHeight="1">
      <c r="A767" s="224"/>
      <c r="B767" s="282"/>
      <c r="C767" s="287"/>
      <c r="D767" s="288"/>
      <c r="E767" s="289"/>
      <c r="F767" s="290"/>
      <c r="G767" s="290"/>
      <c r="H767" s="288"/>
      <c r="I767" s="287"/>
      <c r="J767" s="270"/>
      <c r="K767" s="271"/>
      <c r="L767" s="270"/>
      <c r="M767" s="209"/>
      <c r="N767" s="209"/>
      <c r="O767" s="196"/>
      <c r="P767" s="223"/>
    </row>
    <row r="768" spans="1:16" ht="15.75" customHeight="1">
      <c r="A768" s="224"/>
      <c r="B768" s="282"/>
      <c r="C768" s="287"/>
      <c r="D768" s="288"/>
      <c r="E768" s="289"/>
      <c r="F768" s="290"/>
      <c r="G768" s="290"/>
      <c r="H768" s="288"/>
      <c r="I768" s="287"/>
      <c r="J768" s="270"/>
      <c r="K768" s="271"/>
      <c r="L768" s="270"/>
      <c r="M768" s="209"/>
      <c r="N768" s="209"/>
      <c r="O768" s="196"/>
      <c r="P768" s="223"/>
    </row>
    <row r="769" spans="1:16" ht="15.75" customHeight="1">
      <c r="A769" s="224"/>
      <c r="B769" s="282"/>
      <c r="C769" s="287"/>
      <c r="D769" s="288"/>
      <c r="E769" s="289"/>
      <c r="F769" s="290"/>
      <c r="G769" s="290"/>
      <c r="H769" s="288"/>
      <c r="I769" s="287"/>
      <c r="J769" s="270"/>
      <c r="K769" s="271"/>
      <c r="L769" s="270"/>
      <c r="M769" s="209"/>
      <c r="N769" s="209"/>
      <c r="O769" s="196"/>
      <c r="P769" s="223"/>
    </row>
    <row r="770" spans="1:16" ht="15.75" customHeight="1">
      <c r="A770" s="224"/>
      <c r="B770" s="282"/>
      <c r="C770" s="287"/>
      <c r="D770" s="288"/>
      <c r="E770" s="289"/>
      <c r="F770" s="290"/>
      <c r="G770" s="290"/>
      <c r="H770" s="288"/>
      <c r="I770" s="287"/>
      <c r="J770" s="270"/>
      <c r="K770" s="271"/>
      <c r="L770" s="270"/>
      <c r="M770" s="209"/>
      <c r="N770" s="209"/>
      <c r="O770" s="196"/>
      <c r="P770" s="223"/>
    </row>
    <row r="771" spans="1:16" ht="15.75" customHeight="1">
      <c r="A771" s="224"/>
      <c r="B771" s="282"/>
      <c r="C771" s="287"/>
      <c r="D771" s="288"/>
      <c r="E771" s="289"/>
      <c r="F771" s="290"/>
      <c r="G771" s="290"/>
      <c r="H771" s="288"/>
      <c r="I771" s="287"/>
      <c r="J771" s="270"/>
      <c r="K771" s="271"/>
      <c r="L771" s="270"/>
      <c r="M771" s="209"/>
      <c r="N771" s="209"/>
      <c r="O771" s="196"/>
      <c r="P771" s="223"/>
    </row>
    <row r="772" spans="1:16" ht="15.75" customHeight="1">
      <c r="A772" s="224"/>
      <c r="B772" s="282"/>
      <c r="C772" s="287"/>
      <c r="D772" s="288"/>
      <c r="E772" s="289"/>
      <c r="F772" s="290"/>
      <c r="G772" s="290"/>
      <c r="H772" s="288"/>
      <c r="I772" s="287"/>
      <c r="J772" s="270"/>
      <c r="K772" s="271"/>
      <c r="L772" s="270"/>
      <c r="M772" s="209"/>
      <c r="N772" s="209"/>
      <c r="O772" s="196"/>
      <c r="P772" s="223"/>
    </row>
    <row r="773" spans="1:16" ht="15.75" customHeight="1">
      <c r="A773" s="224"/>
      <c r="B773" s="282"/>
      <c r="C773" s="287"/>
      <c r="D773" s="288"/>
      <c r="E773" s="289"/>
      <c r="F773" s="290"/>
      <c r="G773" s="290"/>
      <c r="H773" s="288"/>
      <c r="I773" s="287"/>
      <c r="J773" s="270"/>
      <c r="K773" s="271"/>
      <c r="L773" s="270"/>
      <c r="M773" s="209"/>
      <c r="N773" s="209"/>
      <c r="O773" s="196"/>
      <c r="P773" s="223"/>
    </row>
    <row r="774" spans="1:16" ht="15.75" customHeight="1">
      <c r="A774" s="224"/>
      <c r="B774" s="282"/>
      <c r="C774" s="287"/>
      <c r="D774" s="288"/>
      <c r="E774" s="289"/>
      <c r="F774" s="290"/>
      <c r="G774" s="290"/>
      <c r="H774" s="288"/>
      <c r="I774" s="287"/>
      <c r="J774" s="270"/>
      <c r="K774" s="271"/>
      <c r="L774" s="270"/>
      <c r="M774" s="209"/>
      <c r="N774" s="209"/>
      <c r="O774" s="196"/>
      <c r="P774" s="223"/>
    </row>
    <row r="775" spans="1:16" ht="15.75" customHeight="1">
      <c r="A775" s="224"/>
      <c r="B775" s="282"/>
      <c r="C775" s="287"/>
      <c r="D775" s="288"/>
      <c r="E775" s="289"/>
      <c r="F775" s="290"/>
      <c r="G775" s="290"/>
      <c r="H775" s="288"/>
      <c r="I775" s="287"/>
      <c r="J775" s="270"/>
      <c r="K775" s="271"/>
      <c r="L775" s="270"/>
      <c r="M775" s="209"/>
      <c r="N775" s="209"/>
      <c r="O775" s="196"/>
      <c r="P775" s="223"/>
    </row>
    <row r="776" spans="1:16" ht="15.75" customHeight="1">
      <c r="A776" s="224"/>
      <c r="B776" s="282"/>
      <c r="C776" s="287"/>
      <c r="D776" s="288"/>
      <c r="E776" s="289"/>
      <c r="F776" s="290"/>
      <c r="G776" s="290"/>
      <c r="H776" s="288"/>
      <c r="I776" s="287"/>
      <c r="J776" s="270"/>
      <c r="K776" s="271"/>
      <c r="L776" s="270"/>
      <c r="M776" s="209"/>
      <c r="N776" s="209"/>
      <c r="O776" s="196"/>
      <c r="P776" s="223"/>
    </row>
    <row r="777" spans="1:16" ht="15.75" customHeight="1">
      <c r="A777" s="224"/>
      <c r="B777" s="282"/>
      <c r="C777" s="287"/>
      <c r="D777" s="288"/>
      <c r="E777" s="289"/>
      <c r="F777" s="290"/>
      <c r="G777" s="290"/>
      <c r="H777" s="288"/>
      <c r="I777" s="287"/>
      <c r="J777" s="270"/>
      <c r="K777" s="271"/>
      <c r="L777" s="270"/>
      <c r="M777" s="209"/>
      <c r="N777" s="209"/>
      <c r="O777" s="196"/>
      <c r="P777" s="223"/>
    </row>
    <row r="778" spans="1:16" ht="15.75" customHeight="1">
      <c r="A778" s="224"/>
      <c r="B778" s="282"/>
      <c r="C778" s="287"/>
      <c r="D778" s="288"/>
      <c r="E778" s="289"/>
      <c r="F778" s="290"/>
      <c r="G778" s="290"/>
      <c r="H778" s="288"/>
      <c r="I778" s="287"/>
      <c r="J778" s="270"/>
      <c r="K778" s="271"/>
      <c r="L778" s="270"/>
      <c r="M778" s="209"/>
      <c r="N778" s="209"/>
      <c r="O778" s="196"/>
      <c r="P778" s="223"/>
    </row>
    <row r="779" spans="1:16" ht="15.75" customHeight="1">
      <c r="A779" s="224"/>
      <c r="B779" s="282"/>
      <c r="C779" s="287"/>
      <c r="D779" s="288"/>
      <c r="E779" s="289"/>
      <c r="F779" s="290"/>
      <c r="G779" s="290"/>
      <c r="H779" s="288"/>
      <c r="I779" s="287"/>
      <c r="J779" s="270"/>
      <c r="K779" s="271"/>
      <c r="L779" s="270"/>
      <c r="M779" s="209"/>
      <c r="N779" s="209"/>
      <c r="O779" s="196"/>
      <c r="P779" s="223"/>
    </row>
    <row r="780" spans="1:16" ht="15.75" customHeight="1">
      <c r="A780" s="224"/>
      <c r="B780" s="282"/>
      <c r="C780" s="287"/>
      <c r="D780" s="288"/>
      <c r="E780" s="289"/>
      <c r="F780" s="290"/>
      <c r="G780" s="290"/>
      <c r="H780" s="288"/>
      <c r="I780" s="287"/>
      <c r="J780" s="270"/>
      <c r="K780" s="271"/>
      <c r="L780" s="270"/>
      <c r="M780" s="209"/>
      <c r="N780" s="209"/>
      <c r="O780" s="196"/>
      <c r="P780" s="223"/>
    </row>
    <row r="781" spans="1:16" ht="15.75" customHeight="1">
      <c r="A781" s="224"/>
      <c r="B781" s="282"/>
      <c r="C781" s="287"/>
      <c r="D781" s="288"/>
      <c r="E781" s="289"/>
      <c r="F781" s="290"/>
      <c r="G781" s="290"/>
      <c r="H781" s="288"/>
      <c r="I781" s="287"/>
      <c r="J781" s="270"/>
      <c r="K781" s="271"/>
      <c r="L781" s="270"/>
      <c r="M781" s="209"/>
      <c r="N781" s="209"/>
      <c r="O781" s="196"/>
      <c r="P781" s="223"/>
    </row>
    <row r="782" spans="1:16" ht="15.75" customHeight="1">
      <c r="A782" s="224"/>
      <c r="B782" s="282"/>
      <c r="C782" s="287"/>
      <c r="D782" s="288"/>
      <c r="E782" s="289"/>
      <c r="F782" s="290"/>
      <c r="G782" s="290"/>
      <c r="H782" s="288"/>
      <c r="I782" s="287"/>
      <c r="J782" s="270"/>
      <c r="K782" s="271"/>
      <c r="L782" s="270"/>
      <c r="M782" s="209"/>
      <c r="N782" s="209"/>
      <c r="O782" s="196"/>
      <c r="P782" s="223"/>
    </row>
    <row r="783" spans="1:16" ht="15.75" customHeight="1">
      <c r="A783" s="224"/>
      <c r="B783" s="282"/>
      <c r="C783" s="287"/>
      <c r="D783" s="288"/>
      <c r="E783" s="289"/>
      <c r="F783" s="290"/>
      <c r="G783" s="290"/>
      <c r="H783" s="288"/>
      <c r="I783" s="287"/>
      <c r="J783" s="270"/>
      <c r="K783" s="271"/>
      <c r="L783" s="270"/>
      <c r="M783" s="209"/>
      <c r="N783" s="209"/>
      <c r="O783" s="196"/>
      <c r="P783" s="223"/>
    </row>
    <row r="784" spans="1:16" ht="15.75" customHeight="1">
      <c r="A784" s="224"/>
      <c r="B784" s="282"/>
      <c r="C784" s="287"/>
      <c r="D784" s="288"/>
      <c r="E784" s="289"/>
      <c r="F784" s="290"/>
      <c r="G784" s="290"/>
      <c r="H784" s="288"/>
      <c r="I784" s="287"/>
      <c r="J784" s="270"/>
      <c r="K784" s="271"/>
      <c r="L784" s="270"/>
      <c r="M784" s="209"/>
      <c r="N784" s="209"/>
      <c r="O784" s="196"/>
      <c r="P784" s="223"/>
    </row>
    <row r="785" spans="1:16" ht="15.75" customHeight="1">
      <c r="A785" s="224"/>
      <c r="B785" s="282"/>
      <c r="C785" s="287"/>
      <c r="D785" s="288"/>
      <c r="E785" s="289"/>
      <c r="F785" s="290"/>
      <c r="G785" s="290"/>
      <c r="H785" s="288"/>
      <c r="I785" s="287"/>
      <c r="J785" s="270"/>
      <c r="K785" s="271"/>
      <c r="L785" s="270"/>
      <c r="M785" s="209"/>
      <c r="N785" s="209"/>
      <c r="O785" s="196"/>
      <c r="P785" s="223"/>
    </row>
    <row r="786" spans="1:16" ht="15.75" customHeight="1">
      <c r="A786" s="224"/>
      <c r="B786" s="282"/>
      <c r="C786" s="287"/>
      <c r="D786" s="288"/>
      <c r="E786" s="289"/>
      <c r="F786" s="290"/>
      <c r="G786" s="290"/>
      <c r="H786" s="288"/>
      <c r="I786" s="287"/>
      <c r="J786" s="270"/>
      <c r="K786" s="271"/>
      <c r="L786" s="270"/>
      <c r="M786" s="209"/>
      <c r="N786" s="209"/>
      <c r="O786" s="196"/>
      <c r="P786" s="223"/>
    </row>
    <row r="787" spans="1:16" ht="15.75" customHeight="1">
      <c r="A787" s="224"/>
      <c r="B787" s="282"/>
      <c r="C787" s="287"/>
      <c r="D787" s="288"/>
      <c r="E787" s="289"/>
      <c r="F787" s="290"/>
      <c r="G787" s="290"/>
      <c r="H787" s="288"/>
      <c r="I787" s="287"/>
      <c r="J787" s="270"/>
      <c r="K787" s="271"/>
      <c r="L787" s="270"/>
      <c r="M787" s="209"/>
      <c r="N787" s="209"/>
      <c r="O787" s="196"/>
      <c r="P787" s="223"/>
    </row>
    <row r="788" spans="1:16" ht="15.75" customHeight="1">
      <c r="A788" s="224"/>
      <c r="B788" s="282"/>
      <c r="C788" s="287"/>
      <c r="D788" s="288"/>
      <c r="E788" s="289"/>
      <c r="F788" s="290"/>
      <c r="G788" s="290"/>
      <c r="H788" s="288"/>
      <c r="I788" s="287"/>
      <c r="J788" s="270"/>
      <c r="K788" s="271"/>
      <c r="L788" s="270"/>
      <c r="M788" s="209"/>
      <c r="N788" s="209"/>
      <c r="O788" s="196"/>
      <c r="P788" s="223"/>
    </row>
    <row r="789" spans="1:16" ht="15.75" customHeight="1">
      <c r="A789" s="224"/>
      <c r="B789" s="282"/>
      <c r="C789" s="287"/>
      <c r="D789" s="288"/>
      <c r="E789" s="289"/>
      <c r="F789" s="290"/>
      <c r="G789" s="290"/>
      <c r="H789" s="288"/>
      <c r="I789" s="287"/>
      <c r="J789" s="270"/>
      <c r="K789" s="271"/>
      <c r="L789" s="270"/>
      <c r="M789" s="209"/>
      <c r="N789" s="209"/>
      <c r="O789" s="196"/>
      <c r="P789" s="223"/>
    </row>
    <row r="790" spans="1:16" ht="15.75" customHeight="1">
      <c r="A790" s="224"/>
      <c r="B790" s="282"/>
      <c r="C790" s="287"/>
      <c r="D790" s="288"/>
      <c r="E790" s="289"/>
      <c r="F790" s="290"/>
      <c r="G790" s="290"/>
      <c r="H790" s="288"/>
      <c r="I790" s="287"/>
      <c r="J790" s="270"/>
      <c r="K790" s="271"/>
      <c r="L790" s="270"/>
      <c r="M790" s="209"/>
      <c r="N790" s="209"/>
      <c r="O790" s="196"/>
      <c r="P790" s="223"/>
    </row>
    <row r="791" spans="1:16" ht="15.75" customHeight="1">
      <c r="A791" s="224"/>
      <c r="B791" s="282"/>
      <c r="C791" s="287"/>
      <c r="D791" s="288"/>
      <c r="E791" s="289"/>
      <c r="F791" s="290"/>
      <c r="G791" s="290"/>
      <c r="H791" s="288"/>
      <c r="I791" s="287"/>
      <c r="J791" s="270"/>
      <c r="K791" s="271"/>
      <c r="L791" s="270"/>
      <c r="M791" s="209"/>
      <c r="N791" s="209"/>
      <c r="O791" s="196"/>
      <c r="P791" s="223"/>
    </row>
    <row r="792" spans="1:16" ht="15.75" customHeight="1">
      <c r="A792" s="224"/>
      <c r="B792" s="282"/>
      <c r="C792" s="287"/>
      <c r="D792" s="288"/>
      <c r="E792" s="289"/>
      <c r="F792" s="290"/>
      <c r="G792" s="290"/>
      <c r="H792" s="288"/>
      <c r="I792" s="287"/>
      <c r="J792" s="270"/>
      <c r="K792" s="271"/>
      <c r="L792" s="270"/>
      <c r="M792" s="209"/>
      <c r="N792" s="209"/>
      <c r="O792" s="196"/>
      <c r="P792" s="223"/>
    </row>
    <row r="793" spans="1:16" ht="15.75" customHeight="1">
      <c r="A793" s="224"/>
      <c r="B793" s="282"/>
      <c r="C793" s="287"/>
      <c r="D793" s="288"/>
      <c r="E793" s="289"/>
      <c r="F793" s="290"/>
      <c r="G793" s="290"/>
      <c r="H793" s="288"/>
      <c r="I793" s="287"/>
      <c r="J793" s="270"/>
      <c r="K793" s="271"/>
      <c r="L793" s="270"/>
      <c r="M793" s="209"/>
      <c r="N793" s="209"/>
      <c r="O793" s="196"/>
      <c r="P793" s="223"/>
    </row>
    <row r="794" spans="1:16" ht="15.75" customHeight="1">
      <c r="A794" s="224"/>
      <c r="B794" s="282"/>
      <c r="C794" s="287"/>
      <c r="D794" s="288"/>
      <c r="E794" s="289"/>
      <c r="F794" s="290"/>
      <c r="G794" s="290"/>
      <c r="H794" s="288"/>
      <c r="I794" s="287"/>
      <c r="J794" s="270"/>
      <c r="K794" s="271"/>
      <c r="L794" s="270"/>
      <c r="M794" s="209"/>
      <c r="N794" s="209"/>
      <c r="O794" s="196"/>
      <c r="P794" s="223"/>
    </row>
    <row r="795" spans="1:16" ht="15.75" customHeight="1">
      <c r="A795" s="224"/>
      <c r="B795" s="282"/>
      <c r="C795" s="287"/>
      <c r="D795" s="288"/>
      <c r="E795" s="289"/>
      <c r="F795" s="290"/>
      <c r="G795" s="290"/>
      <c r="H795" s="288"/>
      <c r="I795" s="287"/>
      <c r="J795" s="270"/>
      <c r="K795" s="271"/>
      <c r="L795" s="270"/>
      <c r="M795" s="209"/>
      <c r="N795" s="209"/>
      <c r="O795" s="196"/>
      <c r="P795" s="223"/>
    </row>
    <row r="796" spans="1:16" ht="15.75" customHeight="1">
      <c r="A796" s="224"/>
      <c r="B796" s="282"/>
      <c r="C796" s="287"/>
      <c r="D796" s="288"/>
      <c r="E796" s="289"/>
      <c r="F796" s="290"/>
      <c r="G796" s="290"/>
      <c r="H796" s="288"/>
      <c r="I796" s="287"/>
      <c r="J796" s="270"/>
      <c r="K796" s="271"/>
      <c r="L796" s="270"/>
      <c r="M796" s="209"/>
      <c r="N796" s="209"/>
      <c r="O796" s="196"/>
      <c r="P796" s="223"/>
    </row>
    <row r="797" spans="1:16" ht="15.75" customHeight="1">
      <c r="A797" s="224"/>
      <c r="B797" s="282"/>
      <c r="C797" s="287"/>
      <c r="D797" s="288"/>
      <c r="E797" s="289"/>
      <c r="F797" s="290"/>
      <c r="G797" s="290"/>
      <c r="H797" s="288"/>
      <c r="I797" s="287"/>
      <c r="J797" s="270"/>
      <c r="K797" s="271"/>
      <c r="L797" s="270"/>
      <c r="M797" s="209"/>
      <c r="N797" s="209"/>
      <c r="O797" s="196"/>
      <c r="P797" s="223"/>
    </row>
    <row r="798" spans="1:16" ht="15.75" customHeight="1">
      <c r="A798" s="224"/>
      <c r="B798" s="282"/>
      <c r="C798" s="287"/>
      <c r="D798" s="288"/>
      <c r="E798" s="289"/>
      <c r="F798" s="290"/>
      <c r="G798" s="290"/>
      <c r="H798" s="288"/>
      <c r="I798" s="287"/>
      <c r="J798" s="270"/>
      <c r="K798" s="271"/>
      <c r="L798" s="270"/>
      <c r="M798" s="209"/>
      <c r="N798" s="209"/>
      <c r="O798" s="196"/>
      <c r="P798" s="223"/>
    </row>
    <row r="799" spans="1:16" ht="15.75" customHeight="1">
      <c r="A799" s="224"/>
      <c r="B799" s="282"/>
      <c r="C799" s="287"/>
      <c r="D799" s="288"/>
      <c r="E799" s="289"/>
      <c r="F799" s="290"/>
      <c r="G799" s="290"/>
      <c r="H799" s="288"/>
      <c r="I799" s="287"/>
      <c r="J799" s="270"/>
      <c r="K799" s="271"/>
      <c r="L799" s="270"/>
      <c r="M799" s="209"/>
      <c r="N799" s="209"/>
      <c r="O799" s="196"/>
      <c r="P799" s="223"/>
    </row>
    <row r="800" spans="1:16" ht="15.75" customHeight="1">
      <c r="A800" s="224"/>
      <c r="B800" s="282"/>
      <c r="C800" s="287"/>
      <c r="D800" s="288"/>
      <c r="E800" s="289"/>
      <c r="F800" s="290"/>
      <c r="G800" s="290"/>
      <c r="H800" s="288"/>
      <c r="I800" s="287"/>
      <c r="J800" s="270"/>
      <c r="K800" s="271"/>
      <c r="L800" s="270"/>
      <c r="M800" s="209"/>
      <c r="N800" s="209"/>
      <c r="O800" s="196"/>
      <c r="P800" s="223"/>
    </row>
    <row r="801" spans="1:16" ht="15.75" customHeight="1">
      <c r="A801" s="224"/>
      <c r="B801" s="282"/>
      <c r="C801" s="287"/>
      <c r="D801" s="288"/>
      <c r="E801" s="289"/>
      <c r="F801" s="290"/>
      <c r="G801" s="290"/>
      <c r="H801" s="288"/>
      <c r="I801" s="287"/>
      <c r="J801" s="270"/>
      <c r="K801" s="271"/>
      <c r="L801" s="270"/>
      <c r="M801" s="209"/>
      <c r="N801" s="209"/>
      <c r="O801" s="196"/>
      <c r="P801" s="223"/>
    </row>
    <row r="802" spans="1:16" ht="15.75" customHeight="1">
      <c r="A802" s="224"/>
      <c r="B802" s="282"/>
      <c r="C802" s="287"/>
      <c r="D802" s="288"/>
      <c r="E802" s="289"/>
      <c r="F802" s="290"/>
      <c r="G802" s="290"/>
      <c r="H802" s="288"/>
      <c r="I802" s="287"/>
      <c r="J802" s="270"/>
      <c r="K802" s="271"/>
      <c r="L802" s="270"/>
      <c r="M802" s="209"/>
      <c r="N802" s="209"/>
      <c r="O802" s="196"/>
      <c r="P802" s="223"/>
    </row>
    <row r="803" spans="1:16" ht="15.75" customHeight="1">
      <c r="A803" s="224"/>
      <c r="B803" s="282"/>
      <c r="C803" s="287"/>
      <c r="D803" s="288"/>
      <c r="E803" s="289"/>
      <c r="F803" s="290"/>
      <c r="G803" s="290"/>
      <c r="H803" s="288"/>
      <c r="I803" s="287"/>
      <c r="J803" s="270"/>
      <c r="K803" s="271"/>
      <c r="L803" s="270"/>
      <c r="M803" s="209"/>
      <c r="N803" s="209"/>
      <c r="O803" s="196"/>
      <c r="P803" s="223"/>
    </row>
    <row r="804" spans="1:16" ht="15.75" customHeight="1">
      <c r="A804" s="224"/>
      <c r="B804" s="282"/>
      <c r="C804" s="287"/>
      <c r="D804" s="288"/>
      <c r="E804" s="289"/>
      <c r="F804" s="290"/>
      <c r="G804" s="290"/>
      <c r="H804" s="288"/>
      <c r="I804" s="287"/>
      <c r="J804" s="270"/>
      <c r="K804" s="271"/>
      <c r="L804" s="270"/>
      <c r="M804" s="209"/>
      <c r="N804" s="209"/>
      <c r="O804" s="196"/>
      <c r="P804" s="223"/>
    </row>
    <row r="805" spans="1:16" ht="15.75" customHeight="1">
      <c r="A805" s="224"/>
      <c r="B805" s="282"/>
      <c r="C805" s="287"/>
      <c r="D805" s="288"/>
      <c r="E805" s="289"/>
      <c r="F805" s="290"/>
      <c r="G805" s="290"/>
      <c r="H805" s="288"/>
      <c r="I805" s="287"/>
      <c r="J805" s="270"/>
      <c r="K805" s="271"/>
      <c r="L805" s="270"/>
      <c r="M805" s="209"/>
      <c r="N805" s="209"/>
      <c r="O805" s="196"/>
      <c r="P805" s="223"/>
    </row>
    <row r="806" spans="1:16" ht="15.75" customHeight="1">
      <c r="A806" s="224"/>
      <c r="B806" s="282"/>
      <c r="C806" s="287"/>
      <c r="D806" s="288"/>
      <c r="E806" s="289"/>
      <c r="F806" s="290"/>
      <c r="G806" s="290"/>
      <c r="H806" s="288"/>
      <c r="I806" s="287"/>
      <c r="J806" s="270"/>
      <c r="K806" s="271"/>
      <c r="L806" s="270"/>
      <c r="M806" s="209"/>
      <c r="N806" s="209"/>
      <c r="O806" s="196"/>
      <c r="P806" s="223"/>
    </row>
    <row r="807" spans="1:16" ht="15.75" customHeight="1">
      <c r="A807" s="224"/>
      <c r="B807" s="282"/>
      <c r="C807" s="287"/>
      <c r="D807" s="288"/>
      <c r="E807" s="289"/>
      <c r="F807" s="290"/>
      <c r="G807" s="290"/>
      <c r="H807" s="288"/>
      <c r="I807" s="287"/>
      <c r="J807" s="270"/>
      <c r="K807" s="271"/>
      <c r="L807" s="270"/>
      <c r="M807" s="209"/>
      <c r="N807" s="209"/>
      <c r="O807" s="196"/>
      <c r="P807" s="223"/>
    </row>
    <row r="808" spans="1:16" ht="15.75" customHeight="1">
      <c r="A808" s="224"/>
      <c r="B808" s="282"/>
      <c r="C808" s="287"/>
      <c r="D808" s="288"/>
      <c r="E808" s="289"/>
      <c r="F808" s="290"/>
      <c r="G808" s="290"/>
      <c r="H808" s="288"/>
      <c r="I808" s="287"/>
      <c r="J808" s="270"/>
      <c r="K808" s="271"/>
      <c r="L808" s="270"/>
      <c r="M808" s="209"/>
      <c r="N808" s="209"/>
      <c r="O808" s="196"/>
      <c r="P808" s="223"/>
    </row>
    <row r="809" spans="1:16" ht="15.75" customHeight="1">
      <c r="A809" s="224"/>
      <c r="B809" s="282"/>
      <c r="C809" s="287"/>
      <c r="D809" s="288"/>
      <c r="E809" s="289"/>
      <c r="F809" s="290"/>
      <c r="G809" s="290"/>
      <c r="H809" s="288"/>
      <c r="I809" s="287"/>
      <c r="J809" s="270"/>
      <c r="K809" s="271"/>
      <c r="L809" s="270"/>
      <c r="M809" s="209"/>
      <c r="N809" s="209"/>
      <c r="O809" s="196"/>
      <c r="P809" s="223"/>
    </row>
    <row r="810" spans="1:16" ht="15.75" customHeight="1">
      <c r="A810" s="224"/>
      <c r="B810" s="282"/>
      <c r="C810" s="287"/>
      <c r="D810" s="288"/>
      <c r="E810" s="289"/>
      <c r="F810" s="290"/>
      <c r="G810" s="290"/>
      <c r="H810" s="288"/>
      <c r="I810" s="287"/>
      <c r="J810" s="270"/>
      <c r="K810" s="271"/>
      <c r="L810" s="270"/>
      <c r="M810" s="209"/>
      <c r="N810" s="209"/>
      <c r="O810" s="196"/>
      <c r="P810" s="223"/>
    </row>
    <row r="811" spans="1:16" ht="15.75" customHeight="1">
      <c r="A811" s="224"/>
      <c r="B811" s="282"/>
      <c r="C811" s="287"/>
      <c r="D811" s="288"/>
      <c r="E811" s="289"/>
      <c r="F811" s="290"/>
      <c r="G811" s="290"/>
      <c r="H811" s="288"/>
      <c r="I811" s="287"/>
      <c r="J811" s="270"/>
      <c r="K811" s="271"/>
      <c r="L811" s="270"/>
      <c r="M811" s="209"/>
      <c r="N811" s="209"/>
      <c r="O811" s="196"/>
      <c r="P811" s="223"/>
    </row>
    <row r="812" spans="1:16" ht="15.75" customHeight="1">
      <c r="A812" s="224"/>
      <c r="B812" s="282"/>
      <c r="C812" s="287"/>
      <c r="D812" s="288"/>
      <c r="E812" s="289"/>
      <c r="F812" s="290"/>
      <c r="G812" s="290"/>
      <c r="H812" s="288"/>
      <c r="I812" s="287"/>
      <c r="J812" s="270"/>
      <c r="K812" s="271"/>
      <c r="L812" s="270"/>
      <c r="M812" s="209"/>
      <c r="N812" s="209"/>
      <c r="O812" s="196"/>
      <c r="P812" s="223"/>
    </row>
    <row r="813" spans="1:16" ht="15.75" customHeight="1">
      <c r="A813" s="224"/>
      <c r="B813" s="282"/>
      <c r="C813" s="287"/>
      <c r="D813" s="288"/>
      <c r="E813" s="289"/>
      <c r="F813" s="290"/>
      <c r="G813" s="290"/>
      <c r="H813" s="288"/>
      <c r="I813" s="287"/>
      <c r="J813" s="270"/>
      <c r="K813" s="271"/>
      <c r="L813" s="270"/>
      <c r="M813" s="209"/>
      <c r="N813" s="209"/>
      <c r="O813" s="196"/>
      <c r="P813" s="223"/>
    </row>
    <row r="814" spans="1:16" ht="15.75" customHeight="1">
      <c r="A814" s="224"/>
      <c r="B814" s="282"/>
      <c r="C814" s="287"/>
      <c r="D814" s="288"/>
      <c r="E814" s="289"/>
      <c r="F814" s="290"/>
      <c r="G814" s="290"/>
      <c r="H814" s="288"/>
      <c r="I814" s="287"/>
      <c r="J814" s="270"/>
      <c r="K814" s="271"/>
      <c r="L814" s="270"/>
      <c r="M814" s="209"/>
      <c r="N814" s="209"/>
      <c r="O814" s="196"/>
      <c r="P814" s="223"/>
    </row>
    <row r="815" spans="1:16" ht="15.75" customHeight="1">
      <c r="A815" s="224"/>
      <c r="B815" s="282"/>
      <c r="C815" s="287"/>
      <c r="D815" s="288"/>
      <c r="E815" s="289"/>
      <c r="F815" s="290"/>
      <c r="G815" s="290"/>
      <c r="H815" s="288"/>
      <c r="I815" s="287"/>
      <c r="J815" s="270"/>
      <c r="K815" s="271"/>
      <c r="L815" s="270"/>
      <c r="M815" s="209"/>
      <c r="N815" s="209"/>
      <c r="O815" s="196"/>
      <c r="P815" s="223"/>
    </row>
    <row r="816" spans="1:16" ht="15.75" customHeight="1">
      <c r="A816" s="224"/>
      <c r="B816" s="282"/>
      <c r="C816" s="287"/>
      <c r="D816" s="288"/>
      <c r="E816" s="289"/>
      <c r="F816" s="290"/>
      <c r="G816" s="290"/>
      <c r="H816" s="288"/>
      <c r="I816" s="287"/>
      <c r="J816" s="270"/>
      <c r="K816" s="271"/>
      <c r="L816" s="270"/>
      <c r="M816" s="209"/>
      <c r="N816" s="209"/>
      <c r="O816" s="196"/>
      <c r="P816" s="223"/>
    </row>
    <row r="817" spans="1:16" ht="15.75" customHeight="1">
      <c r="A817" s="224"/>
      <c r="B817" s="282"/>
      <c r="C817" s="287"/>
      <c r="D817" s="288"/>
      <c r="E817" s="289"/>
      <c r="F817" s="290"/>
      <c r="G817" s="290"/>
      <c r="H817" s="288"/>
      <c r="I817" s="287"/>
      <c r="J817" s="270"/>
      <c r="K817" s="271"/>
      <c r="L817" s="270"/>
      <c r="M817" s="209"/>
      <c r="N817" s="209"/>
      <c r="O817" s="196"/>
      <c r="P817" s="223"/>
    </row>
    <row r="818" spans="1:16" ht="15.75" customHeight="1">
      <c r="A818" s="224"/>
      <c r="B818" s="282"/>
      <c r="C818" s="287"/>
      <c r="D818" s="288"/>
      <c r="E818" s="289"/>
      <c r="F818" s="290"/>
      <c r="G818" s="290"/>
      <c r="H818" s="288"/>
      <c r="I818" s="287"/>
      <c r="J818" s="270"/>
      <c r="K818" s="271"/>
      <c r="L818" s="270"/>
      <c r="M818" s="209"/>
      <c r="N818" s="209"/>
      <c r="O818" s="196"/>
      <c r="P818" s="223"/>
    </row>
    <row r="819" spans="1:16" ht="15.75" customHeight="1">
      <c r="A819" s="224"/>
      <c r="B819" s="282"/>
      <c r="C819" s="287"/>
      <c r="D819" s="288"/>
      <c r="E819" s="289"/>
      <c r="F819" s="290"/>
      <c r="G819" s="290"/>
      <c r="H819" s="288"/>
      <c r="I819" s="287"/>
      <c r="J819" s="270"/>
      <c r="K819" s="271"/>
      <c r="L819" s="270"/>
      <c r="M819" s="209"/>
      <c r="N819" s="209"/>
      <c r="O819" s="196"/>
      <c r="P819" s="223"/>
    </row>
    <row r="820" spans="1:16" ht="15.75" customHeight="1">
      <c r="A820" s="224"/>
      <c r="B820" s="282"/>
      <c r="C820" s="287"/>
      <c r="D820" s="288"/>
      <c r="E820" s="289"/>
      <c r="F820" s="290"/>
      <c r="G820" s="290"/>
      <c r="H820" s="288"/>
      <c r="I820" s="287"/>
      <c r="J820" s="270"/>
      <c r="K820" s="271"/>
      <c r="L820" s="270"/>
      <c r="M820" s="209"/>
      <c r="N820" s="209"/>
      <c r="O820" s="196"/>
      <c r="P820" s="223"/>
    </row>
    <row r="821" spans="1:16" ht="15.75" customHeight="1">
      <c r="A821" s="224"/>
      <c r="B821" s="282"/>
      <c r="C821" s="287"/>
      <c r="D821" s="288"/>
      <c r="E821" s="289"/>
      <c r="F821" s="290"/>
      <c r="G821" s="290"/>
      <c r="H821" s="288"/>
      <c r="I821" s="287"/>
      <c r="J821" s="270"/>
      <c r="K821" s="271"/>
      <c r="L821" s="270"/>
      <c r="M821" s="209"/>
      <c r="N821" s="209"/>
      <c r="O821" s="196"/>
      <c r="P821" s="223"/>
    </row>
    <row r="822" spans="1:16" ht="15.75" customHeight="1">
      <c r="A822" s="224"/>
      <c r="B822" s="282"/>
      <c r="C822" s="287"/>
      <c r="D822" s="288"/>
      <c r="E822" s="289"/>
      <c r="F822" s="290"/>
      <c r="G822" s="290"/>
      <c r="H822" s="288"/>
      <c r="I822" s="287"/>
      <c r="J822" s="270"/>
      <c r="K822" s="271"/>
      <c r="L822" s="270"/>
      <c r="M822" s="209"/>
      <c r="N822" s="209"/>
      <c r="O822" s="196"/>
      <c r="P822" s="223"/>
    </row>
    <row r="823" spans="1:16" ht="15.75" customHeight="1">
      <c r="A823" s="224"/>
      <c r="B823" s="282"/>
      <c r="C823" s="287"/>
      <c r="D823" s="288"/>
      <c r="E823" s="289"/>
      <c r="F823" s="290"/>
      <c r="G823" s="290"/>
      <c r="H823" s="288"/>
      <c r="I823" s="287"/>
      <c r="J823" s="270"/>
      <c r="K823" s="271"/>
      <c r="L823" s="270"/>
      <c r="M823" s="209"/>
      <c r="N823" s="209"/>
      <c r="O823" s="196"/>
      <c r="P823" s="223"/>
    </row>
    <row r="824" spans="1:16" ht="15.75" customHeight="1">
      <c r="A824" s="224"/>
      <c r="B824" s="282"/>
      <c r="C824" s="287"/>
      <c r="D824" s="288"/>
      <c r="E824" s="289"/>
      <c r="F824" s="290"/>
      <c r="G824" s="290"/>
      <c r="H824" s="288"/>
      <c r="I824" s="287"/>
      <c r="J824" s="270"/>
      <c r="K824" s="271"/>
      <c r="L824" s="270"/>
      <c r="M824" s="209"/>
      <c r="N824" s="209"/>
      <c r="O824" s="196"/>
      <c r="P824" s="223"/>
    </row>
    <row r="825" spans="1:16" ht="15.75" customHeight="1">
      <c r="A825" s="224"/>
      <c r="B825" s="282"/>
      <c r="C825" s="287"/>
      <c r="D825" s="288"/>
      <c r="E825" s="289"/>
      <c r="F825" s="290"/>
      <c r="G825" s="290"/>
      <c r="H825" s="288"/>
      <c r="I825" s="287"/>
      <c r="J825" s="270"/>
      <c r="K825" s="271"/>
      <c r="L825" s="270"/>
      <c r="M825" s="209"/>
      <c r="N825" s="209"/>
      <c r="O825" s="196"/>
      <c r="P825" s="223"/>
    </row>
    <row r="826" spans="1:16" ht="15.75" customHeight="1">
      <c r="A826" s="224"/>
      <c r="B826" s="282"/>
      <c r="C826" s="287"/>
      <c r="D826" s="288"/>
      <c r="E826" s="289"/>
      <c r="F826" s="290"/>
      <c r="G826" s="290"/>
      <c r="H826" s="288"/>
      <c r="I826" s="287"/>
      <c r="J826" s="270"/>
      <c r="K826" s="271"/>
      <c r="L826" s="270"/>
      <c r="M826" s="209"/>
      <c r="N826" s="209"/>
      <c r="O826" s="196"/>
      <c r="P826" s="223"/>
    </row>
    <row r="827" spans="1:16" ht="15.75" customHeight="1">
      <c r="A827" s="224"/>
      <c r="B827" s="282"/>
      <c r="C827" s="287"/>
      <c r="D827" s="288"/>
      <c r="E827" s="289"/>
      <c r="F827" s="290"/>
      <c r="G827" s="290"/>
      <c r="H827" s="288"/>
      <c r="I827" s="287"/>
      <c r="J827" s="270"/>
      <c r="K827" s="271"/>
      <c r="L827" s="270"/>
      <c r="M827" s="209"/>
      <c r="N827" s="209"/>
      <c r="O827" s="196"/>
      <c r="P827" s="223"/>
    </row>
    <row r="828" spans="1:16" ht="15.75" customHeight="1">
      <c r="A828" s="224"/>
      <c r="B828" s="282"/>
      <c r="C828" s="287"/>
      <c r="D828" s="288"/>
      <c r="E828" s="289"/>
      <c r="F828" s="290"/>
      <c r="G828" s="290"/>
      <c r="H828" s="288"/>
      <c r="I828" s="287"/>
      <c r="J828" s="270"/>
      <c r="K828" s="271"/>
      <c r="L828" s="270"/>
      <c r="M828" s="209"/>
      <c r="N828" s="209"/>
      <c r="O828" s="196"/>
      <c r="P828" s="223"/>
    </row>
    <row r="829" spans="1:16" ht="15.75" customHeight="1">
      <c r="A829" s="224"/>
      <c r="B829" s="282"/>
      <c r="C829" s="287"/>
      <c r="D829" s="288"/>
      <c r="E829" s="289"/>
      <c r="F829" s="290"/>
      <c r="G829" s="290"/>
      <c r="H829" s="288"/>
      <c r="I829" s="287"/>
      <c r="J829" s="270"/>
      <c r="K829" s="271"/>
      <c r="L829" s="270"/>
      <c r="M829" s="209"/>
      <c r="N829" s="209"/>
      <c r="O829" s="196"/>
      <c r="P829" s="223"/>
    </row>
    <row r="830" spans="1:16" ht="15.75" customHeight="1">
      <c r="A830" s="224"/>
      <c r="B830" s="282"/>
      <c r="C830" s="287"/>
      <c r="D830" s="288"/>
      <c r="E830" s="289"/>
      <c r="F830" s="290"/>
      <c r="G830" s="290"/>
      <c r="H830" s="288"/>
      <c r="I830" s="287"/>
      <c r="J830" s="270"/>
      <c r="K830" s="271"/>
      <c r="L830" s="270"/>
      <c r="M830" s="209"/>
      <c r="N830" s="209"/>
      <c r="O830" s="196"/>
      <c r="P830" s="223"/>
    </row>
    <row r="831" spans="1:16" ht="15.75" customHeight="1">
      <c r="A831" s="224"/>
      <c r="B831" s="282"/>
      <c r="C831" s="287"/>
      <c r="D831" s="288"/>
      <c r="E831" s="289"/>
      <c r="F831" s="290"/>
      <c r="G831" s="290"/>
      <c r="H831" s="288"/>
      <c r="I831" s="287"/>
      <c r="J831" s="270"/>
      <c r="K831" s="271"/>
      <c r="L831" s="270"/>
      <c r="M831" s="209"/>
      <c r="N831" s="209"/>
      <c r="O831" s="196"/>
      <c r="P831" s="223"/>
    </row>
    <row r="832" spans="1:16" ht="15.75" customHeight="1">
      <c r="A832" s="224"/>
      <c r="B832" s="282"/>
      <c r="C832" s="287"/>
      <c r="D832" s="288"/>
      <c r="E832" s="289"/>
      <c r="F832" s="290"/>
      <c r="G832" s="290"/>
      <c r="H832" s="288"/>
      <c r="I832" s="287"/>
      <c r="J832" s="270"/>
      <c r="K832" s="271"/>
      <c r="L832" s="270"/>
      <c r="M832" s="209"/>
      <c r="N832" s="209"/>
      <c r="O832" s="196"/>
      <c r="P832" s="223"/>
    </row>
    <row r="833" spans="1:16" ht="15.75" customHeight="1">
      <c r="A833" s="224"/>
      <c r="B833" s="282"/>
      <c r="C833" s="287"/>
      <c r="D833" s="288"/>
      <c r="E833" s="289"/>
      <c r="F833" s="290"/>
      <c r="G833" s="290"/>
      <c r="H833" s="288"/>
      <c r="I833" s="287"/>
      <c r="J833" s="270"/>
      <c r="K833" s="271"/>
      <c r="L833" s="270"/>
      <c r="M833" s="209"/>
      <c r="N833" s="209"/>
      <c r="O833" s="196"/>
      <c r="P833" s="223"/>
    </row>
    <row r="834" spans="1:16" ht="15.75" customHeight="1">
      <c r="A834" s="224"/>
      <c r="B834" s="282"/>
      <c r="C834" s="287"/>
      <c r="D834" s="288"/>
      <c r="E834" s="289"/>
      <c r="F834" s="290"/>
      <c r="G834" s="290"/>
      <c r="H834" s="288"/>
      <c r="I834" s="287"/>
      <c r="J834" s="270"/>
      <c r="K834" s="271"/>
      <c r="L834" s="270"/>
      <c r="M834" s="209"/>
      <c r="N834" s="209"/>
      <c r="O834" s="196"/>
      <c r="P834" s="223"/>
    </row>
    <row r="835" spans="1:16" ht="15.75" customHeight="1">
      <c r="A835" s="224"/>
      <c r="B835" s="282"/>
      <c r="C835" s="287"/>
      <c r="D835" s="288"/>
      <c r="E835" s="289"/>
      <c r="F835" s="290"/>
      <c r="G835" s="290"/>
      <c r="H835" s="288"/>
      <c r="I835" s="287"/>
      <c r="J835" s="270"/>
      <c r="K835" s="271"/>
      <c r="L835" s="270"/>
      <c r="M835" s="209"/>
      <c r="N835" s="209"/>
      <c r="O835" s="196"/>
      <c r="P835" s="223"/>
    </row>
    <row r="836" spans="1:16" ht="15.75" customHeight="1">
      <c r="A836" s="224"/>
      <c r="B836" s="282"/>
      <c r="C836" s="287"/>
      <c r="D836" s="288"/>
      <c r="E836" s="289"/>
      <c r="F836" s="290"/>
      <c r="G836" s="290"/>
      <c r="H836" s="288"/>
      <c r="I836" s="287"/>
      <c r="J836" s="270"/>
      <c r="K836" s="271"/>
      <c r="L836" s="270"/>
      <c r="M836" s="209"/>
      <c r="N836" s="209"/>
      <c r="O836" s="196"/>
      <c r="P836" s="223"/>
    </row>
    <row r="837" spans="1:16" ht="15.75" customHeight="1">
      <c r="A837" s="224"/>
      <c r="B837" s="282"/>
      <c r="C837" s="287"/>
      <c r="D837" s="288"/>
      <c r="E837" s="289"/>
      <c r="F837" s="290"/>
      <c r="G837" s="290"/>
      <c r="H837" s="288"/>
      <c r="I837" s="287"/>
      <c r="J837" s="270"/>
      <c r="K837" s="271"/>
      <c r="L837" s="270"/>
      <c r="M837" s="209"/>
      <c r="N837" s="209"/>
      <c r="O837" s="196"/>
      <c r="P837" s="223"/>
    </row>
    <row r="838" spans="1:16" ht="15.75" customHeight="1">
      <c r="A838" s="224"/>
      <c r="B838" s="282"/>
      <c r="C838" s="287"/>
      <c r="D838" s="288"/>
      <c r="E838" s="289"/>
      <c r="F838" s="290"/>
      <c r="G838" s="290"/>
      <c r="H838" s="288"/>
      <c r="I838" s="287"/>
      <c r="J838" s="270"/>
      <c r="K838" s="271"/>
      <c r="L838" s="270"/>
      <c r="M838" s="209"/>
      <c r="N838" s="209"/>
      <c r="O838" s="196"/>
      <c r="P838" s="223"/>
    </row>
    <row r="839" spans="1:16" ht="15.75" customHeight="1">
      <c r="A839" s="224"/>
      <c r="B839" s="282"/>
      <c r="C839" s="287"/>
      <c r="D839" s="288"/>
      <c r="E839" s="289"/>
      <c r="F839" s="290"/>
      <c r="G839" s="290"/>
      <c r="H839" s="288"/>
      <c r="I839" s="287"/>
      <c r="J839" s="270"/>
      <c r="K839" s="271"/>
      <c r="L839" s="270"/>
      <c r="M839" s="209"/>
      <c r="N839" s="209"/>
      <c r="O839" s="196"/>
      <c r="P839" s="223"/>
    </row>
    <row r="840" spans="1:16" ht="15.75" customHeight="1">
      <c r="A840" s="224"/>
      <c r="B840" s="282"/>
      <c r="C840" s="287"/>
      <c r="D840" s="288"/>
      <c r="E840" s="289"/>
      <c r="F840" s="290"/>
      <c r="G840" s="290"/>
      <c r="H840" s="288"/>
      <c r="I840" s="287"/>
      <c r="J840" s="270"/>
      <c r="K840" s="271"/>
      <c r="L840" s="270"/>
      <c r="M840" s="209"/>
      <c r="N840" s="209"/>
      <c r="O840" s="196"/>
      <c r="P840" s="223"/>
    </row>
    <row r="841" spans="1:16" ht="15.75" customHeight="1">
      <c r="A841" s="224"/>
      <c r="B841" s="282"/>
      <c r="C841" s="287"/>
      <c r="D841" s="288"/>
      <c r="E841" s="289"/>
      <c r="F841" s="290"/>
      <c r="G841" s="290"/>
      <c r="H841" s="288"/>
      <c r="I841" s="287"/>
      <c r="J841" s="270"/>
      <c r="K841" s="271"/>
      <c r="L841" s="270"/>
      <c r="M841" s="209"/>
      <c r="N841" s="209"/>
      <c r="O841" s="196"/>
      <c r="P841" s="223"/>
    </row>
    <row r="842" spans="1:16" ht="15.75" customHeight="1">
      <c r="A842" s="224"/>
      <c r="B842" s="282"/>
      <c r="C842" s="287"/>
      <c r="D842" s="288"/>
      <c r="E842" s="289"/>
      <c r="F842" s="290"/>
      <c r="G842" s="290"/>
      <c r="H842" s="288"/>
      <c r="I842" s="287"/>
      <c r="J842" s="270"/>
      <c r="K842" s="271"/>
      <c r="L842" s="270"/>
      <c r="M842" s="209"/>
      <c r="N842" s="209"/>
      <c r="O842" s="196"/>
      <c r="P842" s="223"/>
    </row>
    <row r="843" spans="1:16" ht="15.75" customHeight="1">
      <c r="A843" s="224"/>
      <c r="B843" s="282"/>
      <c r="C843" s="287"/>
      <c r="D843" s="288"/>
      <c r="E843" s="289"/>
      <c r="F843" s="290"/>
      <c r="G843" s="290"/>
      <c r="H843" s="288"/>
      <c r="I843" s="287"/>
      <c r="J843" s="270"/>
      <c r="K843" s="271"/>
      <c r="L843" s="270"/>
      <c r="M843" s="209"/>
      <c r="N843" s="209"/>
      <c r="O843" s="196"/>
      <c r="P843" s="223"/>
    </row>
    <row r="844" spans="1:16" ht="15.75" customHeight="1">
      <c r="A844" s="224"/>
      <c r="B844" s="282"/>
      <c r="C844" s="287"/>
      <c r="D844" s="288"/>
      <c r="E844" s="289"/>
      <c r="F844" s="290"/>
      <c r="G844" s="290"/>
      <c r="H844" s="288"/>
      <c r="I844" s="287"/>
      <c r="J844" s="270"/>
      <c r="K844" s="271"/>
      <c r="L844" s="270"/>
      <c r="M844" s="209"/>
      <c r="N844" s="209"/>
      <c r="O844" s="196"/>
      <c r="P844" s="223"/>
    </row>
    <row r="845" spans="1:16" ht="15.75" customHeight="1">
      <c r="A845" s="224"/>
      <c r="B845" s="282"/>
      <c r="C845" s="287"/>
      <c r="D845" s="288"/>
      <c r="E845" s="289"/>
      <c r="F845" s="290"/>
      <c r="G845" s="290"/>
      <c r="H845" s="288"/>
      <c r="I845" s="287"/>
      <c r="J845" s="270"/>
      <c r="K845" s="271"/>
      <c r="L845" s="270"/>
      <c r="M845" s="209"/>
      <c r="N845" s="209"/>
      <c r="O845" s="196"/>
      <c r="P845" s="223"/>
    </row>
    <row r="846" spans="1:16" ht="15.75" customHeight="1">
      <c r="A846" s="224"/>
      <c r="B846" s="282"/>
      <c r="C846" s="287"/>
      <c r="D846" s="288"/>
      <c r="E846" s="289"/>
      <c r="F846" s="290"/>
      <c r="G846" s="290"/>
      <c r="H846" s="288"/>
      <c r="I846" s="287"/>
      <c r="J846" s="270"/>
      <c r="K846" s="271"/>
      <c r="L846" s="270"/>
      <c r="M846" s="209"/>
      <c r="N846" s="209"/>
      <c r="O846" s="196"/>
      <c r="P846" s="223"/>
    </row>
    <row r="847" spans="1:16" ht="15.75" customHeight="1">
      <c r="A847" s="224"/>
      <c r="B847" s="282"/>
      <c r="C847" s="287"/>
      <c r="D847" s="288"/>
      <c r="E847" s="289"/>
      <c r="F847" s="290"/>
      <c r="G847" s="290"/>
      <c r="H847" s="288"/>
      <c r="I847" s="287"/>
      <c r="J847" s="270"/>
      <c r="K847" s="271"/>
      <c r="L847" s="270"/>
      <c r="M847" s="209"/>
      <c r="N847" s="209"/>
      <c r="O847" s="196"/>
      <c r="P847" s="223"/>
    </row>
    <row r="848" spans="1:16" ht="15.75" customHeight="1">
      <c r="A848" s="224"/>
      <c r="B848" s="282"/>
      <c r="C848" s="287"/>
      <c r="D848" s="288"/>
      <c r="E848" s="289"/>
      <c r="F848" s="290"/>
      <c r="G848" s="290"/>
      <c r="H848" s="288"/>
      <c r="I848" s="287"/>
      <c r="J848" s="270"/>
      <c r="K848" s="271"/>
      <c r="L848" s="270"/>
      <c r="M848" s="209"/>
      <c r="N848" s="209"/>
      <c r="O848" s="196"/>
      <c r="P848" s="223"/>
    </row>
    <row r="849" spans="1:16" ht="15.75" customHeight="1">
      <c r="A849" s="224"/>
      <c r="B849" s="282"/>
      <c r="C849" s="287"/>
      <c r="D849" s="288"/>
      <c r="E849" s="289"/>
      <c r="F849" s="290"/>
      <c r="G849" s="290"/>
      <c r="H849" s="288"/>
      <c r="I849" s="287"/>
      <c r="J849" s="270"/>
      <c r="K849" s="271"/>
      <c r="L849" s="270"/>
      <c r="M849" s="209"/>
      <c r="N849" s="209"/>
      <c r="O849" s="196"/>
      <c r="P849" s="223"/>
    </row>
    <row r="850" spans="1:16" ht="15.75" customHeight="1">
      <c r="A850" s="224"/>
      <c r="B850" s="282"/>
      <c r="C850" s="287"/>
      <c r="D850" s="288"/>
      <c r="E850" s="289"/>
      <c r="F850" s="290"/>
      <c r="G850" s="290"/>
      <c r="H850" s="288"/>
      <c r="I850" s="287"/>
      <c r="J850" s="270"/>
      <c r="K850" s="271"/>
      <c r="L850" s="270"/>
      <c r="M850" s="209"/>
      <c r="N850" s="209"/>
      <c r="O850" s="196"/>
      <c r="P850" s="223"/>
    </row>
    <row r="851" spans="1:16" ht="15.75" customHeight="1">
      <c r="A851" s="224"/>
      <c r="B851" s="282"/>
      <c r="C851" s="287"/>
      <c r="D851" s="288"/>
      <c r="E851" s="289"/>
      <c r="F851" s="290"/>
      <c r="G851" s="290"/>
      <c r="H851" s="288"/>
      <c r="I851" s="287"/>
      <c r="J851" s="270"/>
      <c r="K851" s="271"/>
      <c r="L851" s="270"/>
      <c r="M851" s="209"/>
      <c r="N851" s="209"/>
      <c r="O851" s="196"/>
      <c r="P851" s="223"/>
    </row>
    <row r="852" spans="1:16" ht="15.75" customHeight="1">
      <c r="A852" s="224"/>
      <c r="B852" s="282"/>
      <c r="C852" s="287"/>
      <c r="D852" s="288"/>
      <c r="E852" s="289"/>
      <c r="F852" s="290"/>
      <c r="G852" s="290"/>
      <c r="H852" s="288"/>
      <c r="I852" s="287"/>
      <c r="J852" s="270"/>
      <c r="K852" s="271"/>
      <c r="L852" s="270"/>
      <c r="M852" s="209"/>
      <c r="N852" s="209"/>
      <c r="O852" s="196"/>
      <c r="P852" s="223"/>
    </row>
    <row r="853" spans="1:16" ht="15.75" customHeight="1">
      <c r="A853" s="224"/>
      <c r="B853" s="282"/>
      <c r="C853" s="287"/>
      <c r="D853" s="288"/>
      <c r="E853" s="289"/>
      <c r="F853" s="290"/>
      <c r="G853" s="290"/>
      <c r="H853" s="288"/>
      <c r="I853" s="287"/>
      <c r="J853" s="270"/>
      <c r="K853" s="271"/>
      <c r="L853" s="270"/>
      <c r="M853" s="209"/>
      <c r="N853" s="209"/>
      <c r="O853" s="196"/>
      <c r="P853" s="223"/>
    </row>
    <row r="854" spans="1:16" ht="15.75" customHeight="1">
      <c r="A854" s="224"/>
      <c r="B854" s="282"/>
      <c r="C854" s="287"/>
      <c r="D854" s="288"/>
      <c r="E854" s="289"/>
      <c r="F854" s="290"/>
      <c r="G854" s="290"/>
      <c r="H854" s="288"/>
      <c r="I854" s="287"/>
      <c r="J854" s="270"/>
      <c r="K854" s="271"/>
      <c r="L854" s="270"/>
      <c r="M854" s="209"/>
      <c r="N854" s="209"/>
      <c r="O854" s="196"/>
      <c r="P854" s="223"/>
    </row>
    <row r="855" spans="1:16" ht="15.75" customHeight="1">
      <c r="A855" s="224"/>
      <c r="B855" s="282"/>
      <c r="C855" s="287"/>
      <c r="D855" s="288"/>
      <c r="E855" s="289"/>
      <c r="F855" s="290"/>
      <c r="G855" s="290"/>
      <c r="H855" s="288"/>
      <c r="I855" s="287"/>
      <c r="J855" s="270"/>
      <c r="K855" s="271"/>
      <c r="L855" s="270"/>
      <c r="M855" s="209"/>
      <c r="N855" s="209"/>
      <c r="O855" s="196"/>
      <c r="P855" s="223"/>
    </row>
    <row r="856" spans="1:16" ht="15.75" customHeight="1">
      <c r="A856" s="224"/>
      <c r="B856" s="282"/>
      <c r="C856" s="287"/>
      <c r="D856" s="288"/>
      <c r="E856" s="289"/>
      <c r="F856" s="290"/>
      <c r="G856" s="290"/>
      <c r="H856" s="288"/>
      <c r="I856" s="287"/>
      <c r="J856" s="270"/>
      <c r="K856" s="271"/>
      <c r="L856" s="270"/>
      <c r="M856" s="209"/>
      <c r="N856" s="209"/>
      <c r="O856" s="196"/>
      <c r="P856" s="223"/>
    </row>
    <row r="857" spans="1:16" ht="15.75" customHeight="1">
      <c r="A857" s="224"/>
      <c r="B857" s="282"/>
      <c r="C857" s="287"/>
      <c r="D857" s="288"/>
      <c r="E857" s="289"/>
      <c r="F857" s="290"/>
      <c r="G857" s="290"/>
      <c r="H857" s="288"/>
      <c r="I857" s="287"/>
      <c r="J857" s="270"/>
      <c r="K857" s="271"/>
      <c r="L857" s="270"/>
      <c r="M857" s="209"/>
      <c r="N857" s="209"/>
      <c r="O857" s="196"/>
      <c r="P857" s="223"/>
    </row>
    <row r="858" spans="1:16" ht="15.75" customHeight="1">
      <c r="A858" s="224"/>
      <c r="B858" s="282"/>
      <c r="C858" s="287"/>
      <c r="D858" s="288"/>
      <c r="E858" s="289"/>
      <c r="F858" s="290"/>
      <c r="G858" s="290"/>
      <c r="H858" s="288"/>
      <c r="I858" s="287"/>
      <c r="J858" s="270"/>
      <c r="K858" s="271"/>
      <c r="L858" s="270"/>
      <c r="M858" s="209"/>
      <c r="N858" s="209"/>
      <c r="O858" s="196"/>
      <c r="P858" s="223"/>
    </row>
    <row r="859" spans="1:16" ht="15.75" customHeight="1">
      <c r="A859" s="224"/>
      <c r="B859" s="282"/>
      <c r="C859" s="287"/>
      <c r="D859" s="288"/>
      <c r="E859" s="289"/>
      <c r="F859" s="290"/>
      <c r="G859" s="290"/>
      <c r="H859" s="288"/>
      <c r="I859" s="287"/>
      <c r="J859" s="270"/>
      <c r="K859" s="271"/>
      <c r="L859" s="270"/>
      <c r="M859" s="209"/>
      <c r="N859" s="209"/>
      <c r="O859" s="196"/>
      <c r="P859" s="223"/>
    </row>
    <row r="860" spans="1:16" ht="15.75" customHeight="1">
      <c r="A860" s="224"/>
      <c r="B860" s="282"/>
      <c r="C860" s="287"/>
      <c r="D860" s="288"/>
      <c r="E860" s="289"/>
      <c r="F860" s="290"/>
      <c r="G860" s="290"/>
      <c r="H860" s="288"/>
      <c r="I860" s="287"/>
      <c r="J860" s="270"/>
      <c r="K860" s="271"/>
      <c r="L860" s="270"/>
      <c r="M860" s="209"/>
      <c r="N860" s="209"/>
      <c r="O860" s="196"/>
      <c r="P860" s="223"/>
    </row>
    <row r="861" spans="1:16" ht="15.75" customHeight="1">
      <c r="A861" s="224"/>
      <c r="B861" s="282"/>
      <c r="C861" s="287"/>
      <c r="D861" s="288"/>
      <c r="E861" s="289"/>
      <c r="F861" s="290"/>
      <c r="G861" s="290"/>
      <c r="H861" s="288"/>
      <c r="I861" s="287"/>
      <c r="J861" s="270"/>
      <c r="K861" s="271"/>
      <c r="L861" s="270"/>
      <c r="M861" s="209"/>
      <c r="N861" s="209"/>
      <c r="O861" s="196"/>
      <c r="P861" s="223"/>
    </row>
    <row r="862" spans="1:16" ht="15.75" customHeight="1">
      <c r="A862" s="224"/>
      <c r="B862" s="282"/>
      <c r="C862" s="287"/>
      <c r="D862" s="288"/>
      <c r="E862" s="289"/>
      <c r="F862" s="290"/>
      <c r="G862" s="290"/>
      <c r="H862" s="288"/>
      <c r="I862" s="287"/>
      <c r="J862" s="270"/>
      <c r="K862" s="271"/>
      <c r="L862" s="270"/>
      <c r="M862" s="209"/>
      <c r="N862" s="209"/>
      <c r="O862" s="196"/>
      <c r="P862" s="223"/>
    </row>
    <row r="863" spans="1:16" ht="15.75" customHeight="1">
      <c r="A863" s="224"/>
      <c r="B863" s="282"/>
      <c r="C863" s="287"/>
      <c r="D863" s="288"/>
      <c r="E863" s="289"/>
      <c r="F863" s="290"/>
      <c r="G863" s="290"/>
      <c r="H863" s="288"/>
      <c r="I863" s="287"/>
      <c r="J863" s="270"/>
      <c r="K863" s="271"/>
      <c r="L863" s="270"/>
      <c r="M863" s="209"/>
      <c r="N863" s="209"/>
      <c r="O863" s="196"/>
      <c r="P863" s="223"/>
    </row>
    <row r="864" spans="1:16" ht="15.75" customHeight="1">
      <c r="A864" s="224"/>
      <c r="B864" s="282"/>
      <c r="C864" s="287"/>
      <c r="D864" s="288"/>
      <c r="E864" s="289"/>
      <c r="F864" s="290"/>
      <c r="G864" s="290"/>
      <c r="H864" s="288"/>
      <c r="I864" s="287"/>
      <c r="J864" s="270"/>
      <c r="K864" s="271"/>
      <c r="L864" s="270"/>
      <c r="M864" s="209"/>
      <c r="N864" s="209"/>
      <c r="O864" s="196"/>
      <c r="P864" s="223"/>
    </row>
    <row r="865" spans="1:16" ht="15.75" customHeight="1">
      <c r="A865" s="224"/>
      <c r="B865" s="282"/>
      <c r="C865" s="287"/>
      <c r="D865" s="288"/>
      <c r="E865" s="289"/>
      <c r="F865" s="290"/>
      <c r="G865" s="290"/>
      <c r="H865" s="288"/>
      <c r="I865" s="287"/>
      <c r="J865" s="270"/>
      <c r="K865" s="271"/>
      <c r="L865" s="270"/>
      <c r="M865" s="209"/>
      <c r="N865" s="209"/>
      <c r="O865" s="196"/>
      <c r="P865" s="223"/>
    </row>
    <row r="866" spans="1:16" ht="15.75" customHeight="1">
      <c r="A866" s="224"/>
      <c r="B866" s="282"/>
      <c r="C866" s="287"/>
      <c r="D866" s="288"/>
      <c r="E866" s="289"/>
      <c r="F866" s="290"/>
      <c r="G866" s="290"/>
      <c r="H866" s="288"/>
      <c r="I866" s="287"/>
      <c r="J866" s="270"/>
      <c r="K866" s="271"/>
      <c r="L866" s="270"/>
      <c r="M866" s="209"/>
      <c r="N866" s="209"/>
      <c r="O866" s="196"/>
      <c r="P866" s="223"/>
    </row>
    <row r="867" spans="1:16" ht="15.75" customHeight="1">
      <c r="A867" s="224"/>
      <c r="B867" s="282"/>
      <c r="C867" s="287"/>
      <c r="D867" s="288"/>
      <c r="E867" s="289"/>
      <c r="F867" s="290"/>
      <c r="G867" s="290"/>
      <c r="H867" s="288"/>
      <c r="I867" s="287"/>
      <c r="J867" s="270"/>
      <c r="K867" s="271"/>
      <c r="L867" s="270"/>
      <c r="M867" s="209"/>
      <c r="N867" s="209"/>
      <c r="O867" s="196"/>
      <c r="P867" s="223"/>
    </row>
    <row r="868" spans="1:16" ht="15.75" customHeight="1">
      <c r="A868" s="224"/>
      <c r="B868" s="282"/>
      <c r="C868" s="287"/>
      <c r="D868" s="288"/>
      <c r="E868" s="289"/>
      <c r="F868" s="290"/>
      <c r="G868" s="290"/>
      <c r="H868" s="288"/>
      <c r="I868" s="287"/>
      <c r="J868" s="270"/>
      <c r="K868" s="271"/>
      <c r="L868" s="270"/>
      <c r="M868" s="209"/>
      <c r="N868" s="209"/>
      <c r="O868" s="196"/>
      <c r="P868" s="223"/>
    </row>
    <row r="869" spans="1:16" ht="15.75" customHeight="1">
      <c r="A869" s="224"/>
      <c r="B869" s="282"/>
      <c r="C869" s="287"/>
      <c r="D869" s="288"/>
      <c r="E869" s="289"/>
      <c r="F869" s="290"/>
      <c r="G869" s="290"/>
      <c r="H869" s="288"/>
      <c r="I869" s="287"/>
      <c r="J869" s="270"/>
      <c r="K869" s="271"/>
      <c r="L869" s="270"/>
      <c r="M869" s="209"/>
      <c r="N869" s="209"/>
      <c r="O869" s="196"/>
      <c r="P869" s="223"/>
    </row>
    <row r="870" spans="1:16" ht="15.75" customHeight="1">
      <c r="A870" s="224"/>
      <c r="B870" s="282"/>
      <c r="C870" s="287"/>
      <c r="D870" s="288"/>
      <c r="E870" s="289"/>
      <c r="F870" s="290"/>
      <c r="G870" s="290"/>
      <c r="H870" s="288"/>
      <c r="I870" s="287"/>
      <c r="J870" s="270"/>
      <c r="K870" s="271"/>
      <c r="L870" s="270"/>
      <c r="M870" s="209"/>
      <c r="N870" s="209"/>
      <c r="O870" s="196"/>
      <c r="P870" s="223"/>
    </row>
    <row r="871" spans="1:16" ht="15.75" customHeight="1">
      <c r="A871" s="224"/>
      <c r="B871" s="282"/>
      <c r="C871" s="287"/>
      <c r="D871" s="288"/>
      <c r="E871" s="289"/>
      <c r="F871" s="290"/>
      <c r="G871" s="290"/>
      <c r="H871" s="288"/>
      <c r="I871" s="287"/>
      <c r="J871" s="270"/>
      <c r="K871" s="271"/>
      <c r="L871" s="270"/>
      <c r="M871" s="209"/>
      <c r="N871" s="209"/>
      <c r="O871" s="196"/>
      <c r="P871" s="223"/>
    </row>
    <row r="872" spans="1:16" ht="15.75" customHeight="1">
      <c r="A872" s="224"/>
      <c r="B872" s="282"/>
      <c r="C872" s="287"/>
      <c r="D872" s="288"/>
      <c r="E872" s="289"/>
      <c r="F872" s="290"/>
      <c r="G872" s="290"/>
      <c r="H872" s="288"/>
      <c r="I872" s="287"/>
      <c r="J872" s="270"/>
      <c r="K872" s="271"/>
      <c r="L872" s="270"/>
      <c r="M872" s="209"/>
      <c r="N872" s="209"/>
      <c r="O872" s="196"/>
      <c r="P872" s="223"/>
    </row>
    <row r="873" spans="1:16" ht="15.75" customHeight="1">
      <c r="A873" s="224"/>
      <c r="B873" s="282"/>
      <c r="C873" s="287"/>
      <c r="D873" s="288"/>
      <c r="E873" s="289"/>
      <c r="F873" s="290"/>
      <c r="G873" s="290"/>
      <c r="H873" s="288"/>
      <c r="I873" s="287"/>
      <c r="J873" s="270"/>
      <c r="K873" s="271"/>
      <c r="L873" s="270"/>
      <c r="M873" s="209"/>
      <c r="N873" s="209"/>
      <c r="O873" s="196"/>
      <c r="P873" s="223"/>
    </row>
    <row r="874" spans="1:16" ht="15.75" customHeight="1">
      <c r="A874" s="224"/>
      <c r="B874" s="282"/>
      <c r="C874" s="287"/>
      <c r="D874" s="288"/>
      <c r="E874" s="289"/>
      <c r="F874" s="290"/>
      <c r="G874" s="290"/>
      <c r="H874" s="288"/>
      <c r="I874" s="287"/>
      <c r="J874" s="270"/>
      <c r="K874" s="271"/>
      <c r="L874" s="270"/>
      <c r="M874" s="209"/>
      <c r="N874" s="209"/>
      <c r="O874" s="196"/>
      <c r="P874" s="223"/>
    </row>
    <row r="875" spans="1:16" ht="15.75" customHeight="1">
      <c r="A875" s="224"/>
      <c r="B875" s="282"/>
      <c r="C875" s="287"/>
      <c r="D875" s="288"/>
      <c r="E875" s="289"/>
      <c r="F875" s="290"/>
      <c r="G875" s="290"/>
      <c r="H875" s="288"/>
      <c r="I875" s="287"/>
      <c r="J875" s="270"/>
      <c r="K875" s="271"/>
      <c r="L875" s="270"/>
      <c r="M875" s="209"/>
      <c r="N875" s="209"/>
      <c r="O875" s="196"/>
      <c r="P875" s="223"/>
    </row>
    <row r="876" spans="1:16" ht="15.75" customHeight="1">
      <c r="A876" s="224"/>
      <c r="B876" s="282"/>
      <c r="C876" s="287"/>
      <c r="D876" s="288"/>
      <c r="E876" s="289"/>
      <c r="F876" s="290"/>
      <c r="G876" s="290"/>
      <c r="H876" s="288"/>
      <c r="I876" s="287"/>
      <c r="J876" s="270"/>
      <c r="K876" s="271"/>
      <c r="L876" s="270"/>
      <c r="M876" s="209"/>
      <c r="N876" s="209"/>
      <c r="O876" s="196"/>
      <c r="P876" s="223"/>
    </row>
    <row r="877" spans="1:16" ht="15.75" customHeight="1">
      <c r="A877" s="224"/>
      <c r="B877" s="282"/>
      <c r="C877" s="287"/>
      <c r="D877" s="288"/>
      <c r="E877" s="289"/>
      <c r="F877" s="290"/>
      <c r="G877" s="290"/>
      <c r="H877" s="288"/>
      <c r="I877" s="287"/>
      <c r="J877" s="270"/>
      <c r="K877" s="271"/>
      <c r="L877" s="270"/>
      <c r="M877" s="209"/>
      <c r="N877" s="209"/>
      <c r="O877" s="196"/>
      <c r="P877" s="223"/>
    </row>
    <row r="878" spans="1:16" ht="15.75" customHeight="1">
      <c r="A878" s="224"/>
      <c r="B878" s="282"/>
      <c r="C878" s="287"/>
      <c r="D878" s="288"/>
      <c r="E878" s="289"/>
      <c r="F878" s="290"/>
      <c r="G878" s="290"/>
      <c r="H878" s="288"/>
      <c r="I878" s="287"/>
      <c r="J878" s="270"/>
      <c r="K878" s="271"/>
      <c r="L878" s="270"/>
      <c r="M878" s="209"/>
      <c r="N878" s="209"/>
      <c r="O878" s="196"/>
      <c r="P878" s="223"/>
    </row>
    <row r="879" spans="1:16" ht="15.75" customHeight="1">
      <c r="A879" s="224"/>
      <c r="B879" s="282"/>
      <c r="C879" s="287"/>
      <c r="D879" s="288"/>
      <c r="E879" s="289"/>
      <c r="F879" s="290"/>
      <c r="G879" s="290"/>
      <c r="H879" s="288"/>
      <c r="I879" s="287"/>
      <c r="J879" s="270"/>
      <c r="K879" s="271"/>
      <c r="L879" s="270"/>
      <c r="M879" s="209"/>
      <c r="N879" s="209"/>
      <c r="O879" s="196"/>
      <c r="P879" s="223"/>
    </row>
    <row r="880" spans="1:16" ht="15.75" customHeight="1">
      <c r="A880" s="224"/>
      <c r="B880" s="282"/>
      <c r="C880" s="287"/>
      <c r="D880" s="288"/>
      <c r="E880" s="289"/>
      <c r="F880" s="290"/>
      <c r="G880" s="290"/>
      <c r="H880" s="288"/>
      <c r="I880" s="287"/>
      <c r="J880" s="270"/>
      <c r="K880" s="271"/>
      <c r="L880" s="270"/>
      <c r="M880" s="209"/>
      <c r="N880" s="209"/>
      <c r="O880" s="196"/>
      <c r="P880" s="223"/>
    </row>
    <row r="881" spans="1:16" ht="15.75" customHeight="1">
      <c r="A881" s="224"/>
      <c r="B881" s="282"/>
      <c r="C881" s="287"/>
      <c r="D881" s="288"/>
      <c r="E881" s="289"/>
      <c r="F881" s="290"/>
      <c r="G881" s="290"/>
      <c r="H881" s="288"/>
      <c r="I881" s="287"/>
      <c r="J881" s="270"/>
      <c r="K881" s="271"/>
      <c r="L881" s="270"/>
      <c r="M881" s="209"/>
      <c r="N881" s="209"/>
      <c r="O881" s="196"/>
      <c r="P881" s="223"/>
    </row>
    <row r="882" spans="1:16" ht="15.75" customHeight="1">
      <c r="A882" s="224"/>
      <c r="B882" s="282"/>
      <c r="C882" s="287"/>
      <c r="D882" s="288"/>
      <c r="E882" s="289"/>
      <c r="F882" s="290"/>
      <c r="G882" s="290"/>
      <c r="H882" s="288"/>
      <c r="I882" s="287"/>
      <c r="J882" s="270"/>
      <c r="K882" s="271"/>
      <c r="L882" s="270"/>
      <c r="M882" s="209"/>
      <c r="N882" s="209"/>
      <c r="O882" s="196"/>
      <c r="P882" s="223"/>
    </row>
    <row r="883" spans="1:16" ht="15.75" customHeight="1">
      <c r="A883" s="224"/>
      <c r="B883" s="282"/>
      <c r="C883" s="287"/>
      <c r="D883" s="288"/>
      <c r="E883" s="289"/>
      <c r="F883" s="290"/>
      <c r="G883" s="290"/>
      <c r="H883" s="288"/>
      <c r="I883" s="287"/>
      <c r="J883" s="270"/>
      <c r="K883" s="271"/>
      <c r="L883" s="270"/>
      <c r="M883" s="209"/>
      <c r="N883" s="209"/>
      <c r="O883" s="196"/>
      <c r="P883" s="223"/>
    </row>
    <row r="884" spans="1:16" ht="15.75" customHeight="1">
      <c r="A884" s="224"/>
      <c r="B884" s="282"/>
      <c r="C884" s="287"/>
      <c r="D884" s="288"/>
      <c r="E884" s="289"/>
      <c r="F884" s="290"/>
      <c r="G884" s="290"/>
      <c r="H884" s="288"/>
      <c r="I884" s="287"/>
      <c r="J884" s="270"/>
      <c r="K884" s="271"/>
      <c r="L884" s="270"/>
      <c r="M884" s="209"/>
      <c r="N884" s="209"/>
      <c r="O884" s="196"/>
      <c r="P884" s="223"/>
    </row>
    <row r="885" spans="1:16" ht="15.75" customHeight="1">
      <c r="A885" s="224"/>
      <c r="B885" s="282"/>
      <c r="C885" s="287"/>
      <c r="D885" s="288"/>
      <c r="E885" s="289"/>
      <c r="F885" s="290"/>
      <c r="G885" s="290"/>
      <c r="H885" s="288"/>
      <c r="I885" s="287"/>
      <c r="J885" s="270"/>
      <c r="K885" s="271"/>
      <c r="L885" s="270"/>
      <c r="M885" s="209"/>
      <c r="N885" s="209"/>
      <c r="O885" s="196"/>
      <c r="P885" s="223"/>
    </row>
    <row r="886" spans="1:16" ht="15.75" customHeight="1">
      <c r="A886" s="224"/>
      <c r="B886" s="282"/>
      <c r="C886" s="287"/>
      <c r="D886" s="288"/>
      <c r="E886" s="289"/>
      <c r="F886" s="290"/>
      <c r="G886" s="290"/>
      <c r="H886" s="288"/>
      <c r="I886" s="287"/>
      <c r="J886" s="270"/>
      <c r="K886" s="271"/>
      <c r="L886" s="270"/>
      <c r="M886" s="209"/>
      <c r="N886" s="209"/>
      <c r="O886" s="196"/>
      <c r="P886" s="223"/>
    </row>
    <row r="887" spans="1:16" ht="15.75" customHeight="1">
      <c r="A887" s="224"/>
      <c r="B887" s="282"/>
      <c r="C887" s="287"/>
      <c r="D887" s="288"/>
      <c r="E887" s="289"/>
      <c r="F887" s="290"/>
      <c r="G887" s="290"/>
      <c r="H887" s="288"/>
      <c r="I887" s="287"/>
      <c r="J887" s="270"/>
      <c r="K887" s="271"/>
      <c r="L887" s="270"/>
      <c r="M887" s="209"/>
      <c r="N887" s="209"/>
      <c r="O887" s="196"/>
      <c r="P887" s="223"/>
    </row>
    <row r="888" spans="1:16" ht="15.75" customHeight="1">
      <c r="A888" s="224"/>
      <c r="B888" s="282"/>
      <c r="C888" s="287"/>
      <c r="D888" s="288"/>
      <c r="E888" s="289"/>
      <c r="F888" s="290"/>
      <c r="G888" s="290"/>
      <c r="H888" s="288"/>
      <c r="I888" s="287"/>
      <c r="J888" s="270"/>
      <c r="K888" s="271"/>
      <c r="L888" s="270"/>
      <c r="M888" s="209"/>
      <c r="N888" s="209"/>
      <c r="O888" s="196"/>
      <c r="P888" s="223"/>
    </row>
    <row r="889" spans="1:16" ht="15.75" customHeight="1">
      <c r="A889" s="224"/>
      <c r="B889" s="282"/>
      <c r="C889" s="287"/>
      <c r="D889" s="288"/>
      <c r="E889" s="289"/>
      <c r="F889" s="290"/>
      <c r="G889" s="290"/>
      <c r="H889" s="288"/>
      <c r="I889" s="287"/>
      <c r="J889" s="270"/>
      <c r="K889" s="271"/>
      <c r="L889" s="270"/>
      <c r="M889" s="209"/>
      <c r="N889" s="209"/>
      <c r="O889" s="196"/>
      <c r="P889" s="223"/>
    </row>
    <row r="890" spans="1:16" ht="15.75" customHeight="1">
      <c r="A890" s="224"/>
      <c r="B890" s="282"/>
      <c r="C890" s="287"/>
      <c r="D890" s="288"/>
      <c r="E890" s="289"/>
      <c r="F890" s="290"/>
      <c r="G890" s="290"/>
      <c r="H890" s="288"/>
      <c r="I890" s="287"/>
      <c r="J890" s="270"/>
      <c r="K890" s="271"/>
      <c r="L890" s="270"/>
      <c r="M890" s="209"/>
      <c r="N890" s="209"/>
      <c r="O890" s="196"/>
      <c r="P890" s="223"/>
    </row>
    <row r="891" spans="1:16" ht="15.75" customHeight="1">
      <c r="A891" s="224"/>
      <c r="B891" s="282"/>
      <c r="C891" s="287"/>
      <c r="D891" s="288"/>
      <c r="E891" s="289"/>
      <c r="F891" s="290"/>
      <c r="G891" s="290"/>
      <c r="H891" s="288"/>
      <c r="I891" s="287"/>
      <c r="J891" s="270"/>
      <c r="K891" s="271"/>
      <c r="L891" s="270"/>
      <c r="M891" s="209"/>
      <c r="N891" s="209"/>
      <c r="O891" s="196"/>
      <c r="P891" s="223"/>
    </row>
    <row r="892" spans="1:16" ht="15.75" customHeight="1">
      <c r="A892" s="224"/>
      <c r="B892" s="282"/>
      <c r="C892" s="287"/>
      <c r="D892" s="288"/>
      <c r="E892" s="289"/>
      <c r="F892" s="290"/>
      <c r="G892" s="290"/>
      <c r="H892" s="288"/>
      <c r="I892" s="287"/>
      <c r="J892" s="270"/>
      <c r="K892" s="271"/>
      <c r="L892" s="270"/>
      <c r="M892" s="209"/>
      <c r="N892" s="209"/>
      <c r="O892" s="196"/>
      <c r="P892" s="223"/>
    </row>
    <row r="893" spans="1:16" ht="15.75" customHeight="1">
      <c r="A893" s="224"/>
      <c r="B893" s="282"/>
      <c r="C893" s="287"/>
      <c r="D893" s="288"/>
      <c r="E893" s="289"/>
      <c r="F893" s="290"/>
      <c r="G893" s="290"/>
      <c r="H893" s="288"/>
      <c r="I893" s="287"/>
      <c r="J893" s="270"/>
      <c r="K893" s="271"/>
      <c r="L893" s="270"/>
      <c r="M893" s="209"/>
      <c r="N893" s="209"/>
      <c r="O893" s="196"/>
      <c r="P893" s="223"/>
    </row>
    <row r="894" spans="1:16" ht="15.75" customHeight="1">
      <c r="A894" s="224"/>
      <c r="B894" s="282"/>
      <c r="C894" s="287"/>
      <c r="D894" s="288"/>
      <c r="E894" s="289"/>
      <c r="F894" s="290"/>
      <c r="G894" s="290"/>
      <c r="H894" s="288"/>
      <c r="I894" s="287"/>
      <c r="J894" s="270"/>
      <c r="K894" s="271"/>
      <c r="L894" s="270"/>
      <c r="M894" s="209"/>
      <c r="N894" s="209"/>
      <c r="O894" s="196"/>
      <c r="P894" s="223"/>
    </row>
    <row r="895" spans="1:16" ht="15.75" customHeight="1">
      <c r="A895" s="224"/>
      <c r="B895" s="282"/>
      <c r="C895" s="287"/>
      <c r="D895" s="288"/>
      <c r="E895" s="289"/>
      <c r="F895" s="290"/>
      <c r="G895" s="290"/>
      <c r="H895" s="288"/>
      <c r="I895" s="287"/>
      <c r="J895" s="270"/>
      <c r="K895" s="271"/>
      <c r="L895" s="270"/>
      <c r="M895" s="209"/>
      <c r="N895" s="209"/>
      <c r="O895" s="196"/>
      <c r="P895" s="223"/>
    </row>
    <row r="896" spans="1:16" ht="15.75" customHeight="1">
      <c r="A896" s="224"/>
      <c r="B896" s="282"/>
      <c r="C896" s="287"/>
      <c r="D896" s="288"/>
      <c r="E896" s="289"/>
      <c r="F896" s="290"/>
      <c r="G896" s="290"/>
      <c r="H896" s="288"/>
      <c r="I896" s="287"/>
      <c r="J896" s="270"/>
      <c r="K896" s="271"/>
      <c r="L896" s="270"/>
      <c r="M896" s="209"/>
      <c r="N896" s="209"/>
      <c r="O896" s="196"/>
      <c r="P896" s="223"/>
    </row>
    <row r="897" spans="1:16" ht="15.75" customHeight="1">
      <c r="A897" s="224"/>
      <c r="B897" s="282"/>
      <c r="C897" s="287"/>
      <c r="D897" s="288"/>
      <c r="E897" s="289"/>
      <c r="F897" s="290"/>
      <c r="G897" s="290"/>
      <c r="H897" s="288"/>
      <c r="I897" s="287"/>
      <c r="J897" s="270"/>
      <c r="K897" s="271"/>
      <c r="L897" s="270"/>
      <c r="M897" s="209"/>
      <c r="N897" s="209"/>
      <c r="O897" s="196"/>
      <c r="P897" s="223"/>
    </row>
    <row r="898" spans="1:16" ht="15.75" customHeight="1">
      <c r="A898" s="224"/>
      <c r="B898" s="282"/>
      <c r="C898" s="287"/>
      <c r="D898" s="288"/>
      <c r="E898" s="289"/>
      <c r="F898" s="290"/>
      <c r="G898" s="290"/>
      <c r="H898" s="288"/>
      <c r="I898" s="287"/>
      <c r="J898" s="270"/>
      <c r="K898" s="271"/>
      <c r="L898" s="270"/>
      <c r="M898" s="209"/>
      <c r="N898" s="209"/>
      <c r="O898" s="196"/>
      <c r="P898" s="223"/>
    </row>
    <row r="899" spans="1:16" ht="15.75" customHeight="1">
      <c r="A899" s="224"/>
      <c r="B899" s="282"/>
      <c r="C899" s="287"/>
      <c r="D899" s="288"/>
      <c r="E899" s="289"/>
      <c r="F899" s="290"/>
      <c r="G899" s="290"/>
      <c r="H899" s="288"/>
      <c r="I899" s="287"/>
      <c r="J899" s="270"/>
      <c r="K899" s="271"/>
      <c r="L899" s="270"/>
      <c r="M899" s="209"/>
      <c r="N899" s="209"/>
      <c r="O899" s="196"/>
      <c r="P899" s="223"/>
    </row>
    <row r="900" spans="1:16" ht="15.75" customHeight="1">
      <c r="A900" s="224"/>
      <c r="B900" s="282"/>
      <c r="C900" s="287"/>
      <c r="D900" s="288"/>
      <c r="E900" s="289"/>
      <c r="F900" s="290"/>
      <c r="G900" s="290"/>
      <c r="H900" s="288"/>
      <c r="I900" s="287"/>
      <c r="J900" s="270"/>
      <c r="K900" s="271"/>
      <c r="L900" s="270"/>
      <c r="M900" s="209"/>
      <c r="N900" s="209"/>
      <c r="O900" s="196"/>
      <c r="P900" s="223"/>
    </row>
    <row r="901" spans="1:16" ht="15.75" customHeight="1">
      <c r="A901" s="224"/>
      <c r="B901" s="282"/>
      <c r="C901" s="287"/>
      <c r="D901" s="288"/>
      <c r="E901" s="289"/>
      <c r="F901" s="290"/>
      <c r="G901" s="290"/>
      <c r="H901" s="288"/>
      <c r="I901" s="287"/>
      <c r="J901" s="270"/>
      <c r="K901" s="271"/>
      <c r="L901" s="270"/>
      <c r="M901" s="209"/>
      <c r="N901" s="209"/>
      <c r="O901" s="196"/>
      <c r="P901" s="223"/>
    </row>
    <row r="902" spans="1:16" ht="15.75" customHeight="1">
      <c r="A902" s="224"/>
      <c r="B902" s="282"/>
      <c r="C902" s="287"/>
      <c r="D902" s="288"/>
      <c r="E902" s="289"/>
      <c r="F902" s="290"/>
      <c r="G902" s="290"/>
      <c r="H902" s="288"/>
      <c r="I902" s="287"/>
      <c r="J902" s="270"/>
      <c r="K902" s="271"/>
      <c r="L902" s="270"/>
      <c r="M902" s="209"/>
      <c r="N902" s="209"/>
      <c r="O902" s="196"/>
      <c r="P902" s="223"/>
    </row>
    <row r="903" spans="1:16" ht="15.75" customHeight="1">
      <c r="A903" s="224"/>
      <c r="B903" s="282"/>
      <c r="C903" s="287"/>
      <c r="D903" s="288"/>
      <c r="E903" s="289"/>
      <c r="F903" s="290"/>
      <c r="G903" s="290"/>
      <c r="H903" s="288"/>
      <c r="I903" s="287"/>
      <c r="J903" s="270"/>
      <c r="K903" s="271"/>
      <c r="L903" s="270"/>
      <c r="M903" s="209"/>
      <c r="N903" s="209"/>
      <c r="O903" s="196"/>
      <c r="P903" s="223"/>
    </row>
    <row r="904" spans="1:16" ht="15.75" customHeight="1">
      <c r="A904" s="224"/>
      <c r="B904" s="282"/>
      <c r="C904" s="287"/>
      <c r="D904" s="288"/>
      <c r="E904" s="289"/>
      <c r="F904" s="290"/>
      <c r="G904" s="290"/>
      <c r="H904" s="288"/>
      <c r="I904" s="287"/>
      <c r="J904" s="270"/>
      <c r="K904" s="271"/>
      <c r="L904" s="270"/>
      <c r="M904" s="209"/>
      <c r="N904" s="209"/>
      <c r="O904" s="196"/>
      <c r="P904" s="223"/>
    </row>
    <row r="905" spans="1:16" ht="15.75" customHeight="1">
      <c r="A905" s="224"/>
      <c r="B905" s="282"/>
      <c r="C905" s="287"/>
      <c r="D905" s="288"/>
      <c r="E905" s="289"/>
      <c r="F905" s="290"/>
      <c r="G905" s="290"/>
      <c r="H905" s="288"/>
      <c r="I905" s="287"/>
      <c r="J905" s="270"/>
      <c r="K905" s="271"/>
      <c r="L905" s="270"/>
      <c r="M905" s="209"/>
      <c r="N905" s="209"/>
      <c r="O905" s="196"/>
      <c r="P905" s="223"/>
    </row>
    <row r="906" spans="1:16" ht="15.75" customHeight="1">
      <c r="A906" s="224"/>
      <c r="B906" s="282"/>
      <c r="C906" s="287"/>
      <c r="D906" s="288"/>
      <c r="E906" s="289"/>
      <c r="F906" s="290"/>
      <c r="G906" s="290"/>
      <c r="H906" s="288"/>
      <c r="I906" s="287"/>
      <c r="J906" s="270"/>
      <c r="K906" s="271"/>
      <c r="L906" s="270"/>
      <c r="M906" s="209"/>
      <c r="N906" s="209"/>
      <c r="O906" s="196"/>
      <c r="P906" s="223"/>
    </row>
    <row r="907" spans="1:16" ht="15.75" customHeight="1">
      <c r="A907" s="224"/>
      <c r="B907" s="282"/>
      <c r="C907" s="287"/>
      <c r="D907" s="288"/>
      <c r="E907" s="289"/>
      <c r="F907" s="290"/>
      <c r="G907" s="290"/>
      <c r="H907" s="288"/>
      <c r="I907" s="287"/>
      <c r="J907" s="270"/>
      <c r="K907" s="271"/>
      <c r="L907" s="270"/>
      <c r="M907" s="209"/>
      <c r="N907" s="209"/>
      <c r="O907" s="196"/>
      <c r="P907" s="223"/>
    </row>
    <row r="908" spans="1:16" ht="15.75" customHeight="1">
      <c r="A908" s="224"/>
      <c r="B908" s="282"/>
      <c r="C908" s="287"/>
      <c r="D908" s="288"/>
      <c r="E908" s="289"/>
      <c r="F908" s="290"/>
      <c r="G908" s="290"/>
      <c r="H908" s="288"/>
      <c r="I908" s="287"/>
      <c r="J908" s="270"/>
      <c r="K908" s="271"/>
      <c r="L908" s="270"/>
      <c r="M908" s="209"/>
      <c r="N908" s="209"/>
      <c r="O908" s="196"/>
      <c r="P908" s="223"/>
    </row>
    <row r="909" spans="1:16" ht="15.75" customHeight="1">
      <c r="A909" s="224"/>
      <c r="B909" s="282"/>
      <c r="C909" s="287"/>
      <c r="D909" s="288"/>
      <c r="E909" s="289"/>
      <c r="F909" s="290"/>
      <c r="G909" s="290"/>
      <c r="H909" s="288"/>
      <c r="I909" s="287"/>
      <c r="J909" s="270"/>
      <c r="K909" s="271"/>
      <c r="L909" s="270"/>
      <c r="M909" s="209"/>
      <c r="N909" s="209"/>
      <c r="O909" s="196"/>
      <c r="P909" s="223"/>
    </row>
    <row r="910" spans="1:16" ht="15.75" customHeight="1">
      <c r="A910" s="224"/>
      <c r="B910" s="282"/>
      <c r="C910" s="287"/>
      <c r="D910" s="288"/>
      <c r="E910" s="289"/>
      <c r="F910" s="290"/>
      <c r="G910" s="290"/>
      <c r="H910" s="288"/>
      <c r="I910" s="287"/>
      <c r="J910" s="270"/>
      <c r="K910" s="271"/>
      <c r="L910" s="270"/>
      <c r="M910" s="209"/>
      <c r="N910" s="209"/>
      <c r="O910" s="196"/>
      <c r="P910" s="223"/>
    </row>
    <row r="911" spans="1:16" ht="15.75" customHeight="1">
      <c r="A911" s="224"/>
      <c r="B911" s="282"/>
      <c r="C911" s="287"/>
      <c r="D911" s="288"/>
      <c r="E911" s="289"/>
      <c r="F911" s="290"/>
      <c r="G911" s="290"/>
      <c r="H911" s="288"/>
      <c r="I911" s="287"/>
      <c r="J911" s="270"/>
      <c r="K911" s="271"/>
      <c r="L911" s="270"/>
      <c r="M911" s="209"/>
      <c r="N911" s="209"/>
      <c r="O911" s="196"/>
      <c r="P911" s="223"/>
    </row>
    <row r="912" spans="1:16" ht="15.75" customHeight="1">
      <c r="A912" s="224"/>
      <c r="B912" s="282"/>
      <c r="C912" s="287"/>
      <c r="D912" s="288"/>
      <c r="E912" s="289"/>
      <c r="F912" s="290"/>
      <c r="G912" s="290"/>
      <c r="H912" s="288"/>
      <c r="I912" s="287"/>
      <c r="J912" s="270"/>
      <c r="K912" s="271"/>
      <c r="L912" s="270"/>
      <c r="M912" s="209"/>
      <c r="N912" s="209"/>
      <c r="O912" s="196"/>
      <c r="P912" s="223"/>
    </row>
    <row r="913" spans="1:16" ht="15.75" customHeight="1">
      <c r="A913" s="224"/>
      <c r="B913" s="282"/>
      <c r="C913" s="287"/>
      <c r="D913" s="288"/>
      <c r="E913" s="289"/>
      <c r="F913" s="290"/>
      <c r="G913" s="290"/>
      <c r="H913" s="288"/>
      <c r="I913" s="287"/>
      <c r="J913" s="270"/>
      <c r="K913" s="271"/>
      <c r="L913" s="270"/>
      <c r="M913" s="209"/>
      <c r="N913" s="209"/>
      <c r="O913" s="196"/>
      <c r="P913" s="223"/>
    </row>
    <row r="914" spans="1:16" ht="15.75" customHeight="1">
      <c r="A914" s="224"/>
      <c r="B914" s="282"/>
      <c r="C914" s="287"/>
      <c r="D914" s="288"/>
      <c r="E914" s="289"/>
      <c r="F914" s="290"/>
      <c r="G914" s="290"/>
      <c r="H914" s="288"/>
      <c r="I914" s="287"/>
      <c r="J914" s="270"/>
      <c r="K914" s="271"/>
      <c r="L914" s="270"/>
      <c r="M914" s="209"/>
      <c r="N914" s="209"/>
      <c r="O914" s="196"/>
      <c r="P914" s="223"/>
    </row>
    <row r="915" spans="1:16" ht="15.75" customHeight="1">
      <c r="A915" s="224"/>
      <c r="B915" s="282"/>
      <c r="C915" s="287"/>
      <c r="D915" s="288"/>
      <c r="E915" s="289"/>
      <c r="F915" s="290"/>
      <c r="G915" s="290"/>
      <c r="H915" s="288"/>
      <c r="I915" s="287"/>
      <c r="J915" s="270"/>
      <c r="K915" s="271"/>
      <c r="L915" s="270"/>
      <c r="M915" s="209"/>
      <c r="N915" s="209"/>
      <c r="O915" s="196"/>
      <c r="P915" s="223"/>
    </row>
    <row r="916" spans="1:16" ht="15.75" customHeight="1">
      <c r="A916" s="224"/>
      <c r="B916" s="282"/>
      <c r="C916" s="287"/>
      <c r="D916" s="288"/>
      <c r="E916" s="289"/>
      <c r="F916" s="290"/>
      <c r="G916" s="290"/>
      <c r="H916" s="288"/>
      <c r="I916" s="287"/>
      <c r="J916" s="270"/>
      <c r="K916" s="271"/>
      <c r="L916" s="270"/>
      <c r="M916" s="209"/>
      <c r="N916" s="209"/>
      <c r="O916" s="196"/>
      <c r="P916" s="223"/>
    </row>
    <row r="917" spans="1:16" ht="15.75" customHeight="1">
      <c r="A917" s="224"/>
      <c r="B917" s="282"/>
      <c r="C917" s="287"/>
      <c r="D917" s="288"/>
      <c r="E917" s="289"/>
      <c r="F917" s="290"/>
      <c r="G917" s="290"/>
      <c r="H917" s="288"/>
      <c r="I917" s="287"/>
      <c r="J917" s="270"/>
      <c r="K917" s="271"/>
      <c r="L917" s="270"/>
      <c r="M917" s="209"/>
      <c r="N917" s="209"/>
      <c r="O917" s="196"/>
      <c r="P917" s="223"/>
    </row>
    <row r="918" spans="1:16" ht="15.75" customHeight="1">
      <c r="A918" s="224"/>
      <c r="B918" s="282"/>
      <c r="C918" s="287"/>
      <c r="D918" s="288"/>
      <c r="E918" s="289"/>
      <c r="F918" s="290"/>
      <c r="G918" s="290"/>
      <c r="H918" s="288"/>
      <c r="I918" s="287"/>
      <c r="J918" s="270"/>
      <c r="K918" s="271"/>
      <c r="L918" s="270"/>
      <c r="M918" s="209"/>
      <c r="N918" s="209"/>
      <c r="O918" s="196"/>
      <c r="P918" s="223"/>
    </row>
    <row r="919" spans="1:16" ht="15.75" customHeight="1">
      <c r="A919" s="224"/>
      <c r="B919" s="282"/>
      <c r="C919" s="287"/>
      <c r="D919" s="288"/>
      <c r="E919" s="289"/>
      <c r="F919" s="290"/>
      <c r="G919" s="290"/>
      <c r="H919" s="288"/>
      <c r="I919" s="287"/>
      <c r="J919" s="270"/>
      <c r="K919" s="271"/>
      <c r="L919" s="270"/>
      <c r="M919" s="209"/>
      <c r="N919" s="209"/>
      <c r="O919" s="196"/>
      <c r="P919" s="223"/>
    </row>
    <row r="920" spans="1:16" ht="15.75" customHeight="1">
      <c r="A920" s="224"/>
      <c r="B920" s="282"/>
      <c r="C920" s="287"/>
      <c r="D920" s="288"/>
      <c r="E920" s="289"/>
      <c r="F920" s="290"/>
      <c r="G920" s="290"/>
      <c r="H920" s="288"/>
      <c r="I920" s="287"/>
      <c r="J920" s="270"/>
      <c r="K920" s="271"/>
      <c r="L920" s="270"/>
      <c r="M920" s="209"/>
      <c r="N920" s="209"/>
      <c r="O920" s="196"/>
      <c r="P920" s="223"/>
    </row>
    <row r="921" spans="1:16" ht="15.75" customHeight="1">
      <c r="A921" s="224"/>
      <c r="B921" s="282"/>
      <c r="C921" s="287"/>
      <c r="D921" s="288"/>
      <c r="E921" s="289"/>
      <c r="F921" s="290"/>
      <c r="G921" s="290"/>
      <c r="H921" s="288"/>
      <c r="I921" s="287"/>
      <c r="J921" s="270"/>
      <c r="K921" s="271"/>
      <c r="L921" s="270"/>
      <c r="M921" s="209"/>
      <c r="N921" s="209"/>
      <c r="O921" s="196"/>
      <c r="P921" s="223"/>
    </row>
    <row r="922" spans="1:16" ht="15.75" customHeight="1">
      <c r="A922" s="224"/>
      <c r="B922" s="282"/>
      <c r="C922" s="287"/>
      <c r="D922" s="288"/>
      <c r="E922" s="289"/>
      <c r="F922" s="290"/>
      <c r="G922" s="290"/>
      <c r="H922" s="288"/>
      <c r="I922" s="287"/>
      <c r="J922" s="270"/>
      <c r="K922" s="271"/>
      <c r="L922" s="270"/>
      <c r="M922" s="209"/>
      <c r="N922" s="209"/>
      <c r="O922" s="196"/>
      <c r="P922" s="223"/>
    </row>
    <row r="923" spans="1:16" ht="15.75" customHeight="1">
      <c r="A923" s="224"/>
      <c r="B923" s="282"/>
      <c r="C923" s="287"/>
      <c r="D923" s="288"/>
      <c r="E923" s="289"/>
      <c r="F923" s="290"/>
      <c r="G923" s="290"/>
      <c r="H923" s="288"/>
      <c r="I923" s="287"/>
      <c r="J923" s="270"/>
      <c r="K923" s="271"/>
      <c r="L923" s="270"/>
      <c r="M923" s="209"/>
      <c r="N923" s="209"/>
      <c r="O923" s="196"/>
      <c r="P923" s="223"/>
    </row>
    <row r="924" spans="1:16" ht="15.75" customHeight="1">
      <c r="A924" s="224"/>
      <c r="B924" s="282"/>
      <c r="C924" s="287"/>
      <c r="D924" s="288"/>
      <c r="E924" s="289"/>
      <c r="F924" s="290"/>
      <c r="G924" s="290"/>
      <c r="H924" s="288"/>
      <c r="I924" s="287"/>
      <c r="J924" s="270"/>
      <c r="K924" s="271"/>
      <c r="L924" s="270"/>
      <c r="M924" s="209"/>
      <c r="N924" s="209"/>
      <c r="O924" s="196"/>
      <c r="P924" s="223"/>
    </row>
    <row r="925" spans="1:16" ht="15.75" customHeight="1">
      <c r="A925" s="224"/>
      <c r="B925" s="282"/>
      <c r="C925" s="287"/>
      <c r="D925" s="288"/>
      <c r="E925" s="289"/>
      <c r="F925" s="290"/>
      <c r="G925" s="290"/>
      <c r="H925" s="288"/>
      <c r="I925" s="287"/>
      <c r="J925" s="270"/>
      <c r="K925" s="271"/>
      <c r="L925" s="270"/>
      <c r="M925" s="209"/>
      <c r="N925" s="209"/>
      <c r="O925" s="196"/>
      <c r="P925" s="223"/>
    </row>
    <row r="926" spans="1:16" ht="15.75" customHeight="1">
      <c r="A926" s="224"/>
      <c r="B926" s="282"/>
      <c r="C926" s="287"/>
      <c r="D926" s="288"/>
      <c r="E926" s="289"/>
      <c r="F926" s="290"/>
      <c r="G926" s="290"/>
      <c r="H926" s="288"/>
      <c r="I926" s="287"/>
      <c r="J926" s="270"/>
      <c r="K926" s="271"/>
      <c r="L926" s="270"/>
      <c r="M926" s="209"/>
      <c r="N926" s="209"/>
      <c r="O926" s="196"/>
      <c r="P926" s="223"/>
    </row>
    <row r="927" spans="1:16" ht="15.75" customHeight="1">
      <c r="A927" s="224"/>
      <c r="B927" s="282"/>
      <c r="C927" s="287"/>
      <c r="D927" s="288"/>
      <c r="E927" s="289"/>
      <c r="F927" s="290"/>
      <c r="G927" s="290"/>
      <c r="H927" s="288"/>
      <c r="I927" s="287"/>
      <c r="J927" s="270"/>
      <c r="K927" s="271"/>
      <c r="L927" s="270"/>
      <c r="M927" s="209"/>
      <c r="N927" s="209"/>
      <c r="O927" s="196"/>
      <c r="P927" s="223"/>
    </row>
    <row r="928" spans="1:16" ht="15.75" customHeight="1">
      <c r="A928" s="224"/>
      <c r="B928" s="282"/>
      <c r="C928" s="287"/>
      <c r="D928" s="288"/>
      <c r="E928" s="289"/>
      <c r="F928" s="290"/>
      <c r="G928" s="290"/>
      <c r="H928" s="288"/>
      <c r="I928" s="287"/>
      <c r="J928" s="270"/>
      <c r="K928" s="271"/>
      <c r="L928" s="270"/>
      <c r="M928" s="209"/>
      <c r="N928" s="209"/>
      <c r="O928" s="196"/>
      <c r="P928" s="223"/>
    </row>
    <row r="929" spans="1:16" ht="15.75" customHeight="1">
      <c r="A929" s="224"/>
      <c r="B929" s="282"/>
      <c r="C929" s="287"/>
      <c r="D929" s="288"/>
      <c r="E929" s="289"/>
      <c r="F929" s="290"/>
      <c r="G929" s="290"/>
      <c r="H929" s="288"/>
      <c r="I929" s="287"/>
      <c r="J929" s="270"/>
      <c r="K929" s="271"/>
      <c r="L929" s="270"/>
      <c r="M929" s="209"/>
      <c r="N929" s="209"/>
      <c r="O929" s="196"/>
      <c r="P929" s="223"/>
    </row>
    <row r="930" spans="1:16" ht="15.75" customHeight="1">
      <c r="A930" s="224"/>
      <c r="B930" s="282"/>
      <c r="C930" s="287"/>
      <c r="D930" s="288"/>
      <c r="E930" s="289"/>
      <c r="F930" s="290"/>
      <c r="G930" s="290"/>
      <c r="H930" s="288"/>
      <c r="I930" s="287"/>
      <c r="J930" s="270"/>
      <c r="K930" s="271"/>
      <c r="L930" s="270"/>
      <c r="M930" s="209"/>
      <c r="N930" s="209"/>
      <c r="O930" s="196"/>
      <c r="P930" s="223"/>
    </row>
    <row r="931" spans="1:16" ht="15.75" customHeight="1">
      <c r="A931" s="224"/>
      <c r="B931" s="282"/>
      <c r="C931" s="287"/>
      <c r="D931" s="288"/>
      <c r="E931" s="289"/>
      <c r="F931" s="290"/>
      <c r="G931" s="290"/>
      <c r="H931" s="288"/>
      <c r="I931" s="287"/>
      <c r="J931" s="270"/>
      <c r="K931" s="271"/>
      <c r="L931" s="270"/>
      <c r="M931" s="209"/>
      <c r="N931" s="209"/>
      <c r="O931" s="196"/>
      <c r="P931" s="223"/>
    </row>
    <row r="932" spans="1:16" ht="15.75" customHeight="1">
      <c r="A932" s="224"/>
      <c r="B932" s="282"/>
      <c r="C932" s="287"/>
      <c r="D932" s="288"/>
      <c r="E932" s="289"/>
      <c r="F932" s="290"/>
      <c r="G932" s="290"/>
      <c r="H932" s="288"/>
      <c r="I932" s="287"/>
      <c r="J932" s="270"/>
      <c r="K932" s="271"/>
      <c r="L932" s="270"/>
      <c r="M932" s="209"/>
      <c r="N932" s="209"/>
      <c r="O932" s="196"/>
      <c r="P932" s="223"/>
    </row>
    <row r="933" spans="1:16" ht="15.75" customHeight="1">
      <c r="A933" s="224"/>
      <c r="B933" s="282"/>
      <c r="C933" s="287"/>
      <c r="D933" s="288"/>
      <c r="E933" s="289"/>
      <c r="F933" s="290"/>
      <c r="G933" s="290"/>
      <c r="H933" s="288"/>
      <c r="I933" s="287"/>
      <c r="J933" s="270"/>
      <c r="K933" s="271"/>
      <c r="L933" s="270"/>
      <c r="M933" s="209"/>
      <c r="N933" s="209"/>
      <c r="O933" s="196"/>
      <c r="P933" s="223"/>
    </row>
    <row r="934" spans="1:16" ht="15.75" customHeight="1">
      <c r="A934" s="224"/>
      <c r="B934" s="282"/>
      <c r="C934" s="287"/>
      <c r="D934" s="288"/>
      <c r="E934" s="289"/>
      <c r="F934" s="290"/>
      <c r="G934" s="290"/>
      <c r="H934" s="288"/>
      <c r="I934" s="287"/>
      <c r="J934" s="270"/>
      <c r="K934" s="271"/>
      <c r="L934" s="270"/>
      <c r="M934" s="209"/>
      <c r="N934" s="209"/>
      <c r="O934" s="196"/>
      <c r="P934" s="223"/>
    </row>
    <row r="935" spans="1:16" ht="15.75" customHeight="1">
      <c r="A935" s="224"/>
      <c r="B935" s="282"/>
      <c r="C935" s="287"/>
      <c r="D935" s="288"/>
      <c r="E935" s="289"/>
      <c r="F935" s="290"/>
      <c r="G935" s="290"/>
      <c r="H935" s="288"/>
      <c r="I935" s="287"/>
      <c r="J935" s="270"/>
      <c r="K935" s="271"/>
      <c r="L935" s="270"/>
      <c r="M935" s="209"/>
      <c r="N935" s="209"/>
      <c r="O935" s="196"/>
      <c r="P935" s="223"/>
    </row>
    <row r="936" spans="1:16" ht="15.75" customHeight="1">
      <c r="A936" s="224"/>
      <c r="B936" s="282"/>
      <c r="C936" s="287"/>
      <c r="D936" s="288"/>
      <c r="E936" s="289"/>
      <c r="F936" s="290"/>
      <c r="G936" s="290"/>
      <c r="H936" s="288"/>
      <c r="I936" s="287"/>
      <c r="J936" s="270"/>
      <c r="K936" s="271"/>
      <c r="L936" s="270"/>
      <c r="M936" s="209"/>
      <c r="N936" s="209"/>
      <c r="O936" s="196"/>
      <c r="P936" s="223"/>
    </row>
    <row r="937" spans="1:16" ht="15.75" customHeight="1">
      <c r="A937" s="224"/>
      <c r="B937" s="282"/>
      <c r="C937" s="287"/>
      <c r="D937" s="288"/>
      <c r="E937" s="289"/>
      <c r="F937" s="290"/>
      <c r="G937" s="290"/>
      <c r="H937" s="288"/>
      <c r="I937" s="287"/>
      <c r="J937" s="270"/>
      <c r="K937" s="271"/>
      <c r="L937" s="270"/>
      <c r="M937" s="209"/>
      <c r="N937" s="209"/>
      <c r="O937" s="196"/>
      <c r="P937" s="223"/>
    </row>
    <row r="938" spans="1:16" ht="15.75" customHeight="1">
      <c r="A938" s="224"/>
      <c r="B938" s="282"/>
      <c r="C938" s="287"/>
      <c r="D938" s="288"/>
      <c r="E938" s="289"/>
      <c r="F938" s="290"/>
      <c r="G938" s="290"/>
      <c r="H938" s="288"/>
      <c r="I938" s="287"/>
      <c r="J938" s="270"/>
      <c r="K938" s="271"/>
      <c r="L938" s="270"/>
      <c r="M938" s="209"/>
      <c r="N938" s="209"/>
      <c r="O938" s="196"/>
      <c r="P938" s="223"/>
    </row>
    <row r="939" spans="1:16" ht="15.75" customHeight="1">
      <c r="A939" s="224"/>
      <c r="B939" s="282"/>
      <c r="C939" s="287"/>
      <c r="D939" s="288"/>
      <c r="E939" s="289"/>
      <c r="F939" s="290"/>
      <c r="G939" s="290"/>
      <c r="H939" s="288"/>
      <c r="I939" s="287"/>
      <c r="J939" s="270"/>
      <c r="K939" s="271"/>
      <c r="L939" s="270"/>
      <c r="M939" s="209"/>
      <c r="N939" s="209"/>
      <c r="O939" s="196"/>
      <c r="P939" s="223"/>
    </row>
    <row r="940" spans="1:16" ht="15.75" customHeight="1">
      <c r="A940" s="224"/>
      <c r="B940" s="282"/>
      <c r="C940" s="287"/>
      <c r="D940" s="288"/>
      <c r="E940" s="289"/>
      <c r="F940" s="290"/>
      <c r="G940" s="290"/>
      <c r="H940" s="288"/>
      <c r="I940" s="287"/>
      <c r="J940" s="270"/>
      <c r="K940" s="271"/>
      <c r="L940" s="270"/>
      <c r="M940" s="209"/>
      <c r="N940" s="209"/>
      <c r="O940" s="196"/>
      <c r="P940" s="223"/>
    </row>
    <row r="941" spans="1:16" ht="15.75" customHeight="1">
      <c r="A941" s="224"/>
      <c r="B941" s="282"/>
      <c r="C941" s="287"/>
      <c r="D941" s="288"/>
      <c r="E941" s="289"/>
      <c r="F941" s="290"/>
      <c r="G941" s="290"/>
      <c r="H941" s="288"/>
      <c r="I941" s="287"/>
      <c r="J941" s="270"/>
      <c r="K941" s="271"/>
      <c r="L941" s="270"/>
      <c r="M941" s="209"/>
      <c r="N941" s="209"/>
      <c r="O941" s="196"/>
      <c r="P941" s="223"/>
    </row>
    <row r="942" spans="1:16" ht="15.75" customHeight="1">
      <c r="A942" s="224"/>
      <c r="B942" s="282"/>
      <c r="C942" s="287"/>
      <c r="D942" s="288"/>
      <c r="E942" s="289"/>
      <c r="F942" s="290"/>
      <c r="G942" s="290"/>
      <c r="H942" s="288"/>
      <c r="I942" s="287"/>
      <c r="J942" s="270"/>
      <c r="K942" s="271"/>
      <c r="L942" s="270"/>
      <c r="M942" s="209"/>
      <c r="N942" s="209"/>
      <c r="O942" s="196"/>
      <c r="P942" s="223"/>
    </row>
    <row r="943" spans="1:16" ht="15.75" customHeight="1">
      <c r="A943" s="224"/>
      <c r="B943" s="282"/>
      <c r="C943" s="287"/>
      <c r="D943" s="288"/>
      <c r="E943" s="289"/>
      <c r="F943" s="290"/>
      <c r="G943" s="290"/>
      <c r="H943" s="288"/>
      <c r="I943" s="287"/>
      <c r="J943" s="270"/>
      <c r="K943" s="271"/>
      <c r="L943" s="270"/>
      <c r="M943" s="209"/>
      <c r="N943" s="209"/>
      <c r="O943" s="196"/>
      <c r="P943" s="223"/>
    </row>
    <row r="944" spans="1:16" ht="15.75" customHeight="1">
      <c r="A944" s="224"/>
      <c r="B944" s="282"/>
      <c r="C944" s="287"/>
      <c r="D944" s="288"/>
      <c r="E944" s="289"/>
      <c r="F944" s="290"/>
      <c r="G944" s="290"/>
      <c r="H944" s="288"/>
      <c r="I944" s="287"/>
      <c r="J944" s="270"/>
      <c r="K944" s="271"/>
      <c r="L944" s="270"/>
      <c r="M944" s="209"/>
      <c r="N944" s="209"/>
      <c r="O944" s="196"/>
      <c r="P944" s="223"/>
    </row>
    <row r="945" spans="1:16" ht="15.75" customHeight="1">
      <c r="A945" s="224"/>
      <c r="B945" s="282"/>
      <c r="C945" s="287"/>
      <c r="D945" s="288"/>
      <c r="E945" s="289"/>
      <c r="F945" s="290"/>
      <c r="G945" s="290"/>
      <c r="H945" s="288"/>
      <c r="I945" s="287"/>
      <c r="J945" s="270"/>
      <c r="K945" s="271"/>
      <c r="L945" s="270"/>
      <c r="M945" s="209"/>
      <c r="N945" s="209"/>
      <c r="O945" s="196"/>
      <c r="P945" s="223"/>
    </row>
    <row r="946" spans="1:16" ht="15.75" customHeight="1">
      <c r="A946" s="224"/>
      <c r="B946" s="282"/>
      <c r="C946" s="287"/>
      <c r="D946" s="288"/>
      <c r="E946" s="289"/>
      <c r="F946" s="290"/>
      <c r="G946" s="290"/>
      <c r="H946" s="288"/>
      <c r="I946" s="287"/>
      <c r="J946" s="270"/>
      <c r="K946" s="271"/>
      <c r="L946" s="270"/>
      <c r="M946" s="209"/>
      <c r="N946" s="209"/>
      <c r="O946" s="196"/>
      <c r="P946" s="223"/>
    </row>
    <row r="947" spans="1:16" ht="15.75" customHeight="1">
      <c r="A947" s="224"/>
      <c r="B947" s="282"/>
      <c r="C947" s="287"/>
      <c r="D947" s="288"/>
      <c r="E947" s="289"/>
      <c r="F947" s="290"/>
      <c r="G947" s="290"/>
      <c r="H947" s="288"/>
      <c r="I947" s="287"/>
      <c r="J947" s="270"/>
      <c r="K947" s="271"/>
      <c r="L947" s="270"/>
      <c r="M947" s="209"/>
      <c r="N947" s="209"/>
      <c r="O947" s="196"/>
      <c r="P947" s="223"/>
    </row>
    <row r="948" spans="1:16" ht="15.75" customHeight="1">
      <c r="A948" s="224"/>
      <c r="B948" s="282"/>
      <c r="C948" s="287"/>
      <c r="D948" s="288"/>
      <c r="E948" s="289"/>
      <c r="F948" s="290"/>
      <c r="G948" s="290"/>
      <c r="H948" s="288"/>
      <c r="I948" s="287"/>
      <c r="J948" s="270"/>
      <c r="K948" s="271"/>
      <c r="L948" s="270"/>
      <c r="M948" s="209"/>
      <c r="N948" s="209"/>
      <c r="O948" s="196"/>
      <c r="P948" s="223"/>
    </row>
    <row r="949" spans="1:16" ht="15.75" customHeight="1">
      <c r="A949" s="224"/>
      <c r="B949" s="282"/>
      <c r="C949" s="287"/>
      <c r="D949" s="288"/>
      <c r="E949" s="289"/>
      <c r="F949" s="290"/>
      <c r="G949" s="290"/>
      <c r="H949" s="288"/>
      <c r="I949" s="287"/>
      <c r="J949" s="270"/>
      <c r="K949" s="271"/>
      <c r="L949" s="270"/>
      <c r="M949" s="209"/>
      <c r="N949" s="209"/>
      <c r="O949" s="196"/>
      <c r="P949" s="223"/>
    </row>
    <row r="950" spans="1:16" ht="15.75" customHeight="1">
      <c r="A950" s="224"/>
      <c r="B950" s="282"/>
      <c r="C950" s="287"/>
      <c r="D950" s="288"/>
      <c r="E950" s="289"/>
      <c r="F950" s="290"/>
      <c r="G950" s="290"/>
      <c r="H950" s="288"/>
      <c r="I950" s="287"/>
      <c r="J950" s="270"/>
      <c r="K950" s="271"/>
      <c r="L950" s="270"/>
      <c r="M950" s="209"/>
      <c r="N950" s="209"/>
      <c r="O950" s="196"/>
      <c r="P950" s="223"/>
    </row>
    <row r="951" spans="1:16" ht="15.75" customHeight="1">
      <c r="A951" s="224"/>
      <c r="B951" s="282"/>
      <c r="C951" s="287"/>
      <c r="D951" s="288"/>
      <c r="E951" s="289"/>
      <c r="F951" s="290"/>
      <c r="G951" s="290"/>
      <c r="H951" s="288"/>
      <c r="I951" s="287"/>
      <c r="J951" s="270"/>
      <c r="K951" s="271"/>
      <c r="L951" s="270"/>
      <c r="M951" s="209"/>
      <c r="N951" s="209"/>
      <c r="O951" s="196"/>
      <c r="P951" s="223"/>
    </row>
    <row r="952" spans="1:16" ht="15.75" customHeight="1">
      <c r="A952" s="224"/>
      <c r="B952" s="282"/>
      <c r="C952" s="287"/>
      <c r="D952" s="288"/>
      <c r="E952" s="289"/>
      <c r="F952" s="290"/>
      <c r="G952" s="290"/>
      <c r="H952" s="288"/>
      <c r="I952" s="287"/>
      <c r="J952" s="270"/>
      <c r="K952" s="271"/>
      <c r="L952" s="270"/>
      <c r="M952" s="209"/>
      <c r="N952" s="209"/>
      <c r="O952" s="196"/>
      <c r="P952" s="223"/>
    </row>
    <row r="953" spans="1:16" ht="15.75" customHeight="1">
      <c r="A953" s="224"/>
      <c r="B953" s="282"/>
      <c r="C953" s="287"/>
      <c r="D953" s="288"/>
      <c r="E953" s="289"/>
      <c r="F953" s="290"/>
      <c r="G953" s="290"/>
      <c r="H953" s="288"/>
      <c r="I953" s="287"/>
      <c r="J953" s="270"/>
      <c r="K953" s="271"/>
      <c r="L953" s="270"/>
      <c r="M953" s="209"/>
      <c r="N953" s="209"/>
      <c r="O953" s="196"/>
      <c r="P953" s="223"/>
    </row>
    <row r="954" spans="1:16" ht="15.75" customHeight="1">
      <c r="A954" s="224"/>
      <c r="B954" s="282"/>
      <c r="C954" s="287"/>
      <c r="D954" s="288"/>
      <c r="E954" s="289"/>
      <c r="F954" s="290"/>
      <c r="G954" s="290"/>
      <c r="H954" s="288"/>
      <c r="I954" s="287"/>
      <c r="J954" s="270"/>
      <c r="K954" s="271"/>
      <c r="L954" s="270"/>
      <c r="M954" s="209"/>
      <c r="N954" s="209"/>
      <c r="O954" s="196"/>
      <c r="P954" s="223"/>
    </row>
    <row r="955" spans="1:16" ht="15.75" customHeight="1">
      <c r="A955" s="224"/>
      <c r="B955" s="282"/>
      <c r="C955" s="287"/>
      <c r="D955" s="288"/>
      <c r="E955" s="289"/>
      <c r="F955" s="290"/>
      <c r="G955" s="290"/>
      <c r="H955" s="288"/>
      <c r="I955" s="287"/>
      <c r="J955" s="270"/>
      <c r="K955" s="271"/>
      <c r="L955" s="270"/>
      <c r="M955" s="209"/>
      <c r="N955" s="209"/>
      <c r="O955" s="196"/>
      <c r="P955" s="223"/>
    </row>
    <row r="956" spans="1:16" ht="15.75" customHeight="1">
      <c r="A956" s="224"/>
      <c r="B956" s="282"/>
      <c r="C956" s="287"/>
      <c r="D956" s="288"/>
      <c r="E956" s="289"/>
      <c r="F956" s="290"/>
      <c r="G956" s="290"/>
      <c r="H956" s="288"/>
      <c r="I956" s="287"/>
      <c r="J956" s="270"/>
      <c r="K956" s="271"/>
      <c r="L956" s="270"/>
      <c r="M956" s="209"/>
      <c r="N956" s="209"/>
      <c r="O956" s="196"/>
      <c r="P956" s="223"/>
    </row>
    <row r="957" spans="1:16" ht="15.75" customHeight="1">
      <c r="A957" s="224"/>
      <c r="B957" s="282"/>
      <c r="C957" s="287"/>
      <c r="D957" s="288"/>
      <c r="E957" s="289"/>
      <c r="F957" s="290"/>
      <c r="G957" s="290"/>
      <c r="H957" s="288"/>
      <c r="I957" s="287"/>
      <c r="J957" s="270"/>
      <c r="K957" s="271"/>
      <c r="L957" s="270"/>
      <c r="M957" s="209"/>
      <c r="N957" s="209"/>
      <c r="O957" s="196"/>
      <c r="P957" s="223"/>
    </row>
    <row r="958" spans="1:16" ht="15.75" customHeight="1">
      <c r="A958" s="224"/>
      <c r="B958" s="282"/>
      <c r="C958" s="287"/>
      <c r="D958" s="288"/>
      <c r="E958" s="289"/>
      <c r="F958" s="290"/>
      <c r="G958" s="290"/>
      <c r="H958" s="288"/>
      <c r="I958" s="287"/>
      <c r="J958" s="270"/>
      <c r="K958" s="271"/>
      <c r="L958" s="270"/>
      <c r="M958" s="209"/>
      <c r="N958" s="209"/>
      <c r="O958" s="196"/>
      <c r="P958" s="223"/>
    </row>
    <row r="959" spans="1:16" ht="15.75" customHeight="1">
      <c r="A959" s="224"/>
      <c r="B959" s="282"/>
      <c r="C959" s="287"/>
      <c r="D959" s="288"/>
      <c r="E959" s="289"/>
      <c r="F959" s="290"/>
      <c r="G959" s="290"/>
      <c r="H959" s="288"/>
      <c r="I959" s="287"/>
      <c r="J959" s="270"/>
      <c r="K959" s="271"/>
      <c r="L959" s="270"/>
      <c r="M959" s="209"/>
      <c r="N959" s="209"/>
      <c r="O959" s="196"/>
      <c r="P959" s="223"/>
    </row>
    <row r="960" spans="1:16" ht="15.75" customHeight="1">
      <c r="A960" s="224"/>
      <c r="B960" s="282"/>
      <c r="C960" s="287"/>
      <c r="D960" s="288"/>
      <c r="E960" s="289"/>
      <c r="F960" s="290"/>
      <c r="G960" s="290"/>
      <c r="H960" s="288"/>
      <c r="I960" s="287"/>
      <c r="J960" s="270"/>
      <c r="K960" s="271"/>
      <c r="L960" s="270"/>
      <c r="M960" s="209"/>
      <c r="N960" s="209"/>
      <c r="O960" s="196"/>
      <c r="P960" s="223"/>
    </row>
    <row r="961" spans="1:16" ht="15.75" customHeight="1">
      <c r="A961" s="224"/>
      <c r="B961" s="282"/>
      <c r="C961" s="287"/>
      <c r="D961" s="288"/>
      <c r="E961" s="289"/>
      <c r="F961" s="290"/>
      <c r="G961" s="290"/>
      <c r="H961" s="288"/>
      <c r="I961" s="287"/>
      <c r="J961" s="270"/>
      <c r="K961" s="271"/>
      <c r="L961" s="270"/>
      <c r="M961" s="209"/>
      <c r="N961" s="209"/>
      <c r="O961" s="196"/>
      <c r="P961" s="223"/>
    </row>
    <row r="962" spans="1:16" ht="15.75" customHeight="1">
      <c r="A962" s="224"/>
      <c r="B962" s="282"/>
      <c r="C962" s="287"/>
      <c r="D962" s="288"/>
      <c r="E962" s="289"/>
      <c r="F962" s="290"/>
      <c r="G962" s="290"/>
      <c r="H962" s="288"/>
      <c r="I962" s="287"/>
      <c r="J962" s="270"/>
      <c r="K962" s="271"/>
      <c r="L962" s="270"/>
      <c r="M962" s="209"/>
      <c r="N962" s="209"/>
      <c r="O962" s="196"/>
      <c r="P962" s="223"/>
    </row>
    <row r="963" spans="1:16" ht="15.75" customHeight="1">
      <c r="A963" s="224"/>
      <c r="B963" s="282"/>
      <c r="C963" s="287"/>
      <c r="D963" s="288"/>
      <c r="E963" s="289"/>
      <c r="F963" s="290"/>
      <c r="G963" s="290"/>
      <c r="H963" s="288"/>
      <c r="I963" s="287"/>
      <c r="J963" s="270"/>
      <c r="K963" s="271"/>
      <c r="L963" s="270"/>
      <c r="M963" s="209"/>
      <c r="N963" s="209"/>
      <c r="O963" s="196"/>
      <c r="P963" s="223"/>
    </row>
    <row r="964" spans="1:16" ht="15.75" customHeight="1">
      <c r="A964" s="224"/>
      <c r="B964" s="282"/>
      <c r="C964" s="287"/>
      <c r="D964" s="288"/>
      <c r="E964" s="289"/>
      <c r="F964" s="290"/>
      <c r="G964" s="290"/>
      <c r="H964" s="288"/>
      <c r="I964" s="287"/>
      <c r="J964" s="270"/>
      <c r="K964" s="271"/>
      <c r="L964" s="270"/>
      <c r="M964" s="209"/>
      <c r="N964" s="209"/>
      <c r="O964" s="196"/>
      <c r="P964" s="223"/>
    </row>
    <row r="965" spans="1:16" ht="15.75" customHeight="1">
      <c r="A965" s="224"/>
      <c r="B965" s="282"/>
      <c r="C965" s="287"/>
      <c r="D965" s="288"/>
      <c r="E965" s="289"/>
      <c r="F965" s="290"/>
      <c r="G965" s="290"/>
      <c r="H965" s="288"/>
      <c r="I965" s="287"/>
      <c r="J965" s="270"/>
      <c r="K965" s="271"/>
      <c r="L965" s="270"/>
      <c r="M965" s="209"/>
      <c r="N965" s="209"/>
      <c r="O965" s="196"/>
      <c r="P965" s="223"/>
    </row>
    <row r="966" spans="1:16" ht="15.75" customHeight="1">
      <c r="A966" s="224"/>
      <c r="B966" s="282"/>
      <c r="C966" s="287"/>
      <c r="D966" s="288"/>
      <c r="E966" s="289"/>
      <c r="F966" s="290"/>
      <c r="G966" s="290"/>
      <c r="H966" s="288"/>
      <c r="I966" s="287"/>
      <c r="J966" s="270"/>
      <c r="K966" s="271"/>
      <c r="L966" s="270"/>
      <c r="M966" s="209"/>
      <c r="N966" s="209"/>
      <c r="O966" s="196"/>
      <c r="P966" s="223"/>
    </row>
    <row r="967" spans="1:16" ht="15.75" customHeight="1">
      <c r="A967" s="224"/>
      <c r="B967" s="282"/>
      <c r="C967" s="287"/>
      <c r="D967" s="288"/>
      <c r="E967" s="289"/>
      <c r="F967" s="290"/>
      <c r="G967" s="290"/>
      <c r="H967" s="288"/>
      <c r="I967" s="287"/>
      <c r="J967" s="270"/>
      <c r="K967" s="271"/>
      <c r="L967" s="270"/>
      <c r="M967" s="209"/>
      <c r="N967" s="209"/>
      <c r="O967" s="196"/>
      <c r="P967" s="223"/>
    </row>
    <row r="968" spans="1:16" ht="15.75" customHeight="1">
      <c r="A968" s="224"/>
      <c r="B968" s="282"/>
      <c r="C968" s="287"/>
      <c r="D968" s="288"/>
      <c r="E968" s="289"/>
      <c r="F968" s="290"/>
      <c r="G968" s="290"/>
      <c r="H968" s="288"/>
      <c r="I968" s="287"/>
      <c r="J968" s="270"/>
      <c r="K968" s="271"/>
      <c r="L968" s="270"/>
      <c r="M968" s="209"/>
      <c r="N968" s="209"/>
      <c r="O968" s="196"/>
      <c r="P968" s="223"/>
    </row>
    <row r="969" spans="1:16" ht="15.75" customHeight="1">
      <c r="A969" s="224"/>
      <c r="B969" s="282"/>
      <c r="C969" s="287"/>
      <c r="D969" s="288"/>
      <c r="E969" s="289"/>
      <c r="F969" s="290"/>
      <c r="G969" s="290"/>
      <c r="H969" s="288"/>
      <c r="I969" s="287"/>
      <c r="J969" s="270"/>
      <c r="K969" s="271"/>
      <c r="L969" s="270"/>
      <c r="M969" s="209"/>
      <c r="N969" s="209"/>
      <c r="O969" s="196"/>
      <c r="P969" s="223"/>
    </row>
    <row r="970" spans="1:16" ht="15.75" customHeight="1">
      <c r="A970" s="224"/>
      <c r="B970" s="282"/>
      <c r="C970" s="287"/>
      <c r="D970" s="288"/>
      <c r="E970" s="289"/>
      <c r="F970" s="290"/>
      <c r="G970" s="290"/>
      <c r="H970" s="288"/>
      <c r="I970" s="287"/>
      <c r="J970" s="270"/>
      <c r="K970" s="271"/>
      <c r="L970" s="270"/>
      <c r="M970" s="209"/>
      <c r="N970" s="209"/>
      <c r="O970" s="196"/>
      <c r="P970" s="223"/>
    </row>
    <row r="971" spans="1:16" ht="15.75" customHeight="1">
      <c r="A971" s="224"/>
      <c r="B971" s="282"/>
      <c r="C971" s="287"/>
      <c r="D971" s="288"/>
      <c r="E971" s="289"/>
      <c r="F971" s="290"/>
      <c r="G971" s="290"/>
      <c r="H971" s="288"/>
      <c r="I971" s="287"/>
      <c r="J971" s="270"/>
      <c r="K971" s="271"/>
      <c r="L971" s="270"/>
      <c r="M971" s="209"/>
      <c r="N971" s="209"/>
      <c r="O971" s="196"/>
      <c r="P971" s="223"/>
    </row>
    <row r="972" spans="1:16" ht="15.75" customHeight="1">
      <c r="A972" s="224"/>
      <c r="B972" s="282"/>
      <c r="C972" s="287"/>
      <c r="D972" s="288"/>
      <c r="E972" s="289"/>
      <c r="F972" s="290"/>
      <c r="G972" s="290"/>
      <c r="H972" s="288"/>
      <c r="I972" s="287"/>
      <c r="J972" s="270"/>
      <c r="K972" s="271"/>
      <c r="L972" s="270"/>
      <c r="M972" s="209"/>
      <c r="N972" s="209"/>
      <c r="O972" s="196"/>
      <c r="P972" s="223"/>
    </row>
    <row r="973" spans="1:16" ht="15.75" customHeight="1">
      <c r="A973" s="224"/>
      <c r="B973" s="282"/>
      <c r="C973" s="287"/>
      <c r="D973" s="288"/>
      <c r="E973" s="289"/>
      <c r="F973" s="290"/>
      <c r="G973" s="290"/>
      <c r="H973" s="288"/>
      <c r="I973" s="287"/>
      <c r="J973" s="270"/>
      <c r="K973" s="271"/>
      <c r="L973" s="270"/>
      <c r="M973" s="209"/>
      <c r="N973" s="209"/>
      <c r="O973" s="196"/>
      <c r="P973" s="223"/>
    </row>
    <row r="974" spans="1:16" ht="15.75" customHeight="1">
      <c r="A974" s="224"/>
      <c r="B974" s="282"/>
      <c r="C974" s="287"/>
      <c r="D974" s="288"/>
      <c r="E974" s="289"/>
      <c r="F974" s="290"/>
      <c r="G974" s="290"/>
      <c r="H974" s="288"/>
      <c r="I974" s="287"/>
      <c r="J974" s="270"/>
      <c r="K974" s="271"/>
      <c r="L974" s="270"/>
      <c r="M974" s="209"/>
      <c r="N974" s="209"/>
      <c r="O974" s="196"/>
      <c r="P974" s="223"/>
    </row>
    <row r="975" spans="1:16" ht="15.75" customHeight="1">
      <c r="A975" s="224"/>
      <c r="B975" s="282"/>
      <c r="C975" s="287"/>
      <c r="D975" s="288"/>
      <c r="E975" s="289"/>
      <c r="F975" s="290"/>
      <c r="G975" s="290"/>
      <c r="H975" s="288"/>
      <c r="I975" s="287"/>
      <c r="J975" s="270"/>
      <c r="K975" s="271"/>
      <c r="L975" s="270"/>
      <c r="M975" s="209"/>
      <c r="N975" s="209"/>
      <c r="O975" s="196"/>
      <c r="P975" s="223"/>
    </row>
    <row r="976" spans="1:16" ht="15.75" customHeight="1">
      <c r="A976" s="224"/>
      <c r="B976" s="282"/>
      <c r="C976" s="287"/>
      <c r="D976" s="288"/>
      <c r="E976" s="289"/>
      <c r="F976" s="290"/>
      <c r="G976" s="290"/>
      <c r="H976" s="288"/>
      <c r="I976" s="287"/>
      <c r="J976" s="270"/>
      <c r="K976" s="271"/>
      <c r="L976" s="270"/>
      <c r="M976" s="209"/>
      <c r="N976" s="209"/>
      <c r="O976" s="196"/>
      <c r="P976" s="223"/>
    </row>
    <row r="977" spans="1:16" ht="15.75" customHeight="1">
      <c r="A977" s="224"/>
      <c r="B977" s="282"/>
      <c r="C977" s="287"/>
      <c r="D977" s="288"/>
      <c r="E977" s="289"/>
      <c r="F977" s="290"/>
      <c r="G977" s="290"/>
      <c r="H977" s="288"/>
      <c r="I977" s="287"/>
      <c r="J977" s="270"/>
      <c r="K977" s="271"/>
      <c r="L977" s="270"/>
      <c r="M977" s="209"/>
      <c r="N977" s="209"/>
      <c r="O977" s="196"/>
      <c r="P977" s="223"/>
    </row>
    <row r="978" spans="1:16" ht="15.75" customHeight="1">
      <c r="A978" s="224"/>
      <c r="B978" s="282"/>
      <c r="C978" s="287"/>
      <c r="D978" s="288"/>
      <c r="E978" s="289"/>
      <c r="F978" s="290"/>
      <c r="G978" s="290"/>
      <c r="H978" s="288"/>
      <c r="I978" s="287"/>
      <c r="J978" s="270"/>
      <c r="K978" s="271"/>
      <c r="L978" s="270"/>
      <c r="M978" s="209"/>
      <c r="N978" s="209"/>
      <c r="O978" s="196"/>
      <c r="P978" s="223"/>
    </row>
    <row r="979" spans="1:16" ht="15.75" customHeight="1">
      <c r="A979" s="224"/>
      <c r="B979" s="282"/>
      <c r="C979" s="287"/>
      <c r="D979" s="288"/>
      <c r="E979" s="289"/>
      <c r="F979" s="290"/>
      <c r="G979" s="290"/>
      <c r="H979" s="288"/>
      <c r="I979" s="287"/>
      <c r="J979" s="270"/>
      <c r="K979" s="271"/>
      <c r="L979" s="270"/>
      <c r="M979" s="209"/>
      <c r="N979" s="209"/>
      <c r="O979" s="196"/>
      <c r="P979" s="223"/>
    </row>
    <row r="980" spans="1:16" ht="15.75" customHeight="1">
      <c r="A980" s="224"/>
      <c r="B980" s="282"/>
      <c r="C980" s="287"/>
      <c r="D980" s="288"/>
      <c r="E980" s="289"/>
      <c r="F980" s="290"/>
      <c r="G980" s="290"/>
      <c r="H980" s="288"/>
      <c r="I980" s="287"/>
      <c r="J980" s="270"/>
      <c r="K980" s="271"/>
      <c r="L980" s="270"/>
      <c r="M980" s="209"/>
      <c r="N980" s="209"/>
      <c r="O980" s="196"/>
      <c r="P980" s="223"/>
    </row>
    <row r="981" spans="1:16" ht="15.75" customHeight="1">
      <c r="A981" s="224"/>
      <c r="B981" s="282"/>
      <c r="C981" s="287"/>
      <c r="D981" s="288"/>
      <c r="E981" s="289"/>
      <c r="F981" s="290"/>
      <c r="G981" s="290"/>
      <c r="H981" s="288"/>
      <c r="I981" s="287"/>
      <c r="J981" s="270"/>
      <c r="K981" s="271"/>
      <c r="L981" s="270"/>
      <c r="M981" s="209"/>
      <c r="N981" s="209"/>
      <c r="O981" s="196"/>
      <c r="P981" s="223"/>
    </row>
    <row r="982" spans="1:16" ht="15.75" customHeight="1">
      <c r="A982" s="224"/>
      <c r="B982" s="282"/>
      <c r="C982" s="287"/>
      <c r="D982" s="288"/>
      <c r="E982" s="289"/>
      <c r="F982" s="290"/>
      <c r="G982" s="290"/>
      <c r="H982" s="288"/>
      <c r="I982" s="287"/>
      <c r="J982" s="270"/>
      <c r="K982" s="271"/>
      <c r="L982" s="270"/>
      <c r="M982" s="209"/>
      <c r="N982" s="209"/>
      <c r="O982" s="196"/>
      <c r="P982" s="223"/>
    </row>
    <row r="983" spans="1:16" ht="15.75" customHeight="1">
      <c r="A983" s="224"/>
      <c r="B983" s="282"/>
      <c r="C983" s="287"/>
      <c r="D983" s="288"/>
      <c r="E983" s="289"/>
      <c r="F983" s="290"/>
      <c r="G983" s="290"/>
      <c r="H983" s="288"/>
      <c r="I983" s="287"/>
      <c r="J983" s="270"/>
      <c r="K983" s="271"/>
      <c r="L983" s="270"/>
      <c r="M983" s="209"/>
      <c r="N983" s="209"/>
      <c r="O983" s="196"/>
      <c r="P983" s="223"/>
    </row>
    <row r="984" spans="1:16" ht="15.75" customHeight="1">
      <c r="A984" s="224"/>
      <c r="B984" s="282"/>
      <c r="C984" s="287"/>
      <c r="D984" s="288"/>
      <c r="E984" s="289"/>
      <c r="F984" s="290"/>
      <c r="G984" s="290"/>
      <c r="H984" s="288"/>
      <c r="I984" s="287"/>
      <c r="J984" s="270"/>
      <c r="K984" s="271"/>
      <c r="L984" s="270"/>
      <c r="M984" s="209"/>
      <c r="N984" s="209"/>
      <c r="O984" s="196"/>
      <c r="P984" s="223"/>
    </row>
    <row r="985" spans="1:16" ht="15.75" customHeight="1">
      <c r="A985" s="224"/>
      <c r="B985" s="282"/>
      <c r="C985" s="287"/>
      <c r="D985" s="288"/>
      <c r="E985" s="289"/>
      <c r="F985" s="290"/>
      <c r="G985" s="290"/>
      <c r="H985" s="288"/>
      <c r="I985" s="287"/>
      <c r="J985" s="270"/>
      <c r="K985" s="271"/>
      <c r="L985" s="270"/>
      <c r="M985" s="209"/>
      <c r="N985" s="209"/>
      <c r="O985" s="196"/>
      <c r="P985" s="223"/>
    </row>
    <row r="986" spans="1:16" ht="15.75" customHeight="1">
      <c r="A986" s="224"/>
      <c r="B986" s="282"/>
      <c r="C986" s="287"/>
      <c r="D986" s="288"/>
      <c r="E986" s="289"/>
      <c r="F986" s="290"/>
      <c r="G986" s="290"/>
      <c r="H986" s="288"/>
      <c r="I986" s="287"/>
      <c r="J986" s="270"/>
      <c r="K986" s="271"/>
      <c r="L986" s="270"/>
      <c r="M986" s="209"/>
      <c r="N986" s="209"/>
      <c r="O986" s="196"/>
      <c r="P986" s="223"/>
    </row>
    <row r="987" spans="1:16" ht="15.75" customHeight="1">
      <c r="A987" s="224"/>
      <c r="B987" s="282"/>
      <c r="C987" s="287"/>
      <c r="D987" s="288"/>
      <c r="E987" s="289"/>
      <c r="F987" s="290"/>
      <c r="G987" s="290"/>
      <c r="H987" s="288"/>
      <c r="I987" s="287"/>
      <c r="J987" s="270"/>
      <c r="K987" s="271"/>
      <c r="L987" s="270"/>
      <c r="M987" s="209"/>
      <c r="N987" s="209"/>
      <c r="O987" s="196"/>
      <c r="P987" s="223"/>
    </row>
    <row r="988" spans="1:16" ht="15.75" customHeight="1">
      <c r="A988" s="224"/>
      <c r="B988" s="282"/>
      <c r="C988" s="287"/>
      <c r="D988" s="288"/>
      <c r="E988" s="289"/>
      <c r="F988" s="290"/>
      <c r="G988" s="290"/>
      <c r="H988" s="288"/>
      <c r="I988" s="287"/>
      <c r="J988" s="270"/>
      <c r="K988" s="271"/>
      <c r="L988" s="270"/>
      <c r="M988" s="209"/>
      <c r="N988" s="209"/>
      <c r="O988" s="196"/>
      <c r="P988" s="223"/>
    </row>
    <row r="989" spans="1:16" ht="15.75" customHeight="1">
      <c r="A989" s="224"/>
      <c r="B989" s="282"/>
      <c r="C989" s="287"/>
      <c r="D989" s="288"/>
      <c r="E989" s="289"/>
      <c r="F989" s="290"/>
      <c r="G989" s="290"/>
      <c r="H989" s="288"/>
      <c r="I989" s="287"/>
      <c r="J989" s="270"/>
      <c r="K989" s="271"/>
      <c r="L989" s="270"/>
      <c r="M989" s="209"/>
      <c r="N989" s="209"/>
      <c r="O989" s="196"/>
      <c r="P989" s="223"/>
    </row>
    <row r="990" spans="1:16" ht="15.75" customHeight="1">
      <c r="A990" s="224"/>
      <c r="B990" s="282"/>
      <c r="C990" s="287"/>
      <c r="D990" s="288"/>
      <c r="E990" s="289"/>
      <c r="F990" s="290"/>
      <c r="G990" s="290"/>
      <c r="H990" s="288"/>
      <c r="I990" s="287"/>
      <c r="J990" s="270"/>
      <c r="K990" s="271"/>
      <c r="L990" s="270"/>
      <c r="M990" s="209"/>
      <c r="N990" s="209"/>
      <c r="O990" s="196"/>
      <c r="P990" s="223"/>
    </row>
    <row r="991" spans="1:16" ht="15.75" customHeight="1">
      <c r="A991" s="224"/>
      <c r="B991" s="282"/>
      <c r="C991" s="287"/>
      <c r="D991" s="288"/>
      <c r="E991" s="289"/>
      <c r="F991" s="290"/>
      <c r="G991" s="290"/>
      <c r="H991" s="288"/>
      <c r="I991" s="287"/>
      <c r="J991" s="270"/>
      <c r="K991" s="271"/>
      <c r="L991" s="270"/>
      <c r="M991" s="209"/>
      <c r="N991" s="209"/>
      <c r="O991" s="196"/>
      <c r="P991" s="223"/>
    </row>
    <row r="992" spans="1:16" ht="15.75" customHeight="1">
      <c r="A992" s="224"/>
      <c r="B992" s="282"/>
      <c r="C992" s="287"/>
      <c r="D992" s="288"/>
      <c r="E992" s="289"/>
      <c r="F992" s="290"/>
      <c r="G992" s="290"/>
      <c r="H992" s="288"/>
      <c r="I992" s="287"/>
      <c r="J992" s="270"/>
      <c r="K992" s="271"/>
      <c r="L992" s="270"/>
      <c r="M992" s="209"/>
      <c r="N992" s="209"/>
      <c r="O992" s="196"/>
      <c r="P992" s="223"/>
    </row>
    <row r="993" spans="1:16" ht="15.75" customHeight="1">
      <c r="A993" s="224"/>
      <c r="B993" s="282"/>
      <c r="C993" s="287"/>
      <c r="D993" s="288"/>
      <c r="E993" s="289"/>
      <c r="F993" s="290"/>
      <c r="G993" s="290"/>
      <c r="H993" s="288"/>
      <c r="I993" s="287"/>
      <c r="J993" s="270"/>
      <c r="K993" s="271"/>
      <c r="L993" s="270"/>
      <c r="M993" s="209"/>
      <c r="N993" s="209"/>
      <c r="O993" s="196"/>
      <c r="P993" s="223"/>
    </row>
    <row r="994" spans="1:16" ht="15.75" customHeight="1">
      <c r="A994" s="224"/>
      <c r="B994" s="282"/>
      <c r="C994" s="287"/>
      <c r="D994" s="288"/>
      <c r="E994" s="289"/>
      <c r="F994" s="290"/>
      <c r="G994" s="290"/>
      <c r="H994" s="288"/>
      <c r="I994" s="287"/>
      <c r="J994" s="270"/>
      <c r="K994" s="271"/>
      <c r="L994" s="270"/>
      <c r="M994" s="209"/>
      <c r="N994" s="209"/>
      <c r="O994" s="196"/>
      <c r="P994" s="223"/>
    </row>
    <row r="995" spans="1:16" ht="15.75" customHeight="1">
      <c r="A995" s="224"/>
      <c r="B995" s="282"/>
      <c r="C995" s="287"/>
      <c r="D995" s="288"/>
      <c r="E995" s="289"/>
      <c r="F995" s="290"/>
      <c r="G995" s="290"/>
      <c r="H995" s="288"/>
      <c r="I995" s="287"/>
      <c r="J995" s="270"/>
      <c r="K995" s="271"/>
      <c r="L995" s="270"/>
      <c r="M995" s="209"/>
      <c r="N995" s="209"/>
      <c r="O995" s="196"/>
      <c r="P995" s="223"/>
    </row>
    <row r="996" spans="1:16" ht="15.75" customHeight="1">
      <c r="A996" s="224"/>
      <c r="B996" s="282"/>
      <c r="C996" s="287"/>
      <c r="D996" s="288"/>
      <c r="E996" s="289"/>
      <c r="F996" s="290"/>
      <c r="G996" s="290"/>
      <c r="H996" s="288"/>
      <c r="I996" s="287"/>
      <c r="J996" s="270"/>
      <c r="K996" s="271"/>
      <c r="L996" s="270"/>
      <c r="M996" s="209"/>
      <c r="N996" s="209"/>
      <c r="O996" s="196"/>
      <c r="P996" s="223"/>
    </row>
    <row r="997" spans="1:16" ht="15.75" customHeight="1">
      <c r="A997" s="224"/>
      <c r="B997" s="282"/>
      <c r="C997" s="287"/>
      <c r="D997" s="288"/>
      <c r="E997" s="289"/>
      <c r="F997" s="290"/>
      <c r="G997" s="290"/>
      <c r="H997" s="288"/>
      <c r="I997" s="287"/>
      <c r="J997" s="270"/>
      <c r="K997" s="271"/>
      <c r="L997" s="270"/>
      <c r="M997" s="209"/>
      <c r="N997" s="209"/>
      <c r="O997" s="196"/>
      <c r="P997" s="223"/>
    </row>
    <row r="998" spans="1:16" ht="15.75" customHeight="1">
      <c r="A998" s="224"/>
      <c r="B998" s="282"/>
      <c r="C998" s="287"/>
      <c r="D998" s="288"/>
      <c r="E998" s="289"/>
      <c r="F998" s="290"/>
      <c r="G998" s="290"/>
      <c r="H998" s="288"/>
      <c r="I998" s="287"/>
      <c r="J998" s="270"/>
      <c r="K998" s="271"/>
      <c r="L998" s="270"/>
      <c r="M998" s="209"/>
      <c r="N998" s="209"/>
      <c r="O998" s="196"/>
      <c r="P998" s="223"/>
    </row>
    <row r="999" spans="1:16" ht="15.75" customHeight="1">
      <c r="A999" s="224"/>
      <c r="B999" s="282"/>
      <c r="C999" s="287"/>
      <c r="D999" s="288"/>
      <c r="E999" s="289"/>
      <c r="F999" s="290"/>
      <c r="G999" s="290"/>
      <c r="H999" s="288"/>
      <c r="I999" s="287"/>
      <c r="J999" s="270"/>
      <c r="K999" s="271"/>
      <c r="L999" s="270"/>
      <c r="M999" s="209"/>
      <c r="N999" s="209"/>
      <c r="O999" s="196"/>
      <c r="P999" s="223"/>
    </row>
    <row r="1000" spans="1:16" ht="15.75" customHeight="1">
      <c r="A1000" s="224"/>
      <c r="B1000" s="282"/>
      <c r="C1000" s="287"/>
      <c r="D1000" s="288"/>
      <c r="E1000" s="289"/>
      <c r="F1000" s="290"/>
      <c r="G1000" s="290"/>
      <c r="H1000" s="288"/>
      <c r="I1000" s="287"/>
      <c r="J1000" s="270"/>
      <c r="K1000" s="271"/>
      <c r="L1000" s="270"/>
      <c r="M1000" s="209"/>
      <c r="N1000" s="209"/>
      <c r="O1000" s="196"/>
      <c r="P1000" s="223"/>
    </row>
    <row r="1001" spans="1:16" ht="15.75" customHeight="1">
      <c r="A1001" s="224"/>
      <c r="B1001" s="282"/>
      <c r="C1001" s="287"/>
      <c r="D1001" s="288"/>
      <c r="E1001" s="289"/>
      <c r="F1001" s="290"/>
      <c r="G1001" s="290"/>
      <c r="H1001" s="288"/>
      <c r="I1001" s="287"/>
      <c r="J1001" s="270"/>
      <c r="K1001" s="271"/>
      <c r="L1001" s="270"/>
      <c r="M1001" s="209"/>
      <c r="N1001" s="209"/>
      <c r="O1001" s="196"/>
      <c r="P1001" s="223"/>
    </row>
    <row r="1002" spans="1:16" ht="15.75" customHeight="1">
      <c r="A1002" s="224"/>
      <c r="B1002" s="282"/>
      <c r="C1002" s="287"/>
      <c r="D1002" s="288"/>
      <c r="E1002" s="289"/>
      <c r="F1002" s="290"/>
      <c r="G1002" s="290"/>
      <c r="H1002" s="288"/>
      <c r="I1002" s="287"/>
      <c r="J1002" s="270"/>
      <c r="K1002" s="271"/>
      <c r="L1002" s="270"/>
      <c r="M1002" s="209"/>
      <c r="N1002" s="209"/>
      <c r="O1002" s="196"/>
      <c r="P1002" s="223"/>
    </row>
    <row r="1003" spans="1:16" ht="15.75" customHeight="1">
      <c r="A1003" s="224"/>
      <c r="B1003" s="282"/>
      <c r="C1003" s="287"/>
      <c r="D1003" s="288"/>
      <c r="E1003" s="289"/>
      <c r="F1003" s="290"/>
      <c r="G1003" s="290"/>
      <c r="H1003" s="288"/>
      <c r="I1003" s="287"/>
      <c r="J1003" s="270"/>
      <c r="K1003" s="271"/>
      <c r="L1003" s="270"/>
      <c r="M1003" s="209"/>
      <c r="N1003" s="209"/>
      <c r="O1003" s="196"/>
      <c r="P1003" s="223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993"/>
  <sheetViews>
    <sheetView workbookViewId="0">
      <pane ySplit="1" topLeftCell="A2" activePane="bottomLeft" state="frozen"/>
      <selection pane="bottomLeft" activeCell="B3" sqref="B3"/>
    </sheetView>
  </sheetViews>
  <sheetFormatPr defaultColWidth="11.25" defaultRowHeight="15" customHeight="1"/>
  <cols>
    <col min="1" max="1" width="11.625" customWidth="1"/>
    <col min="2" max="2" width="9.5" customWidth="1"/>
    <col min="3" max="3" width="9.875" customWidth="1"/>
    <col min="4" max="4" width="8.625" customWidth="1"/>
    <col min="5" max="5" width="7.5" customWidth="1"/>
    <col min="6" max="6" width="8.75" customWidth="1"/>
    <col min="7" max="7" width="8" customWidth="1"/>
    <col min="8" max="8" width="7.5" customWidth="1"/>
    <col min="9" max="9" width="7.125" customWidth="1"/>
    <col min="10" max="10" width="7.875" customWidth="1"/>
    <col min="11" max="11" width="7.75" customWidth="1"/>
    <col min="12" max="12" width="8.75" customWidth="1"/>
    <col min="13" max="16" width="7.75" customWidth="1"/>
    <col min="17" max="17" width="7.125" customWidth="1"/>
    <col min="18" max="18" width="0.375" customWidth="1"/>
    <col min="19" max="19" width="6.375" customWidth="1"/>
    <col min="20" max="20" width="51" customWidth="1"/>
    <col min="21" max="27" width="10.5" customWidth="1"/>
  </cols>
  <sheetData>
    <row r="1" spans="1:27" ht="30.75" customHeight="1">
      <c r="A1" s="291" t="s">
        <v>0</v>
      </c>
      <c r="B1" s="292" t="s">
        <v>380</v>
      </c>
      <c r="C1" s="293" t="s">
        <v>381</v>
      </c>
      <c r="D1" s="291" t="s">
        <v>382</v>
      </c>
      <c r="E1" s="291" t="s">
        <v>383</v>
      </c>
      <c r="F1" s="294" t="s">
        <v>384</v>
      </c>
      <c r="G1" s="292" t="s">
        <v>385</v>
      </c>
      <c r="H1" s="291" t="s">
        <v>386</v>
      </c>
      <c r="I1" s="294" t="s">
        <v>387</v>
      </c>
      <c r="J1" s="291" t="s">
        <v>388</v>
      </c>
      <c r="K1" s="295" t="s">
        <v>389</v>
      </c>
      <c r="L1" s="295" t="s">
        <v>390</v>
      </c>
      <c r="M1" s="295" t="s">
        <v>391</v>
      </c>
      <c r="N1" s="295" t="s">
        <v>392</v>
      </c>
      <c r="O1" s="295" t="s">
        <v>393</v>
      </c>
      <c r="P1" s="295" t="s">
        <v>394</v>
      </c>
      <c r="Q1" s="294" t="s">
        <v>395</v>
      </c>
      <c r="R1" s="296" t="s">
        <v>14</v>
      </c>
      <c r="S1" s="291" t="s">
        <v>12</v>
      </c>
      <c r="T1" s="291" t="s">
        <v>198</v>
      </c>
      <c r="U1" s="297"/>
      <c r="V1" s="297"/>
      <c r="W1" s="297"/>
      <c r="X1" s="297"/>
      <c r="Y1" s="297"/>
      <c r="Z1" s="297"/>
      <c r="AA1" s="297"/>
    </row>
    <row r="2" spans="1:27" ht="30.75" customHeight="1">
      <c r="A2" s="22" t="s">
        <v>396</v>
      </c>
      <c r="B2" s="298" t="s">
        <v>17</v>
      </c>
      <c r="C2" s="298" t="s">
        <v>17</v>
      </c>
      <c r="D2" s="298" t="s">
        <v>17</v>
      </c>
      <c r="E2" s="298" t="s">
        <v>17</v>
      </c>
      <c r="F2" s="298" t="s">
        <v>17</v>
      </c>
      <c r="G2" s="299">
        <v>45328</v>
      </c>
      <c r="H2" s="298" t="s">
        <v>17</v>
      </c>
      <c r="I2" s="298" t="s">
        <v>17</v>
      </c>
      <c r="J2" s="29">
        <v>1</v>
      </c>
      <c r="K2" s="300">
        <v>5.0000000000000001E-3</v>
      </c>
      <c r="L2" s="300">
        <v>5.0000000000000001E-3</v>
      </c>
      <c r="M2" s="300">
        <v>4.0000000000000001E-3</v>
      </c>
      <c r="N2" s="300">
        <v>-1E-3</v>
      </c>
      <c r="O2" s="300">
        <v>-1E-3</v>
      </c>
      <c r="P2" s="300">
        <v>-1E-3</v>
      </c>
      <c r="Q2" s="301">
        <f>((26.7*((K2-M2)-(O2-P2))*1000))</f>
        <v>26.700000000000003</v>
      </c>
      <c r="R2" s="302" t="s">
        <v>21</v>
      </c>
      <c r="S2" s="303" t="s">
        <v>25</v>
      </c>
      <c r="T2" s="304"/>
      <c r="U2" s="305"/>
      <c r="V2" s="305"/>
      <c r="W2" s="305"/>
      <c r="X2" s="305"/>
      <c r="Y2" s="305"/>
      <c r="Z2" s="305"/>
      <c r="AA2" s="305"/>
    </row>
    <row r="3" spans="1:27" ht="15.75" customHeight="1">
      <c r="A3" s="59" t="s">
        <v>397</v>
      </c>
      <c r="B3" s="14">
        <v>45313</v>
      </c>
      <c r="C3" s="13">
        <v>0.40625</v>
      </c>
      <c r="D3" s="14">
        <v>45313</v>
      </c>
      <c r="E3" s="306">
        <v>0.5395833333333333</v>
      </c>
      <c r="F3" s="307">
        <v>1060</v>
      </c>
      <c r="G3" s="308">
        <v>45328</v>
      </c>
      <c r="H3" s="306">
        <v>0.60416666666666663</v>
      </c>
      <c r="I3" s="307">
        <v>7</v>
      </c>
      <c r="J3" s="97">
        <v>1</v>
      </c>
      <c r="K3" s="309">
        <v>2.4E-2</v>
      </c>
      <c r="L3" s="309">
        <v>2.5000000000000001E-2</v>
      </c>
      <c r="M3" s="309">
        <v>2.1000000000000001E-2</v>
      </c>
      <c r="N3" s="309">
        <v>1E-3</v>
      </c>
      <c r="O3" s="309">
        <v>2E-3</v>
      </c>
      <c r="P3" s="310">
        <v>1E-3</v>
      </c>
      <c r="Q3" s="311">
        <f t="shared" ref="Q3:Q4" si="0">((26.7*((K3-M3)-(O3-P3))*I3)/(F3*J3))*1000</f>
        <v>0.35264150943396211</v>
      </c>
      <c r="R3" s="296"/>
      <c r="S3" s="303" t="s">
        <v>25</v>
      </c>
      <c r="T3" s="312"/>
      <c r="U3" s="185"/>
      <c r="V3" s="185"/>
      <c r="W3" s="185"/>
      <c r="X3" s="185"/>
      <c r="Y3" s="185"/>
      <c r="Z3" s="185"/>
      <c r="AA3" s="185"/>
    </row>
    <row r="4" spans="1:27" ht="15.75" customHeight="1">
      <c r="A4" s="59" t="s">
        <v>398</v>
      </c>
      <c r="B4" s="14">
        <v>45313</v>
      </c>
      <c r="C4" s="13">
        <v>0.4513888888888889</v>
      </c>
      <c r="D4" s="14">
        <v>45313</v>
      </c>
      <c r="E4" s="313">
        <v>0.54652777777777772</v>
      </c>
      <c r="F4" s="314">
        <v>1058</v>
      </c>
      <c r="G4" s="308">
        <v>45328</v>
      </c>
      <c r="H4" s="306">
        <v>0.61458333333333337</v>
      </c>
      <c r="I4" s="314">
        <v>7.5</v>
      </c>
      <c r="J4" s="97">
        <v>1</v>
      </c>
      <c r="K4" s="300">
        <v>0</v>
      </c>
      <c r="L4" s="300">
        <v>0</v>
      </c>
      <c r="M4" s="300">
        <v>-1E-3</v>
      </c>
      <c r="N4" s="300">
        <v>-2E-3</v>
      </c>
      <c r="O4" s="300">
        <v>-2E-3</v>
      </c>
      <c r="P4" s="300">
        <v>-2E-3</v>
      </c>
      <c r="Q4" s="311">
        <f t="shared" si="0"/>
        <v>0.18927221172022687</v>
      </c>
      <c r="R4" s="296"/>
      <c r="S4" s="303" t="s">
        <v>25</v>
      </c>
      <c r="T4" s="315"/>
      <c r="U4" s="185"/>
      <c r="V4" s="185"/>
      <c r="W4" s="185"/>
      <c r="X4" s="185"/>
      <c r="Y4" s="185"/>
      <c r="Z4" s="185"/>
      <c r="AA4" s="185"/>
    </row>
    <row r="5" spans="1:27" ht="15.75" customHeight="1">
      <c r="A5" s="59" t="s">
        <v>399</v>
      </c>
      <c r="B5" s="14">
        <v>45314</v>
      </c>
      <c r="C5" s="13">
        <v>0.3347222222222222</v>
      </c>
      <c r="D5" s="14">
        <v>45314</v>
      </c>
      <c r="E5" s="313">
        <v>0.58819444444444446</v>
      </c>
      <c r="F5" s="314">
        <v>1055</v>
      </c>
      <c r="G5" s="308">
        <v>45328</v>
      </c>
      <c r="H5" s="306">
        <v>0.60138888888888886</v>
      </c>
      <c r="I5" s="314">
        <v>6.5</v>
      </c>
      <c r="J5" s="97">
        <v>1</v>
      </c>
      <c r="K5" s="40">
        <v>4.0000000000000001E-3</v>
      </c>
      <c r="L5" s="40">
        <v>4.0000000000000001E-3</v>
      </c>
      <c r="M5" s="40">
        <v>2E-3</v>
      </c>
      <c r="N5" s="316">
        <v>0.03</v>
      </c>
      <c r="O5" s="316">
        <v>0.03</v>
      </c>
      <c r="P5" s="40">
        <v>2.7E-2</v>
      </c>
      <c r="Q5" s="311">
        <f>((26.7*((K6-M6)-(O6-P6))*I5)/(F5*J5))*1000</f>
        <v>0.16450236966824644</v>
      </c>
      <c r="R5" s="296"/>
      <c r="S5" s="303" t="s">
        <v>25</v>
      </c>
      <c r="T5" s="315"/>
      <c r="U5" s="185"/>
      <c r="V5" s="185"/>
      <c r="W5" s="185"/>
      <c r="X5" s="185"/>
      <c r="Y5" s="185"/>
      <c r="Z5" s="185"/>
      <c r="AA5" s="185"/>
    </row>
    <row r="6" spans="1:27" ht="15.75" customHeight="1">
      <c r="A6" s="59" t="s">
        <v>400</v>
      </c>
      <c r="B6" s="14">
        <v>45314</v>
      </c>
      <c r="C6" s="13">
        <v>0.37777777777777777</v>
      </c>
      <c r="D6" s="14">
        <v>45314</v>
      </c>
      <c r="E6" s="313">
        <v>0.59444444444444444</v>
      </c>
      <c r="F6" s="314">
        <v>1062</v>
      </c>
      <c r="G6" s="308">
        <v>45328</v>
      </c>
      <c r="H6" s="306">
        <v>0.58333333333333337</v>
      </c>
      <c r="I6" s="314">
        <v>7.7</v>
      </c>
      <c r="J6" s="97">
        <v>1</v>
      </c>
      <c r="K6" s="300">
        <v>5.0000000000000001E-3</v>
      </c>
      <c r="L6" s="300">
        <v>5.0000000000000001E-3</v>
      </c>
      <c r="M6" s="300">
        <v>4.0000000000000001E-3</v>
      </c>
      <c r="N6" s="300">
        <v>-1E-3</v>
      </c>
      <c r="O6" s="300">
        <v>-1E-3</v>
      </c>
      <c r="P6" s="300">
        <v>-1E-3</v>
      </c>
      <c r="Q6" s="311">
        <f t="shared" ref="Q6:Q9" si="1">((26.7*((K6-M6)-(O6-P6))*I6)/(F6*J6))*1000</f>
        <v>0.19358757062146895</v>
      </c>
      <c r="R6" s="296"/>
      <c r="S6" s="303" t="s">
        <v>25</v>
      </c>
      <c r="T6" s="315"/>
      <c r="U6" s="185"/>
      <c r="V6" s="185"/>
      <c r="W6" s="185"/>
      <c r="X6" s="185"/>
      <c r="Y6" s="185"/>
      <c r="Z6" s="185"/>
      <c r="AA6" s="185"/>
    </row>
    <row r="7" spans="1:27" ht="15.75" customHeight="1">
      <c r="A7" s="59" t="s">
        <v>401</v>
      </c>
      <c r="B7" s="14">
        <v>45314</v>
      </c>
      <c r="C7" s="13">
        <v>0.40902777777777777</v>
      </c>
      <c r="D7" s="14">
        <v>45314</v>
      </c>
      <c r="E7" s="313">
        <v>0.60138888888888886</v>
      </c>
      <c r="F7" s="314">
        <v>1058</v>
      </c>
      <c r="G7" s="308">
        <v>45328</v>
      </c>
      <c r="H7" s="306">
        <v>0.59513888888888888</v>
      </c>
      <c r="I7" s="314">
        <v>7</v>
      </c>
      <c r="J7" s="97">
        <v>1</v>
      </c>
      <c r="K7" s="300">
        <v>6.0000000000000001E-3</v>
      </c>
      <c r="L7" s="300">
        <v>6.0000000000000001E-3</v>
      </c>
      <c r="M7" s="300">
        <v>3.0000000000000001E-3</v>
      </c>
      <c r="N7" s="300">
        <v>-1E-3</v>
      </c>
      <c r="O7" s="300">
        <v>-1E-3</v>
      </c>
      <c r="P7" s="300">
        <v>-1E-3</v>
      </c>
      <c r="Q7" s="311">
        <f t="shared" si="1"/>
        <v>0.52996219281663504</v>
      </c>
      <c r="R7" s="296"/>
      <c r="S7" s="303" t="s">
        <v>25</v>
      </c>
      <c r="U7" s="185"/>
      <c r="V7" s="185"/>
      <c r="W7" s="185"/>
      <c r="X7" s="185"/>
      <c r="Y7" s="185"/>
      <c r="Z7" s="185"/>
      <c r="AA7" s="185"/>
    </row>
    <row r="8" spans="1:27" ht="15.75" customHeight="1">
      <c r="A8" s="59" t="s">
        <v>402</v>
      </c>
      <c r="B8" s="14">
        <v>45314</v>
      </c>
      <c r="C8" s="13">
        <v>0.44722222222222224</v>
      </c>
      <c r="D8" s="14">
        <v>45314</v>
      </c>
      <c r="E8" s="313">
        <v>0.60555555555555551</v>
      </c>
      <c r="F8" s="307">
        <v>1056</v>
      </c>
      <c r="G8" s="308">
        <v>45328</v>
      </c>
      <c r="H8" s="306">
        <v>0.57361111111111107</v>
      </c>
      <c r="I8" s="307">
        <v>5</v>
      </c>
      <c r="J8" s="97">
        <v>1</v>
      </c>
      <c r="K8" s="309">
        <v>4.7E-2</v>
      </c>
      <c r="L8" s="309">
        <v>0.05</v>
      </c>
      <c r="M8" s="309">
        <v>4.7E-2</v>
      </c>
      <c r="N8" s="309">
        <v>2.8000000000000001E-2</v>
      </c>
      <c r="O8" s="309">
        <v>2.8000000000000001E-2</v>
      </c>
      <c r="P8" s="309">
        <v>2.9000000000000001E-2</v>
      </c>
      <c r="Q8" s="311">
        <f t="shared" si="1"/>
        <v>0.12642045454545467</v>
      </c>
      <c r="R8" s="296"/>
      <c r="S8" s="303" t="s">
        <v>25</v>
      </c>
      <c r="T8" s="317"/>
      <c r="U8" s="318"/>
      <c r="V8" s="185"/>
      <c r="W8" s="185"/>
      <c r="X8" s="185"/>
      <c r="Y8" s="185"/>
      <c r="Z8" s="185"/>
      <c r="AA8" s="185"/>
    </row>
    <row r="9" spans="1:27" ht="15.75" customHeight="1">
      <c r="A9" s="59" t="s">
        <v>403</v>
      </c>
      <c r="B9" s="14">
        <v>45314</v>
      </c>
      <c r="C9" s="13">
        <v>0.47291666666666665</v>
      </c>
      <c r="D9" s="14">
        <v>45314</v>
      </c>
      <c r="E9" s="313">
        <v>0.61111111111111116</v>
      </c>
      <c r="F9" s="307">
        <v>1055</v>
      </c>
      <c r="G9" s="308">
        <v>45328</v>
      </c>
      <c r="H9" s="306">
        <v>0.59027777777777779</v>
      </c>
      <c r="I9" s="307">
        <v>6.5</v>
      </c>
      <c r="J9" s="97">
        <v>1</v>
      </c>
      <c r="K9" s="309">
        <v>2E-3</v>
      </c>
      <c r="L9" s="309">
        <v>1E-3</v>
      </c>
      <c r="M9" s="309">
        <v>-1E-3</v>
      </c>
      <c r="N9" s="309">
        <v>-3.0000000000000001E-3</v>
      </c>
      <c r="O9" s="309">
        <v>-3.0000000000000001E-3</v>
      </c>
      <c r="P9" s="309">
        <v>-3.0000000000000001E-3</v>
      </c>
      <c r="Q9" s="311">
        <f t="shared" si="1"/>
        <v>0.49350710900473937</v>
      </c>
      <c r="R9" s="296"/>
      <c r="S9" s="303" t="s">
        <v>25</v>
      </c>
      <c r="T9" s="319"/>
      <c r="U9" s="318"/>
      <c r="V9" s="185"/>
      <c r="W9" s="185"/>
      <c r="X9" s="185"/>
      <c r="Y9" s="185"/>
      <c r="Z9" s="185"/>
      <c r="AA9" s="185"/>
    </row>
    <row r="10" spans="1:27" ht="35.25" customHeight="1">
      <c r="A10" s="22" t="s">
        <v>396</v>
      </c>
      <c r="B10" s="298" t="s">
        <v>17</v>
      </c>
      <c r="C10" s="298" t="s">
        <v>17</v>
      </c>
      <c r="D10" s="298" t="s">
        <v>17</v>
      </c>
      <c r="E10" s="298" t="s">
        <v>17</v>
      </c>
      <c r="F10" s="298" t="s">
        <v>17</v>
      </c>
      <c r="G10" s="299">
        <v>45328</v>
      </c>
      <c r="H10" s="298" t="s">
        <v>17</v>
      </c>
      <c r="I10" s="298" t="s">
        <v>17</v>
      </c>
      <c r="J10" s="29">
        <v>1</v>
      </c>
      <c r="K10" s="309">
        <v>4.0000000000000001E-3</v>
      </c>
      <c r="L10" s="309">
        <v>4.0000000000000001E-3</v>
      </c>
      <c r="M10" s="309">
        <v>3.0000000000000001E-3</v>
      </c>
      <c r="N10" s="309">
        <v>-1E-3</v>
      </c>
      <c r="O10" s="309">
        <v>-1E-3</v>
      </c>
      <c r="P10" s="309">
        <v>-1E-3</v>
      </c>
      <c r="Q10" s="301">
        <f>((26.7*((K10-M10)-(O10-P10))*1000))</f>
        <v>26.700000000000003</v>
      </c>
      <c r="R10" s="302" t="s">
        <v>21</v>
      </c>
      <c r="S10" s="302" t="s">
        <v>20</v>
      </c>
      <c r="T10" s="304"/>
      <c r="U10" s="305"/>
      <c r="V10" s="305"/>
      <c r="W10" s="305"/>
      <c r="X10" s="305"/>
      <c r="Y10" s="305"/>
      <c r="Z10" s="305"/>
      <c r="AA10" s="305"/>
    </row>
    <row r="11" spans="1:27" ht="15.75" customHeight="1">
      <c r="A11" s="59" t="s">
        <v>404</v>
      </c>
      <c r="B11" s="14">
        <v>45316</v>
      </c>
      <c r="C11" s="13">
        <v>0.33333333333333331</v>
      </c>
      <c r="D11" s="14">
        <v>45316</v>
      </c>
      <c r="E11" s="313">
        <v>0.9868055555555556</v>
      </c>
      <c r="F11" s="314">
        <v>1061</v>
      </c>
      <c r="G11" s="308">
        <v>45329</v>
      </c>
      <c r="H11" s="306">
        <v>0.51875000000000004</v>
      </c>
      <c r="I11" s="314">
        <v>7.5</v>
      </c>
      <c r="J11" s="97">
        <v>1</v>
      </c>
      <c r="K11" s="309">
        <v>1.2E-2</v>
      </c>
      <c r="L11" s="309">
        <v>1.2E-2</v>
      </c>
      <c r="M11" s="300">
        <v>8.9999999999999993E-3</v>
      </c>
      <c r="N11" s="300">
        <v>-2E-3</v>
      </c>
      <c r="O11" s="300">
        <v>-3.0000000000000001E-3</v>
      </c>
      <c r="P11" s="300">
        <v>-3.0000000000000001E-3</v>
      </c>
      <c r="Q11" s="311">
        <f t="shared" ref="Q11:Q18" si="2">((26.7*((K11-M11)-(O11-P11))*I11)/(F11*J11))*1000</f>
        <v>0.56621112158341202</v>
      </c>
      <c r="R11" s="296"/>
      <c r="S11" s="303" t="s">
        <v>20</v>
      </c>
      <c r="T11" s="481"/>
      <c r="U11" s="185"/>
      <c r="V11" s="185"/>
      <c r="W11" s="185"/>
      <c r="X11" s="185"/>
      <c r="Y11" s="185"/>
      <c r="Z11" s="185"/>
      <c r="AA11" s="185"/>
    </row>
    <row r="12" spans="1:27" ht="15.75" customHeight="1">
      <c r="A12" s="296" t="s">
        <v>405</v>
      </c>
      <c r="B12" s="14">
        <v>45316</v>
      </c>
      <c r="C12" s="13">
        <v>0.35833333333333334</v>
      </c>
      <c r="D12" s="14">
        <v>45316</v>
      </c>
      <c r="E12" s="313">
        <v>0.9916666666666667</v>
      </c>
      <c r="F12" s="314">
        <v>1054</v>
      </c>
      <c r="G12" s="308">
        <v>45329</v>
      </c>
      <c r="H12" s="306">
        <v>0.5229166666666667</v>
      </c>
      <c r="I12" s="314">
        <v>9.5</v>
      </c>
      <c r="J12" s="97">
        <v>1</v>
      </c>
      <c r="K12" s="300">
        <v>3.0000000000000001E-3</v>
      </c>
      <c r="L12" s="300">
        <v>2E-3</v>
      </c>
      <c r="M12" s="300">
        <v>-2E-3</v>
      </c>
      <c r="N12" s="300">
        <v>-2E-3</v>
      </c>
      <c r="O12" s="300">
        <v>-3.0000000000000001E-3</v>
      </c>
      <c r="P12" s="300">
        <v>-4.0000000000000001E-3</v>
      </c>
      <c r="Q12" s="311">
        <f t="shared" si="2"/>
        <v>0.96261859582542708</v>
      </c>
      <c r="R12" s="296"/>
      <c r="S12" s="303" t="s">
        <v>20</v>
      </c>
      <c r="T12" s="473"/>
      <c r="U12" s="185"/>
      <c r="V12" s="185"/>
      <c r="W12" s="185"/>
      <c r="X12" s="185"/>
      <c r="Y12" s="185"/>
      <c r="Z12" s="185"/>
      <c r="AA12" s="185"/>
    </row>
    <row r="13" spans="1:27" ht="15.75" customHeight="1">
      <c r="A13" s="296" t="s">
        <v>406</v>
      </c>
      <c r="B13" s="14">
        <v>45316</v>
      </c>
      <c r="C13" s="13">
        <v>0.38194444444444442</v>
      </c>
      <c r="D13" s="14">
        <v>45316</v>
      </c>
      <c r="E13" s="313">
        <v>0.99583333333333335</v>
      </c>
      <c r="F13" s="314">
        <v>1070</v>
      </c>
      <c r="G13" s="308">
        <v>45329</v>
      </c>
      <c r="H13" s="306">
        <v>0.50902777777777775</v>
      </c>
      <c r="I13" s="314">
        <v>8</v>
      </c>
      <c r="J13" s="97">
        <v>1</v>
      </c>
      <c r="K13" s="309">
        <v>8.9999999999999993E-3</v>
      </c>
      <c r="L13" s="309">
        <v>8.0000000000000002E-3</v>
      </c>
      <c r="M13" s="309">
        <v>4.0000000000000001E-3</v>
      </c>
      <c r="N13" s="309">
        <v>4.0000000000000001E-3</v>
      </c>
      <c r="O13" s="309">
        <v>3.0000000000000001E-3</v>
      </c>
      <c r="P13" s="309">
        <v>2E-3</v>
      </c>
      <c r="Q13" s="311">
        <f t="shared" si="2"/>
        <v>0.79850467289719607</v>
      </c>
      <c r="R13" s="296"/>
      <c r="S13" s="303" t="s">
        <v>20</v>
      </c>
      <c r="T13" s="474"/>
      <c r="U13" s="185"/>
      <c r="V13" s="185"/>
      <c r="W13" s="185"/>
      <c r="X13" s="185"/>
      <c r="Y13" s="185"/>
      <c r="Z13" s="185"/>
      <c r="AA13" s="185"/>
    </row>
    <row r="14" spans="1:27" ht="15.75" customHeight="1">
      <c r="A14" s="296" t="s">
        <v>407</v>
      </c>
      <c r="B14" s="14">
        <v>45316</v>
      </c>
      <c r="C14" s="13">
        <v>0.40625</v>
      </c>
      <c r="D14" s="14">
        <v>45316</v>
      </c>
      <c r="E14" s="313">
        <v>0.5</v>
      </c>
      <c r="F14" s="314">
        <v>1051</v>
      </c>
      <c r="G14" s="308">
        <v>45329</v>
      </c>
      <c r="H14" s="306">
        <v>0.48958333333333331</v>
      </c>
      <c r="I14" s="314">
        <v>9.5</v>
      </c>
      <c r="J14" s="97">
        <v>1</v>
      </c>
      <c r="K14" s="309">
        <v>1E-3</v>
      </c>
      <c r="L14" s="309">
        <v>0</v>
      </c>
      <c r="M14" s="300">
        <v>-1E-3</v>
      </c>
      <c r="N14" s="300">
        <v>-2E-3</v>
      </c>
      <c r="O14" s="300">
        <v>-3.0000000000000001E-3</v>
      </c>
      <c r="P14" s="300">
        <v>-2E-3</v>
      </c>
      <c r="Q14" s="311">
        <f t="shared" si="2"/>
        <v>0.72402473834443382</v>
      </c>
      <c r="R14" s="296"/>
      <c r="S14" s="303" t="s">
        <v>20</v>
      </c>
      <c r="T14" s="481"/>
      <c r="U14" s="185"/>
      <c r="V14" s="185"/>
      <c r="W14" s="185"/>
      <c r="X14" s="185"/>
      <c r="Y14" s="185"/>
      <c r="Z14" s="185"/>
      <c r="AA14" s="185"/>
    </row>
    <row r="15" spans="1:27" ht="15.75" customHeight="1">
      <c r="A15" s="296" t="s">
        <v>408</v>
      </c>
      <c r="B15" s="14">
        <v>45320</v>
      </c>
      <c r="C15" s="26">
        <v>0.31597222222222221</v>
      </c>
      <c r="D15" s="14">
        <v>45320</v>
      </c>
      <c r="E15" s="313">
        <v>0.48333333333333334</v>
      </c>
      <c r="F15" s="314">
        <v>1052</v>
      </c>
      <c r="G15" s="308">
        <v>45329</v>
      </c>
      <c r="H15" s="306">
        <v>6.7361111111111108E-2</v>
      </c>
      <c r="I15" s="314">
        <v>8.5</v>
      </c>
      <c r="J15" s="97">
        <v>1</v>
      </c>
      <c r="K15" s="309">
        <v>1E-3</v>
      </c>
      <c r="L15" s="309">
        <v>1E-3</v>
      </c>
      <c r="M15" s="309">
        <v>1E-3</v>
      </c>
      <c r="N15" s="300">
        <v>-5.0000000000000001E-3</v>
      </c>
      <c r="O15" s="300">
        <v>-6.0000000000000001E-3</v>
      </c>
      <c r="P15" s="300">
        <v>-4.0000000000000001E-3</v>
      </c>
      <c r="Q15" s="311">
        <f t="shared" si="2"/>
        <v>0.43146387832699623</v>
      </c>
      <c r="R15" s="296"/>
      <c r="S15" s="303" t="s">
        <v>20</v>
      </c>
      <c r="T15" s="474"/>
      <c r="U15" s="185"/>
      <c r="V15" s="185"/>
      <c r="W15" s="185"/>
      <c r="X15" s="185"/>
      <c r="Y15" s="185"/>
      <c r="Z15" s="185"/>
      <c r="AA15" s="185"/>
    </row>
    <row r="16" spans="1:27" ht="15.75" customHeight="1">
      <c r="A16" s="296" t="s">
        <v>409</v>
      </c>
      <c r="B16" s="14">
        <v>45320</v>
      </c>
      <c r="C16" s="13">
        <v>0.36180555555555555</v>
      </c>
      <c r="D16" s="14">
        <v>45320</v>
      </c>
      <c r="E16" s="313">
        <v>0.4861111111111111</v>
      </c>
      <c r="F16" s="314">
        <v>1048</v>
      </c>
      <c r="G16" s="308">
        <v>45329</v>
      </c>
      <c r="H16" s="306">
        <v>7.9861111111111105E-2</v>
      </c>
      <c r="I16" s="314">
        <v>8.5</v>
      </c>
      <c r="J16" s="97">
        <v>1</v>
      </c>
      <c r="K16" s="300">
        <v>-5.0000000000000001E-3</v>
      </c>
      <c r="L16" s="300">
        <v>-5.0000000000000001E-3</v>
      </c>
      <c r="M16" s="300">
        <v>-6.0000000000000001E-3</v>
      </c>
      <c r="N16" s="300">
        <v>-5.0000000000000001E-3</v>
      </c>
      <c r="O16" s="300">
        <v>-6.0000000000000001E-3</v>
      </c>
      <c r="P16" s="300">
        <v>-5.0000000000000001E-3</v>
      </c>
      <c r="Q16" s="311">
        <f t="shared" si="2"/>
        <v>0.43311068702290079</v>
      </c>
      <c r="R16" s="296"/>
      <c r="S16" s="303" t="s">
        <v>20</v>
      </c>
      <c r="T16" s="482"/>
      <c r="U16" s="185"/>
      <c r="V16" s="185"/>
      <c r="W16" s="185"/>
      <c r="X16" s="185"/>
      <c r="Y16" s="185"/>
      <c r="Z16" s="185"/>
      <c r="AA16" s="185"/>
    </row>
    <row r="17" spans="1:27" ht="15.75" customHeight="1">
      <c r="A17" s="296" t="s">
        <v>410</v>
      </c>
      <c r="B17" s="14">
        <v>45320</v>
      </c>
      <c r="C17" s="13">
        <v>0.39374999999999999</v>
      </c>
      <c r="D17" s="14">
        <v>45320</v>
      </c>
      <c r="E17" s="313">
        <v>0.48958333333333331</v>
      </c>
      <c r="F17" s="314">
        <v>1050</v>
      </c>
      <c r="G17" s="308">
        <v>45329</v>
      </c>
      <c r="H17" s="306">
        <v>0.52986111111111112</v>
      </c>
      <c r="I17" s="314">
        <v>8.5</v>
      </c>
      <c r="J17" s="97">
        <v>1</v>
      </c>
      <c r="K17" s="300">
        <v>-3.0000000000000001E-3</v>
      </c>
      <c r="L17" s="300">
        <v>-4.0000000000000001E-3</v>
      </c>
      <c r="M17" s="300">
        <v>-4.0000000000000001E-3</v>
      </c>
      <c r="N17" s="300">
        <v>-3.0000000000000001E-3</v>
      </c>
      <c r="O17" s="300">
        <v>-4.0000000000000001E-3</v>
      </c>
      <c r="P17" s="300">
        <v>-3.0000000000000001E-3</v>
      </c>
      <c r="Q17" s="311">
        <f t="shared" si="2"/>
        <v>0.43228571428571433</v>
      </c>
      <c r="R17" s="296"/>
      <c r="S17" s="303" t="s">
        <v>20</v>
      </c>
      <c r="T17" s="474"/>
      <c r="U17" s="185"/>
      <c r="V17" s="185"/>
      <c r="W17" s="185"/>
      <c r="X17" s="185"/>
      <c r="Y17" s="185"/>
      <c r="Z17" s="185"/>
      <c r="AA17" s="185"/>
    </row>
    <row r="18" spans="1:27" ht="15.75" customHeight="1">
      <c r="A18" s="296" t="s">
        <v>411</v>
      </c>
      <c r="B18" s="14">
        <v>45320</v>
      </c>
      <c r="C18" s="30">
        <v>0.4201388888888889</v>
      </c>
      <c r="D18" s="14">
        <v>45320</v>
      </c>
      <c r="E18" s="313">
        <v>0.4909722222222222</v>
      </c>
      <c r="F18" s="314">
        <v>1050</v>
      </c>
      <c r="G18" s="308">
        <v>45329</v>
      </c>
      <c r="H18" s="306">
        <v>0.52638888888888891</v>
      </c>
      <c r="I18" s="321">
        <v>7.1</v>
      </c>
      <c r="J18" s="97">
        <v>1</v>
      </c>
      <c r="K18" s="300">
        <v>-2E-3</v>
      </c>
      <c r="L18" s="300">
        <v>-3.0000000000000001E-3</v>
      </c>
      <c r="M18" s="300">
        <v>-4.0000000000000001E-3</v>
      </c>
      <c r="N18" s="300">
        <v>-4.0000000000000001E-3</v>
      </c>
      <c r="O18" s="300">
        <v>-5.0000000000000001E-3</v>
      </c>
      <c r="P18" s="300">
        <v>-4.0000000000000001E-3</v>
      </c>
      <c r="Q18" s="311">
        <f t="shared" si="2"/>
        <v>0.54162857142857146</v>
      </c>
      <c r="R18" s="296"/>
      <c r="S18" s="303" t="s">
        <v>20</v>
      </c>
      <c r="T18" s="320"/>
      <c r="U18" s="185"/>
      <c r="V18" s="185"/>
      <c r="W18" s="185"/>
      <c r="X18" s="185"/>
      <c r="Y18" s="185"/>
      <c r="Z18" s="185"/>
      <c r="AA18" s="185"/>
    </row>
    <row r="19" spans="1:27" ht="35.25" customHeight="1">
      <c r="A19" s="22" t="s">
        <v>396</v>
      </c>
      <c r="B19" s="298" t="s">
        <v>17</v>
      </c>
      <c r="C19" s="298" t="s">
        <v>17</v>
      </c>
      <c r="D19" s="298" t="s">
        <v>17</v>
      </c>
      <c r="E19" s="298" t="s">
        <v>17</v>
      </c>
      <c r="F19" s="298" t="s">
        <v>17</v>
      </c>
      <c r="G19" s="322">
        <v>45330</v>
      </c>
      <c r="H19" s="323">
        <v>0.54861111111111116</v>
      </c>
      <c r="I19" s="298" t="s">
        <v>17</v>
      </c>
      <c r="J19" s="29">
        <v>1</v>
      </c>
      <c r="K19" s="309">
        <v>8.9999999999999993E-3</v>
      </c>
      <c r="L19" s="309">
        <v>8.0000000000000002E-3</v>
      </c>
      <c r="M19" s="309">
        <v>7.0000000000000001E-3</v>
      </c>
      <c r="N19" s="309">
        <v>8.9999999999999993E-3</v>
      </c>
      <c r="O19" s="309">
        <v>8.0000000000000002E-3</v>
      </c>
      <c r="P19" s="309">
        <v>7.0000000000000001E-3</v>
      </c>
      <c r="Q19" s="301">
        <f>((26.7*((K19-M19)-(O19-P19))*1000))</f>
        <v>26.699999999999978</v>
      </c>
      <c r="R19" s="302" t="s">
        <v>21</v>
      </c>
      <c r="S19" s="302" t="s">
        <v>20</v>
      </c>
      <c r="T19" s="304"/>
      <c r="U19" s="305"/>
      <c r="V19" s="305"/>
      <c r="W19" s="305"/>
      <c r="X19" s="305"/>
      <c r="Y19" s="305"/>
      <c r="Z19" s="305"/>
      <c r="AA19" s="305"/>
    </row>
    <row r="20" spans="1:27" ht="15.75" customHeight="1">
      <c r="A20" s="59" t="s">
        <v>412</v>
      </c>
      <c r="B20" s="14">
        <v>45321</v>
      </c>
      <c r="C20" s="30">
        <v>0.3215277777777778</v>
      </c>
      <c r="D20" s="14">
        <v>45321</v>
      </c>
      <c r="E20" s="313">
        <v>0.66874999999999996</v>
      </c>
      <c r="F20" s="314">
        <v>1033</v>
      </c>
      <c r="G20" s="322">
        <v>45330</v>
      </c>
      <c r="H20" s="306">
        <v>0.55555555555555558</v>
      </c>
      <c r="I20" s="321">
        <v>7.5</v>
      </c>
      <c r="J20" s="97">
        <v>1</v>
      </c>
      <c r="K20" s="300">
        <v>1E-3</v>
      </c>
      <c r="L20" s="300">
        <v>1E-3</v>
      </c>
      <c r="M20" s="300">
        <v>-1E-3</v>
      </c>
      <c r="N20" s="324">
        <v>-2E-3</v>
      </c>
      <c r="O20" s="324">
        <v>-2E-3</v>
      </c>
      <c r="P20" s="324">
        <v>-1E-3</v>
      </c>
      <c r="Q20" s="311">
        <f t="shared" ref="Q20:Q34" si="3">((26.7*((K20-M20)-(O20-P20))*I20)/(F20*J20))*1000</f>
        <v>0.58155856727976762</v>
      </c>
      <c r="R20" s="296"/>
      <c r="S20" s="303" t="s">
        <v>20</v>
      </c>
      <c r="T20" s="96"/>
      <c r="U20" s="185"/>
      <c r="V20" s="185"/>
      <c r="W20" s="185"/>
      <c r="X20" s="185"/>
      <c r="Y20" s="185"/>
      <c r="Z20" s="185"/>
      <c r="AA20" s="185"/>
    </row>
    <row r="21" spans="1:27" ht="15.75" customHeight="1">
      <c r="A21" s="59" t="s">
        <v>413</v>
      </c>
      <c r="B21" s="14">
        <v>45321</v>
      </c>
      <c r="C21" s="30">
        <v>0.39444444444444443</v>
      </c>
      <c r="D21" s="14">
        <v>45321</v>
      </c>
      <c r="E21" s="313">
        <v>0.67013888888888884</v>
      </c>
      <c r="F21" s="314">
        <v>1051</v>
      </c>
      <c r="G21" s="322">
        <v>45330</v>
      </c>
      <c r="H21" s="306">
        <v>0.56527777777777777</v>
      </c>
      <c r="I21" s="321">
        <v>7.5</v>
      </c>
      <c r="J21" s="97">
        <v>1</v>
      </c>
      <c r="K21" s="300">
        <v>0.59</v>
      </c>
      <c r="L21" s="300">
        <v>0.59</v>
      </c>
      <c r="M21" s="300">
        <v>0.57099999999999995</v>
      </c>
      <c r="N21" s="300">
        <v>0.59</v>
      </c>
      <c r="O21" s="300">
        <v>0.59</v>
      </c>
      <c r="P21" s="300">
        <v>0.57199999999999995</v>
      </c>
      <c r="Q21" s="311">
        <f t="shared" si="3"/>
        <v>0.19053282588011433</v>
      </c>
      <c r="R21" s="296"/>
      <c r="S21" s="303" t="s">
        <v>20</v>
      </c>
      <c r="T21" s="96"/>
      <c r="U21" s="185"/>
      <c r="V21" s="185"/>
      <c r="W21" s="185"/>
      <c r="X21" s="185"/>
      <c r="Y21" s="185"/>
      <c r="Z21" s="185"/>
      <c r="AA21" s="185"/>
    </row>
    <row r="22" spans="1:27" ht="15.75" customHeight="1">
      <c r="A22" s="59" t="s">
        <v>414</v>
      </c>
      <c r="B22" s="14">
        <v>45321</v>
      </c>
      <c r="C22" s="30">
        <v>0.41388888888888886</v>
      </c>
      <c r="D22" s="14">
        <v>45321</v>
      </c>
      <c r="E22" s="313">
        <v>0.67708333333333337</v>
      </c>
      <c r="F22" s="314">
        <v>1048</v>
      </c>
      <c r="G22" s="322">
        <v>45330</v>
      </c>
      <c r="H22" s="306">
        <v>0.55972222222222223</v>
      </c>
      <c r="I22" s="321">
        <v>7.5</v>
      </c>
      <c r="J22" s="97">
        <v>1</v>
      </c>
      <c r="K22" s="300">
        <v>-3.0000000000000001E-3</v>
      </c>
      <c r="L22" s="300">
        <v>-3.0000000000000001E-3</v>
      </c>
      <c r="M22" s="300">
        <v>-3.0000000000000001E-3</v>
      </c>
      <c r="N22" s="300">
        <v>-3.0000000000000001E-3</v>
      </c>
      <c r="O22" s="300">
        <v>-4.0000000000000001E-3</v>
      </c>
      <c r="P22" s="300">
        <v>-2E-3</v>
      </c>
      <c r="Q22" s="311">
        <f t="shared" si="3"/>
        <v>0.38215648854961831</v>
      </c>
      <c r="R22" s="296"/>
      <c r="S22" s="303" t="s">
        <v>20</v>
      </c>
      <c r="T22" s="96"/>
      <c r="U22" s="185"/>
      <c r="V22" s="185"/>
      <c r="W22" s="185"/>
      <c r="X22" s="185"/>
      <c r="Y22" s="185"/>
      <c r="Z22" s="185"/>
      <c r="AA22" s="185"/>
    </row>
    <row r="23" spans="1:27" ht="15.75" customHeight="1">
      <c r="A23" s="59" t="s">
        <v>415</v>
      </c>
      <c r="B23" s="14">
        <v>45321</v>
      </c>
      <c r="C23" s="30">
        <v>0.45208333333333334</v>
      </c>
      <c r="D23" s="14">
        <v>45321</v>
      </c>
      <c r="E23" s="313">
        <v>0.67847222222222225</v>
      </c>
      <c r="F23" s="314">
        <v>1052</v>
      </c>
      <c r="G23" s="322">
        <v>45330</v>
      </c>
      <c r="H23" s="306">
        <v>0.55763888888888891</v>
      </c>
      <c r="I23" s="321">
        <v>9</v>
      </c>
      <c r="J23" s="97">
        <v>1</v>
      </c>
      <c r="K23" s="300">
        <v>4.0000000000000001E-3</v>
      </c>
      <c r="L23" s="300">
        <v>2E-3</v>
      </c>
      <c r="M23" s="300">
        <v>2E-3</v>
      </c>
      <c r="N23" s="300">
        <v>1E-3</v>
      </c>
      <c r="O23" s="300">
        <v>1E-3</v>
      </c>
      <c r="P23" s="300">
        <v>1E-3</v>
      </c>
      <c r="Q23" s="311">
        <f t="shared" si="3"/>
        <v>0.45684410646387835</v>
      </c>
      <c r="R23" s="296"/>
      <c r="S23" s="303" t="s">
        <v>20</v>
      </c>
      <c r="T23" s="96"/>
      <c r="U23" s="185"/>
      <c r="V23" s="185"/>
      <c r="W23" s="185"/>
      <c r="X23" s="185"/>
      <c r="Y23" s="185"/>
      <c r="Z23" s="185"/>
      <c r="AA23" s="185"/>
    </row>
    <row r="24" spans="1:27" ht="15.75" customHeight="1">
      <c r="A24" s="59" t="s">
        <v>416</v>
      </c>
      <c r="B24" s="14">
        <v>45322</v>
      </c>
      <c r="C24" s="30">
        <v>0.2951388888888889</v>
      </c>
      <c r="D24" s="14">
        <v>45322</v>
      </c>
      <c r="E24" s="313">
        <v>0.62361111111111112</v>
      </c>
      <c r="F24" s="314">
        <v>1050</v>
      </c>
      <c r="G24" s="322">
        <v>45330</v>
      </c>
      <c r="H24" s="306">
        <v>0.56805555555555554</v>
      </c>
      <c r="I24" s="321">
        <v>7.5</v>
      </c>
      <c r="J24" s="97">
        <v>1</v>
      </c>
      <c r="K24" s="324">
        <v>4.0000000000000001E-3</v>
      </c>
      <c r="L24" s="324">
        <v>4.0000000000000001E-3</v>
      </c>
      <c r="M24" s="300">
        <v>2E-3</v>
      </c>
      <c r="N24" s="300">
        <v>3.0000000000000001E-3</v>
      </c>
      <c r="O24" s="300">
        <v>3.0000000000000001E-3</v>
      </c>
      <c r="P24" s="300">
        <v>2E-3</v>
      </c>
      <c r="Q24" s="311">
        <f t="shared" si="3"/>
        <v>0.19071428571428573</v>
      </c>
      <c r="R24" s="296"/>
      <c r="S24" s="303" t="s">
        <v>20</v>
      </c>
      <c r="T24" s="96"/>
      <c r="U24" s="185"/>
      <c r="V24" s="185"/>
      <c r="W24" s="185"/>
      <c r="X24" s="185"/>
      <c r="Y24" s="185"/>
      <c r="Z24" s="185"/>
      <c r="AA24" s="185"/>
    </row>
    <row r="25" spans="1:27" ht="15.75" customHeight="1">
      <c r="A25" s="59" t="s">
        <v>417</v>
      </c>
      <c r="B25" s="14">
        <v>45322</v>
      </c>
      <c r="C25" s="30">
        <v>0.34305555555555556</v>
      </c>
      <c r="D25" s="14">
        <v>45322</v>
      </c>
      <c r="E25" s="313">
        <v>0.625</v>
      </c>
      <c r="F25" s="314">
        <v>1050</v>
      </c>
      <c r="G25" s="322">
        <v>45330</v>
      </c>
      <c r="H25" s="306">
        <v>0.5756944444444444</v>
      </c>
      <c r="I25" s="321">
        <v>7.5</v>
      </c>
      <c r="J25" s="97">
        <v>1</v>
      </c>
      <c r="K25" s="324">
        <v>2E-3</v>
      </c>
      <c r="L25" s="324">
        <v>2E-3</v>
      </c>
      <c r="M25" s="324">
        <v>0</v>
      </c>
      <c r="N25" s="324">
        <v>-1E-3</v>
      </c>
      <c r="O25" s="324">
        <v>-1E-3</v>
      </c>
      <c r="P25" s="324">
        <v>-1E-3</v>
      </c>
      <c r="Q25" s="311">
        <f t="shared" si="3"/>
        <v>0.38142857142857145</v>
      </c>
      <c r="R25" s="296"/>
      <c r="S25" s="303" t="s">
        <v>20</v>
      </c>
      <c r="T25" s="96"/>
      <c r="U25" s="185"/>
      <c r="V25" s="185"/>
      <c r="W25" s="185"/>
      <c r="X25" s="185"/>
      <c r="Y25" s="185"/>
      <c r="Z25" s="185"/>
      <c r="AA25" s="185"/>
    </row>
    <row r="26" spans="1:27" ht="15.75" customHeight="1">
      <c r="A26" s="59" t="s">
        <v>418</v>
      </c>
      <c r="B26" s="14">
        <v>45322</v>
      </c>
      <c r="C26" s="30">
        <v>0.38611111111111113</v>
      </c>
      <c r="D26" s="14">
        <v>45322</v>
      </c>
      <c r="E26" s="313">
        <v>0.62847222222222221</v>
      </c>
      <c r="F26" s="314">
        <v>1070</v>
      </c>
      <c r="G26" s="322">
        <v>45330</v>
      </c>
      <c r="H26" s="306">
        <v>0.57291666666666663</v>
      </c>
      <c r="I26" s="321">
        <v>9</v>
      </c>
      <c r="J26" s="97">
        <v>1</v>
      </c>
      <c r="K26" s="300">
        <v>5.0000000000000001E-3</v>
      </c>
      <c r="L26" s="300">
        <v>4.0000000000000001E-3</v>
      </c>
      <c r="M26" s="324">
        <v>3.0000000000000001E-3</v>
      </c>
      <c r="N26" s="300">
        <v>4.0000000000000001E-3</v>
      </c>
      <c r="O26" s="300">
        <v>4.0000000000000001E-3</v>
      </c>
      <c r="P26" s="300">
        <v>3.0000000000000001E-3</v>
      </c>
      <c r="Q26" s="311">
        <f t="shared" si="3"/>
        <v>0.22457943925233648</v>
      </c>
      <c r="R26" s="296"/>
      <c r="S26" s="303" t="s">
        <v>20</v>
      </c>
      <c r="T26" s="96"/>
      <c r="U26" s="185"/>
      <c r="V26" s="185"/>
      <c r="W26" s="185"/>
      <c r="X26" s="185"/>
      <c r="Y26" s="185"/>
      <c r="Z26" s="185"/>
      <c r="AA26" s="185"/>
    </row>
    <row r="27" spans="1:27" ht="15.75" customHeight="1">
      <c r="A27" s="59" t="s">
        <v>419</v>
      </c>
      <c r="B27" s="14">
        <v>45322</v>
      </c>
      <c r="C27" s="30">
        <v>0.4236111111111111</v>
      </c>
      <c r="D27" s="14">
        <v>45322</v>
      </c>
      <c r="E27" s="313">
        <v>0.63124999999999998</v>
      </c>
      <c r="F27" s="314">
        <v>1050</v>
      </c>
      <c r="G27" s="322">
        <v>45330</v>
      </c>
      <c r="H27" s="306">
        <v>0.5708333333333333</v>
      </c>
      <c r="I27" s="321">
        <v>8</v>
      </c>
      <c r="J27" s="97">
        <v>1</v>
      </c>
      <c r="K27" s="324">
        <v>4.0000000000000001E-3</v>
      </c>
      <c r="L27" s="324">
        <v>4.0000000000000001E-3</v>
      </c>
      <c r="M27" s="300">
        <v>2E-3</v>
      </c>
      <c r="N27" s="324">
        <v>1E-3</v>
      </c>
      <c r="O27" s="324">
        <v>1E-3</v>
      </c>
      <c r="P27" s="300">
        <v>1E-3</v>
      </c>
      <c r="Q27" s="311">
        <f t="shared" si="3"/>
        <v>0.40685714285714286</v>
      </c>
      <c r="R27" s="296"/>
      <c r="S27" s="303" t="s">
        <v>20</v>
      </c>
      <c r="T27" s="325"/>
      <c r="U27" s="185"/>
      <c r="V27" s="185"/>
      <c r="W27" s="185"/>
      <c r="X27" s="185"/>
      <c r="Y27" s="185"/>
      <c r="Z27" s="185"/>
      <c r="AA27" s="185"/>
    </row>
    <row r="28" spans="1:27" ht="15.75" customHeight="1">
      <c r="A28" s="59" t="s">
        <v>420</v>
      </c>
      <c r="B28" s="35">
        <v>45323</v>
      </c>
      <c r="C28" s="13">
        <v>0.30763888888888891</v>
      </c>
      <c r="D28" s="35">
        <v>45323</v>
      </c>
      <c r="E28" s="306">
        <v>0.24097222222222223</v>
      </c>
      <c r="F28" s="307">
        <v>1054</v>
      </c>
      <c r="G28" s="322">
        <v>45330</v>
      </c>
      <c r="H28" s="121">
        <v>0.5854166666666667</v>
      </c>
      <c r="I28" s="307">
        <v>7.5</v>
      </c>
      <c r="J28" s="97">
        <v>1</v>
      </c>
      <c r="K28" s="309">
        <v>2E-3</v>
      </c>
      <c r="L28" s="309">
        <v>1E-3</v>
      </c>
      <c r="M28" s="309">
        <v>0</v>
      </c>
      <c r="N28" s="309">
        <v>1E-3</v>
      </c>
      <c r="O28" s="309">
        <v>0</v>
      </c>
      <c r="P28" s="309">
        <v>0</v>
      </c>
      <c r="Q28" s="311">
        <f t="shared" si="3"/>
        <v>0.37998102466793171</v>
      </c>
      <c r="R28" s="296"/>
      <c r="S28" s="303" t="s">
        <v>20</v>
      </c>
      <c r="T28" s="96"/>
      <c r="U28" s="185"/>
      <c r="V28" s="185"/>
      <c r="W28" s="185"/>
      <c r="X28" s="185"/>
      <c r="Y28" s="185"/>
      <c r="Z28" s="185"/>
      <c r="AA28" s="185"/>
    </row>
    <row r="29" spans="1:27" ht="15.75" customHeight="1">
      <c r="A29" s="59" t="s">
        <v>421</v>
      </c>
      <c r="B29" s="35">
        <v>45323</v>
      </c>
      <c r="C29" s="30">
        <v>0.35347222222222224</v>
      </c>
      <c r="D29" s="35">
        <v>45323</v>
      </c>
      <c r="E29" s="121">
        <v>0.24236111111111111</v>
      </c>
      <c r="F29" s="321">
        <v>1060</v>
      </c>
      <c r="G29" s="322">
        <v>45330</v>
      </c>
      <c r="H29" s="306">
        <v>0.57986111111111116</v>
      </c>
      <c r="I29" s="321">
        <v>7.5</v>
      </c>
      <c r="J29" s="97">
        <v>1</v>
      </c>
      <c r="K29" s="300">
        <v>3.0000000000000001E-3</v>
      </c>
      <c r="L29" s="300">
        <v>3.0000000000000001E-3</v>
      </c>
      <c r="M29" s="300">
        <v>2E-3</v>
      </c>
      <c r="N29" s="324">
        <v>2E-3</v>
      </c>
      <c r="O29" s="324">
        <v>1E-3</v>
      </c>
      <c r="P29" s="300">
        <v>2E-3</v>
      </c>
      <c r="Q29" s="311">
        <f t="shared" si="3"/>
        <v>0.37783018867924528</v>
      </c>
      <c r="R29" s="296"/>
      <c r="S29" s="303" t="s">
        <v>20</v>
      </c>
      <c r="T29" s="482"/>
      <c r="U29" s="185"/>
      <c r="V29" s="185"/>
      <c r="W29" s="185"/>
      <c r="X29" s="185"/>
      <c r="Y29" s="185"/>
      <c r="Z29" s="185"/>
      <c r="AA29" s="185"/>
    </row>
    <row r="30" spans="1:27" ht="15.75" customHeight="1">
      <c r="A30" s="59" t="s">
        <v>422</v>
      </c>
      <c r="B30" s="35">
        <v>45323</v>
      </c>
      <c r="C30" s="30">
        <v>0.3840277777777778</v>
      </c>
      <c r="D30" s="35">
        <v>45323</v>
      </c>
      <c r="E30" s="121">
        <v>0.24513888888888888</v>
      </c>
      <c r="F30" s="321">
        <v>1048</v>
      </c>
      <c r="G30" s="322">
        <v>45330</v>
      </c>
      <c r="H30" s="121">
        <v>0.58263888888888893</v>
      </c>
      <c r="I30" s="321">
        <v>8.3000000000000007</v>
      </c>
      <c r="J30" s="97">
        <v>1</v>
      </c>
      <c r="K30" s="300">
        <v>4.0000000000000001E-3</v>
      </c>
      <c r="L30" s="300">
        <v>3.0000000000000001E-3</v>
      </c>
      <c r="M30" s="300">
        <v>1E-3</v>
      </c>
      <c r="N30" s="300">
        <v>2E-3</v>
      </c>
      <c r="O30" s="300">
        <v>2E-3</v>
      </c>
      <c r="P30" s="300">
        <v>1E-3</v>
      </c>
      <c r="Q30" s="311">
        <f t="shared" si="3"/>
        <v>0.42291984732824428</v>
      </c>
      <c r="R30" s="296"/>
      <c r="S30" s="303" t="s">
        <v>20</v>
      </c>
      <c r="T30" s="473"/>
      <c r="U30" s="185"/>
      <c r="V30" s="185"/>
      <c r="W30" s="185"/>
      <c r="X30" s="185"/>
      <c r="Y30" s="185"/>
      <c r="Z30" s="185"/>
      <c r="AA30" s="185"/>
    </row>
    <row r="31" spans="1:27" ht="15.75" customHeight="1">
      <c r="A31" s="59" t="s">
        <v>423</v>
      </c>
      <c r="B31" s="35">
        <v>45324</v>
      </c>
      <c r="C31" s="30">
        <v>0.37013888888888891</v>
      </c>
      <c r="D31" s="35">
        <v>45324</v>
      </c>
      <c r="E31" s="121">
        <v>0.55208333333333337</v>
      </c>
      <c r="F31" s="321">
        <v>1054</v>
      </c>
      <c r="G31" s="322">
        <v>45330</v>
      </c>
      <c r="H31" s="121">
        <v>0.59444444444444444</v>
      </c>
      <c r="I31" s="321">
        <v>8</v>
      </c>
      <c r="J31" s="97">
        <v>1</v>
      </c>
      <c r="K31" s="300">
        <v>1E-3</v>
      </c>
      <c r="L31" s="300">
        <v>1E-3</v>
      </c>
      <c r="M31" s="300">
        <v>0</v>
      </c>
      <c r="N31" s="300">
        <v>0</v>
      </c>
      <c r="O31" s="300">
        <v>-1E-3</v>
      </c>
      <c r="P31" s="300">
        <v>0</v>
      </c>
      <c r="Q31" s="311">
        <f t="shared" si="3"/>
        <v>0.40531309297912715</v>
      </c>
      <c r="R31" s="296"/>
      <c r="S31" s="303" t="s">
        <v>20</v>
      </c>
      <c r="T31" s="474"/>
      <c r="U31" s="185"/>
      <c r="V31" s="185"/>
      <c r="W31" s="185"/>
      <c r="X31" s="185"/>
      <c r="Y31" s="185"/>
      <c r="Z31" s="185"/>
      <c r="AA31" s="185"/>
    </row>
    <row r="32" spans="1:27" ht="15.75" customHeight="1">
      <c r="A32" s="59" t="s">
        <v>424</v>
      </c>
      <c r="B32" s="35">
        <v>45324</v>
      </c>
      <c r="C32" s="30">
        <v>0.40208333333333335</v>
      </c>
      <c r="D32" s="35">
        <v>45324</v>
      </c>
      <c r="E32" s="95">
        <v>0.55972222222222223</v>
      </c>
      <c r="F32" s="321">
        <v>1064</v>
      </c>
      <c r="G32" s="322">
        <v>45330</v>
      </c>
      <c r="H32" s="121">
        <v>0.58958333333333335</v>
      </c>
      <c r="I32" s="321">
        <v>8.5</v>
      </c>
      <c r="J32" s="97">
        <v>1</v>
      </c>
      <c r="K32" s="300">
        <v>8.9999999999999993E-3</v>
      </c>
      <c r="L32" s="300">
        <v>8.9999999999999993E-3</v>
      </c>
      <c r="M32" s="300">
        <v>6.0000000000000001E-3</v>
      </c>
      <c r="N32" s="300">
        <v>3.0000000000000001E-3</v>
      </c>
      <c r="O32" s="300">
        <v>3.0000000000000001E-3</v>
      </c>
      <c r="P32" s="300">
        <v>2E-3</v>
      </c>
      <c r="Q32" s="311">
        <f t="shared" si="3"/>
        <v>0.42659774436090209</v>
      </c>
      <c r="R32" s="296"/>
      <c r="S32" s="303" t="s">
        <v>20</v>
      </c>
      <c r="T32" s="96"/>
      <c r="U32" s="185"/>
      <c r="V32" s="185"/>
      <c r="W32" s="185"/>
      <c r="X32" s="185"/>
      <c r="Y32" s="185"/>
      <c r="Z32" s="185"/>
      <c r="AA32" s="185"/>
    </row>
    <row r="33" spans="1:27" ht="15.75" customHeight="1">
      <c r="A33" s="59" t="s">
        <v>425</v>
      </c>
      <c r="B33" s="35">
        <v>45324</v>
      </c>
      <c r="C33" s="30">
        <v>0.43888888888888888</v>
      </c>
      <c r="D33" s="35">
        <v>45324</v>
      </c>
      <c r="E33" s="121">
        <v>0.56041666666666667</v>
      </c>
      <c r="F33" s="321">
        <v>1062</v>
      </c>
      <c r="G33" s="322">
        <v>45330</v>
      </c>
      <c r="H33" s="121">
        <v>0.58750000000000002</v>
      </c>
      <c r="I33" s="321">
        <v>8</v>
      </c>
      <c r="J33" s="97">
        <v>1</v>
      </c>
      <c r="K33" s="300">
        <v>8.9999999999999993E-3</v>
      </c>
      <c r="L33" s="300">
        <v>8.0000000000000002E-3</v>
      </c>
      <c r="M33" s="300">
        <v>7.0000000000000001E-3</v>
      </c>
      <c r="N33" s="300">
        <v>6.0000000000000001E-3</v>
      </c>
      <c r="O33" s="300">
        <v>6.0000000000000001E-3</v>
      </c>
      <c r="P33" s="300">
        <v>6.0000000000000001E-3</v>
      </c>
      <c r="Q33" s="311">
        <f t="shared" si="3"/>
        <v>0.40225988700564952</v>
      </c>
      <c r="R33" s="296"/>
      <c r="S33" s="303" t="s">
        <v>20</v>
      </c>
      <c r="T33" s="96"/>
      <c r="U33" s="185"/>
      <c r="V33" s="185"/>
      <c r="W33" s="185"/>
      <c r="X33" s="185"/>
      <c r="Y33" s="185"/>
      <c r="Z33" s="185"/>
      <c r="AA33" s="185"/>
    </row>
    <row r="34" spans="1:27" ht="15.75" customHeight="1">
      <c r="A34" s="59" t="s">
        <v>426</v>
      </c>
      <c r="B34" s="35">
        <v>45324</v>
      </c>
      <c r="C34" s="30">
        <v>0.46944444444444444</v>
      </c>
      <c r="D34" s="35">
        <v>45324</v>
      </c>
      <c r="E34" s="121">
        <v>0.55347222222222225</v>
      </c>
      <c r="F34" s="321">
        <v>10008</v>
      </c>
      <c r="G34" s="322">
        <v>45330</v>
      </c>
      <c r="H34" s="121">
        <v>0.59236111111111112</v>
      </c>
      <c r="I34" s="321">
        <v>7.5</v>
      </c>
      <c r="J34" s="97">
        <v>1</v>
      </c>
      <c r="K34" s="300">
        <v>3.0000000000000001E-3</v>
      </c>
      <c r="L34" s="300">
        <v>3.0000000000000001E-3</v>
      </c>
      <c r="M34" s="300">
        <v>2E-3</v>
      </c>
      <c r="N34" s="324">
        <v>2E-3</v>
      </c>
      <c r="O34" s="324">
        <v>1E-3</v>
      </c>
      <c r="P34" s="300">
        <v>2E-3</v>
      </c>
      <c r="Q34" s="311">
        <f t="shared" si="3"/>
        <v>4.0017985611510792E-2</v>
      </c>
      <c r="R34" s="296"/>
      <c r="S34" s="303" t="s">
        <v>20</v>
      </c>
      <c r="T34" s="96"/>
      <c r="U34" s="185"/>
      <c r="V34" s="185"/>
      <c r="W34" s="185"/>
      <c r="X34" s="185"/>
      <c r="Y34" s="185"/>
      <c r="Z34" s="185"/>
      <c r="AA34" s="185"/>
    </row>
    <row r="35" spans="1:27" ht="35.25" customHeight="1">
      <c r="A35" s="22" t="s">
        <v>396</v>
      </c>
      <c r="B35" s="298" t="s">
        <v>17</v>
      </c>
      <c r="C35" s="298" t="s">
        <v>17</v>
      </c>
      <c r="D35" s="298" t="s">
        <v>17</v>
      </c>
      <c r="E35" s="298" t="s">
        <v>17</v>
      </c>
      <c r="F35" s="298" t="s">
        <v>17</v>
      </c>
      <c r="G35" s="298" t="s">
        <v>17</v>
      </c>
      <c r="H35" s="298" t="s">
        <v>17</v>
      </c>
      <c r="I35" s="298" t="s">
        <v>17</v>
      </c>
      <c r="J35" s="29">
        <v>1</v>
      </c>
      <c r="K35" s="326">
        <v>8.9999999999999993E-3</v>
      </c>
      <c r="L35" s="326">
        <v>8.0000000000000002E-3</v>
      </c>
      <c r="M35" s="326">
        <v>7.0000000000000001E-3</v>
      </c>
      <c r="N35" s="326">
        <v>8.9999999999999993E-3</v>
      </c>
      <c r="O35" s="326">
        <v>8.0000000000000002E-3</v>
      </c>
      <c r="P35" s="326">
        <v>7.0000000000000001E-3</v>
      </c>
      <c r="Q35" s="301">
        <f>((26.7*((K35-M35)-(O35-P35))*1000))</f>
        <v>26.699999999999978</v>
      </c>
      <c r="R35" s="302" t="s">
        <v>21</v>
      </c>
      <c r="S35" s="302"/>
      <c r="T35" s="304"/>
      <c r="U35" s="305"/>
      <c r="V35" s="305"/>
      <c r="W35" s="305"/>
      <c r="X35" s="305"/>
      <c r="Y35" s="305"/>
      <c r="Z35" s="305"/>
      <c r="AA35" s="305"/>
    </row>
    <row r="36" spans="1:27" ht="15.75" customHeight="1">
      <c r="A36" s="296" t="s">
        <v>427</v>
      </c>
      <c r="B36" s="14">
        <v>45336</v>
      </c>
      <c r="C36" s="13">
        <v>0.3298611111111111</v>
      </c>
      <c r="D36" s="14">
        <v>45336</v>
      </c>
      <c r="E36" s="121">
        <v>0.64097222222222228</v>
      </c>
      <c r="F36" s="321">
        <v>1050</v>
      </c>
      <c r="G36" s="327">
        <v>45350</v>
      </c>
      <c r="H36" s="328">
        <v>0.44513888888888886</v>
      </c>
      <c r="I36" s="329">
        <v>7.8</v>
      </c>
      <c r="J36" s="29">
        <v>1</v>
      </c>
      <c r="K36" s="330">
        <v>5.0000000000000001E-3</v>
      </c>
      <c r="L36" s="330">
        <v>4.0000000000000001E-3</v>
      </c>
      <c r="M36" s="330">
        <v>3.0000000000000001E-3</v>
      </c>
      <c r="N36" s="330">
        <v>4.0000000000000001E-3</v>
      </c>
      <c r="O36" s="330">
        <v>3.0000000000000001E-3</v>
      </c>
      <c r="P36" s="330">
        <v>3.0000000000000001E-3</v>
      </c>
      <c r="Q36" s="311">
        <f t="shared" ref="Q36:Q52" si="4">((26.7*((K36-M36)-(O36-P36))*I36)/(F36*J36))*1000</f>
        <v>0.39668571428571425</v>
      </c>
      <c r="R36" s="296"/>
      <c r="S36" s="331"/>
      <c r="T36" s="96"/>
      <c r="U36" s="185"/>
      <c r="V36" s="185"/>
      <c r="W36" s="185"/>
      <c r="X36" s="185"/>
      <c r="Y36" s="185"/>
      <c r="Z36" s="185"/>
      <c r="AA36" s="185"/>
    </row>
    <row r="37" spans="1:27" ht="15.75" customHeight="1">
      <c r="A37" s="296" t="s">
        <v>428</v>
      </c>
      <c r="B37" s="14">
        <v>45336</v>
      </c>
      <c r="C37" s="332">
        <v>0.35138888888888886</v>
      </c>
      <c r="D37" s="14">
        <v>45336</v>
      </c>
      <c r="E37" s="121">
        <v>0.62638888888888888</v>
      </c>
      <c r="F37" s="321">
        <v>1050</v>
      </c>
      <c r="G37" s="327">
        <v>45350</v>
      </c>
      <c r="H37" s="328">
        <v>0.44930555555555557</v>
      </c>
      <c r="I37" s="329">
        <v>6.7</v>
      </c>
      <c r="J37" s="29">
        <v>1</v>
      </c>
      <c r="K37" s="333">
        <v>4.0000000000000001E-3</v>
      </c>
      <c r="L37" s="333">
        <v>4.0000000000000001E-3</v>
      </c>
      <c r="M37" s="333">
        <v>3.0000000000000001E-3</v>
      </c>
      <c r="N37" s="330">
        <v>4.0000000000000001E-3</v>
      </c>
      <c r="O37" s="330">
        <v>3.0000000000000001E-3</v>
      </c>
      <c r="P37" s="330">
        <v>3.0000000000000001E-3</v>
      </c>
      <c r="Q37" s="311">
        <f t="shared" si="4"/>
        <v>0.17037142857142859</v>
      </c>
      <c r="R37" s="296"/>
      <c r="S37" s="331"/>
      <c r="T37" s="96"/>
      <c r="U37" s="185"/>
      <c r="V37" s="185"/>
      <c r="W37" s="185"/>
      <c r="X37" s="185"/>
      <c r="Y37" s="185"/>
      <c r="Z37" s="185"/>
      <c r="AA37" s="185"/>
    </row>
    <row r="38" spans="1:27" ht="15.75" customHeight="1">
      <c r="A38" s="59" t="s">
        <v>429</v>
      </c>
      <c r="B38" s="14">
        <v>45336</v>
      </c>
      <c r="C38" s="13">
        <v>0.40625</v>
      </c>
      <c r="D38" s="14">
        <v>45336</v>
      </c>
      <c r="E38" s="121">
        <v>0.63472222222222219</v>
      </c>
      <c r="F38" s="321">
        <v>1050</v>
      </c>
      <c r="G38" s="327">
        <v>45350</v>
      </c>
      <c r="H38" s="328">
        <v>0.44722222222222224</v>
      </c>
      <c r="I38" s="329">
        <v>7.6</v>
      </c>
      <c r="J38" s="29">
        <v>1</v>
      </c>
      <c r="K38" s="333">
        <v>8.0000000000000002E-3</v>
      </c>
      <c r="L38" s="333">
        <v>7.0000000000000001E-3</v>
      </c>
      <c r="M38" s="333">
        <v>2E-3</v>
      </c>
      <c r="N38" s="330">
        <v>5.0000000000000001E-3</v>
      </c>
      <c r="O38" s="330">
        <v>5.0000000000000001E-3</v>
      </c>
      <c r="P38" s="330">
        <v>3.0000000000000001E-3</v>
      </c>
      <c r="Q38" s="311">
        <f t="shared" si="4"/>
        <v>0.7730285714285714</v>
      </c>
      <c r="R38" s="296"/>
      <c r="S38" s="331"/>
      <c r="T38" s="96"/>
      <c r="U38" s="185"/>
      <c r="V38" s="185"/>
      <c r="W38" s="185"/>
      <c r="X38" s="185"/>
      <c r="Y38" s="185"/>
      <c r="Z38" s="185"/>
      <c r="AA38" s="185"/>
    </row>
    <row r="39" spans="1:27" ht="15.75" customHeight="1">
      <c r="A39" s="59" t="s">
        <v>430</v>
      </c>
      <c r="B39" s="14">
        <v>45336</v>
      </c>
      <c r="C39" s="13">
        <v>0.4548611111111111</v>
      </c>
      <c r="D39" s="14">
        <v>45336</v>
      </c>
      <c r="E39" s="121">
        <v>0.61875000000000002</v>
      </c>
      <c r="F39" s="321">
        <v>1050</v>
      </c>
      <c r="G39" s="327">
        <v>45350</v>
      </c>
      <c r="H39" s="328">
        <v>0.45208333333333334</v>
      </c>
      <c r="I39" s="329">
        <v>7.5</v>
      </c>
      <c r="J39" s="29">
        <v>1</v>
      </c>
      <c r="K39" s="333">
        <v>8.9999999999999993E-3</v>
      </c>
      <c r="L39" s="333">
        <v>8.0000000000000002E-3</v>
      </c>
      <c r="M39" s="333">
        <v>3.0000000000000001E-3</v>
      </c>
      <c r="N39" s="333">
        <v>6.0000000000000001E-3</v>
      </c>
      <c r="O39" s="333">
        <v>6.0000000000000001E-3</v>
      </c>
      <c r="P39" s="333">
        <v>2E-3</v>
      </c>
      <c r="Q39" s="314">
        <f t="shared" si="4"/>
        <v>0.38142857142857123</v>
      </c>
      <c r="R39" s="296"/>
      <c r="S39" s="331"/>
      <c r="T39" s="96"/>
      <c r="U39" s="185"/>
      <c r="V39" s="185"/>
      <c r="W39" s="185"/>
      <c r="X39" s="185"/>
      <c r="Y39" s="185"/>
      <c r="Z39" s="185"/>
      <c r="AA39" s="185"/>
    </row>
    <row r="40" spans="1:27" ht="15.75" customHeight="1">
      <c r="A40" s="59" t="s">
        <v>431</v>
      </c>
      <c r="B40" s="14">
        <v>45337</v>
      </c>
      <c r="C40" s="13">
        <v>0.29305555555555557</v>
      </c>
      <c r="D40" s="14">
        <v>45337</v>
      </c>
      <c r="E40" s="121">
        <v>0.69374999999999998</v>
      </c>
      <c r="F40" s="321">
        <v>1050</v>
      </c>
      <c r="G40" s="327">
        <v>45350</v>
      </c>
      <c r="H40" s="328">
        <v>0.4284722222222222</v>
      </c>
      <c r="I40" s="329">
        <v>7</v>
      </c>
      <c r="J40" s="29">
        <v>1</v>
      </c>
      <c r="K40" s="330">
        <v>6.0000000000000001E-3</v>
      </c>
      <c r="L40" s="330">
        <v>5.0000000000000001E-3</v>
      </c>
      <c r="M40" s="330">
        <v>2E-3</v>
      </c>
      <c r="N40" s="333">
        <v>5.0000000000000001E-3</v>
      </c>
      <c r="O40" s="333">
        <v>4.0000000000000001E-3</v>
      </c>
      <c r="P40" s="333">
        <v>3.0000000000000001E-3</v>
      </c>
      <c r="Q40" s="311">
        <f t="shared" si="4"/>
        <v>0.53399999999999992</v>
      </c>
      <c r="R40" s="296"/>
      <c r="S40" s="331"/>
      <c r="T40" s="96"/>
      <c r="U40" s="185"/>
      <c r="V40" s="185"/>
      <c r="W40" s="185"/>
      <c r="X40" s="185"/>
      <c r="Y40" s="185"/>
      <c r="Z40" s="185"/>
      <c r="AA40" s="185"/>
    </row>
    <row r="41" spans="1:27" ht="15.75" customHeight="1">
      <c r="A41" s="59" t="s">
        <v>432</v>
      </c>
      <c r="B41" s="14">
        <v>45337</v>
      </c>
      <c r="C41" s="332">
        <v>0.3972222222222222</v>
      </c>
      <c r="D41" s="14">
        <v>45337</v>
      </c>
      <c r="E41" s="334">
        <v>0.68958333333333333</v>
      </c>
      <c r="F41" s="321">
        <v>1052</v>
      </c>
      <c r="G41" s="327">
        <v>45350</v>
      </c>
      <c r="H41" s="335">
        <v>0.40694444444444444</v>
      </c>
      <c r="I41" s="336">
        <v>8</v>
      </c>
      <c r="J41" s="29">
        <v>1</v>
      </c>
      <c r="K41" s="337">
        <v>7.0000000000000001E-3</v>
      </c>
      <c r="L41" s="337">
        <v>6.0000000000000001E-3</v>
      </c>
      <c r="M41" s="337">
        <v>3.0000000000000001E-3</v>
      </c>
      <c r="N41" s="338">
        <v>7.0000000000000001E-3</v>
      </c>
      <c r="O41" s="338">
        <v>6.0000000000000001E-3</v>
      </c>
      <c r="P41" s="337">
        <v>2E-3</v>
      </c>
      <c r="Q41" s="311">
        <f t="shared" si="4"/>
        <v>0</v>
      </c>
      <c r="R41" s="296"/>
      <c r="S41" s="331"/>
      <c r="T41" s="483"/>
      <c r="U41" s="185"/>
      <c r="V41" s="185"/>
      <c r="W41" s="185"/>
      <c r="X41" s="185"/>
      <c r="Y41" s="185"/>
      <c r="Z41" s="185"/>
      <c r="AA41" s="185"/>
    </row>
    <row r="42" spans="1:27" ht="15.75" customHeight="1">
      <c r="A42" s="59" t="s">
        <v>433</v>
      </c>
      <c r="B42" s="14">
        <v>45337</v>
      </c>
      <c r="C42" s="332">
        <v>0.4152777777777778</v>
      </c>
      <c r="D42" s="14">
        <v>45337</v>
      </c>
      <c r="E42" s="334">
        <v>0.68611111111111112</v>
      </c>
      <c r="F42" s="321">
        <v>1054</v>
      </c>
      <c r="G42" s="327">
        <v>45350</v>
      </c>
      <c r="H42" s="335">
        <v>0.4201388888888889</v>
      </c>
      <c r="I42" s="336">
        <v>7.6</v>
      </c>
      <c r="J42" s="29">
        <v>1</v>
      </c>
      <c r="K42" s="337">
        <v>8.0000000000000002E-3</v>
      </c>
      <c r="L42" s="337">
        <v>8.0000000000000002E-3</v>
      </c>
      <c r="M42" s="337">
        <v>4.0000000000000001E-3</v>
      </c>
      <c r="N42" s="337">
        <v>6.0000000000000001E-3</v>
      </c>
      <c r="O42" s="337">
        <v>6.0000000000000001E-3</v>
      </c>
      <c r="P42" s="337">
        <v>4.0000000000000001E-3</v>
      </c>
      <c r="Q42" s="311">
        <f t="shared" si="4"/>
        <v>0.38504743833017074</v>
      </c>
      <c r="R42" s="296"/>
      <c r="S42" s="331"/>
      <c r="T42" s="474"/>
      <c r="U42" s="185"/>
      <c r="V42" s="185"/>
      <c r="W42" s="185"/>
      <c r="X42" s="185"/>
      <c r="Y42" s="185"/>
      <c r="Z42" s="185"/>
      <c r="AA42" s="185"/>
    </row>
    <row r="43" spans="1:27" ht="15.75" customHeight="1">
      <c r="A43" s="59" t="s">
        <v>434</v>
      </c>
      <c r="B43" s="14">
        <v>45338</v>
      </c>
      <c r="C43" s="332">
        <v>0.33055555555555555</v>
      </c>
      <c r="D43" s="14">
        <v>45338</v>
      </c>
      <c r="E43" s="306">
        <v>0.62361111111111112</v>
      </c>
      <c r="F43" s="307">
        <v>1054</v>
      </c>
      <c r="G43" s="327">
        <v>45350</v>
      </c>
      <c r="H43" s="328">
        <v>0.44027777777777777</v>
      </c>
      <c r="I43" s="329">
        <v>7</v>
      </c>
      <c r="J43" s="29">
        <v>1</v>
      </c>
      <c r="K43" s="326">
        <v>8.9999999999999993E-3</v>
      </c>
      <c r="L43" s="326">
        <v>8.9999999999999993E-3</v>
      </c>
      <c r="M43" s="326">
        <v>5.0000000000000001E-3</v>
      </c>
      <c r="N43" s="326">
        <v>5.0000000000000001E-3</v>
      </c>
      <c r="O43" s="326">
        <v>4.0000000000000001E-3</v>
      </c>
      <c r="P43" s="326">
        <v>2E-3</v>
      </c>
      <c r="Q43" s="311">
        <f t="shared" si="4"/>
        <v>0.35464895635673604</v>
      </c>
      <c r="R43" s="296"/>
      <c r="S43" s="331"/>
      <c r="T43" s="96"/>
      <c r="U43" s="185"/>
      <c r="V43" s="185"/>
      <c r="W43" s="185"/>
      <c r="X43" s="185"/>
      <c r="Y43" s="185"/>
      <c r="Z43" s="185"/>
      <c r="AA43" s="185"/>
    </row>
    <row r="44" spans="1:27" ht="15.75" customHeight="1">
      <c r="A44" s="59" t="s">
        <v>435</v>
      </c>
      <c r="B44" s="14">
        <v>45338</v>
      </c>
      <c r="C44" s="13">
        <v>0.36458333333333331</v>
      </c>
      <c r="D44" s="14">
        <v>45338</v>
      </c>
      <c r="E44" s="334">
        <v>0.62638888888888888</v>
      </c>
      <c r="F44" s="339">
        <v>1052</v>
      </c>
      <c r="G44" s="327">
        <v>45350</v>
      </c>
      <c r="H44" s="335">
        <v>0.44236111111111109</v>
      </c>
      <c r="I44" s="336">
        <v>9</v>
      </c>
      <c r="J44" s="29">
        <v>1</v>
      </c>
      <c r="K44" s="326">
        <v>6.0000000000000001E-3</v>
      </c>
      <c r="L44" s="326">
        <v>5.0000000000000001E-3</v>
      </c>
      <c r="M44" s="326">
        <v>3.0000000000000001E-3</v>
      </c>
      <c r="N44" s="326">
        <v>5.0000000000000001E-3</v>
      </c>
      <c r="O44" s="326">
        <v>4.0000000000000001E-3</v>
      </c>
      <c r="P44" s="326">
        <v>3.0000000000000001E-3</v>
      </c>
      <c r="Q44" s="311">
        <f t="shared" si="4"/>
        <v>0.45684410646387835</v>
      </c>
      <c r="R44" s="296"/>
      <c r="S44" s="331"/>
      <c r="T44" s="96"/>
      <c r="U44" s="185"/>
      <c r="V44" s="185"/>
      <c r="W44" s="185"/>
      <c r="X44" s="185"/>
      <c r="Y44" s="185"/>
      <c r="Z44" s="185"/>
      <c r="AA44" s="185"/>
    </row>
    <row r="45" spans="1:27" ht="15.75" customHeight="1">
      <c r="A45" s="59" t="s">
        <v>436</v>
      </c>
      <c r="B45" s="14">
        <v>45338</v>
      </c>
      <c r="C45" s="13">
        <v>0.39583333333333331</v>
      </c>
      <c r="D45" s="14">
        <v>45338</v>
      </c>
      <c r="E45" s="334">
        <v>0.63055555555555554</v>
      </c>
      <c r="F45" s="339">
        <v>1053</v>
      </c>
      <c r="G45" s="327">
        <v>45350</v>
      </c>
      <c r="H45" s="335">
        <v>0.46180555555555558</v>
      </c>
      <c r="I45" s="336">
        <v>7.4</v>
      </c>
      <c r="J45" s="29">
        <v>1</v>
      </c>
      <c r="K45" s="338">
        <v>4.0000000000000001E-3</v>
      </c>
      <c r="L45" s="338">
        <v>3.0000000000000001E-3</v>
      </c>
      <c r="M45" s="338">
        <v>1E-3</v>
      </c>
      <c r="N45" s="338">
        <v>5.0000000000000001E-3</v>
      </c>
      <c r="O45" s="338">
        <v>4.0000000000000001E-3</v>
      </c>
      <c r="P45" s="338">
        <v>4.0000000000000001E-3</v>
      </c>
      <c r="Q45" s="311">
        <f t="shared" si="4"/>
        <v>0.56290598290598304</v>
      </c>
      <c r="R45" s="296"/>
      <c r="S45" s="331"/>
      <c r="T45" s="96"/>
      <c r="U45" s="185"/>
      <c r="V45" s="185"/>
      <c r="W45" s="185"/>
      <c r="X45" s="185"/>
      <c r="Y45" s="185"/>
      <c r="Z45" s="185"/>
      <c r="AA45" s="185"/>
    </row>
    <row r="46" spans="1:27" ht="15.75" customHeight="1">
      <c r="A46" s="59" t="s">
        <v>437</v>
      </c>
      <c r="B46" s="14">
        <v>45338</v>
      </c>
      <c r="C46" s="13">
        <v>0.41805555555555557</v>
      </c>
      <c r="D46" s="14">
        <v>45338</v>
      </c>
      <c r="E46" s="334">
        <v>0.63541666666666663</v>
      </c>
      <c r="F46" s="339">
        <v>1056</v>
      </c>
      <c r="G46" s="327">
        <v>45350</v>
      </c>
      <c r="H46" s="340">
        <v>0.43541666666666667</v>
      </c>
      <c r="I46" s="336">
        <v>7.9</v>
      </c>
      <c r="J46" s="29">
        <v>1</v>
      </c>
      <c r="K46" s="338">
        <v>5.0000000000000001E-3</v>
      </c>
      <c r="L46" s="338">
        <v>3.0000000000000001E-3</v>
      </c>
      <c r="M46" s="338">
        <v>2E-3</v>
      </c>
      <c r="N46" s="338">
        <v>3.0000000000000001E-3</v>
      </c>
      <c r="O46" s="338">
        <v>2E-3</v>
      </c>
      <c r="P46" s="338">
        <v>1E-3</v>
      </c>
      <c r="Q46" s="311">
        <f t="shared" si="4"/>
        <v>0.39948863636363641</v>
      </c>
      <c r="R46" s="296"/>
      <c r="S46" s="331"/>
      <c r="T46" s="96"/>
      <c r="U46" s="185"/>
      <c r="V46" s="185"/>
      <c r="W46" s="185"/>
      <c r="X46" s="185"/>
      <c r="Y46" s="185"/>
      <c r="Z46" s="185"/>
      <c r="AA46" s="185"/>
    </row>
    <row r="47" spans="1:27" ht="15.75" customHeight="1">
      <c r="A47" s="341" t="s">
        <v>438</v>
      </c>
      <c r="B47" s="122">
        <v>45343</v>
      </c>
      <c r="C47" s="74">
        <v>0.38055555555555554</v>
      </c>
      <c r="D47" s="14">
        <v>45343</v>
      </c>
      <c r="E47" s="335">
        <v>0.60763888888888884</v>
      </c>
      <c r="F47" s="336">
        <v>1010</v>
      </c>
      <c r="G47" s="327">
        <v>45350</v>
      </c>
      <c r="H47" s="335">
        <v>0.45624999999999999</v>
      </c>
      <c r="I47" s="336">
        <v>7.4</v>
      </c>
      <c r="J47" s="29">
        <v>1</v>
      </c>
      <c r="K47" s="338">
        <v>8.0000000000000002E-3</v>
      </c>
      <c r="L47" s="338">
        <v>7.0000000000000001E-3</v>
      </c>
      <c r="M47" s="338">
        <v>4.0000000000000001E-3</v>
      </c>
      <c r="N47" s="338">
        <v>7.0000000000000001E-3</v>
      </c>
      <c r="O47" s="338">
        <v>6.0000000000000001E-3</v>
      </c>
      <c r="P47" s="338">
        <v>4.0000000000000001E-3</v>
      </c>
      <c r="Q47" s="311">
        <f t="shared" si="4"/>
        <v>0.39124752475247532</v>
      </c>
      <c r="R47" s="296"/>
      <c r="S47" s="331"/>
      <c r="T47" s="96"/>
      <c r="U47" s="185"/>
      <c r="V47" s="185"/>
      <c r="W47" s="185"/>
      <c r="X47" s="185"/>
      <c r="Y47" s="185"/>
      <c r="Z47" s="185"/>
      <c r="AA47" s="185"/>
    </row>
    <row r="48" spans="1:27" ht="15.75" customHeight="1">
      <c r="A48" s="341" t="s">
        <v>439</v>
      </c>
      <c r="B48" s="122">
        <v>45343</v>
      </c>
      <c r="C48" s="74">
        <v>0.40138888888888891</v>
      </c>
      <c r="D48" s="14">
        <v>45343</v>
      </c>
      <c r="E48" s="335">
        <v>0.60972222222222228</v>
      </c>
      <c r="F48" s="336">
        <v>1060</v>
      </c>
      <c r="G48" s="327">
        <v>45350</v>
      </c>
      <c r="H48" s="335">
        <v>0.45416666666666666</v>
      </c>
      <c r="I48" s="336">
        <v>7.9</v>
      </c>
      <c r="J48" s="29">
        <v>1</v>
      </c>
      <c r="K48" s="338">
        <v>4.0000000000000001E-3</v>
      </c>
      <c r="L48" s="338">
        <v>3.0000000000000001E-3</v>
      </c>
      <c r="M48" s="338">
        <v>3.0000000000000001E-3</v>
      </c>
      <c r="N48" s="338">
        <v>4.0000000000000001E-3</v>
      </c>
      <c r="O48" s="338">
        <v>3.0000000000000001E-3</v>
      </c>
      <c r="P48" s="338">
        <v>2E-3</v>
      </c>
      <c r="Q48" s="311">
        <f t="shared" si="4"/>
        <v>0</v>
      </c>
      <c r="R48" s="296"/>
      <c r="S48" s="331"/>
      <c r="T48" s="96"/>
      <c r="U48" s="185"/>
      <c r="V48" s="185"/>
      <c r="W48" s="185"/>
      <c r="X48" s="185"/>
      <c r="Y48" s="185"/>
      <c r="Z48" s="185"/>
      <c r="AA48" s="185"/>
    </row>
    <row r="49" spans="1:27" ht="15.75" customHeight="1">
      <c r="A49" s="341" t="s">
        <v>440</v>
      </c>
      <c r="B49" s="122">
        <v>45343</v>
      </c>
      <c r="C49" s="74">
        <v>0.42708333333333331</v>
      </c>
      <c r="D49" s="14">
        <v>45343</v>
      </c>
      <c r="E49" s="335">
        <v>0.61458333333333337</v>
      </c>
      <c r="F49" s="336">
        <v>1060</v>
      </c>
      <c r="G49" s="327">
        <v>45350</v>
      </c>
      <c r="H49" s="335">
        <v>0.45902777777777776</v>
      </c>
      <c r="I49" s="336">
        <v>7.1</v>
      </c>
      <c r="J49" s="29">
        <v>1</v>
      </c>
      <c r="K49" s="338">
        <v>3.0000000000000001E-3</v>
      </c>
      <c r="L49" s="338">
        <v>2E-3</v>
      </c>
      <c r="M49" s="338">
        <v>1E-3</v>
      </c>
      <c r="N49" s="338">
        <v>2E-3</v>
      </c>
      <c r="O49" s="338">
        <v>1E-3</v>
      </c>
      <c r="P49" s="338">
        <v>2E-3</v>
      </c>
      <c r="Q49" s="311">
        <f t="shared" si="4"/>
        <v>0.5365188679245283</v>
      </c>
      <c r="R49" s="296"/>
      <c r="S49" s="331"/>
      <c r="T49" s="96"/>
      <c r="U49" s="185"/>
      <c r="V49" s="185"/>
      <c r="W49" s="185"/>
      <c r="X49" s="185"/>
      <c r="Y49" s="185"/>
      <c r="Z49" s="185"/>
      <c r="AA49" s="185"/>
    </row>
    <row r="50" spans="1:27" ht="15.75" customHeight="1">
      <c r="A50" s="341" t="s">
        <v>441</v>
      </c>
      <c r="B50" s="122">
        <v>45343</v>
      </c>
      <c r="C50" s="74">
        <v>0.4909722222222222</v>
      </c>
      <c r="D50" s="14">
        <v>45343</v>
      </c>
      <c r="E50" s="335">
        <v>0.61597222222222225</v>
      </c>
      <c r="F50" s="336">
        <v>1048</v>
      </c>
      <c r="G50" s="327">
        <v>45350</v>
      </c>
      <c r="H50" s="335">
        <v>0.40972222222222221</v>
      </c>
      <c r="I50" s="336">
        <v>7</v>
      </c>
      <c r="J50" s="29">
        <v>1</v>
      </c>
      <c r="K50" s="338">
        <v>3.0000000000000001E-3</v>
      </c>
      <c r="L50" s="338">
        <v>3.0000000000000001E-3</v>
      </c>
      <c r="M50" s="338">
        <v>2E-3</v>
      </c>
      <c r="N50" s="338">
        <v>3.0000000000000001E-3</v>
      </c>
      <c r="O50" s="338">
        <v>2E-3</v>
      </c>
      <c r="P50" s="338">
        <v>2E-3</v>
      </c>
      <c r="Q50" s="311">
        <f t="shared" si="4"/>
        <v>0.17833969465648858</v>
      </c>
      <c r="R50" s="296"/>
      <c r="S50" s="331"/>
      <c r="T50" s="96"/>
      <c r="U50" s="185"/>
      <c r="V50" s="185"/>
      <c r="W50" s="185"/>
      <c r="X50" s="185"/>
      <c r="Y50" s="185"/>
      <c r="Z50" s="185"/>
      <c r="AA50" s="185"/>
    </row>
    <row r="51" spans="1:27" ht="14.25" customHeight="1">
      <c r="A51" s="341" t="s">
        <v>442</v>
      </c>
      <c r="B51" s="122">
        <v>45343</v>
      </c>
      <c r="C51" s="76">
        <v>0.51180555555555551</v>
      </c>
      <c r="D51" s="14">
        <v>45343</v>
      </c>
      <c r="E51" s="335">
        <v>0.60624999999999996</v>
      </c>
      <c r="F51" s="342">
        <v>1052</v>
      </c>
      <c r="G51" s="327">
        <v>45350</v>
      </c>
      <c r="H51" s="335">
        <v>0.41666666666666669</v>
      </c>
      <c r="I51" s="342">
        <v>9.5</v>
      </c>
      <c r="J51" s="29">
        <v>1</v>
      </c>
      <c r="K51" s="343">
        <v>4.0000000000000001E-3</v>
      </c>
      <c r="L51" s="343">
        <v>3.0000000000000001E-3</v>
      </c>
      <c r="M51" s="343">
        <v>2E-3</v>
      </c>
      <c r="N51" s="343">
        <v>2E-3</v>
      </c>
      <c r="O51" s="343">
        <v>1E-3</v>
      </c>
      <c r="P51" s="343">
        <v>1E-3</v>
      </c>
      <c r="Q51" s="344">
        <f t="shared" si="4"/>
        <v>0.48222433460076053</v>
      </c>
      <c r="R51" s="345"/>
      <c r="S51" s="303"/>
      <c r="T51" s="219"/>
      <c r="U51" s="346"/>
      <c r="V51" s="346"/>
      <c r="W51" s="346"/>
      <c r="X51" s="346"/>
      <c r="Y51" s="346"/>
      <c r="Z51" s="346"/>
      <c r="AA51" s="346"/>
    </row>
    <row r="52" spans="1:27" ht="15.75" customHeight="1">
      <c r="A52" s="341" t="s">
        <v>443</v>
      </c>
      <c r="B52" s="122">
        <v>45343</v>
      </c>
      <c r="C52" s="77">
        <v>0.53402777777777777</v>
      </c>
      <c r="D52" s="14">
        <v>45343</v>
      </c>
      <c r="E52" s="335">
        <v>0.6118055555555556</v>
      </c>
      <c r="F52" s="336">
        <v>1054</v>
      </c>
      <c r="G52" s="327">
        <v>45350</v>
      </c>
      <c r="H52" s="335">
        <v>0.41458333333333336</v>
      </c>
      <c r="I52" s="336">
        <v>7.5</v>
      </c>
      <c r="J52" s="29">
        <v>1</v>
      </c>
      <c r="K52" s="338">
        <v>4.0000000000000001E-3</v>
      </c>
      <c r="L52" s="338">
        <v>3.0000000000000001E-3</v>
      </c>
      <c r="M52" s="338">
        <v>2E-3</v>
      </c>
      <c r="N52" s="338">
        <v>4.0000000000000001E-3</v>
      </c>
      <c r="O52" s="338">
        <v>3.0000000000000001E-3</v>
      </c>
      <c r="P52" s="338">
        <v>2E-3</v>
      </c>
      <c r="Q52" s="347">
        <f t="shared" si="4"/>
        <v>0.18999051233396586</v>
      </c>
      <c r="R52" s="296"/>
      <c r="S52" s="348"/>
      <c r="T52" s="96"/>
      <c r="U52" s="185"/>
      <c r="V52" s="185"/>
      <c r="W52" s="185"/>
      <c r="X52" s="185"/>
      <c r="Y52" s="185"/>
      <c r="Z52" s="185"/>
      <c r="AA52" s="185"/>
    </row>
    <row r="53" spans="1:27" ht="30.75" customHeight="1">
      <c r="A53" s="349" t="s">
        <v>444</v>
      </c>
      <c r="B53" s="298" t="s">
        <v>17</v>
      </c>
      <c r="C53" s="298" t="s">
        <v>17</v>
      </c>
      <c r="D53" s="298" t="s">
        <v>17</v>
      </c>
      <c r="E53" s="298" t="s">
        <v>17</v>
      </c>
      <c r="F53" s="298" t="s">
        <v>17</v>
      </c>
      <c r="G53" s="298" t="s">
        <v>17</v>
      </c>
      <c r="H53" s="298" t="s">
        <v>17</v>
      </c>
      <c r="I53" s="298" t="s">
        <v>17</v>
      </c>
      <c r="J53" s="298">
        <v>1</v>
      </c>
      <c r="K53" s="298">
        <v>1.9E-2</v>
      </c>
      <c r="L53" s="298">
        <v>1.7999999999999999E-2</v>
      </c>
      <c r="M53" s="298">
        <v>0</v>
      </c>
      <c r="N53" s="298">
        <v>1.0999999999999999E-2</v>
      </c>
      <c r="O53" s="298">
        <v>1.0999999999999999E-2</v>
      </c>
      <c r="P53" s="298">
        <v>0</v>
      </c>
      <c r="Q53" s="298">
        <f>((26.7*((K53-M53)-(O53-P53))*1000))</f>
        <v>213.60000000000002</v>
      </c>
      <c r="R53" s="296"/>
      <c r="S53" s="348"/>
      <c r="T53" s="96"/>
      <c r="U53" s="185"/>
      <c r="V53" s="185"/>
      <c r="W53" s="185"/>
      <c r="X53" s="185"/>
      <c r="Y53" s="185"/>
      <c r="Z53" s="185"/>
      <c r="AA53" s="185"/>
    </row>
    <row r="54" spans="1:27" ht="15.75" customHeight="1">
      <c r="A54" s="350"/>
      <c r="B54" s="351"/>
      <c r="C54" s="352"/>
      <c r="D54" s="351"/>
      <c r="E54" s="334"/>
      <c r="F54" s="339"/>
      <c r="G54" s="353"/>
      <c r="H54" s="334"/>
      <c r="I54" s="339"/>
      <c r="J54" s="348"/>
      <c r="K54" s="354"/>
      <c r="L54" s="354"/>
      <c r="M54" s="354"/>
      <c r="N54" s="354"/>
      <c r="O54" s="354"/>
      <c r="P54" s="354"/>
      <c r="Q54" s="347"/>
      <c r="R54" s="296"/>
      <c r="S54" s="348"/>
      <c r="T54" s="96"/>
      <c r="U54" s="185"/>
      <c r="V54" s="185"/>
      <c r="W54" s="185"/>
      <c r="X54" s="185"/>
      <c r="Y54" s="185"/>
      <c r="Z54" s="185"/>
      <c r="AA54" s="185"/>
    </row>
    <row r="55" spans="1:27" ht="15.75" customHeight="1">
      <c r="A55" s="350"/>
      <c r="B55" s="351"/>
      <c r="C55" s="352"/>
      <c r="D55" s="351"/>
      <c r="E55" s="334"/>
      <c r="F55" s="339"/>
      <c r="G55" s="353"/>
      <c r="H55" s="334"/>
      <c r="I55" s="339"/>
      <c r="J55" s="348"/>
      <c r="K55" s="354"/>
      <c r="L55" s="354"/>
      <c r="M55" s="354"/>
      <c r="N55" s="354"/>
      <c r="O55" s="354"/>
      <c r="P55" s="354"/>
      <c r="Q55" s="347"/>
      <c r="R55" s="296"/>
      <c r="S55" s="348"/>
      <c r="T55" s="96"/>
      <c r="U55" s="185"/>
      <c r="V55" s="185"/>
      <c r="W55" s="185"/>
      <c r="X55" s="185"/>
      <c r="Y55" s="185"/>
      <c r="Z55" s="185"/>
      <c r="AA55" s="185"/>
    </row>
    <row r="56" spans="1:27" ht="15.75" customHeight="1">
      <c r="A56" s="350"/>
      <c r="B56" s="351"/>
      <c r="C56" s="352"/>
      <c r="D56" s="351"/>
      <c r="E56" s="334"/>
      <c r="F56" s="339"/>
      <c r="G56" s="353"/>
      <c r="H56" s="334"/>
      <c r="I56" s="339"/>
      <c r="J56" s="348"/>
      <c r="K56" s="354"/>
      <c r="L56" s="354"/>
      <c r="M56" s="354"/>
      <c r="N56" s="354"/>
      <c r="O56" s="354"/>
      <c r="P56" s="354"/>
      <c r="Q56" s="347"/>
      <c r="R56" s="296"/>
      <c r="S56" s="348"/>
      <c r="T56" s="96"/>
      <c r="U56" s="185"/>
      <c r="V56" s="185"/>
      <c r="W56" s="185"/>
      <c r="X56" s="185"/>
      <c r="Y56" s="185"/>
      <c r="Z56" s="185"/>
      <c r="AA56" s="185"/>
    </row>
    <row r="57" spans="1:27" ht="15.75" customHeight="1">
      <c r="A57" s="350"/>
      <c r="B57" s="351"/>
      <c r="C57" s="179"/>
      <c r="D57" s="351"/>
      <c r="E57" s="334"/>
      <c r="F57" s="339"/>
      <c r="G57" s="353"/>
      <c r="H57" s="334"/>
      <c r="I57" s="339"/>
      <c r="J57" s="348"/>
      <c r="K57" s="354"/>
      <c r="L57" s="354"/>
      <c r="M57" s="354"/>
      <c r="N57" s="354"/>
      <c r="O57" s="354"/>
      <c r="P57" s="354"/>
      <c r="Q57" s="347"/>
      <c r="R57" s="296"/>
      <c r="S57" s="348"/>
      <c r="T57" s="96"/>
      <c r="U57" s="185"/>
      <c r="V57" s="185"/>
      <c r="W57" s="185"/>
      <c r="X57" s="185"/>
      <c r="Y57" s="185"/>
      <c r="Z57" s="185"/>
      <c r="AA57" s="185"/>
    </row>
    <row r="58" spans="1:27" ht="15.75" customHeight="1">
      <c r="A58" s="350"/>
      <c r="B58" s="351"/>
      <c r="C58" s="179"/>
      <c r="D58" s="351"/>
      <c r="E58" s="334"/>
      <c r="F58" s="339"/>
      <c r="G58" s="353"/>
      <c r="H58" s="334"/>
      <c r="I58" s="339"/>
      <c r="J58" s="348"/>
      <c r="K58" s="354"/>
      <c r="L58" s="354"/>
      <c r="M58" s="354"/>
      <c r="N58" s="354"/>
      <c r="O58" s="354"/>
      <c r="P58" s="354"/>
      <c r="Q58" s="347"/>
      <c r="R58" s="296"/>
      <c r="S58" s="348"/>
      <c r="T58" s="96"/>
      <c r="U58" s="185"/>
      <c r="V58" s="185"/>
      <c r="W58" s="185"/>
      <c r="X58" s="185"/>
      <c r="Y58" s="185"/>
      <c r="Z58" s="185"/>
      <c r="AA58" s="185"/>
    </row>
    <row r="59" spans="1:27" ht="15.75" customHeight="1">
      <c r="A59" s="355"/>
      <c r="B59" s="356"/>
      <c r="C59" s="357"/>
      <c r="D59" s="355"/>
      <c r="E59" s="355"/>
      <c r="F59" s="358"/>
      <c r="G59" s="356"/>
      <c r="H59" s="355"/>
      <c r="I59" s="358"/>
      <c r="J59" s="355"/>
      <c r="K59" s="359"/>
      <c r="L59" s="359"/>
      <c r="M59" s="359"/>
      <c r="N59" s="359"/>
      <c r="O59" s="359"/>
      <c r="P59" s="359"/>
      <c r="Q59" s="358"/>
      <c r="R59" s="355"/>
      <c r="S59" s="355"/>
      <c r="T59" s="86"/>
      <c r="U59" s="185"/>
      <c r="V59" s="185"/>
      <c r="W59" s="185"/>
      <c r="X59" s="185"/>
      <c r="Y59" s="185"/>
      <c r="Z59" s="185"/>
      <c r="AA59" s="185"/>
    </row>
    <row r="60" spans="1:27" ht="15.75" customHeight="1">
      <c r="A60" s="185"/>
      <c r="B60" s="360"/>
      <c r="C60" s="361"/>
      <c r="D60" s="185"/>
      <c r="E60" s="185"/>
      <c r="F60" s="362"/>
      <c r="G60" s="360"/>
      <c r="H60" s="185"/>
      <c r="I60" s="362"/>
      <c r="J60" s="185"/>
      <c r="K60" s="363"/>
      <c r="L60" s="363"/>
      <c r="M60" s="363"/>
      <c r="N60" s="363"/>
      <c r="O60" s="363"/>
      <c r="P60" s="363"/>
      <c r="Q60" s="362"/>
      <c r="R60" s="185"/>
      <c r="S60" s="185"/>
      <c r="T60" s="364"/>
      <c r="U60" s="185"/>
      <c r="V60" s="185"/>
      <c r="W60" s="185"/>
      <c r="X60" s="185"/>
      <c r="Y60" s="185"/>
      <c r="Z60" s="185"/>
      <c r="AA60" s="185"/>
    </row>
    <row r="61" spans="1:27" ht="15.75" customHeight="1">
      <c r="A61" s="185"/>
      <c r="B61" s="360"/>
      <c r="C61" s="361"/>
      <c r="D61" s="185"/>
      <c r="E61" s="185"/>
      <c r="F61" s="362"/>
      <c r="G61" s="360"/>
      <c r="H61" s="185"/>
      <c r="I61" s="362"/>
      <c r="J61" s="185"/>
      <c r="K61" s="363"/>
      <c r="L61" s="363"/>
      <c r="M61" s="363"/>
      <c r="N61" s="363"/>
      <c r="O61" s="363"/>
      <c r="P61" s="363"/>
      <c r="Q61" s="362"/>
      <c r="R61" s="185"/>
      <c r="S61" s="185"/>
      <c r="T61" s="364"/>
      <c r="U61" s="185"/>
      <c r="V61" s="185"/>
      <c r="W61" s="185"/>
      <c r="X61" s="185"/>
      <c r="Y61" s="185"/>
      <c r="Z61" s="185"/>
      <c r="AA61" s="185"/>
    </row>
    <row r="62" spans="1:27" ht="15.75" customHeight="1">
      <c r="A62" s="185"/>
      <c r="B62" s="360"/>
      <c r="C62" s="361"/>
      <c r="D62" s="185"/>
      <c r="E62" s="185"/>
      <c r="F62" s="362"/>
      <c r="G62" s="360"/>
      <c r="H62" s="185"/>
      <c r="I62" s="362"/>
      <c r="J62" s="185"/>
      <c r="K62" s="363"/>
      <c r="L62" s="363"/>
      <c r="M62" s="363"/>
      <c r="N62" s="363"/>
      <c r="O62" s="363"/>
      <c r="P62" s="363"/>
      <c r="Q62" s="362"/>
      <c r="R62" s="185"/>
      <c r="S62" s="185"/>
      <c r="T62" s="364"/>
      <c r="U62" s="185"/>
      <c r="V62" s="185"/>
      <c r="W62" s="185"/>
      <c r="X62" s="185"/>
      <c r="Y62" s="185"/>
      <c r="Z62" s="185"/>
      <c r="AA62" s="185"/>
    </row>
    <row r="63" spans="1:27" ht="15.75" customHeight="1">
      <c r="A63" s="185"/>
      <c r="B63" s="360"/>
      <c r="C63" s="361"/>
      <c r="D63" s="185"/>
      <c r="E63" s="185"/>
      <c r="F63" s="362"/>
      <c r="G63" s="360"/>
      <c r="H63" s="185"/>
      <c r="I63" s="362"/>
      <c r="J63" s="185"/>
      <c r="K63" s="363"/>
      <c r="L63" s="363"/>
      <c r="M63" s="363"/>
      <c r="N63" s="363"/>
      <c r="O63" s="363"/>
      <c r="P63" s="363"/>
      <c r="Q63" s="362"/>
      <c r="R63" s="185"/>
      <c r="S63" s="185"/>
      <c r="T63" s="364"/>
      <c r="U63" s="185"/>
      <c r="V63" s="185"/>
      <c r="W63" s="185"/>
      <c r="X63" s="185"/>
      <c r="Y63" s="185"/>
      <c r="Z63" s="185"/>
      <c r="AA63" s="185"/>
    </row>
    <row r="64" spans="1:27" ht="15.75" customHeight="1">
      <c r="A64" s="185"/>
      <c r="B64" s="360"/>
      <c r="C64" s="361"/>
      <c r="D64" s="185"/>
      <c r="E64" s="185"/>
      <c r="F64" s="362"/>
      <c r="G64" s="360"/>
      <c r="H64" s="185"/>
      <c r="I64" s="362"/>
      <c r="J64" s="185"/>
      <c r="K64" s="363"/>
      <c r="L64" s="363"/>
      <c r="M64" s="363"/>
      <c r="N64" s="363"/>
      <c r="O64" s="363"/>
      <c r="P64" s="363"/>
      <c r="Q64" s="362"/>
      <c r="R64" s="185"/>
      <c r="S64" s="185"/>
      <c r="T64" s="364"/>
      <c r="U64" s="185"/>
      <c r="V64" s="185"/>
      <c r="W64" s="185"/>
      <c r="X64" s="185"/>
      <c r="Y64" s="185"/>
      <c r="Z64" s="185"/>
      <c r="AA64" s="185"/>
    </row>
    <row r="65" spans="1:27" ht="15.75" customHeight="1">
      <c r="A65" s="185"/>
      <c r="B65" s="360"/>
      <c r="C65" s="361"/>
      <c r="D65" s="185"/>
      <c r="E65" s="185"/>
      <c r="F65" s="362"/>
      <c r="G65" s="360"/>
      <c r="H65" s="185"/>
      <c r="I65" s="362"/>
      <c r="J65" s="185"/>
      <c r="K65" s="363"/>
      <c r="L65" s="363"/>
      <c r="M65" s="363"/>
      <c r="N65" s="363"/>
      <c r="O65" s="363"/>
      <c r="P65" s="363"/>
      <c r="Q65" s="362"/>
      <c r="R65" s="185"/>
      <c r="S65" s="185"/>
      <c r="T65" s="364"/>
      <c r="U65" s="185"/>
      <c r="V65" s="185"/>
      <c r="W65" s="185"/>
      <c r="X65" s="185"/>
      <c r="Y65" s="185"/>
      <c r="Z65" s="185"/>
      <c r="AA65" s="185"/>
    </row>
    <row r="66" spans="1:27" ht="15.75" customHeight="1">
      <c r="A66" s="185"/>
      <c r="B66" s="360"/>
      <c r="C66" s="361"/>
      <c r="D66" s="185"/>
      <c r="E66" s="185"/>
      <c r="F66" s="362"/>
      <c r="G66" s="360"/>
      <c r="H66" s="185"/>
      <c r="I66" s="362"/>
      <c r="J66" s="185"/>
      <c r="K66" s="363"/>
      <c r="L66" s="363"/>
      <c r="M66" s="363"/>
      <c r="N66" s="363"/>
      <c r="O66" s="363"/>
      <c r="P66" s="363"/>
      <c r="Q66" s="362"/>
      <c r="R66" s="185"/>
      <c r="S66" s="185"/>
      <c r="T66" s="364"/>
      <c r="U66" s="185"/>
      <c r="V66" s="185"/>
      <c r="W66" s="185"/>
      <c r="X66" s="185"/>
      <c r="Y66" s="185"/>
      <c r="Z66" s="185"/>
      <c r="AA66" s="185"/>
    </row>
    <row r="67" spans="1:27" ht="15.75" customHeight="1">
      <c r="A67" s="185"/>
      <c r="B67" s="360"/>
      <c r="C67" s="361"/>
      <c r="D67" s="185"/>
      <c r="E67" s="185"/>
      <c r="F67" s="362"/>
      <c r="G67" s="360"/>
      <c r="H67" s="185"/>
      <c r="I67" s="362"/>
      <c r="J67" s="185"/>
      <c r="K67" s="363"/>
      <c r="L67" s="363"/>
      <c r="M67" s="363"/>
      <c r="N67" s="363"/>
      <c r="O67" s="363"/>
      <c r="P67" s="363"/>
      <c r="Q67" s="362"/>
      <c r="R67" s="185"/>
      <c r="S67" s="185"/>
      <c r="T67" s="364"/>
      <c r="U67" s="185"/>
      <c r="V67" s="185"/>
      <c r="W67" s="185"/>
      <c r="X67" s="185"/>
      <c r="Y67" s="185"/>
      <c r="Z67" s="185"/>
      <c r="AA67" s="185"/>
    </row>
    <row r="68" spans="1:27" ht="15.75" customHeight="1">
      <c r="A68" s="185"/>
      <c r="B68" s="360"/>
      <c r="C68" s="361"/>
      <c r="D68" s="185"/>
      <c r="E68" s="185"/>
      <c r="F68" s="362"/>
      <c r="G68" s="360"/>
      <c r="H68" s="185"/>
      <c r="I68" s="362"/>
      <c r="J68" s="185"/>
      <c r="K68" s="363"/>
      <c r="L68" s="363"/>
      <c r="M68" s="363"/>
      <c r="N68" s="363"/>
      <c r="O68" s="363"/>
      <c r="P68" s="363"/>
      <c r="Q68" s="362"/>
      <c r="R68" s="185"/>
      <c r="S68" s="185"/>
      <c r="T68" s="364"/>
      <c r="U68" s="185"/>
      <c r="V68" s="185"/>
      <c r="W68" s="185"/>
      <c r="X68" s="185"/>
      <c r="Y68" s="185"/>
      <c r="Z68" s="185"/>
      <c r="AA68" s="185"/>
    </row>
    <row r="69" spans="1:27" ht="15.75" customHeight="1">
      <c r="A69" s="185"/>
      <c r="B69" s="360"/>
      <c r="C69" s="361"/>
      <c r="D69" s="185"/>
      <c r="E69" s="185"/>
      <c r="F69" s="362"/>
      <c r="G69" s="360"/>
      <c r="H69" s="185"/>
      <c r="I69" s="362"/>
      <c r="J69" s="185"/>
      <c r="K69" s="363"/>
      <c r="L69" s="363"/>
      <c r="M69" s="363"/>
      <c r="N69" s="363"/>
      <c r="O69" s="363"/>
      <c r="P69" s="363"/>
      <c r="Q69" s="362"/>
      <c r="R69" s="185"/>
      <c r="S69" s="185"/>
      <c r="T69" s="364"/>
      <c r="U69" s="185"/>
      <c r="V69" s="185"/>
      <c r="W69" s="185"/>
      <c r="X69" s="185"/>
      <c r="Y69" s="185"/>
      <c r="Z69" s="185"/>
      <c r="AA69" s="185"/>
    </row>
    <row r="70" spans="1:27" ht="15.75" customHeight="1">
      <c r="A70" s="185"/>
      <c r="B70" s="360"/>
      <c r="C70" s="361"/>
      <c r="D70" s="185"/>
      <c r="E70" s="185"/>
      <c r="F70" s="362"/>
      <c r="G70" s="360"/>
      <c r="H70" s="185"/>
      <c r="I70" s="362"/>
      <c r="J70" s="185"/>
      <c r="K70" s="363"/>
      <c r="L70" s="363"/>
      <c r="M70" s="363"/>
      <c r="N70" s="363"/>
      <c r="O70" s="363"/>
      <c r="P70" s="363"/>
      <c r="Q70" s="362"/>
      <c r="R70" s="185"/>
      <c r="S70" s="185"/>
      <c r="T70" s="364"/>
      <c r="U70" s="185"/>
      <c r="V70" s="185"/>
      <c r="W70" s="185"/>
      <c r="X70" s="185"/>
      <c r="Y70" s="185"/>
      <c r="Z70" s="185"/>
      <c r="AA70" s="185"/>
    </row>
    <row r="71" spans="1:27" ht="15.75" customHeight="1">
      <c r="A71" s="185"/>
      <c r="B71" s="360"/>
      <c r="C71" s="361"/>
      <c r="D71" s="185"/>
      <c r="E71" s="185"/>
      <c r="F71" s="362"/>
      <c r="G71" s="360"/>
      <c r="H71" s="185"/>
      <c r="I71" s="362"/>
      <c r="J71" s="185"/>
      <c r="K71" s="363"/>
      <c r="L71" s="363"/>
      <c r="M71" s="363"/>
      <c r="N71" s="363"/>
      <c r="O71" s="363"/>
      <c r="P71" s="363"/>
      <c r="Q71" s="362"/>
      <c r="R71" s="185"/>
      <c r="S71" s="185"/>
      <c r="T71" s="364"/>
      <c r="U71" s="185"/>
      <c r="V71" s="185"/>
      <c r="W71" s="185"/>
      <c r="X71" s="185"/>
      <c r="Y71" s="185"/>
      <c r="Z71" s="185"/>
      <c r="AA71" s="185"/>
    </row>
    <row r="72" spans="1:27" ht="15.75" customHeight="1">
      <c r="A72" s="185"/>
      <c r="B72" s="360"/>
      <c r="C72" s="361"/>
      <c r="D72" s="185"/>
      <c r="E72" s="185"/>
      <c r="F72" s="362"/>
      <c r="G72" s="360"/>
      <c r="H72" s="185"/>
      <c r="I72" s="362"/>
      <c r="J72" s="185"/>
      <c r="K72" s="363"/>
      <c r="L72" s="363"/>
      <c r="M72" s="363"/>
      <c r="N72" s="363"/>
      <c r="O72" s="363"/>
      <c r="P72" s="363"/>
      <c r="Q72" s="362"/>
      <c r="R72" s="185"/>
      <c r="S72" s="185"/>
      <c r="T72" s="364"/>
      <c r="U72" s="185"/>
      <c r="V72" s="185"/>
      <c r="W72" s="185"/>
      <c r="X72" s="185"/>
      <c r="Y72" s="185"/>
      <c r="Z72" s="185"/>
      <c r="AA72" s="185"/>
    </row>
    <row r="73" spans="1:27" ht="15.75" customHeight="1">
      <c r="A73" s="185"/>
      <c r="B73" s="360"/>
      <c r="C73" s="361"/>
      <c r="D73" s="185"/>
      <c r="E73" s="185"/>
      <c r="F73" s="362"/>
      <c r="G73" s="360"/>
      <c r="H73" s="185"/>
      <c r="I73" s="362"/>
      <c r="J73" s="185"/>
      <c r="K73" s="363"/>
      <c r="L73" s="363"/>
      <c r="M73" s="363"/>
      <c r="N73" s="363"/>
      <c r="O73" s="363"/>
      <c r="P73" s="363"/>
      <c r="Q73" s="362"/>
      <c r="R73" s="185"/>
      <c r="S73" s="185"/>
      <c r="T73" s="364"/>
      <c r="U73" s="185"/>
      <c r="V73" s="185"/>
      <c r="W73" s="185"/>
      <c r="X73" s="185"/>
      <c r="Y73" s="185"/>
      <c r="Z73" s="185"/>
      <c r="AA73" s="185"/>
    </row>
    <row r="74" spans="1:27" ht="15.75" customHeight="1">
      <c r="A74" s="185"/>
      <c r="B74" s="360"/>
      <c r="C74" s="361"/>
      <c r="D74" s="185"/>
      <c r="E74" s="185"/>
      <c r="F74" s="362"/>
      <c r="G74" s="360"/>
      <c r="H74" s="185"/>
      <c r="I74" s="362"/>
      <c r="J74" s="185"/>
      <c r="K74" s="363"/>
      <c r="L74" s="363"/>
      <c r="M74" s="363"/>
      <c r="N74" s="363"/>
      <c r="O74" s="363"/>
      <c r="P74" s="363"/>
      <c r="Q74" s="362"/>
      <c r="R74" s="185"/>
      <c r="S74" s="185"/>
      <c r="T74" s="364"/>
      <c r="U74" s="185"/>
      <c r="V74" s="185"/>
      <c r="W74" s="185"/>
      <c r="X74" s="185"/>
      <c r="Y74" s="185"/>
      <c r="Z74" s="185"/>
      <c r="AA74" s="185"/>
    </row>
    <row r="75" spans="1:27" ht="15.75" customHeight="1">
      <c r="A75" s="185"/>
      <c r="B75" s="360"/>
      <c r="C75" s="361"/>
      <c r="D75" s="185"/>
      <c r="E75" s="185"/>
      <c r="F75" s="362"/>
      <c r="G75" s="360"/>
      <c r="H75" s="185"/>
      <c r="I75" s="362"/>
      <c r="J75" s="185"/>
      <c r="K75" s="363"/>
      <c r="L75" s="363"/>
      <c r="M75" s="363"/>
      <c r="N75" s="363"/>
      <c r="O75" s="363"/>
      <c r="P75" s="363"/>
      <c r="Q75" s="362"/>
      <c r="R75" s="185"/>
      <c r="S75" s="185"/>
      <c r="T75" s="364"/>
      <c r="U75" s="185"/>
      <c r="V75" s="185"/>
      <c r="W75" s="185"/>
      <c r="X75" s="185"/>
      <c r="Y75" s="185"/>
      <c r="Z75" s="185"/>
      <c r="AA75" s="185"/>
    </row>
    <row r="76" spans="1:27" ht="15.75" customHeight="1">
      <c r="A76" s="185"/>
      <c r="B76" s="360"/>
      <c r="C76" s="361"/>
      <c r="D76" s="185"/>
      <c r="E76" s="185"/>
      <c r="F76" s="362"/>
      <c r="G76" s="360"/>
      <c r="H76" s="185"/>
      <c r="I76" s="362"/>
      <c r="J76" s="185"/>
      <c r="K76" s="363"/>
      <c r="L76" s="363"/>
      <c r="M76" s="363"/>
      <c r="N76" s="363"/>
      <c r="O76" s="363"/>
      <c r="P76" s="363"/>
      <c r="Q76" s="362"/>
      <c r="R76" s="185"/>
      <c r="S76" s="185"/>
      <c r="T76" s="364"/>
      <c r="U76" s="185"/>
      <c r="V76" s="185"/>
      <c r="W76" s="185"/>
      <c r="X76" s="185"/>
      <c r="Y76" s="185"/>
      <c r="Z76" s="185"/>
      <c r="AA76" s="185"/>
    </row>
    <row r="77" spans="1:27" ht="15.75" customHeight="1">
      <c r="A77" s="185"/>
      <c r="B77" s="360"/>
      <c r="C77" s="361"/>
      <c r="D77" s="185"/>
      <c r="E77" s="185"/>
      <c r="F77" s="362"/>
      <c r="G77" s="360"/>
      <c r="H77" s="185"/>
      <c r="I77" s="362"/>
      <c r="J77" s="185"/>
      <c r="K77" s="363"/>
      <c r="L77" s="363"/>
      <c r="M77" s="363"/>
      <c r="N77" s="363"/>
      <c r="O77" s="363"/>
      <c r="P77" s="363"/>
      <c r="Q77" s="362"/>
      <c r="R77" s="185"/>
      <c r="S77" s="185"/>
      <c r="T77" s="364"/>
      <c r="U77" s="185"/>
      <c r="V77" s="185"/>
      <c r="W77" s="185"/>
      <c r="X77" s="185"/>
      <c r="Y77" s="185"/>
      <c r="Z77" s="185"/>
      <c r="AA77" s="185"/>
    </row>
    <row r="78" spans="1:27" ht="15.75" customHeight="1">
      <c r="A78" s="185"/>
      <c r="B78" s="360"/>
      <c r="C78" s="361"/>
      <c r="D78" s="185"/>
      <c r="E78" s="185"/>
      <c r="F78" s="362"/>
      <c r="G78" s="360"/>
      <c r="H78" s="185"/>
      <c r="I78" s="362"/>
      <c r="J78" s="185"/>
      <c r="K78" s="363"/>
      <c r="L78" s="363"/>
      <c r="M78" s="363"/>
      <c r="N78" s="363"/>
      <c r="O78" s="363"/>
      <c r="P78" s="363"/>
      <c r="Q78" s="362"/>
      <c r="R78" s="185"/>
      <c r="S78" s="185"/>
      <c r="T78" s="364"/>
      <c r="U78" s="185"/>
      <c r="V78" s="185"/>
      <c r="W78" s="185"/>
      <c r="X78" s="185"/>
      <c r="Y78" s="185"/>
      <c r="Z78" s="185"/>
      <c r="AA78" s="185"/>
    </row>
    <row r="79" spans="1:27" ht="15.75" customHeight="1">
      <c r="A79" s="185"/>
      <c r="B79" s="360"/>
      <c r="C79" s="361"/>
      <c r="D79" s="185"/>
      <c r="E79" s="185"/>
      <c r="F79" s="362"/>
      <c r="G79" s="360"/>
      <c r="H79" s="185"/>
      <c r="I79" s="362"/>
      <c r="J79" s="185"/>
      <c r="K79" s="363"/>
      <c r="L79" s="363"/>
      <c r="M79" s="363"/>
      <c r="N79" s="363"/>
      <c r="O79" s="363"/>
      <c r="P79" s="363"/>
      <c r="Q79" s="362"/>
      <c r="R79" s="185"/>
      <c r="S79" s="185"/>
      <c r="T79" s="364"/>
      <c r="U79" s="185"/>
      <c r="V79" s="185"/>
      <c r="W79" s="185"/>
      <c r="X79" s="185"/>
      <c r="Y79" s="185"/>
      <c r="Z79" s="185"/>
      <c r="AA79" s="185"/>
    </row>
    <row r="80" spans="1:27" ht="15.75" customHeight="1">
      <c r="A80" s="185"/>
      <c r="B80" s="360"/>
      <c r="C80" s="361"/>
      <c r="D80" s="185"/>
      <c r="E80" s="185"/>
      <c r="F80" s="362"/>
      <c r="G80" s="360"/>
      <c r="H80" s="185"/>
      <c r="I80" s="362"/>
      <c r="J80" s="185"/>
      <c r="K80" s="363"/>
      <c r="L80" s="363"/>
      <c r="M80" s="363"/>
      <c r="N80" s="363"/>
      <c r="O80" s="363"/>
      <c r="P80" s="363"/>
      <c r="Q80" s="362"/>
      <c r="R80" s="185"/>
      <c r="S80" s="185"/>
      <c r="T80" s="364"/>
      <c r="U80" s="185"/>
      <c r="V80" s="185"/>
      <c r="W80" s="185"/>
      <c r="X80" s="185"/>
      <c r="Y80" s="185"/>
      <c r="Z80" s="185"/>
      <c r="AA80" s="185"/>
    </row>
    <row r="81" spans="1:27" ht="15.75" customHeight="1">
      <c r="A81" s="185"/>
      <c r="B81" s="360"/>
      <c r="C81" s="361"/>
      <c r="D81" s="185"/>
      <c r="E81" s="185"/>
      <c r="F81" s="362"/>
      <c r="G81" s="360"/>
      <c r="H81" s="185"/>
      <c r="I81" s="362"/>
      <c r="J81" s="185"/>
      <c r="K81" s="363"/>
      <c r="L81" s="363"/>
      <c r="M81" s="363"/>
      <c r="N81" s="363"/>
      <c r="O81" s="363"/>
      <c r="P81" s="363"/>
      <c r="Q81" s="362"/>
      <c r="R81" s="185"/>
      <c r="S81" s="185"/>
      <c r="T81" s="364"/>
      <c r="U81" s="185"/>
      <c r="V81" s="185"/>
      <c r="W81" s="185"/>
      <c r="X81" s="185"/>
      <c r="Y81" s="185"/>
      <c r="Z81" s="185"/>
      <c r="AA81" s="185"/>
    </row>
    <row r="82" spans="1:27" ht="15.75" customHeight="1">
      <c r="A82" s="185"/>
      <c r="B82" s="360"/>
      <c r="C82" s="361"/>
      <c r="D82" s="185"/>
      <c r="E82" s="185"/>
      <c r="F82" s="362"/>
      <c r="G82" s="360"/>
      <c r="H82" s="185"/>
      <c r="I82" s="362"/>
      <c r="J82" s="185"/>
      <c r="K82" s="363"/>
      <c r="L82" s="363"/>
      <c r="M82" s="363"/>
      <c r="N82" s="363"/>
      <c r="O82" s="363"/>
      <c r="P82" s="363"/>
      <c r="Q82" s="362"/>
      <c r="R82" s="185"/>
      <c r="S82" s="185"/>
      <c r="T82" s="364"/>
      <c r="U82" s="185"/>
      <c r="V82" s="185"/>
      <c r="W82" s="185"/>
      <c r="X82" s="185"/>
      <c r="Y82" s="185"/>
      <c r="Z82" s="185"/>
      <c r="AA82" s="185"/>
    </row>
    <row r="83" spans="1:27" ht="15.75" customHeight="1">
      <c r="A83" s="185"/>
      <c r="B83" s="360"/>
      <c r="C83" s="361"/>
      <c r="D83" s="185"/>
      <c r="E83" s="185"/>
      <c r="F83" s="362"/>
      <c r="G83" s="360"/>
      <c r="H83" s="185"/>
      <c r="I83" s="362"/>
      <c r="J83" s="185"/>
      <c r="K83" s="363"/>
      <c r="L83" s="363"/>
      <c r="M83" s="363"/>
      <c r="N83" s="363"/>
      <c r="O83" s="363"/>
      <c r="P83" s="363"/>
      <c r="Q83" s="362"/>
      <c r="R83" s="185"/>
      <c r="S83" s="185"/>
      <c r="T83" s="364"/>
      <c r="U83" s="185"/>
      <c r="V83" s="185"/>
      <c r="W83" s="185"/>
      <c r="X83" s="185"/>
      <c r="Y83" s="185"/>
      <c r="Z83" s="185"/>
      <c r="AA83" s="185"/>
    </row>
    <row r="84" spans="1:27" ht="15.75" customHeight="1">
      <c r="A84" s="185"/>
      <c r="B84" s="360"/>
      <c r="C84" s="361"/>
      <c r="D84" s="185"/>
      <c r="E84" s="185"/>
      <c r="F84" s="362"/>
      <c r="G84" s="360"/>
      <c r="H84" s="185"/>
      <c r="I84" s="362"/>
      <c r="J84" s="185"/>
      <c r="K84" s="363"/>
      <c r="L84" s="363"/>
      <c r="M84" s="363"/>
      <c r="N84" s="363"/>
      <c r="O84" s="363"/>
      <c r="P84" s="363"/>
      <c r="Q84" s="362"/>
      <c r="R84" s="185"/>
      <c r="S84" s="185"/>
      <c r="T84" s="364"/>
      <c r="U84" s="185"/>
      <c r="V84" s="185"/>
      <c r="W84" s="185"/>
      <c r="X84" s="185"/>
      <c r="Y84" s="185"/>
      <c r="Z84" s="185"/>
      <c r="AA84" s="185"/>
    </row>
    <row r="85" spans="1:27" ht="15.75" customHeight="1">
      <c r="A85" s="185"/>
      <c r="B85" s="360"/>
      <c r="C85" s="361"/>
      <c r="D85" s="185"/>
      <c r="E85" s="185"/>
      <c r="F85" s="362"/>
      <c r="G85" s="360"/>
      <c r="H85" s="185"/>
      <c r="I85" s="362"/>
      <c r="J85" s="185"/>
      <c r="K85" s="363"/>
      <c r="L85" s="363"/>
      <c r="M85" s="363"/>
      <c r="N85" s="363"/>
      <c r="O85" s="363"/>
      <c r="P85" s="363"/>
      <c r="Q85" s="362"/>
      <c r="R85" s="185"/>
      <c r="S85" s="185"/>
      <c r="T85" s="364"/>
      <c r="U85" s="185"/>
      <c r="V85" s="185"/>
      <c r="W85" s="185"/>
      <c r="X85" s="185"/>
      <c r="Y85" s="185"/>
      <c r="Z85" s="185"/>
      <c r="AA85" s="185"/>
    </row>
    <row r="86" spans="1:27" ht="15.75" customHeight="1">
      <c r="A86" s="185"/>
      <c r="B86" s="360"/>
      <c r="C86" s="361"/>
      <c r="D86" s="185"/>
      <c r="E86" s="185"/>
      <c r="F86" s="362"/>
      <c r="G86" s="360"/>
      <c r="H86" s="185"/>
      <c r="I86" s="362"/>
      <c r="J86" s="185"/>
      <c r="K86" s="363"/>
      <c r="L86" s="363"/>
      <c r="M86" s="363"/>
      <c r="N86" s="363"/>
      <c r="O86" s="363"/>
      <c r="P86" s="363"/>
      <c r="Q86" s="362"/>
      <c r="R86" s="185"/>
      <c r="S86" s="185"/>
      <c r="T86" s="364"/>
      <c r="U86" s="185"/>
      <c r="V86" s="185"/>
      <c r="W86" s="185"/>
      <c r="X86" s="185"/>
      <c r="Y86" s="185"/>
      <c r="Z86" s="185"/>
      <c r="AA86" s="185"/>
    </row>
    <row r="87" spans="1:27" ht="15.75" customHeight="1">
      <c r="A87" s="185"/>
      <c r="B87" s="360"/>
      <c r="C87" s="361"/>
      <c r="D87" s="185"/>
      <c r="E87" s="185"/>
      <c r="F87" s="362"/>
      <c r="G87" s="360"/>
      <c r="H87" s="185"/>
      <c r="I87" s="362"/>
      <c r="J87" s="185"/>
      <c r="K87" s="363"/>
      <c r="L87" s="363"/>
      <c r="M87" s="363"/>
      <c r="N87" s="363"/>
      <c r="O87" s="363"/>
      <c r="P87" s="363"/>
      <c r="Q87" s="362"/>
      <c r="R87" s="185"/>
      <c r="S87" s="185"/>
      <c r="T87" s="364"/>
      <c r="U87" s="185"/>
      <c r="V87" s="185"/>
      <c r="W87" s="185"/>
      <c r="X87" s="185"/>
      <c r="Y87" s="185"/>
      <c r="Z87" s="185"/>
      <c r="AA87" s="185"/>
    </row>
    <row r="88" spans="1:27" ht="15.75" customHeight="1">
      <c r="A88" s="185"/>
      <c r="B88" s="360"/>
      <c r="C88" s="361"/>
      <c r="D88" s="185"/>
      <c r="E88" s="185"/>
      <c r="F88" s="362"/>
      <c r="G88" s="360"/>
      <c r="H88" s="185"/>
      <c r="I88" s="362"/>
      <c r="J88" s="185"/>
      <c r="K88" s="363"/>
      <c r="L88" s="363"/>
      <c r="M88" s="363"/>
      <c r="N88" s="363"/>
      <c r="O88" s="363"/>
      <c r="P88" s="363"/>
      <c r="Q88" s="362"/>
      <c r="R88" s="185"/>
      <c r="S88" s="185"/>
      <c r="T88" s="364"/>
      <c r="U88" s="185"/>
      <c r="V88" s="185"/>
      <c r="W88" s="185"/>
      <c r="X88" s="185"/>
      <c r="Y88" s="185"/>
      <c r="Z88" s="185"/>
      <c r="AA88" s="185"/>
    </row>
    <row r="89" spans="1:27" ht="15.75" customHeight="1">
      <c r="A89" s="185"/>
      <c r="B89" s="360"/>
      <c r="C89" s="361"/>
      <c r="D89" s="185"/>
      <c r="E89" s="185"/>
      <c r="F89" s="362"/>
      <c r="G89" s="360"/>
      <c r="H89" s="185"/>
      <c r="I89" s="362"/>
      <c r="J89" s="185"/>
      <c r="K89" s="363"/>
      <c r="L89" s="363"/>
      <c r="M89" s="363"/>
      <c r="N89" s="363"/>
      <c r="O89" s="363"/>
      <c r="P89" s="363"/>
      <c r="Q89" s="362"/>
      <c r="R89" s="185"/>
      <c r="S89" s="185"/>
      <c r="T89" s="364"/>
      <c r="U89" s="185"/>
      <c r="V89" s="185"/>
      <c r="W89" s="185"/>
      <c r="X89" s="185"/>
      <c r="Y89" s="185"/>
      <c r="Z89" s="185"/>
      <c r="AA89" s="185"/>
    </row>
    <row r="90" spans="1:27" ht="15.75" customHeight="1">
      <c r="A90" s="185"/>
      <c r="B90" s="360"/>
      <c r="C90" s="361"/>
      <c r="D90" s="185"/>
      <c r="E90" s="185"/>
      <c r="F90" s="362"/>
      <c r="G90" s="360"/>
      <c r="H90" s="185"/>
      <c r="I90" s="362"/>
      <c r="J90" s="185"/>
      <c r="K90" s="363"/>
      <c r="L90" s="363"/>
      <c r="M90" s="363"/>
      <c r="N90" s="363"/>
      <c r="O90" s="363"/>
      <c r="P90" s="363"/>
      <c r="Q90" s="362"/>
      <c r="R90" s="185"/>
      <c r="S90" s="185"/>
      <c r="T90" s="364"/>
      <c r="U90" s="185"/>
      <c r="V90" s="185"/>
      <c r="W90" s="185"/>
      <c r="X90" s="185"/>
      <c r="Y90" s="185"/>
      <c r="Z90" s="185"/>
      <c r="AA90" s="185"/>
    </row>
    <row r="91" spans="1:27" ht="15.75" customHeight="1">
      <c r="A91" s="185"/>
      <c r="B91" s="360"/>
      <c r="C91" s="361"/>
      <c r="D91" s="185"/>
      <c r="E91" s="185"/>
      <c r="F91" s="362"/>
      <c r="G91" s="360"/>
      <c r="H91" s="185"/>
      <c r="I91" s="362"/>
      <c r="J91" s="185"/>
      <c r="K91" s="363"/>
      <c r="L91" s="363"/>
      <c r="M91" s="363"/>
      <c r="N91" s="363"/>
      <c r="O91" s="363"/>
      <c r="P91" s="363"/>
      <c r="Q91" s="362"/>
      <c r="R91" s="185"/>
      <c r="S91" s="185"/>
      <c r="T91" s="364"/>
      <c r="U91" s="185"/>
      <c r="V91" s="185"/>
      <c r="W91" s="185"/>
      <c r="X91" s="185"/>
      <c r="Y91" s="185"/>
      <c r="Z91" s="185"/>
      <c r="AA91" s="185"/>
    </row>
    <row r="92" spans="1:27" ht="15.75" customHeight="1">
      <c r="A92" s="185"/>
      <c r="B92" s="360"/>
      <c r="C92" s="361"/>
      <c r="D92" s="185"/>
      <c r="E92" s="185"/>
      <c r="F92" s="362"/>
      <c r="G92" s="360"/>
      <c r="H92" s="185"/>
      <c r="I92" s="362"/>
      <c r="J92" s="185"/>
      <c r="K92" s="363"/>
      <c r="L92" s="363"/>
      <c r="M92" s="363"/>
      <c r="N92" s="363"/>
      <c r="O92" s="363"/>
      <c r="P92" s="363"/>
      <c r="Q92" s="362"/>
      <c r="R92" s="185"/>
      <c r="S92" s="185"/>
      <c r="T92" s="364"/>
      <c r="U92" s="185"/>
      <c r="V92" s="185"/>
      <c r="W92" s="185"/>
      <c r="X92" s="185"/>
      <c r="Y92" s="185"/>
      <c r="Z92" s="185"/>
      <c r="AA92" s="185"/>
    </row>
    <row r="93" spans="1:27" ht="15.75" customHeight="1">
      <c r="A93" s="185"/>
      <c r="B93" s="360"/>
      <c r="C93" s="361"/>
      <c r="D93" s="185"/>
      <c r="E93" s="185"/>
      <c r="F93" s="362"/>
      <c r="G93" s="360"/>
      <c r="H93" s="185"/>
      <c r="I93" s="362"/>
      <c r="J93" s="185"/>
      <c r="K93" s="363"/>
      <c r="L93" s="363"/>
      <c r="M93" s="363"/>
      <c r="N93" s="363"/>
      <c r="O93" s="363"/>
      <c r="P93" s="363"/>
      <c r="Q93" s="362"/>
      <c r="R93" s="185"/>
      <c r="S93" s="185"/>
      <c r="T93" s="364"/>
      <c r="U93" s="185"/>
      <c r="V93" s="185"/>
      <c r="W93" s="185"/>
      <c r="X93" s="185"/>
      <c r="Y93" s="185"/>
      <c r="Z93" s="185"/>
      <c r="AA93" s="185"/>
    </row>
    <row r="94" spans="1:27" ht="15.75" customHeight="1">
      <c r="A94" s="185"/>
      <c r="B94" s="360"/>
      <c r="C94" s="361"/>
      <c r="D94" s="185"/>
      <c r="E94" s="185"/>
      <c r="F94" s="362"/>
      <c r="G94" s="360"/>
      <c r="H94" s="185"/>
      <c r="I94" s="362"/>
      <c r="J94" s="185"/>
      <c r="K94" s="363"/>
      <c r="L94" s="363"/>
      <c r="M94" s="363"/>
      <c r="N94" s="363"/>
      <c r="O94" s="363"/>
      <c r="P94" s="363"/>
      <c r="Q94" s="362"/>
      <c r="R94" s="185"/>
      <c r="S94" s="185"/>
      <c r="T94" s="364"/>
      <c r="U94" s="185"/>
      <c r="V94" s="185"/>
      <c r="W94" s="185"/>
      <c r="X94" s="185"/>
      <c r="Y94" s="185"/>
      <c r="Z94" s="185"/>
      <c r="AA94" s="185"/>
    </row>
    <row r="95" spans="1:27" ht="15.75" customHeight="1">
      <c r="A95" s="185"/>
      <c r="B95" s="360"/>
      <c r="C95" s="361"/>
      <c r="D95" s="185"/>
      <c r="E95" s="185"/>
      <c r="F95" s="362"/>
      <c r="G95" s="360"/>
      <c r="H95" s="185"/>
      <c r="I95" s="362"/>
      <c r="J95" s="185"/>
      <c r="K95" s="363"/>
      <c r="L95" s="363"/>
      <c r="M95" s="363"/>
      <c r="N95" s="363"/>
      <c r="O95" s="363"/>
      <c r="P95" s="363"/>
      <c r="Q95" s="362"/>
      <c r="R95" s="185"/>
      <c r="S95" s="185"/>
      <c r="T95" s="364"/>
      <c r="U95" s="185"/>
      <c r="V95" s="185"/>
      <c r="W95" s="185"/>
      <c r="X95" s="185"/>
      <c r="Y95" s="185"/>
      <c r="Z95" s="185"/>
      <c r="AA95" s="185"/>
    </row>
    <row r="96" spans="1:27" ht="15.75" customHeight="1">
      <c r="A96" s="185"/>
      <c r="B96" s="360"/>
      <c r="C96" s="361"/>
      <c r="D96" s="185"/>
      <c r="E96" s="185"/>
      <c r="F96" s="362"/>
      <c r="G96" s="360"/>
      <c r="H96" s="185"/>
      <c r="I96" s="362"/>
      <c r="J96" s="185"/>
      <c r="K96" s="363"/>
      <c r="L96" s="363"/>
      <c r="M96" s="363"/>
      <c r="N96" s="363"/>
      <c r="O96" s="363"/>
      <c r="P96" s="363"/>
      <c r="Q96" s="362"/>
      <c r="R96" s="185"/>
      <c r="S96" s="185"/>
      <c r="T96" s="364"/>
      <c r="U96" s="185"/>
      <c r="V96" s="185"/>
      <c r="W96" s="185"/>
      <c r="X96" s="185"/>
      <c r="Y96" s="185"/>
      <c r="Z96" s="185"/>
      <c r="AA96" s="185"/>
    </row>
    <row r="97" spans="1:27" ht="15.75" customHeight="1">
      <c r="A97" s="185"/>
      <c r="B97" s="360"/>
      <c r="C97" s="361"/>
      <c r="D97" s="185"/>
      <c r="E97" s="185"/>
      <c r="F97" s="362"/>
      <c r="G97" s="360"/>
      <c r="H97" s="185"/>
      <c r="I97" s="362"/>
      <c r="J97" s="185"/>
      <c r="K97" s="363"/>
      <c r="L97" s="363"/>
      <c r="M97" s="363"/>
      <c r="N97" s="363"/>
      <c r="O97" s="363"/>
      <c r="P97" s="363"/>
      <c r="Q97" s="362"/>
      <c r="R97" s="185"/>
      <c r="S97" s="185"/>
      <c r="T97" s="364"/>
      <c r="U97" s="185"/>
      <c r="V97" s="185"/>
      <c r="W97" s="185"/>
      <c r="X97" s="185"/>
      <c r="Y97" s="185"/>
      <c r="Z97" s="185"/>
      <c r="AA97" s="185"/>
    </row>
    <row r="98" spans="1:27" ht="15.75" customHeight="1">
      <c r="A98" s="185"/>
      <c r="B98" s="360"/>
      <c r="C98" s="361"/>
      <c r="D98" s="185"/>
      <c r="E98" s="185"/>
      <c r="F98" s="362"/>
      <c r="G98" s="360"/>
      <c r="H98" s="185"/>
      <c r="I98" s="362"/>
      <c r="J98" s="185"/>
      <c r="K98" s="363"/>
      <c r="L98" s="363"/>
      <c r="M98" s="363"/>
      <c r="N98" s="363"/>
      <c r="O98" s="363"/>
      <c r="P98" s="363"/>
      <c r="Q98" s="362"/>
      <c r="R98" s="185"/>
      <c r="S98" s="185"/>
      <c r="T98" s="364"/>
      <c r="U98" s="185"/>
      <c r="V98" s="185"/>
      <c r="W98" s="185"/>
      <c r="X98" s="185"/>
      <c r="Y98" s="185"/>
      <c r="Z98" s="185"/>
      <c r="AA98" s="185"/>
    </row>
    <row r="99" spans="1:27" ht="15.75" customHeight="1">
      <c r="A99" s="185"/>
      <c r="B99" s="360"/>
      <c r="C99" s="361"/>
      <c r="D99" s="185"/>
      <c r="E99" s="185"/>
      <c r="F99" s="362"/>
      <c r="G99" s="360"/>
      <c r="H99" s="185"/>
      <c r="I99" s="362"/>
      <c r="J99" s="185"/>
      <c r="K99" s="363"/>
      <c r="L99" s="363"/>
      <c r="M99" s="363"/>
      <c r="N99" s="363"/>
      <c r="O99" s="363"/>
      <c r="P99" s="363"/>
      <c r="Q99" s="362"/>
      <c r="R99" s="185"/>
      <c r="S99" s="185"/>
      <c r="T99" s="364"/>
      <c r="U99" s="185"/>
      <c r="V99" s="185"/>
      <c r="W99" s="185"/>
      <c r="X99" s="185"/>
      <c r="Y99" s="185"/>
      <c r="Z99" s="185"/>
      <c r="AA99" s="185"/>
    </row>
    <row r="100" spans="1:27" ht="15.75" customHeight="1">
      <c r="A100" s="185"/>
      <c r="B100" s="360"/>
      <c r="C100" s="361"/>
      <c r="D100" s="185"/>
      <c r="E100" s="185"/>
      <c r="F100" s="362"/>
      <c r="G100" s="360"/>
      <c r="H100" s="185"/>
      <c r="I100" s="362"/>
      <c r="J100" s="185"/>
      <c r="K100" s="363"/>
      <c r="L100" s="363"/>
      <c r="M100" s="363"/>
      <c r="N100" s="363"/>
      <c r="O100" s="363"/>
      <c r="P100" s="363"/>
      <c r="Q100" s="362"/>
      <c r="R100" s="185"/>
      <c r="S100" s="185"/>
      <c r="T100" s="364"/>
      <c r="U100" s="185"/>
      <c r="V100" s="185"/>
      <c r="W100" s="185"/>
      <c r="X100" s="185"/>
      <c r="Y100" s="185"/>
      <c r="Z100" s="185"/>
      <c r="AA100" s="185"/>
    </row>
    <row r="101" spans="1:27" ht="15.75" customHeight="1">
      <c r="A101" s="185"/>
      <c r="B101" s="360"/>
      <c r="C101" s="361"/>
      <c r="D101" s="185"/>
      <c r="E101" s="185"/>
      <c r="F101" s="362"/>
      <c r="G101" s="360"/>
      <c r="H101" s="185"/>
      <c r="I101" s="362"/>
      <c r="J101" s="185"/>
      <c r="K101" s="363"/>
      <c r="L101" s="363"/>
      <c r="M101" s="363"/>
      <c r="N101" s="363"/>
      <c r="O101" s="363"/>
      <c r="P101" s="363"/>
      <c r="Q101" s="362"/>
      <c r="R101" s="185"/>
      <c r="S101" s="185"/>
      <c r="T101" s="364"/>
      <c r="U101" s="185"/>
      <c r="V101" s="185"/>
      <c r="W101" s="185"/>
      <c r="X101" s="185"/>
      <c r="Y101" s="185"/>
      <c r="Z101" s="185"/>
      <c r="AA101" s="185"/>
    </row>
    <row r="102" spans="1:27" ht="15.75" customHeight="1">
      <c r="A102" s="185"/>
      <c r="B102" s="360"/>
      <c r="C102" s="361"/>
      <c r="D102" s="185"/>
      <c r="E102" s="185"/>
      <c r="F102" s="362"/>
      <c r="G102" s="360"/>
      <c r="H102" s="185"/>
      <c r="I102" s="362"/>
      <c r="J102" s="185"/>
      <c r="K102" s="363"/>
      <c r="L102" s="363"/>
      <c r="M102" s="363"/>
      <c r="N102" s="363"/>
      <c r="O102" s="363"/>
      <c r="P102" s="363"/>
      <c r="Q102" s="362"/>
      <c r="R102" s="185"/>
      <c r="S102" s="185"/>
      <c r="T102" s="364"/>
      <c r="U102" s="185"/>
      <c r="V102" s="185"/>
      <c r="W102" s="185"/>
      <c r="X102" s="185"/>
      <c r="Y102" s="185"/>
      <c r="Z102" s="185"/>
      <c r="AA102" s="185"/>
    </row>
    <row r="103" spans="1:27" ht="15.75" customHeight="1">
      <c r="A103" s="185"/>
      <c r="B103" s="360"/>
      <c r="C103" s="361"/>
      <c r="D103" s="185"/>
      <c r="E103" s="185"/>
      <c r="F103" s="362"/>
      <c r="G103" s="360"/>
      <c r="H103" s="185"/>
      <c r="I103" s="362"/>
      <c r="J103" s="185"/>
      <c r="K103" s="363"/>
      <c r="L103" s="363"/>
      <c r="M103" s="363"/>
      <c r="N103" s="363"/>
      <c r="O103" s="363"/>
      <c r="P103" s="363"/>
      <c r="Q103" s="362"/>
      <c r="R103" s="185"/>
      <c r="S103" s="185"/>
      <c r="T103" s="364"/>
      <c r="U103" s="185"/>
      <c r="V103" s="185"/>
      <c r="W103" s="185"/>
      <c r="X103" s="185"/>
      <c r="Y103" s="185"/>
      <c r="Z103" s="185"/>
      <c r="AA103" s="185"/>
    </row>
    <row r="104" spans="1:27" ht="15.75" customHeight="1">
      <c r="A104" s="185"/>
      <c r="B104" s="360"/>
      <c r="C104" s="361"/>
      <c r="D104" s="185"/>
      <c r="E104" s="185"/>
      <c r="F104" s="362"/>
      <c r="G104" s="360"/>
      <c r="H104" s="185"/>
      <c r="I104" s="362"/>
      <c r="J104" s="185"/>
      <c r="K104" s="363"/>
      <c r="L104" s="363"/>
      <c r="M104" s="363"/>
      <c r="N104" s="363"/>
      <c r="O104" s="363"/>
      <c r="P104" s="363"/>
      <c r="Q104" s="362"/>
      <c r="R104" s="185"/>
      <c r="S104" s="185"/>
      <c r="T104" s="364"/>
      <c r="U104" s="185"/>
      <c r="V104" s="185"/>
      <c r="W104" s="185"/>
      <c r="X104" s="185"/>
      <c r="Y104" s="185"/>
      <c r="Z104" s="185"/>
      <c r="AA104" s="185"/>
    </row>
    <row r="105" spans="1:27" ht="15.75" customHeight="1">
      <c r="A105" s="185"/>
      <c r="B105" s="360"/>
      <c r="C105" s="361"/>
      <c r="D105" s="185"/>
      <c r="E105" s="185"/>
      <c r="F105" s="362"/>
      <c r="G105" s="360"/>
      <c r="H105" s="185"/>
      <c r="I105" s="362"/>
      <c r="J105" s="185"/>
      <c r="K105" s="363"/>
      <c r="L105" s="363"/>
      <c r="M105" s="363"/>
      <c r="N105" s="363"/>
      <c r="O105" s="363"/>
      <c r="P105" s="363"/>
      <c r="Q105" s="362"/>
      <c r="R105" s="185"/>
      <c r="S105" s="185"/>
      <c r="T105" s="364"/>
      <c r="U105" s="185"/>
      <c r="V105" s="185"/>
      <c r="W105" s="185"/>
      <c r="X105" s="185"/>
      <c r="Y105" s="185"/>
      <c r="Z105" s="185"/>
      <c r="AA105" s="185"/>
    </row>
    <row r="106" spans="1:27" ht="15.75" customHeight="1">
      <c r="A106" s="185"/>
      <c r="B106" s="360"/>
      <c r="C106" s="361"/>
      <c r="D106" s="185"/>
      <c r="E106" s="185"/>
      <c r="F106" s="362"/>
      <c r="G106" s="360"/>
      <c r="H106" s="185"/>
      <c r="I106" s="362"/>
      <c r="J106" s="185"/>
      <c r="K106" s="363"/>
      <c r="L106" s="363"/>
      <c r="M106" s="363"/>
      <c r="N106" s="363"/>
      <c r="O106" s="363"/>
      <c r="P106" s="363"/>
      <c r="Q106" s="362"/>
      <c r="R106" s="185"/>
      <c r="S106" s="185"/>
      <c r="T106" s="364"/>
      <c r="U106" s="185"/>
      <c r="V106" s="185"/>
      <c r="W106" s="185"/>
      <c r="X106" s="185"/>
      <c r="Y106" s="185"/>
      <c r="Z106" s="185"/>
      <c r="AA106" s="185"/>
    </row>
    <row r="107" spans="1:27" ht="15.75" customHeight="1">
      <c r="A107" s="185"/>
      <c r="B107" s="360"/>
      <c r="C107" s="361"/>
      <c r="D107" s="185"/>
      <c r="E107" s="185"/>
      <c r="F107" s="362"/>
      <c r="G107" s="360"/>
      <c r="H107" s="185"/>
      <c r="I107" s="362"/>
      <c r="J107" s="185"/>
      <c r="K107" s="363"/>
      <c r="L107" s="363"/>
      <c r="M107" s="363"/>
      <c r="N107" s="363"/>
      <c r="O107" s="363"/>
      <c r="P107" s="363"/>
      <c r="Q107" s="362"/>
      <c r="R107" s="185"/>
      <c r="S107" s="185"/>
      <c r="T107" s="364"/>
      <c r="U107" s="185"/>
      <c r="V107" s="185"/>
      <c r="W107" s="185"/>
      <c r="X107" s="185"/>
      <c r="Y107" s="185"/>
      <c r="Z107" s="185"/>
      <c r="AA107" s="185"/>
    </row>
    <row r="108" spans="1:27" ht="15.75" customHeight="1">
      <c r="A108" s="185"/>
      <c r="B108" s="360"/>
      <c r="C108" s="361"/>
      <c r="D108" s="185"/>
      <c r="E108" s="185"/>
      <c r="F108" s="362"/>
      <c r="G108" s="360"/>
      <c r="H108" s="185"/>
      <c r="I108" s="362"/>
      <c r="J108" s="185"/>
      <c r="K108" s="363"/>
      <c r="L108" s="363"/>
      <c r="M108" s="363"/>
      <c r="N108" s="363"/>
      <c r="O108" s="363"/>
      <c r="P108" s="363"/>
      <c r="Q108" s="362"/>
      <c r="R108" s="185"/>
      <c r="S108" s="185"/>
      <c r="T108" s="364"/>
      <c r="U108" s="185"/>
      <c r="V108" s="185"/>
      <c r="W108" s="185"/>
      <c r="X108" s="185"/>
      <c r="Y108" s="185"/>
      <c r="Z108" s="185"/>
      <c r="AA108" s="185"/>
    </row>
    <row r="109" spans="1:27" ht="15.75" customHeight="1">
      <c r="A109" s="185"/>
      <c r="B109" s="360"/>
      <c r="C109" s="361"/>
      <c r="D109" s="185"/>
      <c r="E109" s="185"/>
      <c r="F109" s="362"/>
      <c r="G109" s="360"/>
      <c r="H109" s="185"/>
      <c r="I109" s="362"/>
      <c r="J109" s="185"/>
      <c r="K109" s="363"/>
      <c r="L109" s="363"/>
      <c r="M109" s="363"/>
      <c r="N109" s="363"/>
      <c r="O109" s="363"/>
      <c r="P109" s="363"/>
      <c r="Q109" s="362"/>
      <c r="R109" s="185"/>
      <c r="S109" s="185"/>
      <c r="T109" s="364"/>
      <c r="U109" s="185"/>
      <c r="V109" s="185"/>
      <c r="W109" s="185"/>
      <c r="X109" s="185"/>
      <c r="Y109" s="185"/>
      <c r="Z109" s="185"/>
      <c r="AA109" s="185"/>
    </row>
    <row r="110" spans="1:27" ht="15.75" customHeight="1">
      <c r="A110" s="185"/>
      <c r="B110" s="360"/>
      <c r="C110" s="361"/>
      <c r="D110" s="185"/>
      <c r="E110" s="185"/>
      <c r="F110" s="362"/>
      <c r="G110" s="360"/>
      <c r="H110" s="185"/>
      <c r="I110" s="362"/>
      <c r="J110" s="185"/>
      <c r="K110" s="363"/>
      <c r="L110" s="363"/>
      <c r="M110" s="363"/>
      <c r="N110" s="363"/>
      <c r="O110" s="363"/>
      <c r="P110" s="363"/>
      <c r="Q110" s="362"/>
      <c r="R110" s="185"/>
      <c r="S110" s="185"/>
      <c r="T110" s="364"/>
      <c r="U110" s="185"/>
      <c r="V110" s="185"/>
      <c r="W110" s="185"/>
      <c r="X110" s="185"/>
      <c r="Y110" s="185"/>
      <c r="Z110" s="185"/>
      <c r="AA110" s="185"/>
    </row>
    <row r="111" spans="1:27" ht="15.75" customHeight="1">
      <c r="A111" s="185"/>
      <c r="B111" s="360"/>
      <c r="C111" s="361"/>
      <c r="D111" s="185"/>
      <c r="E111" s="185"/>
      <c r="F111" s="362"/>
      <c r="G111" s="360"/>
      <c r="H111" s="185"/>
      <c r="I111" s="362"/>
      <c r="J111" s="185"/>
      <c r="K111" s="363"/>
      <c r="L111" s="363"/>
      <c r="M111" s="363"/>
      <c r="N111" s="363"/>
      <c r="O111" s="363"/>
      <c r="P111" s="363"/>
      <c r="Q111" s="362"/>
      <c r="R111" s="185"/>
      <c r="S111" s="185"/>
      <c r="T111" s="364"/>
      <c r="U111" s="185"/>
      <c r="V111" s="185"/>
      <c r="W111" s="185"/>
      <c r="X111" s="185"/>
      <c r="Y111" s="185"/>
      <c r="Z111" s="185"/>
      <c r="AA111" s="185"/>
    </row>
    <row r="112" spans="1:27" ht="15.75" customHeight="1">
      <c r="A112" s="185"/>
      <c r="B112" s="360"/>
      <c r="C112" s="361"/>
      <c r="D112" s="185"/>
      <c r="E112" s="185"/>
      <c r="F112" s="362"/>
      <c r="G112" s="360"/>
      <c r="H112" s="185"/>
      <c r="I112" s="362"/>
      <c r="J112" s="185"/>
      <c r="K112" s="363"/>
      <c r="L112" s="363"/>
      <c r="M112" s="363"/>
      <c r="N112" s="363"/>
      <c r="O112" s="363"/>
      <c r="P112" s="363"/>
      <c r="Q112" s="362"/>
      <c r="R112" s="185"/>
      <c r="S112" s="185"/>
      <c r="T112" s="364"/>
      <c r="U112" s="185"/>
      <c r="V112" s="185"/>
      <c r="W112" s="185"/>
      <c r="X112" s="185"/>
      <c r="Y112" s="185"/>
      <c r="Z112" s="185"/>
      <c r="AA112" s="185"/>
    </row>
    <row r="113" spans="1:27" ht="15.75" customHeight="1">
      <c r="A113" s="185"/>
      <c r="B113" s="360"/>
      <c r="C113" s="361"/>
      <c r="D113" s="185"/>
      <c r="E113" s="185"/>
      <c r="F113" s="362"/>
      <c r="G113" s="360"/>
      <c r="H113" s="185"/>
      <c r="I113" s="362"/>
      <c r="J113" s="185"/>
      <c r="K113" s="363"/>
      <c r="L113" s="363"/>
      <c r="M113" s="363"/>
      <c r="N113" s="363"/>
      <c r="O113" s="363"/>
      <c r="P113" s="363"/>
      <c r="Q113" s="362"/>
      <c r="R113" s="185"/>
      <c r="S113" s="185"/>
      <c r="T113" s="364"/>
      <c r="U113" s="185"/>
      <c r="V113" s="185"/>
      <c r="W113" s="185"/>
      <c r="X113" s="185"/>
      <c r="Y113" s="185"/>
      <c r="Z113" s="185"/>
      <c r="AA113" s="185"/>
    </row>
    <row r="114" spans="1:27" ht="15.75" customHeight="1">
      <c r="A114" s="185"/>
      <c r="B114" s="360"/>
      <c r="C114" s="361"/>
      <c r="D114" s="185"/>
      <c r="E114" s="185"/>
      <c r="F114" s="362"/>
      <c r="G114" s="360"/>
      <c r="H114" s="185"/>
      <c r="I114" s="362"/>
      <c r="J114" s="185"/>
      <c r="K114" s="363"/>
      <c r="L114" s="363"/>
      <c r="M114" s="363"/>
      <c r="N114" s="363"/>
      <c r="O114" s="363"/>
      <c r="P114" s="363"/>
      <c r="Q114" s="362"/>
      <c r="R114" s="185"/>
      <c r="S114" s="185"/>
      <c r="T114" s="364"/>
      <c r="U114" s="185"/>
      <c r="V114" s="185"/>
      <c r="W114" s="185"/>
      <c r="X114" s="185"/>
      <c r="Y114" s="185"/>
      <c r="Z114" s="185"/>
      <c r="AA114" s="185"/>
    </row>
    <row r="115" spans="1:27" ht="15.75" customHeight="1">
      <c r="A115" s="185"/>
      <c r="B115" s="360"/>
      <c r="C115" s="361"/>
      <c r="D115" s="185"/>
      <c r="E115" s="185"/>
      <c r="F115" s="362"/>
      <c r="G115" s="360"/>
      <c r="H115" s="185"/>
      <c r="I115" s="362"/>
      <c r="J115" s="185"/>
      <c r="K115" s="363"/>
      <c r="L115" s="363"/>
      <c r="M115" s="363"/>
      <c r="N115" s="363"/>
      <c r="O115" s="363"/>
      <c r="P115" s="363"/>
      <c r="Q115" s="362"/>
      <c r="R115" s="185"/>
      <c r="S115" s="185"/>
      <c r="T115" s="364"/>
      <c r="U115" s="185"/>
      <c r="V115" s="185"/>
      <c r="W115" s="185"/>
      <c r="X115" s="185"/>
      <c r="Y115" s="185"/>
      <c r="Z115" s="185"/>
      <c r="AA115" s="185"/>
    </row>
    <row r="116" spans="1:27" ht="15.75" customHeight="1">
      <c r="A116" s="185"/>
      <c r="B116" s="360"/>
      <c r="C116" s="361"/>
      <c r="D116" s="185"/>
      <c r="E116" s="185"/>
      <c r="F116" s="362"/>
      <c r="G116" s="360"/>
      <c r="H116" s="185"/>
      <c r="I116" s="362"/>
      <c r="J116" s="185"/>
      <c r="K116" s="363"/>
      <c r="L116" s="363"/>
      <c r="M116" s="363"/>
      <c r="N116" s="363"/>
      <c r="O116" s="363"/>
      <c r="P116" s="363"/>
      <c r="Q116" s="362"/>
      <c r="R116" s="185"/>
      <c r="S116" s="185"/>
      <c r="T116" s="364"/>
      <c r="U116" s="185"/>
      <c r="V116" s="185"/>
      <c r="W116" s="185"/>
      <c r="X116" s="185"/>
      <c r="Y116" s="185"/>
      <c r="Z116" s="185"/>
      <c r="AA116" s="185"/>
    </row>
    <row r="117" spans="1:27" ht="15.75" customHeight="1">
      <c r="A117" s="185"/>
      <c r="B117" s="360"/>
      <c r="C117" s="361"/>
      <c r="D117" s="185"/>
      <c r="E117" s="185"/>
      <c r="F117" s="362"/>
      <c r="G117" s="360"/>
      <c r="H117" s="185"/>
      <c r="I117" s="362"/>
      <c r="J117" s="185"/>
      <c r="K117" s="363"/>
      <c r="L117" s="363"/>
      <c r="M117" s="363"/>
      <c r="N117" s="363"/>
      <c r="O117" s="363"/>
      <c r="P117" s="363"/>
      <c r="Q117" s="362"/>
      <c r="R117" s="185"/>
      <c r="S117" s="185"/>
      <c r="T117" s="364"/>
      <c r="U117" s="185"/>
      <c r="V117" s="185"/>
      <c r="W117" s="185"/>
      <c r="X117" s="185"/>
      <c r="Y117" s="185"/>
      <c r="Z117" s="185"/>
      <c r="AA117" s="185"/>
    </row>
    <row r="118" spans="1:27" ht="15.75" customHeight="1">
      <c r="A118" s="185"/>
      <c r="B118" s="360"/>
      <c r="C118" s="361"/>
      <c r="D118" s="185"/>
      <c r="E118" s="185"/>
      <c r="F118" s="362"/>
      <c r="G118" s="360"/>
      <c r="H118" s="185"/>
      <c r="I118" s="362"/>
      <c r="J118" s="185"/>
      <c r="K118" s="363"/>
      <c r="L118" s="363"/>
      <c r="M118" s="363"/>
      <c r="N118" s="363"/>
      <c r="O118" s="363"/>
      <c r="P118" s="363"/>
      <c r="Q118" s="362"/>
      <c r="R118" s="185"/>
      <c r="S118" s="185"/>
      <c r="T118" s="364"/>
      <c r="U118" s="185"/>
      <c r="V118" s="185"/>
      <c r="W118" s="185"/>
      <c r="X118" s="185"/>
      <c r="Y118" s="185"/>
      <c r="Z118" s="185"/>
      <c r="AA118" s="185"/>
    </row>
    <row r="119" spans="1:27" ht="15.75" customHeight="1">
      <c r="A119" s="185"/>
      <c r="B119" s="360"/>
      <c r="C119" s="361"/>
      <c r="D119" s="185"/>
      <c r="E119" s="185"/>
      <c r="F119" s="362"/>
      <c r="G119" s="360"/>
      <c r="H119" s="185"/>
      <c r="I119" s="362"/>
      <c r="J119" s="185"/>
      <c r="K119" s="363"/>
      <c r="L119" s="363"/>
      <c r="M119" s="363"/>
      <c r="N119" s="363"/>
      <c r="O119" s="363"/>
      <c r="P119" s="363"/>
      <c r="Q119" s="362"/>
      <c r="R119" s="185"/>
      <c r="S119" s="185"/>
      <c r="T119" s="364"/>
      <c r="U119" s="185"/>
      <c r="V119" s="185"/>
      <c r="W119" s="185"/>
      <c r="X119" s="185"/>
      <c r="Y119" s="185"/>
      <c r="Z119" s="185"/>
      <c r="AA119" s="185"/>
    </row>
    <row r="120" spans="1:27" ht="15.75" customHeight="1">
      <c r="A120" s="185"/>
      <c r="B120" s="360"/>
      <c r="C120" s="361"/>
      <c r="D120" s="185"/>
      <c r="E120" s="185"/>
      <c r="F120" s="362"/>
      <c r="G120" s="360"/>
      <c r="H120" s="185"/>
      <c r="I120" s="362"/>
      <c r="J120" s="185"/>
      <c r="K120" s="363"/>
      <c r="L120" s="363"/>
      <c r="M120" s="363"/>
      <c r="N120" s="363"/>
      <c r="O120" s="363"/>
      <c r="P120" s="363"/>
      <c r="Q120" s="362"/>
      <c r="R120" s="185"/>
      <c r="S120" s="185"/>
      <c r="T120" s="364"/>
      <c r="U120" s="185"/>
      <c r="V120" s="185"/>
      <c r="W120" s="185"/>
      <c r="X120" s="185"/>
      <c r="Y120" s="185"/>
      <c r="Z120" s="185"/>
      <c r="AA120" s="185"/>
    </row>
    <row r="121" spans="1:27" ht="15.75" customHeight="1">
      <c r="A121" s="185"/>
      <c r="B121" s="360"/>
      <c r="C121" s="361"/>
      <c r="D121" s="185"/>
      <c r="E121" s="185"/>
      <c r="F121" s="362"/>
      <c r="G121" s="360"/>
      <c r="H121" s="185"/>
      <c r="I121" s="362"/>
      <c r="J121" s="185"/>
      <c r="K121" s="363"/>
      <c r="L121" s="363"/>
      <c r="M121" s="363"/>
      <c r="N121" s="363"/>
      <c r="O121" s="363"/>
      <c r="P121" s="363"/>
      <c r="Q121" s="362"/>
      <c r="R121" s="185"/>
      <c r="S121" s="185"/>
      <c r="T121" s="364"/>
      <c r="U121" s="185"/>
      <c r="V121" s="185"/>
      <c r="W121" s="185"/>
      <c r="X121" s="185"/>
      <c r="Y121" s="185"/>
      <c r="Z121" s="185"/>
      <c r="AA121" s="185"/>
    </row>
    <row r="122" spans="1:27" ht="15.75" customHeight="1">
      <c r="A122" s="185"/>
      <c r="B122" s="360"/>
      <c r="C122" s="361"/>
      <c r="D122" s="185"/>
      <c r="E122" s="185"/>
      <c r="F122" s="362"/>
      <c r="G122" s="360"/>
      <c r="H122" s="185"/>
      <c r="I122" s="362"/>
      <c r="J122" s="185"/>
      <c r="K122" s="363"/>
      <c r="L122" s="363"/>
      <c r="M122" s="363"/>
      <c r="N122" s="363"/>
      <c r="O122" s="363"/>
      <c r="P122" s="363"/>
      <c r="Q122" s="362"/>
      <c r="R122" s="185"/>
      <c r="S122" s="185"/>
      <c r="T122" s="364"/>
      <c r="U122" s="185"/>
      <c r="V122" s="185"/>
      <c r="W122" s="185"/>
      <c r="X122" s="185"/>
      <c r="Y122" s="185"/>
      <c r="Z122" s="185"/>
      <c r="AA122" s="185"/>
    </row>
    <row r="123" spans="1:27" ht="15.75" customHeight="1">
      <c r="A123" s="185"/>
      <c r="B123" s="360"/>
      <c r="C123" s="361"/>
      <c r="D123" s="185"/>
      <c r="E123" s="185"/>
      <c r="F123" s="362"/>
      <c r="G123" s="360"/>
      <c r="H123" s="185"/>
      <c r="I123" s="362"/>
      <c r="J123" s="185"/>
      <c r="K123" s="363"/>
      <c r="L123" s="363"/>
      <c r="M123" s="363"/>
      <c r="N123" s="363"/>
      <c r="O123" s="363"/>
      <c r="P123" s="363"/>
      <c r="Q123" s="362"/>
      <c r="R123" s="185"/>
      <c r="S123" s="185"/>
      <c r="T123" s="364"/>
      <c r="U123" s="185"/>
      <c r="V123" s="185"/>
      <c r="W123" s="185"/>
      <c r="X123" s="185"/>
      <c r="Y123" s="185"/>
      <c r="Z123" s="185"/>
      <c r="AA123" s="185"/>
    </row>
    <row r="124" spans="1:27" ht="15.75" customHeight="1">
      <c r="A124" s="185"/>
      <c r="B124" s="360"/>
      <c r="C124" s="361"/>
      <c r="D124" s="185"/>
      <c r="E124" s="185"/>
      <c r="F124" s="362"/>
      <c r="G124" s="360"/>
      <c r="H124" s="185"/>
      <c r="I124" s="362"/>
      <c r="J124" s="185"/>
      <c r="K124" s="363"/>
      <c r="L124" s="363"/>
      <c r="M124" s="363"/>
      <c r="N124" s="363"/>
      <c r="O124" s="363"/>
      <c r="P124" s="363"/>
      <c r="Q124" s="362"/>
      <c r="R124" s="185"/>
      <c r="S124" s="185"/>
      <c r="T124" s="364"/>
      <c r="U124" s="185"/>
      <c r="V124" s="185"/>
      <c r="W124" s="185"/>
      <c r="X124" s="185"/>
      <c r="Y124" s="185"/>
      <c r="Z124" s="185"/>
      <c r="AA124" s="185"/>
    </row>
    <row r="125" spans="1:27" ht="15.75" customHeight="1">
      <c r="A125" s="185"/>
      <c r="B125" s="360"/>
      <c r="C125" s="361"/>
      <c r="D125" s="185"/>
      <c r="E125" s="185"/>
      <c r="F125" s="362"/>
      <c r="G125" s="360"/>
      <c r="H125" s="185"/>
      <c r="I125" s="362"/>
      <c r="J125" s="185"/>
      <c r="K125" s="363"/>
      <c r="L125" s="363"/>
      <c r="M125" s="363"/>
      <c r="N125" s="363"/>
      <c r="O125" s="363"/>
      <c r="P125" s="363"/>
      <c r="Q125" s="362"/>
      <c r="R125" s="185"/>
      <c r="S125" s="185"/>
      <c r="T125" s="364"/>
      <c r="U125" s="185"/>
      <c r="V125" s="185"/>
      <c r="W125" s="185"/>
      <c r="X125" s="185"/>
      <c r="Y125" s="185"/>
      <c r="Z125" s="185"/>
      <c r="AA125" s="185"/>
    </row>
    <row r="126" spans="1:27" ht="15.75" customHeight="1">
      <c r="A126" s="185"/>
      <c r="B126" s="360"/>
      <c r="C126" s="361"/>
      <c r="D126" s="185"/>
      <c r="E126" s="185"/>
      <c r="F126" s="362"/>
      <c r="G126" s="360"/>
      <c r="H126" s="185"/>
      <c r="I126" s="362"/>
      <c r="J126" s="185"/>
      <c r="K126" s="363"/>
      <c r="L126" s="363"/>
      <c r="M126" s="363"/>
      <c r="N126" s="363"/>
      <c r="O126" s="363"/>
      <c r="P126" s="363"/>
      <c r="Q126" s="362"/>
      <c r="R126" s="185"/>
      <c r="S126" s="185"/>
      <c r="T126" s="364"/>
      <c r="U126" s="185"/>
      <c r="V126" s="185"/>
      <c r="W126" s="185"/>
      <c r="X126" s="185"/>
      <c r="Y126" s="185"/>
      <c r="Z126" s="185"/>
      <c r="AA126" s="185"/>
    </row>
    <row r="127" spans="1:27" ht="15.75" customHeight="1">
      <c r="A127" s="185"/>
      <c r="B127" s="360"/>
      <c r="C127" s="361"/>
      <c r="D127" s="185"/>
      <c r="E127" s="185"/>
      <c r="F127" s="362"/>
      <c r="G127" s="360"/>
      <c r="H127" s="185"/>
      <c r="I127" s="362"/>
      <c r="J127" s="185"/>
      <c r="K127" s="363"/>
      <c r="L127" s="363"/>
      <c r="M127" s="363"/>
      <c r="N127" s="363"/>
      <c r="O127" s="363"/>
      <c r="P127" s="363"/>
      <c r="Q127" s="362"/>
      <c r="R127" s="185"/>
      <c r="S127" s="185"/>
      <c r="T127" s="364"/>
      <c r="U127" s="185"/>
      <c r="V127" s="185"/>
      <c r="W127" s="185"/>
      <c r="X127" s="185"/>
      <c r="Y127" s="185"/>
      <c r="Z127" s="185"/>
      <c r="AA127" s="185"/>
    </row>
    <row r="128" spans="1:27" ht="15.75" customHeight="1">
      <c r="A128" s="185"/>
      <c r="B128" s="360"/>
      <c r="C128" s="361"/>
      <c r="D128" s="185"/>
      <c r="E128" s="185"/>
      <c r="F128" s="362"/>
      <c r="G128" s="360"/>
      <c r="H128" s="185"/>
      <c r="I128" s="362"/>
      <c r="J128" s="185"/>
      <c r="K128" s="363"/>
      <c r="L128" s="363"/>
      <c r="M128" s="363"/>
      <c r="N128" s="363"/>
      <c r="O128" s="363"/>
      <c r="P128" s="363"/>
      <c r="Q128" s="362"/>
      <c r="R128" s="185"/>
      <c r="S128" s="185"/>
      <c r="T128" s="364"/>
      <c r="U128" s="185"/>
      <c r="V128" s="185"/>
      <c r="W128" s="185"/>
      <c r="X128" s="185"/>
      <c r="Y128" s="185"/>
      <c r="Z128" s="185"/>
      <c r="AA128" s="185"/>
    </row>
    <row r="129" spans="1:27" ht="15.75" customHeight="1">
      <c r="A129" s="185"/>
      <c r="B129" s="360"/>
      <c r="C129" s="361"/>
      <c r="D129" s="185"/>
      <c r="E129" s="185"/>
      <c r="F129" s="362"/>
      <c r="G129" s="360"/>
      <c r="H129" s="185"/>
      <c r="I129" s="362"/>
      <c r="J129" s="185"/>
      <c r="K129" s="363"/>
      <c r="L129" s="363"/>
      <c r="M129" s="363"/>
      <c r="N129" s="363"/>
      <c r="O129" s="363"/>
      <c r="P129" s="363"/>
      <c r="Q129" s="362"/>
      <c r="R129" s="185"/>
      <c r="S129" s="185"/>
      <c r="T129" s="364"/>
      <c r="U129" s="185"/>
      <c r="V129" s="185"/>
      <c r="W129" s="185"/>
      <c r="X129" s="185"/>
      <c r="Y129" s="185"/>
      <c r="Z129" s="185"/>
      <c r="AA129" s="185"/>
    </row>
    <row r="130" spans="1:27" ht="15.75" customHeight="1">
      <c r="A130" s="185"/>
      <c r="B130" s="360"/>
      <c r="C130" s="361"/>
      <c r="D130" s="185"/>
      <c r="E130" s="185"/>
      <c r="F130" s="362"/>
      <c r="G130" s="360"/>
      <c r="H130" s="185"/>
      <c r="I130" s="362"/>
      <c r="J130" s="185"/>
      <c r="K130" s="363"/>
      <c r="L130" s="363"/>
      <c r="M130" s="363"/>
      <c r="N130" s="363"/>
      <c r="O130" s="363"/>
      <c r="P130" s="363"/>
      <c r="Q130" s="362"/>
      <c r="R130" s="185"/>
      <c r="S130" s="185"/>
      <c r="T130" s="364"/>
      <c r="U130" s="185"/>
      <c r="V130" s="185"/>
      <c r="W130" s="185"/>
      <c r="X130" s="185"/>
      <c r="Y130" s="185"/>
      <c r="Z130" s="185"/>
      <c r="AA130" s="185"/>
    </row>
    <row r="131" spans="1:27" ht="15.75" customHeight="1">
      <c r="A131" s="185"/>
      <c r="B131" s="360"/>
      <c r="C131" s="361"/>
      <c r="D131" s="185"/>
      <c r="E131" s="185"/>
      <c r="F131" s="362"/>
      <c r="G131" s="360"/>
      <c r="H131" s="185"/>
      <c r="I131" s="362"/>
      <c r="J131" s="185"/>
      <c r="K131" s="363"/>
      <c r="L131" s="363"/>
      <c r="M131" s="363"/>
      <c r="N131" s="363"/>
      <c r="O131" s="363"/>
      <c r="P131" s="363"/>
      <c r="Q131" s="362"/>
      <c r="R131" s="185"/>
      <c r="S131" s="185"/>
      <c r="T131" s="364"/>
      <c r="U131" s="185"/>
      <c r="V131" s="185"/>
      <c r="W131" s="185"/>
      <c r="X131" s="185"/>
      <c r="Y131" s="185"/>
      <c r="Z131" s="185"/>
      <c r="AA131" s="185"/>
    </row>
    <row r="132" spans="1:27" ht="15.75" customHeight="1">
      <c r="A132" s="185"/>
      <c r="B132" s="360"/>
      <c r="C132" s="361"/>
      <c r="D132" s="185"/>
      <c r="E132" s="185"/>
      <c r="F132" s="362"/>
      <c r="G132" s="360"/>
      <c r="H132" s="185"/>
      <c r="I132" s="362"/>
      <c r="J132" s="185"/>
      <c r="K132" s="363"/>
      <c r="L132" s="363"/>
      <c r="M132" s="363"/>
      <c r="N132" s="363"/>
      <c r="O132" s="363"/>
      <c r="P132" s="363"/>
      <c r="Q132" s="362"/>
      <c r="R132" s="185"/>
      <c r="S132" s="185"/>
      <c r="T132" s="364"/>
      <c r="U132" s="185"/>
      <c r="V132" s="185"/>
      <c r="W132" s="185"/>
      <c r="X132" s="185"/>
      <c r="Y132" s="185"/>
      <c r="Z132" s="185"/>
      <c r="AA132" s="185"/>
    </row>
    <row r="133" spans="1:27" ht="15.75" customHeight="1">
      <c r="A133" s="185"/>
      <c r="B133" s="360"/>
      <c r="C133" s="361"/>
      <c r="D133" s="185"/>
      <c r="E133" s="185"/>
      <c r="F133" s="362"/>
      <c r="G133" s="360"/>
      <c r="H133" s="185"/>
      <c r="I133" s="362"/>
      <c r="J133" s="185"/>
      <c r="K133" s="363"/>
      <c r="L133" s="363"/>
      <c r="M133" s="363"/>
      <c r="N133" s="363"/>
      <c r="O133" s="363"/>
      <c r="P133" s="363"/>
      <c r="Q133" s="362"/>
      <c r="R133" s="185"/>
      <c r="S133" s="185"/>
      <c r="T133" s="364"/>
      <c r="U133" s="185"/>
      <c r="V133" s="185"/>
      <c r="W133" s="185"/>
      <c r="X133" s="185"/>
      <c r="Y133" s="185"/>
      <c r="Z133" s="185"/>
      <c r="AA133" s="185"/>
    </row>
    <row r="134" spans="1:27" ht="15.75" customHeight="1">
      <c r="A134" s="185"/>
      <c r="B134" s="360"/>
      <c r="C134" s="361"/>
      <c r="D134" s="185"/>
      <c r="E134" s="185"/>
      <c r="F134" s="362"/>
      <c r="G134" s="360"/>
      <c r="H134" s="185"/>
      <c r="I134" s="362"/>
      <c r="J134" s="185"/>
      <c r="K134" s="363"/>
      <c r="L134" s="363"/>
      <c r="M134" s="363"/>
      <c r="N134" s="363"/>
      <c r="O134" s="363"/>
      <c r="P134" s="363"/>
      <c r="Q134" s="362"/>
      <c r="R134" s="185"/>
      <c r="S134" s="185"/>
      <c r="T134" s="364"/>
      <c r="U134" s="185"/>
      <c r="V134" s="185"/>
      <c r="W134" s="185"/>
      <c r="X134" s="185"/>
      <c r="Y134" s="185"/>
      <c r="Z134" s="185"/>
      <c r="AA134" s="185"/>
    </row>
    <row r="135" spans="1:27" ht="15.75" customHeight="1">
      <c r="A135" s="185"/>
      <c r="B135" s="360"/>
      <c r="C135" s="361"/>
      <c r="D135" s="185"/>
      <c r="E135" s="185"/>
      <c r="F135" s="362"/>
      <c r="G135" s="360"/>
      <c r="H135" s="185"/>
      <c r="I135" s="362"/>
      <c r="J135" s="185"/>
      <c r="K135" s="363"/>
      <c r="L135" s="363"/>
      <c r="M135" s="363"/>
      <c r="N135" s="363"/>
      <c r="O135" s="363"/>
      <c r="P135" s="363"/>
      <c r="Q135" s="362"/>
      <c r="R135" s="185"/>
      <c r="S135" s="185"/>
      <c r="T135" s="364"/>
      <c r="U135" s="185"/>
      <c r="V135" s="185"/>
      <c r="W135" s="185"/>
      <c r="X135" s="185"/>
      <c r="Y135" s="185"/>
      <c r="Z135" s="185"/>
      <c r="AA135" s="185"/>
    </row>
    <row r="136" spans="1:27" ht="15.75" customHeight="1">
      <c r="A136" s="185"/>
      <c r="B136" s="360"/>
      <c r="C136" s="361"/>
      <c r="D136" s="185"/>
      <c r="E136" s="185"/>
      <c r="F136" s="362"/>
      <c r="G136" s="360"/>
      <c r="H136" s="185"/>
      <c r="I136" s="362"/>
      <c r="J136" s="185"/>
      <c r="K136" s="363"/>
      <c r="L136" s="363"/>
      <c r="M136" s="363"/>
      <c r="N136" s="363"/>
      <c r="O136" s="363"/>
      <c r="P136" s="363"/>
      <c r="Q136" s="362"/>
      <c r="R136" s="185"/>
      <c r="S136" s="185"/>
      <c r="T136" s="364"/>
      <c r="U136" s="185"/>
      <c r="V136" s="185"/>
      <c r="W136" s="185"/>
      <c r="X136" s="185"/>
      <c r="Y136" s="185"/>
      <c r="Z136" s="185"/>
      <c r="AA136" s="185"/>
    </row>
    <row r="137" spans="1:27" ht="15.75" customHeight="1">
      <c r="A137" s="185"/>
      <c r="B137" s="360"/>
      <c r="C137" s="361"/>
      <c r="D137" s="185"/>
      <c r="E137" s="185"/>
      <c r="F137" s="362"/>
      <c r="G137" s="360"/>
      <c r="H137" s="185"/>
      <c r="I137" s="362"/>
      <c r="J137" s="185"/>
      <c r="K137" s="363"/>
      <c r="L137" s="363"/>
      <c r="M137" s="363"/>
      <c r="N137" s="363"/>
      <c r="O137" s="363"/>
      <c r="P137" s="363"/>
      <c r="Q137" s="362"/>
      <c r="R137" s="185"/>
      <c r="S137" s="185"/>
      <c r="T137" s="364"/>
      <c r="U137" s="185"/>
      <c r="V137" s="185"/>
      <c r="W137" s="185"/>
      <c r="X137" s="185"/>
      <c r="Y137" s="185"/>
      <c r="Z137" s="185"/>
      <c r="AA137" s="185"/>
    </row>
    <row r="138" spans="1:27" ht="15.75" customHeight="1">
      <c r="A138" s="185"/>
      <c r="B138" s="360"/>
      <c r="C138" s="361"/>
      <c r="D138" s="185"/>
      <c r="E138" s="185"/>
      <c r="F138" s="362"/>
      <c r="G138" s="360"/>
      <c r="H138" s="185"/>
      <c r="I138" s="362"/>
      <c r="J138" s="185"/>
      <c r="K138" s="363"/>
      <c r="L138" s="363"/>
      <c r="M138" s="363"/>
      <c r="N138" s="363"/>
      <c r="O138" s="363"/>
      <c r="P138" s="363"/>
      <c r="Q138" s="362"/>
      <c r="R138" s="185"/>
      <c r="S138" s="185"/>
      <c r="T138" s="364"/>
      <c r="U138" s="185"/>
      <c r="V138" s="185"/>
      <c r="W138" s="185"/>
      <c r="X138" s="185"/>
      <c r="Y138" s="185"/>
      <c r="Z138" s="185"/>
      <c r="AA138" s="185"/>
    </row>
    <row r="139" spans="1:27" ht="15.75" customHeight="1">
      <c r="A139" s="185"/>
      <c r="B139" s="360"/>
      <c r="C139" s="361"/>
      <c r="D139" s="185"/>
      <c r="E139" s="185"/>
      <c r="F139" s="362"/>
      <c r="G139" s="360"/>
      <c r="H139" s="185"/>
      <c r="I139" s="362"/>
      <c r="J139" s="185"/>
      <c r="K139" s="363"/>
      <c r="L139" s="363"/>
      <c r="M139" s="363"/>
      <c r="N139" s="363"/>
      <c r="O139" s="363"/>
      <c r="P139" s="363"/>
      <c r="Q139" s="362"/>
      <c r="R139" s="185"/>
      <c r="S139" s="185"/>
      <c r="T139" s="364"/>
      <c r="U139" s="185"/>
      <c r="V139" s="185"/>
      <c r="W139" s="185"/>
      <c r="X139" s="185"/>
      <c r="Y139" s="185"/>
      <c r="Z139" s="185"/>
      <c r="AA139" s="185"/>
    </row>
    <row r="140" spans="1:27" ht="15.75" customHeight="1">
      <c r="A140" s="185"/>
      <c r="B140" s="360"/>
      <c r="C140" s="361"/>
      <c r="D140" s="185"/>
      <c r="E140" s="185"/>
      <c r="F140" s="362"/>
      <c r="G140" s="360"/>
      <c r="H140" s="185"/>
      <c r="I140" s="362"/>
      <c r="J140" s="185"/>
      <c r="K140" s="363"/>
      <c r="L140" s="363"/>
      <c r="M140" s="363"/>
      <c r="N140" s="363"/>
      <c r="O140" s="363"/>
      <c r="P140" s="363"/>
      <c r="Q140" s="362"/>
      <c r="R140" s="185"/>
      <c r="S140" s="185"/>
      <c r="T140" s="364"/>
      <c r="U140" s="185"/>
      <c r="V140" s="185"/>
      <c r="W140" s="185"/>
      <c r="X140" s="185"/>
      <c r="Y140" s="185"/>
      <c r="Z140" s="185"/>
      <c r="AA140" s="185"/>
    </row>
    <row r="141" spans="1:27" ht="15.75" customHeight="1">
      <c r="A141" s="185"/>
      <c r="B141" s="360"/>
      <c r="C141" s="361"/>
      <c r="D141" s="185"/>
      <c r="E141" s="185"/>
      <c r="F141" s="362"/>
      <c r="G141" s="360"/>
      <c r="H141" s="185"/>
      <c r="I141" s="362"/>
      <c r="J141" s="185"/>
      <c r="K141" s="363"/>
      <c r="L141" s="363"/>
      <c r="M141" s="363"/>
      <c r="N141" s="363"/>
      <c r="O141" s="363"/>
      <c r="P141" s="363"/>
      <c r="Q141" s="362"/>
      <c r="R141" s="185"/>
      <c r="S141" s="185"/>
      <c r="T141" s="364"/>
      <c r="U141" s="185"/>
      <c r="V141" s="185"/>
      <c r="W141" s="185"/>
      <c r="X141" s="185"/>
      <c r="Y141" s="185"/>
      <c r="Z141" s="185"/>
      <c r="AA141" s="185"/>
    </row>
    <row r="142" spans="1:27" ht="15.75" customHeight="1">
      <c r="A142" s="185"/>
      <c r="B142" s="360"/>
      <c r="C142" s="361"/>
      <c r="D142" s="185"/>
      <c r="E142" s="185"/>
      <c r="F142" s="362"/>
      <c r="G142" s="360"/>
      <c r="H142" s="185"/>
      <c r="I142" s="362"/>
      <c r="J142" s="185"/>
      <c r="K142" s="363"/>
      <c r="L142" s="363"/>
      <c r="M142" s="363"/>
      <c r="N142" s="363"/>
      <c r="O142" s="363"/>
      <c r="P142" s="363"/>
      <c r="Q142" s="362"/>
      <c r="R142" s="185"/>
      <c r="S142" s="185"/>
      <c r="T142" s="364"/>
      <c r="U142" s="185"/>
      <c r="V142" s="185"/>
      <c r="W142" s="185"/>
      <c r="X142" s="185"/>
      <c r="Y142" s="185"/>
      <c r="Z142" s="185"/>
      <c r="AA142" s="185"/>
    </row>
    <row r="143" spans="1:27" ht="15.75" customHeight="1">
      <c r="A143" s="185"/>
      <c r="B143" s="360"/>
      <c r="C143" s="361"/>
      <c r="D143" s="185"/>
      <c r="E143" s="185"/>
      <c r="F143" s="362"/>
      <c r="G143" s="360"/>
      <c r="H143" s="185"/>
      <c r="I143" s="362"/>
      <c r="J143" s="185"/>
      <c r="K143" s="363"/>
      <c r="L143" s="363"/>
      <c r="M143" s="363"/>
      <c r="N143" s="363"/>
      <c r="O143" s="363"/>
      <c r="P143" s="363"/>
      <c r="Q143" s="362"/>
      <c r="R143" s="185"/>
      <c r="S143" s="185"/>
      <c r="T143" s="364"/>
      <c r="U143" s="185"/>
      <c r="V143" s="185"/>
      <c r="W143" s="185"/>
      <c r="X143" s="185"/>
      <c r="Y143" s="185"/>
      <c r="Z143" s="185"/>
      <c r="AA143" s="185"/>
    </row>
    <row r="144" spans="1:27" ht="15.75" customHeight="1">
      <c r="A144" s="185"/>
      <c r="B144" s="360"/>
      <c r="C144" s="361"/>
      <c r="D144" s="185"/>
      <c r="E144" s="185"/>
      <c r="F144" s="362"/>
      <c r="G144" s="360"/>
      <c r="H144" s="185"/>
      <c r="I144" s="362"/>
      <c r="J144" s="185"/>
      <c r="K144" s="363"/>
      <c r="L144" s="363"/>
      <c r="M144" s="363"/>
      <c r="N144" s="363"/>
      <c r="O144" s="363"/>
      <c r="P144" s="363"/>
      <c r="Q144" s="362"/>
      <c r="R144" s="185"/>
      <c r="S144" s="185"/>
      <c r="T144" s="364"/>
      <c r="U144" s="185"/>
      <c r="V144" s="185"/>
      <c r="W144" s="185"/>
      <c r="X144" s="185"/>
      <c r="Y144" s="185"/>
      <c r="Z144" s="185"/>
      <c r="AA144" s="185"/>
    </row>
    <row r="145" spans="1:27" ht="15.75" customHeight="1">
      <c r="A145" s="185"/>
      <c r="B145" s="360"/>
      <c r="C145" s="361"/>
      <c r="D145" s="185"/>
      <c r="E145" s="185"/>
      <c r="F145" s="362"/>
      <c r="G145" s="360"/>
      <c r="H145" s="185"/>
      <c r="I145" s="362"/>
      <c r="J145" s="185"/>
      <c r="K145" s="363"/>
      <c r="L145" s="363"/>
      <c r="M145" s="363"/>
      <c r="N145" s="363"/>
      <c r="O145" s="363"/>
      <c r="P145" s="363"/>
      <c r="Q145" s="362"/>
      <c r="R145" s="185"/>
      <c r="S145" s="185"/>
      <c r="T145" s="364"/>
      <c r="U145" s="185"/>
      <c r="V145" s="185"/>
      <c r="W145" s="185"/>
      <c r="X145" s="185"/>
      <c r="Y145" s="185"/>
      <c r="Z145" s="185"/>
      <c r="AA145" s="185"/>
    </row>
    <row r="146" spans="1:27" ht="15.75" customHeight="1">
      <c r="A146" s="185"/>
      <c r="B146" s="360"/>
      <c r="C146" s="361"/>
      <c r="D146" s="185"/>
      <c r="E146" s="185"/>
      <c r="F146" s="362"/>
      <c r="G146" s="360"/>
      <c r="H146" s="185"/>
      <c r="I146" s="362"/>
      <c r="J146" s="185"/>
      <c r="K146" s="363"/>
      <c r="L146" s="363"/>
      <c r="M146" s="363"/>
      <c r="N146" s="363"/>
      <c r="O146" s="363"/>
      <c r="P146" s="363"/>
      <c r="Q146" s="362"/>
      <c r="R146" s="185"/>
      <c r="S146" s="185"/>
      <c r="T146" s="364"/>
      <c r="U146" s="185"/>
      <c r="V146" s="185"/>
      <c r="W146" s="185"/>
      <c r="X146" s="185"/>
      <c r="Y146" s="185"/>
      <c r="Z146" s="185"/>
      <c r="AA146" s="185"/>
    </row>
    <row r="147" spans="1:27" ht="15.75" customHeight="1">
      <c r="A147" s="185"/>
      <c r="B147" s="360"/>
      <c r="C147" s="361"/>
      <c r="D147" s="185"/>
      <c r="E147" s="185"/>
      <c r="F147" s="362"/>
      <c r="G147" s="360"/>
      <c r="H147" s="185"/>
      <c r="I147" s="362"/>
      <c r="J147" s="185"/>
      <c r="K147" s="363"/>
      <c r="L147" s="363"/>
      <c r="M147" s="363"/>
      <c r="N147" s="363"/>
      <c r="O147" s="363"/>
      <c r="P147" s="363"/>
      <c r="Q147" s="362"/>
      <c r="R147" s="185"/>
      <c r="S147" s="185"/>
      <c r="T147" s="364"/>
      <c r="U147" s="185"/>
      <c r="V147" s="185"/>
      <c r="W147" s="185"/>
      <c r="X147" s="185"/>
      <c r="Y147" s="185"/>
      <c r="Z147" s="185"/>
      <c r="AA147" s="185"/>
    </row>
    <row r="148" spans="1:27" ht="15.75" customHeight="1">
      <c r="A148" s="185"/>
      <c r="B148" s="360"/>
      <c r="C148" s="361"/>
      <c r="D148" s="185"/>
      <c r="E148" s="185"/>
      <c r="F148" s="362"/>
      <c r="G148" s="360"/>
      <c r="H148" s="185"/>
      <c r="I148" s="362"/>
      <c r="J148" s="185"/>
      <c r="K148" s="363"/>
      <c r="L148" s="363"/>
      <c r="M148" s="363"/>
      <c r="N148" s="363"/>
      <c r="O148" s="363"/>
      <c r="P148" s="363"/>
      <c r="Q148" s="362"/>
      <c r="R148" s="185"/>
      <c r="S148" s="185"/>
      <c r="T148" s="364"/>
      <c r="U148" s="185"/>
      <c r="V148" s="185"/>
      <c r="W148" s="185"/>
      <c r="X148" s="185"/>
      <c r="Y148" s="185"/>
      <c r="Z148" s="185"/>
      <c r="AA148" s="185"/>
    </row>
    <row r="149" spans="1:27" ht="15.75" customHeight="1">
      <c r="A149" s="185"/>
      <c r="B149" s="360"/>
      <c r="C149" s="361"/>
      <c r="D149" s="185"/>
      <c r="E149" s="185"/>
      <c r="F149" s="362"/>
      <c r="G149" s="360"/>
      <c r="H149" s="185"/>
      <c r="I149" s="362"/>
      <c r="J149" s="185"/>
      <c r="K149" s="363"/>
      <c r="L149" s="363"/>
      <c r="M149" s="363"/>
      <c r="N149" s="363"/>
      <c r="O149" s="363"/>
      <c r="P149" s="363"/>
      <c r="Q149" s="362"/>
      <c r="R149" s="185"/>
      <c r="S149" s="185"/>
      <c r="T149" s="364"/>
      <c r="U149" s="185"/>
      <c r="V149" s="185"/>
      <c r="W149" s="185"/>
      <c r="X149" s="185"/>
      <c r="Y149" s="185"/>
      <c r="Z149" s="185"/>
      <c r="AA149" s="185"/>
    </row>
    <row r="150" spans="1:27" ht="15.75" customHeight="1">
      <c r="A150" s="185"/>
      <c r="B150" s="360"/>
      <c r="C150" s="361"/>
      <c r="D150" s="185"/>
      <c r="E150" s="185"/>
      <c r="F150" s="362"/>
      <c r="G150" s="360"/>
      <c r="H150" s="185"/>
      <c r="I150" s="362"/>
      <c r="J150" s="185"/>
      <c r="K150" s="363"/>
      <c r="L150" s="363"/>
      <c r="M150" s="363"/>
      <c r="N150" s="363"/>
      <c r="O150" s="363"/>
      <c r="P150" s="363"/>
      <c r="Q150" s="362"/>
      <c r="R150" s="185"/>
      <c r="S150" s="185"/>
      <c r="T150" s="364"/>
      <c r="U150" s="185"/>
      <c r="V150" s="185"/>
      <c r="W150" s="185"/>
      <c r="X150" s="185"/>
      <c r="Y150" s="185"/>
      <c r="Z150" s="185"/>
      <c r="AA150" s="185"/>
    </row>
    <row r="151" spans="1:27" ht="15.75" customHeight="1">
      <c r="A151" s="185"/>
      <c r="B151" s="360"/>
      <c r="C151" s="361"/>
      <c r="D151" s="185"/>
      <c r="E151" s="185"/>
      <c r="F151" s="362"/>
      <c r="G151" s="360"/>
      <c r="H151" s="185"/>
      <c r="I151" s="362"/>
      <c r="J151" s="185"/>
      <c r="K151" s="363"/>
      <c r="L151" s="363"/>
      <c r="M151" s="363"/>
      <c r="N151" s="363"/>
      <c r="O151" s="363"/>
      <c r="P151" s="363"/>
      <c r="Q151" s="362"/>
      <c r="R151" s="185"/>
      <c r="S151" s="185"/>
      <c r="T151" s="364"/>
      <c r="U151" s="185"/>
      <c r="V151" s="185"/>
      <c r="W151" s="185"/>
      <c r="X151" s="185"/>
      <c r="Y151" s="185"/>
      <c r="Z151" s="185"/>
      <c r="AA151" s="185"/>
    </row>
    <row r="152" spans="1:27" ht="15.75" customHeight="1">
      <c r="A152" s="185"/>
      <c r="B152" s="360"/>
      <c r="C152" s="361"/>
      <c r="D152" s="185"/>
      <c r="E152" s="185"/>
      <c r="F152" s="362"/>
      <c r="G152" s="360"/>
      <c r="H152" s="185"/>
      <c r="I152" s="362"/>
      <c r="J152" s="185"/>
      <c r="K152" s="363"/>
      <c r="L152" s="363"/>
      <c r="M152" s="363"/>
      <c r="N152" s="363"/>
      <c r="O152" s="363"/>
      <c r="P152" s="363"/>
      <c r="Q152" s="362"/>
      <c r="R152" s="185"/>
      <c r="S152" s="185"/>
      <c r="T152" s="364"/>
      <c r="U152" s="185"/>
      <c r="V152" s="185"/>
      <c r="W152" s="185"/>
      <c r="X152" s="185"/>
      <c r="Y152" s="185"/>
      <c r="Z152" s="185"/>
      <c r="AA152" s="185"/>
    </row>
    <row r="153" spans="1:27" ht="15.75" customHeight="1">
      <c r="A153" s="185"/>
      <c r="B153" s="360"/>
      <c r="C153" s="361"/>
      <c r="D153" s="185"/>
      <c r="E153" s="185"/>
      <c r="F153" s="362"/>
      <c r="G153" s="360"/>
      <c r="H153" s="185"/>
      <c r="I153" s="362"/>
      <c r="J153" s="185"/>
      <c r="K153" s="363"/>
      <c r="L153" s="363"/>
      <c r="M153" s="363"/>
      <c r="N153" s="363"/>
      <c r="O153" s="363"/>
      <c r="P153" s="363"/>
      <c r="Q153" s="362"/>
      <c r="R153" s="185"/>
      <c r="S153" s="185"/>
      <c r="T153" s="364"/>
      <c r="U153" s="185"/>
      <c r="V153" s="185"/>
      <c r="W153" s="185"/>
      <c r="X153" s="185"/>
      <c r="Y153" s="185"/>
      <c r="Z153" s="185"/>
      <c r="AA153" s="185"/>
    </row>
    <row r="154" spans="1:27" ht="15.75" customHeight="1">
      <c r="A154" s="185"/>
      <c r="B154" s="360"/>
      <c r="C154" s="361"/>
      <c r="D154" s="185"/>
      <c r="E154" s="185"/>
      <c r="F154" s="362"/>
      <c r="G154" s="360"/>
      <c r="H154" s="185"/>
      <c r="I154" s="362"/>
      <c r="J154" s="185"/>
      <c r="K154" s="363"/>
      <c r="L154" s="363"/>
      <c r="M154" s="363"/>
      <c r="N154" s="363"/>
      <c r="O154" s="363"/>
      <c r="P154" s="363"/>
      <c r="Q154" s="362"/>
      <c r="R154" s="185"/>
      <c r="S154" s="185"/>
      <c r="T154" s="364"/>
      <c r="U154" s="185"/>
      <c r="V154" s="185"/>
      <c r="W154" s="185"/>
      <c r="X154" s="185"/>
      <c r="Y154" s="185"/>
      <c r="Z154" s="185"/>
      <c r="AA154" s="185"/>
    </row>
    <row r="155" spans="1:27" ht="15.75" customHeight="1">
      <c r="A155" s="185"/>
      <c r="B155" s="360"/>
      <c r="C155" s="361"/>
      <c r="D155" s="185"/>
      <c r="E155" s="185"/>
      <c r="F155" s="362"/>
      <c r="G155" s="360"/>
      <c r="H155" s="185"/>
      <c r="I155" s="362"/>
      <c r="J155" s="185"/>
      <c r="K155" s="363"/>
      <c r="L155" s="363"/>
      <c r="M155" s="363"/>
      <c r="N155" s="363"/>
      <c r="O155" s="363"/>
      <c r="P155" s="363"/>
      <c r="Q155" s="362"/>
      <c r="R155" s="185"/>
      <c r="S155" s="185"/>
      <c r="T155" s="364"/>
      <c r="U155" s="185"/>
      <c r="V155" s="185"/>
      <c r="W155" s="185"/>
      <c r="X155" s="185"/>
      <c r="Y155" s="185"/>
      <c r="Z155" s="185"/>
      <c r="AA155" s="185"/>
    </row>
    <row r="156" spans="1:27" ht="15.75" customHeight="1">
      <c r="A156" s="185"/>
      <c r="B156" s="360"/>
      <c r="C156" s="361"/>
      <c r="D156" s="185"/>
      <c r="E156" s="185"/>
      <c r="F156" s="362"/>
      <c r="G156" s="360"/>
      <c r="H156" s="185"/>
      <c r="I156" s="362"/>
      <c r="J156" s="185"/>
      <c r="K156" s="363"/>
      <c r="L156" s="363"/>
      <c r="M156" s="363"/>
      <c r="N156" s="363"/>
      <c r="O156" s="363"/>
      <c r="P156" s="363"/>
      <c r="Q156" s="362"/>
      <c r="R156" s="185"/>
      <c r="S156" s="185"/>
      <c r="T156" s="364"/>
      <c r="U156" s="185"/>
      <c r="V156" s="185"/>
      <c r="W156" s="185"/>
      <c r="X156" s="185"/>
      <c r="Y156" s="185"/>
      <c r="Z156" s="185"/>
      <c r="AA156" s="185"/>
    </row>
    <row r="157" spans="1:27" ht="15.75" customHeight="1">
      <c r="A157" s="185"/>
      <c r="B157" s="360"/>
      <c r="C157" s="361"/>
      <c r="D157" s="185"/>
      <c r="E157" s="185"/>
      <c r="F157" s="362"/>
      <c r="G157" s="360"/>
      <c r="H157" s="185"/>
      <c r="I157" s="362"/>
      <c r="J157" s="185"/>
      <c r="K157" s="363"/>
      <c r="L157" s="363"/>
      <c r="M157" s="363"/>
      <c r="N157" s="363"/>
      <c r="O157" s="363"/>
      <c r="P157" s="363"/>
      <c r="Q157" s="362"/>
      <c r="R157" s="185"/>
      <c r="S157" s="185"/>
      <c r="T157" s="364"/>
      <c r="U157" s="185"/>
      <c r="V157" s="185"/>
      <c r="W157" s="185"/>
      <c r="X157" s="185"/>
      <c r="Y157" s="185"/>
      <c r="Z157" s="185"/>
      <c r="AA157" s="185"/>
    </row>
    <row r="158" spans="1:27" ht="15.75" customHeight="1">
      <c r="A158" s="185"/>
      <c r="B158" s="360"/>
      <c r="C158" s="361"/>
      <c r="D158" s="185"/>
      <c r="E158" s="185"/>
      <c r="F158" s="362"/>
      <c r="G158" s="360"/>
      <c r="H158" s="185"/>
      <c r="I158" s="362"/>
      <c r="J158" s="185"/>
      <c r="K158" s="363"/>
      <c r="L158" s="363"/>
      <c r="M158" s="363"/>
      <c r="N158" s="363"/>
      <c r="O158" s="363"/>
      <c r="P158" s="363"/>
      <c r="Q158" s="362"/>
      <c r="R158" s="185"/>
      <c r="S158" s="185"/>
      <c r="T158" s="364"/>
      <c r="U158" s="185"/>
      <c r="V158" s="185"/>
      <c r="W158" s="185"/>
      <c r="X158" s="185"/>
      <c r="Y158" s="185"/>
      <c r="Z158" s="185"/>
      <c r="AA158" s="185"/>
    </row>
    <row r="159" spans="1:27" ht="15.75" customHeight="1">
      <c r="A159" s="185"/>
      <c r="B159" s="360"/>
      <c r="C159" s="361"/>
      <c r="D159" s="185"/>
      <c r="E159" s="185"/>
      <c r="F159" s="362"/>
      <c r="G159" s="360"/>
      <c r="H159" s="185"/>
      <c r="I159" s="362"/>
      <c r="J159" s="185"/>
      <c r="K159" s="363"/>
      <c r="L159" s="363"/>
      <c r="M159" s="363"/>
      <c r="N159" s="363"/>
      <c r="O159" s="363"/>
      <c r="P159" s="363"/>
      <c r="Q159" s="362"/>
      <c r="R159" s="185"/>
      <c r="S159" s="185"/>
      <c r="T159" s="364"/>
      <c r="U159" s="185"/>
      <c r="V159" s="185"/>
      <c r="W159" s="185"/>
      <c r="X159" s="185"/>
      <c r="Y159" s="185"/>
      <c r="Z159" s="185"/>
      <c r="AA159" s="185"/>
    </row>
    <row r="160" spans="1:27" ht="15.75" customHeight="1">
      <c r="A160" s="185"/>
      <c r="B160" s="360"/>
      <c r="C160" s="361"/>
      <c r="D160" s="185"/>
      <c r="E160" s="185"/>
      <c r="F160" s="362"/>
      <c r="G160" s="360"/>
      <c r="H160" s="185"/>
      <c r="I160" s="362"/>
      <c r="J160" s="185"/>
      <c r="K160" s="363"/>
      <c r="L160" s="363"/>
      <c r="M160" s="363"/>
      <c r="N160" s="363"/>
      <c r="O160" s="363"/>
      <c r="P160" s="363"/>
      <c r="Q160" s="362"/>
      <c r="R160" s="185"/>
      <c r="S160" s="185"/>
      <c r="T160" s="364"/>
      <c r="U160" s="185"/>
      <c r="V160" s="185"/>
      <c r="W160" s="185"/>
      <c r="X160" s="185"/>
      <c r="Y160" s="185"/>
      <c r="Z160" s="185"/>
      <c r="AA160" s="185"/>
    </row>
    <row r="161" spans="1:27" ht="15.75" customHeight="1">
      <c r="A161" s="185"/>
      <c r="B161" s="360"/>
      <c r="C161" s="361"/>
      <c r="D161" s="185"/>
      <c r="E161" s="185"/>
      <c r="F161" s="362"/>
      <c r="G161" s="360"/>
      <c r="H161" s="185"/>
      <c r="I161" s="362"/>
      <c r="J161" s="185"/>
      <c r="K161" s="363"/>
      <c r="L161" s="363"/>
      <c r="M161" s="363"/>
      <c r="N161" s="363"/>
      <c r="O161" s="363"/>
      <c r="P161" s="363"/>
      <c r="Q161" s="362"/>
      <c r="R161" s="185"/>
      <c r="S161" s="185"/>
      <c r="T161" s="364"/>
      <c r="U161" s="185"/>
      <c r="V161" s="185"/>
      <c r="W161" s="185"/>
      <c r="X161" s="185"/>
      <c r="Y161" s="185"/>
      <c r="Z161" s="185"/>
      <c r="AA161" s="185"/>
    </row>
    <row r="162" spans="1:27" ht="15.75" customHeight="1">
      <c r="A162" s="185"/>
      <c r="B162" s="360"/>
      <c r="C162" s="361"/>
      <c r="D162" s="185"/>
      <c r="E162" s="185"/>
      <c r="F162" s="362"/>
      <c r="G162" s="360"/>
      <c r="H162" s="185"/>
      <c r="I162" s="362"/>
      <c r="J162" s="185"/>
      <c r="K162" s="363"/>
      <c r="L162" s="363"/>
      <c r="M162" s="363"/>
      <c r="N162" s="363"/>
      <c r="O162" s="363"/>
      <c r="P162" s="363"/>
      <c r="Q162" s="362"/>
      <c r="R162" s="185"/>
      <c r="S162" s="185"/>
      <c r="T162" s="364"/>
      <c r="U162" s="185"/>
      <c r="V162" s="185"/>
      <c r="W162" s="185"/>
      <c r="X162" s="185"/>
      <c r="Y162" s="185"/>
      <c r="Z162" s="185"/>
      <c r="AA162" s="185"/>
    </row>
    <row r="163" spans="1:27" ht="15.75" customHeight="1">
      <c r="A163" s="185"/>
      <c r="B163" s="360"/>
      <c r="C163" s="361"/>
      <c r="D163" s="185"/>
      <c r="E163" s="185"/>
      <c r="F163" s="362"/>
      <c r="G163" s="360"/>
      <c r="H163" s="185"/>
      <c r="I163" s="362"/>
      <c r="J163" s="185"/>
      <c r="K163" s="363"/>
      <c r="L163" s="363"/>
      <c r="M163" s="363"/>
      <c r="N163" s="363"/>
      <c r="O163" s="363"/>
      <c r="P163" s="363"/>
      <c r="Q163" s="362"/>
      <c r="R163" s="185"/>
      <c r="S163" s="185"/>
      <c r="T163" s="364"/>
      <c r="U163" s="185"/>
      <c r="V163" s="185"/>
      <c r="W163" s="185"/>
      <c r="X163" s="185"/>
      <c r="Y163" s="185"/>
      <c r="Z163" s="185"/>
      <c r="AA163" s="185"/>
    </row>
    <row r="164" spans="1:27" ht="15.75" customHeight="1">
      <c r="A164" s="185"/>
      <c r="B164" s="360"/>
      <c r="C164" s="361"/>
      <c r="D164" s="185"/>
      <c r="E164" s="185"/>
      <c r="F164" s="362"/>
      <c r="G164" s="360"/>
      <c r="H164" s="185"/>
      <c r="I164" s="362"/>
      <c r="J164" s="185"/>
      <c r="K164" s="363"/>
      <c r="L164" s="363"/>
      <c r="M164" s="363"/>
      <c r="N164" s="363"/>
      <c r="O164" s="363"/>
      <c r="P164" s="363"/>
      <c r="Q164" s="362"/>
      <c r="R164" s="185"/>
      <c r="S164" s="185"/>
      <c r="T164" s="364"/>
      <c r="U164" s="185"/>
      <c r="V164" s="185"/>
      <c r="W164" s="185"/>
      <c r="X164" s="185"/>
      <c r="Y164" s="185"/>
      <c r="Z164" s="185"/>
      <c r="AA164" s="185"/>
    </row>
    <row r="165" spans="1:27" ht="15.75" customHeight="1">
      <c r="A165" s="185"/>
      <c r="B165" s="360"/>
      <c r="C165" s="361"/>
      <c r="D165" s="185"/>
      <c r="E165" s="185"/>
      <c r="F165" s="362"/>
      <c r="G165" s="360"/>
      <c r="H165" s="185"/>
      <c r="I165" s="362"/>
      <c r="J165" s="185"/>
      <c r="K165" s="363"/>
      <c r="L165" s="363"/>
      <c r="M165" s="363"/>
      <c r="N165" s="363"/>
      <c r="O165" s="363"/>
      <c r="P165" s="363"/>
      <c r="Q165" s="362"/>
      <c r="R165" s="185"/>
      <c r="S165" s="185"/>
      <c r="T165" s="364"/>
      <c r="U165" s="185"/>
      <c r="V165" s="185"/>
      <c r="W165" s="185"/>
      <c r="X165" s="185"/>
      <c r="Y165" s="185"/>
      <c r="Z165" s="185"/>
      <c r="AA165" s="185"/>
    </row>
    <row r="166" spans="1:27" ht="15.75" customHeight="1">
      <c r="A166" s="185"/>
      <c r="B166" s="360"/>
      <c r="C166" s="361"/>
      <c r="D166" s="185"/>
      <c r="E166" s="185"/>
      <c r="F166" s="362"/>
      <c r="G166" s="360"/>
      <c r="H166" s="185"/>
      <c r="I166" s="362"/>
      <c r="J166" s="185"/>
      <c r="K166" s="363"/>
      <c r="L166" s="363"/>
      <c r="M166" s="363"/>
      <c r="N166" s="363"/>
      <c r="O166" s="363"/>
      <c r="P166" s="363"/>
      <c r="Q166" s="362"/>
      <c r="R166" s="185"/>
      <c r="S166" s="185"/>
      <c r="T166" s="364"/>
      <c r="U166" s="185"/>
      <c r="V166" s="185"/>
      <c r="W166" s="185"/>
      <c r="X166" s="185"/>
      <c r="Y166" s="185"/>
      <c r="Z166" s="185"/>
      <c r="AA166" s="185"/>
    </row>
    <row r="167" spans="1:27" ht="15.75" customHeight="1">
      <c r="A167" s="185"/>
      <c r="B167" s="360"/>
      <c r="C167" s="361"/>
      <c r="D167" s="185"/>
      <c r="E167" s="185"/>
      <c r="F167" s="362"/>
      <c r="G167" s="360"/>
      <c r="H167" s="185"/>
      <c r="I167" s="362"/>
      <c r="J167" s="185"/>
      <c r="K167" s="363"/>
      <c r="L167" s="363"/>
      <c r="M167" s="363"/>
      <c r="N167" s="363"/>
      <c r="O167" s="363"/>
      <c r="P167" s="363"/>
      <c r="Q167" s="362"/>
      <c r="R167" s="185"/>
      <c r="S167" s="185"/>
      <c r="T167" s="364"/>
      <c r="U167" s="185"/>
      <c r="V167" s="185"/>
      <c r="W167" s="185"/>
      <c r="X167" s="185"/>
      <c r="Y167" s="185"/>
      <c r="Z167" s="185"/>
      <c r="AA167" s="185"/>
    </row>
    <row r="168" spans="1:27" ht="15.75" customHeight="1">
      <c r="A168" s="185"/>
      <c r="B168" s="360"/>
      <c r="C168" s="361"/>
      <c r="D168" s="185"/>
      <c r="E168" s="185"/>
      <c r="F168" s="362"/>
      <c r="G168" s="360"/>
      <c r="H168" s="185"/>
      <c r="I168" s="362"/>
      <c r="J168" s="185"/>
      <c r="K168" s="363"/>
      <c r="L168" s="363"/>
      <c r="M168" s="363"/>
      <c r="N168" s="363"/>
      <c r="O168" s="363"/>
      <c r="P168" s="363"/>
      <c r="Q168" s="362"/>
      <c r="R168" s="185"/>
      <c r="S168" s="185"/>
      <c r="T168" s="364"/>
      <c r="U168" s="185"/>
      <c r="V168" s="185"/>
      <c r="W168" s="185"/>
      <c r="X168" s="185"/>
      <c r="Y168" s="185"/>
      <c r="Z168" s="185"/>
      <c r="AA168" s="185"/>
    </row>
    <row r="169" spans="1:27" ht="15.75" customHeight="1">
      <c r="A169" s="185"/>
      <c r="B169" s="360"/>
      <c r="C169" s="361"/>
      <c r="D169" s="185"/>
      <c r="E169" s="185"/>
      <c r="F169" s="362"/>
      <c r="G169" s="360"/>
      <c r="H169" s="185"/>
      <c r="I169" s="362"/>
      <c r="J169" s="185"/>
      <c r="K169" s="363"/>
      <c r="L169" s="363"/>
      <c r="M169" s="363"/>
      <c r="N169" s="363"/>
      <c r="O169" s="363"/>
      <c r="P169" s="363"/>
      <c r="Q169" s="362"/>
      <c r="R169" s="185"/>
      <c r="S169" s="185"/>
      <c r="T169" s="364"/>
      <c r="U169" s="185"/>
      <c r="V169" s="185"/>
      <c r="W169" s="185"/>
      <c r="X169" s="185"/>
      <c r="Y169" s="185"/>
      <c r="Z169" s="185"/>
      <c r="AA169" s="185"/>
    </row>
    <row r="170" spans="1:27" ht="15.75" customHeight="1">
      <c r="A170" s="185"/>
      <c r="B170" s="360"/>
      <c r="C170" s="361"/>
      <c r="D170" s="185"/>
      <c r="E170" s="185"/>
      <c r="F170" s="362"/>
      <c r="G170" s="360"/>
      <c r="H170" s="185"/>
      <c r="I170" s="362"/>
      <c r="J170" s="185"/>
      <c r="K170" s="363"/>
      <c r="L170" s="363"/>
      <c r="M170" s="363"/>
      <c r="N170" s="363"/>
      <c r="O170" s="363"/>
      <c r="P170" s="363"/>
      <c r="Q170" s="362"/>
      <c r="R170" s="185"/>
      <c r="S170" s="185"/>
      <c r="T170" s="364"/>
      <c r="U170" s="185"/>
      <c r="V170" s="185"/>
      <c r="W170" s="185"/>
      <c r="X170" s="185"/>
      <c r="Y170" s="185"/>
      <c r="Z170" s="185"/>
      <c r="AA170" s="185"/>
    </row>
    <row r="171" spans="1:27" ht="15.75" customHeight="1">
      <c r="A171" s="185"/>
      <c r="B171" s="360"/>
      <c r="C171" s="361"/>
      <c r="D171" s="185"/>
      <c r="E171" s="185"/>
      <c r="F171" s="362"/>
      <c r="G171" s="360"/>
      <c r="H171" s="185"/>
      <c r="I171" s="362"/>
      <c r="J171" s="185"/>
      <c r="K171" s="363"/>
      <c r="L171" s="363"/>
      <c r="M171" s="363"/>
      <c r="N171" s="363"/>
      <c r="O171" s="363"/>
      <c r="P171" s="363"/>
      <c r="Q171" s="362"/>
      <c r="R171" s="185"/>
      <c r="S171" s="185"/>
      <c r="T171" s="364"/>
      <c r="U171" s="185"/>
      <c r="V171" s="185"/>
      <c r="W171" s="185"/>
      <c r="X171" s="185"/>
      <c r="Y171" s="185"/>
      <c r="Z171" s="185"/>
      <c r="AA171" s="185"/>
    </row>
    <row r="172" spans="1:27" ht="15.75" customHeight="1">
      <c r="A172" s="185"/>
      <c r="B172" s="360"/>
      <c r="C172" s="361"/>
      <c r="D172" s="185"/>
      <c r="E172" s="185"/>
      <c r="F172" s="362"/>
      <c r="G172" s="360"/>
      <c r="H172" s="185"/>
      <c r="I172" s="362"/>
      <c r="J172" s="185"/>
      <c r="K172" s="363"/>
      <c r="L172" s="363"/>
      <c r="M172" s="363"/>
      <c r="N172" s="363"/>
      <c r="O172" s="363"/>
      <c r="P172" s="363"/>
      <c r="Q172" s="362"/>
      <c r="R172" s="185"/>
      <c r="S172" s="185"/>
      <c r="T172" s="364"/>
      <c r="U172" s="185"/>
      <c r="V172" s="185"/>
      <c r="W172" s="185"/>
      <c r="X172" s="185"/>
      <c r="Y172" s="185"/>
      <c r="Z172" s="185"/>
      <c r="AA172" s="185"/>
    </row>
    <row r="173" spans="1:27" ht="15.75" customHeight="1">
      <c r="A173" s="185"/>
      <c r="B173" s="360"/>
      <c r="C173" s="361"/>
      <c r="D173" s="185"/>
      <c r="E173" s="185"/>
      <c r="F173" s="362"/>
      <c r="G173" s="360"/>
      <c r="H173" s="185"/>
      <c r="I173" s="362"/>
      <c r="J173" s="185"/>
      <c r="K173" s="363"/>
      <c r="L173" s="363"/>
      <c r="M173" s="363"/>
      <c r="N173" s="363"/>
      <c r="O173" s="363"/>
      <c r="P173" s="363"/>
      <c r="Q173" s="362"/>
      <c r="R173" s="185"/>
      <c r="S173" s="185"/>
      <c r="T173" s="364"/>
      <c r="U173" s="185"/>
      <c r="V173" s="185"/>
      <c r="W173" s="185"/>
      <c r="X173" s="185"/>
      <c r="Y173" s="185"/>
      <c r="Z173" s="185"/>
      <c r="AA173" s="185"/>
    </row>
    <row r="174" spans="1:27" ht="15.75" customHeight="1">
      <c r="A174" s="185"/>
      <c r="B174" s="360"/>
      <c r="C174" s="361"/>
      <c r="D174" s="185"/>
      <c r="E174" s="185"/>
      <c r="F174" s="362"/>
      <c r="G174" s="360"/>
      <c r="H174" s="185"/>
      <c r="I174" s="362"/>
      <c r="J174" s="185"/>
      <c r="K174" s="363"/>
      <c r="L174" s="363"/>
      <c r="M174" s="363"/>
      <c r="N174" s="363"/>
      <c r="O174" s="363"/>
      <c r="P174" s="363"/>
      <c r="Q174" s="362"/>
      <c r="R174" s="185"/>
      <c r="S174" s="185"/>
      <c r="T174" s="364"/>
      <c r="U174" s="185"/>
      <c r="V174" s="185"/>
      <c r="W174" s="185"/>
      <c r="X174" s="185"/>
      <c r="Y174" s="185"/>
      <c r="Z174" s="185"/>
      <c r="AA174" s="185"/>
    </row>
    <row r="175" spans="1:27" ht="15.75" customHeight="1">
      <c r="A175" s="185"/>
      <c r="B175" s="360"/>
      <c r="C175" s="361"/>
      <c r="D175" s="185"/>
      <c r="E175" s="185"/>
      <c r="F175" s="362"/>
      <c r="G175" s="360"/>
      <c r="H175" s="185"/>
      <c r="I175" s="362"/>
      <c r="J175" s="185"/>
      <c r="K175" s="363"/>
      <c r="L175" s="363"/>
      <c r="M175" s="363"/>
      <c r="N175" s="363"/>
      <c r="O175" s="363"/>
      <c r="P175" s="363"/>
      <c r="Q175" s="362"/>
      <c r="R175" s="185"/>
      <c r="S175" s="185"/>
      <c r="T175" s="364"/>
      <c r="U175" s="185"/>
      <c r="V175" s="185"/>
      <c r="W175" s="185"/>
      <c r="X175" s="185"/>
      <c r="Y175" s="185"/>
      <c r="Z175" s="185"/>
      <c r="AA175" s="185"/>
    </row>
    <row r="176" spans="1:27" ht="15.75" customHeight="1">
      <c r="A176" s="185"/>
      <c r="B176" s="360"/>
      <c r="C176" s="361"/>
      <c r="D176" s="185"/>
      <c r="E176" s="185"/>
      <c r="F176" s="362"/>
      <c r="G176" s="360"/>
      <c r="H176" s="185"/>
      <c r="I176" s="362"/>
      <c r="J176" s="185"/>
      <c r="K176" s="363"/>
      <c r="L176" s="363"/>
      <c r="M176" s="363"/>
      <c r="N176" s="363"/>
      <c r="O176" s="363"/>
      <c r="P176" s="363"/>
      <c r="Q176" s="362"/>
      <c r="R176" s="185"/>
      <c r="S176" s="185"/>
      <c r="T176" s="364"/>
      <c r="U176" s="185"/>
      <c r="V176" s="185"/>
      <c r="W176" s="185"/>
      <c r="X176" s="185"/>
      <c r="Y176" s="185"/>
      <c r="Z176" s="185"/>
      <c r="AA176" s="185"/>
    </row>
    <row r="177" spans="1:27" ht="15.75" customHeight="1">
      <c r="A177" s="185"/>
      <c r="B177" s="360"/>
      <c r="C177" s="361"/>
      <c r="D177" s="185"/>
      <c r="E177" s="185"/>
      <c r="F177" s="362"/>
      <c r="G177" s="360"/>
      <c r="H177" s="185"/>
      <c r="I177" s="362"/>
      <c r="J177" s="185"/>
      <c r="K177" s="363"/>
      <c r="L177" s="363"/>
      <c r="M177" s="363"/>
      <c r="N177" s="363"/>
      <c r="O177" s="363"/>
      <c r="P177" s="363"/>
      <c r="Q177" s="362"/>
      <c r="R177" s="185"/>
      <c r="S177" s="185"/>
      <c r="T177" s="364"/>
      <c r="U177" s="185"/>
      <c r="V177" s="185"/>
      <c r="W177" s="185"/>
      <c r="X177" s="185"/>
      <c r="Y177" s="185"/>
      <c r="Z177" s="185"/>
      <c r="AA177" s="185"/>
    </row>
    <row r="178" spans="1:27" ht="15.75" customHeight="1">
      <c r="A178" s="185"/>
      <c r="B178" s="360"/>
      <c r="C178" s="361"/>
      <c r="D178" s="185"/>
      <c r="E178" s="185"/>
      <c r="F178" s="362"/>
      <c r="G178" s="360"/>
      <c r="H178" s="185"/>
      <c r="I178" s="362"/>
      <c r="J178" s="185"/>
      <c r="K178" s="363"/>
      <c r="L178" s="363"/>
      <c r="M178" s="363"/>
      <c r="N178" s="363"/>
      <c r="O178" s="363"/>
      <c r="P178" s="363"/>
      <c r="Q178" s="362"/>
      <c r="R178" s="185"/>
      <c r="S178" s="185"/>
      <c r="T178" s="364"/>
      <c r="U178" s="185"/>
      <c r="V178" s="185"/>
      <c r="W178" s="185"/>
      <c r="X178" s="185"/>
      <c r="Y178" s="185"/>
      <c r="Z178" s="185"/>
      <c r="AA178" s="185"/>
    </row>
    <row r="179" spans="1:27" ht="15.75" customHeight="1">
      <c r="A179" s="185"/>
      <c r="B179" s="360"/>
      <c r="C179" s="361"/>
      <c r="D179" s="185"/>
      <c r="E179" s="185"/>
      <c r="F179" s="362"/>
      <c r="G179" s="360"/>
      <c r="H179" s="185"/>
      <c r="I179" s="362"/>
      <c r="J179" s="185"/>
      <c r="K179" s="363"/>
      <c r="L179" s="363"/>
      <c r="M179" s="363"/>
      <c r="N179" s="363"/>
      <c r="O179" s="363"/>
      <c r="P179" s="363"/>
      <c r="Q179" s="362"/>
      <c r="R179" s="185"/>
      <c r="S179" s="185"/>
      <c r="T179" s="364"/>
      <c r="U179" s="185"/>
      <c r="V179" s="185"/>
      <c r="W179" s="185"/>
      <c r="X179" s="185"/>
      <c r="Y179" s="185"/>
      <c r="Z179" s="185"/>
      <c r="AA179" s="185"/>
    </row>
    <row r="180" spans="1:27" ht="15.75" customHeight="1">
      <c r="A180" s="185"/>
      <c r="B180" s="360"/>
      <c r="C180" s="361"/>
      <c r="D180" s="185"/>
      <c r="E180" s="185"/>
      <c r="F180" s="362"/>
      <c r="G180" s="360"/>
      <c r="H180" s="185"/>
      <c r="I180" s="362"/>
      <c r="J180" s="185"/>
      <c r="K180" s="363"/>
      <c r="L180" s="363"/>
      <c r="M180" s="363"/>
      <c r="N180" s="363"/>
      <c r="O180" s="363"/>
      <c r="P180" s="363"/>
      <c r="Q180" s="362"/>
      <c r="R180" s="185"/>
      <c r="S180" s="185"/>
      <c r="T180" s="364"/>
      <c r="U180" s="185"/>
      <c r="V180" s="185"/>
      <c r="W180" s="185"/>
      <c r="X180" s="185"/>
      <c r="Y180" s="185"/>
      <c r="Z180" s="185"/>
      <c r="AA180" s="185"/>
    </row>
    <row r="181" spans="1:27" ht="15.75" customHeight="1">
      <c r="A181" s="185"/>
      <c r="B181" s="360"/>
      <c r="C181" s="361"/>
      <c r="D181" s="185"/>
      <c r="E181" s="185"/>
      <c r="F181" s="362"/>
      <c r="G181" s="360"/>
      <c r="H181" s="185"/>
      <c r="I181" s="362"/>
      <c r="J181" s="185"/>
      <c r="K181" s="363"/>
      <c r="L181" s="363"/>
      <c r="M181" s="363"/>
      <c r="N181" s="363"/>
      <c r="O181" s="363"/>
      <c r="P181" s="363"/>
      <c r="Q181" s="362"/>
      <c r="R181" s="185"/>
      <c r="S181" s="185"/>
      <c r="T181" s="364"/>
      <c r="U181" s="185"/>
      <c r="V181" s="185"/>
      <c r="W181" s="185"/>
      <c r="X181" s="185"/>
      <c r="Y181" s="185"/>
      <c r="Z181" s="185"/>
      <c r="AA181" s="185"/>
    </row>
    <row r="182" spans="1:27" ht="15.75" customHeight="1">
      <c r="A182" s="185"/>
      <c r="B182" s="360"/>
      <c r="C182" s="361"/>
      <c r="D182" s="185"/>
      <c r="E182" s="185"/>
      <c r="F182" s="362"/>
      <c r="G182" s="360"/>
      <c r="H182" s="185"/>
      <c r="I182" s="362"/>
      <c r="J182" s="185"/>
      <c r="K182" s="363"/>
      <c r="L182" s="363"/>
      <c r="M182" s="363"/>
      <c r="N182" s="363"/>
      <c r="O182" s="363"/>
      <c r="P182" s="363"/>
      <c r="Q182" s="362"/>
      <c r="R182" s="185"/>
      <c r="S182" s="185"/>
      <c r="T182" s="364"/>
      <c r="U182" s="185"/>
      <c r="V182" s="185"/>
      <c r="W182" s="185"/>
      <c r="X182" s="185"/>
      <c r="Y182" s="185"/>
      <c r="Z182" s="185"/>
      <c r="AA182" s="185"/>
    </row>
    <row r="183" spans="1:27" ht="15.75" customHeight="1">
      <c r="A183" s="185"/>
      <c r="B183" s="360"/>
      <c r="C183" s="361"/>
      <c r="D183" s="185"/>
      <c r="E183" s="185"/>
      <c r="F183" s="362"/>
      <c r="G183" s="360"/>
      <c r="H183" s="185"/>
      <c r="I183" s="362"/>
      <c r="J183" s="185"/>
      <c r="K183" s="363"/>
      <c r="L183" s="363"/>
      <c r="M183" s="363"/>
      <c r="N183" s="363"/>
      <c r="O183" s="363"/>
      <c r="P183" s="363"/>
      <c r="Q183" s="362"/>
      <c r="R183" s="185"/>
      <c r="S183" s="185"/>
      <c r="T183" s="364"/>
      <c r="U183" s="185"/>
      <c r="V183" s="185"/>
      <c r="W183" s="185"/>
      <c r="X183" s="185"/>
      <c r="Y183" s="185"/>
      <c r="Z183" s="185"/>
      <c r="AA183" s="185"/>
    </row>
    <row r="184" spans="1:27" ht="15.75" customHeight="1">
      <c r="A184" s="185"/>
      <c r="B184" s="360"/>
      <c r="C184" s="361"/>
      <c r="D184" s="185"/>
      <c r="E184" s="185"/>
      <c r="F184" s="362"/>
      <c r="G184" s="360"/>
      <c r="H184" s="185"/>
      <c r="I184" s="362"/>
      <c r="J184" s="185"/>
      <c r="K184" s="363"/>
      <c r="L184" s="363"/>
      <c r="M184" s="363"/>
      <c r="N184" s="363"/>
      <c r="O184" s="363"/>
      <c r="P184" s="363"/>
      <c r="Q184" s="362"/>
      <c r="R184" s="185"/>
      <c r="S184" s="185"/>
      <c r="T184" s="364"/>
      <c r="U184" s="185"/>
      <c r="V184" s="185"/>
      <c r="W184" s="185"/>
      <c r="X184" s="185"/>
      <c r="Y184" s="185"/>
      <c r="Z184" s="185"/>
      <c r="AA184" s="185"/>
    </row>
    <row r="185" spans="1:27" ht="15.75" customHeight="1">
      <c r="A185" s="185"/>
      <c r="B185" s="360"/>
      <c r="C185" s="361"/>
      <c r="D185" s="185"/>
      <c r="E185" s="185"/>
      <c r="F185" s="362"/>
      <c r="G185" s="360"/>
      <c r="H185" s="185"/>
      <c r="I185" s="362"/>
      <c r="J185" s="185"/>
      <c r="K185" s="363"/>
      <c r="L185" s="363"/>
      <c r="M185" s="363"/>
      <c r="N185" s="363"/>
      <c r="O185" s="363"/>
      <c r="P185" s="363"/>
      <c r="Q185" s="362"/>
      <c r="R185" s="185"/>
      <c r="S185" s="185"/>
      <c r="T185" s="364"/>
      <c r="U185" s="185"/>
      <c r="V185" s="185"/>
      <c r="W185" s="185"/>
      <c r="X185" s="185"/>
      <c r="Y185" s="185"/>
      <c r="Z185" s="185"/>
      <c r="AA185" s="185"/>
    </row>
    <row r="186" spans="1:27" ht="15.75" customHeight="1">
      <c r="A186" s="185"/>
      <c r="B186" s="360"/>
      <c r="C186" s="361"/>
      <c r="D186" s="185"/>
      <c r="E186" s="185"/>
      <c r="F186" s="362"/>
      <c r="G186" s="360"/>
      <c r="H186" s="185"/>
      <c r="I186" s="362"/>
      <c r="J186" s="185"/>
      <c r="K186" s="363"/>
      <c r="L186" s="363"/>
      <c r="M186" s="363"/>
      <c r="N186" s="363"/>
      <c r="O186" s="363"/>
      <c r="P186" s="363"/>
      <c r="Q186" s="362"/>
      <c r="R186" s="185"/>
      <c r="S186" s="185"/>
      <c r="T186" s="364"/>
      <c r="U186" s="185"/>
      <c r="V186" s="185"/>
      <c r="W186" s="185"/>
      <c r="X186" s="185"/>
      <c r="Y186" s="185"/>
      <c r="Z186" s="185"/>
      <c r="AA186" s="185"/>
    </row>
    <row r="187" spans="1:27" ht="15.75" customHeight="1">
      <c r="A187" s="185"/>
      <c r="B187" s="360"/>
      <c r="C187" s="361"/>
      <c r="D187" s="185"/>
      <c r="E187" s="185"/>
      <c r="F187" s="362"/>
      <c r="G187" s="360"/>
      <c r="H187" s="185"/>
      <c r="I187" s="362"/>
      <c r="J187" s="185"/>
      <c r="K187" s="363"/>
      <c r="L187" s="363"/>
      <c r="M187" s="363"/>
      <c r="N187" s="363"/>
      <c r="O187" s="363"/>
      <c r="P187" s="363"/>
      <c r="Q187" s="362"/>
      <c r="R187" s="185"/>
      <c r="S187" s="185"/>
      <c r="T187" s="364"/>
      <c r="U187" s="185"/>
      <c r="V187" s="185"/>
      <c r="W187" s="185"/>
      <c r="X187" s="185"/>
      <c r="Y187" s="185"/>
      <c r="Z187" s="185"/>
      <c r="AA187" s="185"/>
    </row>
    <row r="188" spans="1:27" ht="15.75" customHeight="1">
      <c r="A188" s="185"/>
      <c r="B188" s="360"/>
      <c r="C188" s="361"/>
      <c r="D188" s="185"/>
      <c r="E188" s="185"/>
      <c r="F188" s="362"/>
      <c r="G188" s="360"/>
      <c r="H188" s="185"/>
      <c r="I188" s="362"/>
      <c r="J188" s="185"/>
      <c r="K188" s="363"/>
      <c r="L188" s="363"/>
      <c r="M188" s="363"/>
      <c r="N188" s="363"/>
      <c r="O188" s="363"/>
      <c r="P188" s="363"/>
      <c r="Q188" s="362"/>
      <c r="R188" s="185"/>
      <c r="S188" s="185"/>
      <c r="T188" s="364"/>
      <c r="U188" s="185"/>
      <c r="V188" s="185"/>
      <c r="W188" s="185"/>
      <c r="X188" s="185"/>
      <c r="Y188" s="185"/>
      <c r="Z188" s="185"/>
      <c r="AA188" s="185"/>
    </row>
    <row r="189" spans="1:27" ht="15.75" customHeight="1">
      <c r="A189" s="185"/>
      <c r="B189" s="360"/>
      <c r="C189" s="361"/>
      <c r="D189" s="185"/>
      <c r="E189" s="185"/>
      <c r="F189" s="362"/>
      <c r="G189" s="360"/>
      <c r="H189" s="185"/>
      <c r="I189" s="362"/>
      <c r="J189" s="185"/>
      <c r="K189" s="363"/>
      <c r="L189" s="363"/>
      <c r="M189" s="363"/>
      <c r="N189" s="363"/>
      <c r="O189" s="363"/>
      <c r="P189" s="363"/>
      <c r="Q189" s="362"/>
      <c r="R189" s="185"/>
      <c r="S189" s="185"/>
      <c r="T189" s="364"/>
      <c r="U189" s="185"/>
      <c r="V189" s="185"/>
      <c r="W189" s="185"/>
      <c r="X189" s="185"/>
      <c r="Y189" s="185"/>
      <c r="Z189" s="185"/>
      <c r="AA189" s="185"/>
    </row>
    <row r="190" spans="1:27" ht="15.75" customHeight="1">
      <c r="A190" s="185"/>
      <c r="B190" s="360"/>
      <c r="C190" s="361"/>
      <c r="D190" s="185"/>
      <c r="E190" s="185"/>
      <c r="F190" s="362"/>
      <c r="G190" s="360"/>
      <c r="H190" s="185"/>
      <c r="I190" s="362"/>
      <c r="J190" s="185"/>
      <c r="K190" s="363"/>
      <c r="L190" s="363"/>
      <c r="M190" s="363"/>
      <c r="N190" s="363"/>
      <c r="O190" s="363"/>
      <c r="P190" s="363"/>
      <c r="Q190" s="362"/>
      <c r="R190" s="185"/>
      <c r="S190" s="185"/>
      <c r="T190" s="364"/>
      <c r="U190" s="185"/>
      <c r="V190" s="185"/>
      <c r="W190" s="185"/>
      <c r="X190" s="185"/>
      <c r="Y190" s="185"/>
      <c r="Z190" s="185"/>
      <c r="AA190" s="185"/>
    </row>
    <row r="191" spans="1:27" ht="15.75" customHeight="1">
      <c r="A191" s="185"/>
      <c r="B191" s="360"/>
      <c r="C191" s="361"/>
      <c r="D191" s="185"/>
      <c r="E191" s="185"/>
      <c r="F191" s="362"/>
      <c r="G191" s="360"/>
      <c r="H191" s="185"/>
      <c r="I191" s="362"/>
      <c r="J191" s="185"/>
      <c r="K191" s="363"/>
      <c r="L191" s="363"/>
      <c r="M191" s="363"/>
      <c r="N191" s="363"/>
      <c r="O191" s="363"/>
      <c r="P191" s="363"/>
      <c r="Q191" s="362"/>
      <c r="R191" s="185"/>
      <c r="S191" s="185"/>
      <c r="T191" s="364"/>
      <c r="U191" s="185"/>
      <c r="V191" s="185"/>
      <c r="W191" s="185"/>
      <c r="X191" s="185"/>
      <c r="Y191" s="185"/>
      <c r="Z191" s="185"/>
      <c r="AA191" s="185"/>
    </row>
    <row r="192" spans="1:27" ht="15.75" customHeight="1">
      <c r="A192" s="185"/>
      <c r="B192" s="360"/>
      <c r="C192" s="361"/>
      <c r="D192" s="185"/>
      <c r="E192" s="185"/>
      <c r="F192" s="362"/>
      <c r="G192" s="360"/>
      <c r="H192" s="185"/>
      <c r="I192" s="362"/>
      <c r="J192" s="185"/>
      <c r="K192" s="363"/>
      <c r="L192" s="363"/>
      <c r="M192" s="363"/>
      <c r="N192" s="363"/>
      <c r="O192" s="363"/>
      <c r="P192" s="363"/>
      <c r="Q192" s="362"/>
      <c r="R192" s="185"/>
      <c r="S192" s="185"/>
      <c r="T192" s="364"/>
      <c r="U192" s="185"/>
      <c r="V192" s="185"/>
      <c r="W192" s="185"/>
      <c r="X192" s="185"/>
      <c r="Y192" s="185"/>
      <c r="Z192" s="185"/>
      <c r="AA192" s="185"/>
    </row>
    <row r="193" spans="1:27" ht="15.75" customHeight="1">
      <c r="A193" s="185"/>
      <c r="B193" s="360"/>
      <c r="C193" s="361"/>
      <c r="D193" s="185"/>
      <c r="E193" s="185"/>
      <c r="F193" s="362"/>
      <c r="G193" s="360"/>
      <c r="H193" s="185"/>
      <c r="I193" s="362"/>
      <c r="J193" s="185"/>
      <c r="K193" s="363"/>
      <c r="L193" s="363"/>
      <c r="M193" s="363"/>
      <c r="N193" s="363"/>
      <c r="O193" s="363"/>
      <c r="P193" s="363"/>
      <c r="Q193" s="362"/>
      <c r="R193" s="185"/>
      <c r="S193" s="185"/>
      <c r="T193" s="364"/>
      <c r="U193" s="185"/>
      <c r="V193" s="185"/>
      <c r="W193" s="185"/>
      <c r="X193" s="185"/>
      <c r="Y193" s="185"/>
      <c r="Z193" s="185"/>
      <c r="AA193" s="185"/>
    </row>
    <row r="194" spans="1:27" ht="15.75" customHeight="1">
      <c r="A194" s="185"/>
      <c r="B194" s="360"/>
      <c r="C194" s="361"/>
      <c r="D194" s="185"/>
      <c r="E194" s="185"/>
      <c r="F194" s="362"/>
      <c r="G194" s="360"/>
      <c r="H194" s="185"/>
      <c r="I194" s="362"/>
      <c r="J194" s="185"/>
      <c r="K194" s="363"/>
      <c r="L194" s="363"/>
      <c r="M194" s="363"/>
      <c r="N194" s="363"/>
      <c r="O194" s="363"/>
      <c r="P194" s="363"/>
      <c r="Q194" s="362"/>
      <c r="R194" s="185"/>
      <c r="S194" s="185"/>
      <c r="T194" s="364"/>
      <c r="U194" s="185"/>
      <c r="V194" s="185"/>
      <c r="W194" s="185"/>
      <c r="X194" s="185"/>
      <c r="Y194" s="185"/>
      <c r="Z194" s="185"/>
      <c r="AA194" s="185"/>
    </row>
    <row r="195" spans="1:27" ht="15.75" customHeight="1">
      <c r="A195" s="185"/>
      <c r="B195" s="360"/>
      <c r="C195" s="361"/>
      <c r="D195" s="185"/>
      <c r="E195" s="185"/>
      <c r="F195" s="362"/>
      <c r="G195" s="360"/>
      <c r="H195" s="185"/>
      <c r="I195" s="362"/>
      <c r="J195" s="185"/>
      <c r="K195" s="363"/>
      <c r="L195" s="363"/>
      <c r="M195" s="363"/>
      <c r="N195" s="363"/>
      <c r="O195" s="363"/>
      <c r="P195" s="363"/>
      <c r="Q195" s="362"/>
      <c r="R195" s="185"/>
      <c r="S195" s="185"/>
      <c r="T195" s="364"/>
      <c r="U195" s="185"/>
      <c r="V195" s="185"/>
      <c r="W195" s="185"/>
      <c r="X195" s="185"/>
      <c r="Y195" s="185"/>
      <c r="Z195" s="185"/>
      <c r="AA195" s="185"/>
    </row>
    <row r="196" spans="1:27" ht="15.75" customHeight="1">
      <c r="A196" s="185"/>
      <c r="B196" s="360"/>
      <c r="C196" s="361"/>
      <c r="D196" s="185"/>
      <c r="E196" s="185"/>
      <c r="F196" s="362"/>
      <c r="G196" s="360"/>
      <c r="H196" s="185"/>
      <c r="I196" s="362"/>
      <c r="J196" s="185"/>
      <c r="K196" s="363"/>
      <c r="L196" s="363"/>
      <c r="M196" s="363"/>
      <c r="N196" s="363"/>
      <c r="O196" s="363"/>
      <c r="P196" s="363"/>
      <c r="Q196" s="362"/>
      <c r="R196" s="185"/>
      <c r="S196" s="185"/>
      <c r="T196" s="364"/>
      <c r="U196" s="185"/>
      <c r="V196" s="185"/>
      <c r="W196" s="185"/>
      <c r="X196" s="185"/>
      <c r="Y196" s="185"/>
      <c r="Z196" s="185"/>
      <c r="AA196" s="185"/>
    </row>
    <row r="197" spans="1:27" ht="15.75" customHeight="1">
      <c r="A197" s="185"/>
      <c r="B197" s="360"/>
      <c r="C197" s="361"/>
      <c r="D197" s="185"/>
      <c r="E197" s="185"/>
      <c r="F197" s="362"/>
      <c r="G197" s="360"/>
      <c r="H197" s="185"/>
      <c r="I197" s="362"/>
      <c r="J197" s="185"/>
      <c r="K197" s="363"/>
      <c r="L197" s="363"/>
      <c r="M197" s="363"/>
      <c r="N197" s="363"/>
      <c r="O197" s="363"/>
      <c r="P197" s="363"/>
      <c r="Q197" s="362"/>
      <c r="R197" s="185"/>
      <c r="S197" s="185"/>
      <c r="T197" s="364"/>
      <c r="U197" s="185"/>
      <c r="V197" s="185"/>
      <c r="W197" s="185"/>
      <c r="X197" s="185"/>
      <c r="Y197" s="185"/>
      <c r="Z197" s="185"/>
      <c r="AA197" s="185"/>
    </row>
    <row r="198" spans="1:27" ht="15.75" customHeight="1">
      <c r="A198" s="185"/>
      <c r="B198" s="360"/>
      <c r="C198" s="361"/>
      <c r="D198" s="185"/>
      <c r="E198" s="185"/>
      <c r="F198" s="362"/>
      <c r="G198" s="360"/>
      <c r="H198" s="185"/>
      <c r="I198" s="362"/>
      <c r="J198" s="185"/>
      <c r="K198" s="363"/>
      <c r="L198" s="363"/>
      <c r="M198" s="363"/>
      <c r="N198" s="363"/>
      <c r="O198" s="363"/>
      <c r="P198" s="363"/>
      <c r="Q198" s="362"/>
      <c r="R198" s="185"/>
      <c r="S198" s="185"/>
      <c r="T198" s="364"/>
      <c r="U198" s="185"/>
      <c r="V198" s="185"/>
      <c r="W198" s="185"/>
      <c r="X198" s="185"/>
      <c r="Y198" s="185"/>
      <c r="Z198" s="185"/>
      <c r="AA198" s="185"/>
    </row>
    <row r="199" spans="1:27" ht="15.75" customHeight="1">
      <c r="A199" s="185"/>
      <c r="B199" s="360"/>
      <c r="C199" s="361"/>
      <c r="D199" s="185"/>
      <c r="E199" s="185"/>
      <c r="F199" s="362"/>
      <c r="G199" s="360"/>
      <c r="H199" s="185"/>
      <c r="I199" s="362"/>
      <c r="J199" s="185"/>
      <c r="K199" s="363"/>
      <c r="L199" s="363"/>
      <c r="M199" s="363"/>
      <c r="N199" s="363"/>
      <c r="O199" s="363"/>
      <c r="P199" s="363"/>
      <c r="Q199" s="362"/>
      <c r="R199" s="185"/>
      <c r="S199" s="185"/>
      <c r="T199" s="364"/>
      <c r="U199" s="185"/>
      <c r="V199" s="185"/>
      <c r="W199" s="185"/>
      <c r="X199" s="185"/>
      <c r="Y199" s="185"/>
      <c r="Z199" s="185"/>
      <c r="AA199" s="185"/>
    </row>
    <row r="200" spans="1:27" ht="15.75" customHeight="1">
      <c r="A200" s="185"/>
      <c r="B200" s="360"/>
      <c r="C200" s="361"/>
      <c r="D200" s="185"/>
      <c r="E200" s="185"/>
      <c r="F200" s="362"/>
      <c r="G200" s="360"/>
      <c r="H200" s="185"/>
      <c r="I200" s="362"/>
      <c r="J200" s="185"/>
      <c r="K200" s="363"/>
      <c r="L200" s="363"/>
      <c r="M200" s="363"/>
      <c r="N200" s="363"/>
      <c r="O200" s="363"/>
      <c r="P200" s="363"/>
      <c r="Q200" s="362"/>
      <c r="R200" s="185"/>
      <c r="S200" s="185"/>
      <c r="T200" s="364"/>
      <c r="U200" s="185"/>
      <c r="V200" s="185"/>
      <c r="W200" s="185"/>
      <c r="X200" s="185"/>
      <c r="Y200" s="185"/>
      <c r="Z200" s="185"/>
      <c r="AA200" s="185"/>
    </row>
    <row r="201" spans="1:27" ht="15.75" customHeight="1">
      <c r="A201" s="185"/>
      <c r="B201" s="360"/>
      <c r="C201" s="361"/>
      <c r="D201" s="185"/>
      <c r="E201" s="185"/>
      <c r="F201" s="362"/>
      <c r="G201" s="360"/>
      <c r="H201" s="185"/>
      <c r="I201" s="362"/>
      <c r="J201" s="185"/>
      <c r="K201" s="363"/>
      <c r="L201" s="363"/>
      <c r="M201" s="363"/>
      <c r="N201" s="363"/>
      <c r="O201" s="363"/>
      <c r="P201" s="363"/>
      <c r="Q201" s="362"/>
      <c r="R201" s="185"/>
      <c r="S201" s="185"/>
      <c r="T201" s="364"/>
      <c r="U201" s="185"/>
      <c r="V201" s="185"/>
      <c r="W201" s="185"/>
      <c r="X201" s="185"/>
      <c r="Y201" s="185"/>
      <c r="Z201" s="185"/>
      <c r="AA201" s="185"/>
    </row>
    <row r="202" spans="1:27" ht="15.75" customHeight="1">
      <c r="A202" s="185"/>
      <c r="B202" s="360"/>
      <c r="C202" s="361"/>
      <c r="D202" s="185"/>
      <c r="E202" s="185"/>
      <c r="F202" s="362"/>
      <c r="G202" s="360"/>
      <c r="H202" s="185"/>
      <c r="I202" s="362"/>
      <c r="J202" s="185"/>
      <c r="K202" s="363"/>
      <c r="L202" s="363"/>
      <c r="M202" s="363"/>
      <c r="N202" s="363"/>
      <c r="O202" s="363"/>
      <c r="P202" s="363"/>
      <c r="Q202" s="362"/>
      <c r="R202" s="185"/>
      <c r="S202" s="185"/>
      <c r="T202" s="364"/>
      <c r="U202" s="185"/>
      <c r="V202" s="185"/>
      <c r="W202" s="185"/>
      <c r="X202" s="185"/>
      <c r="Y202" s="185"/>
      <c r="Z202" s="185"/>
      <c r="AA202" s="185"/>
    </row>
    <row r="203" spans="1:27" ht="15.75" customHeight="1">
      <c r="A203" s="185"/>
      <c r="B203" s="360"/>
      <c r="C203" s="361"/>
      <c r="D203" s="185"/>
      <c r="E203" s="185"/>
      <c r="F203" s="362"/>
      <c r="G203" s="360"/>
      <c r="H203" s="185"/>
      <c r="I203" s="362"/>
      <c r="J203" s="185"/>
      <c r="K203" s="363"/>
      <c r="L203" s="363"/>
      <c r="M203" s="363"/>
      <c r="N203" s="363"/>
      <c r="O203" s="363"/>
      <c r="P203" s="363"/>
      <c r="Q203" s="362"/>
      <c r="R203" s="185"/>
      <c r="S203" s="185"/>
      <c r="T203" s="364"/>
      <c r="U203" s="185"/>
      <c r="V203" s="185"/>
      <c r="W203" s="185"/>
      <c r="X203" s="185"/>
      <c r="Y203" s="185"/>
      <c r="Z203" s="185"/>
      <c r="AA203" s="185"/>
    </row>
    <row r="204" spans="1:27" ht="15.75" customHeight="1">
      <c r="A204" s="185"/>
      <c r="B204" s="360"/>
      <c r="C204" s="361"/>
      <c r="D204" s="185"/>
      <c r="E204" s="185"/>
      <c r="F204" s="362"/>
      <c r="G204" s="360"/>
      <c r="H204" s="185"/>
      <c r="I204" s="362"/>
      <c r="J204" s="185"/>
      <c r="K204" s="363"/>
      <c r="L204" s="363"/>
      <c r="M204" s="363"/>
      <c r="N204" s="363"/>
      <c r="O204" s="363"/>
      <c r="P204" s="363"/>
      <c r="Q204" s="362"/>
      <c r="R204" s="185"/>
      <c r="S204" s="185"/>
      <c r="T204" s="364"/>
      <c r="U204" s="185"/>
      <c r="V204" s="185"/>
      <c r="W204" s="185"/>
      <c r="X204" s="185"/>
      <c r="Y204" s="185"/>
      <c r="Z204" s="185"/>
      <c r="AA204" s="185"/>
    </row>
    <row r="205" spans="1:27" ht="15.75" customHeight="1">
      <c r="A205" s="185"/>
      <c r="B205" s="360"/>
      <c r="C205" s="361"/>
      <c r="D205" s="185"/>
      <c r="E205" s="185"/>
      <c r="F205" s="362"/>
      <c r="G205" s="360"/>
      <c r="H205" s="185"/>
      <c r="I205" s="362"/>
      <c r="J205" s="185"/>
      <c r="K205" s="363"/>
      <c r="L205" s="363"/>
      <c r="M205" s="363"/>
      <c r="N205" s="363"/>
      <c r="O205" s="363"/>
      <c r="P205" s="363"/>
      <c r="Q205" s="362"/>
      <c r="R205" s="185"/>
      <c r="S205" s="185"/>
      <c r="T205" s="364"/>
      <c r="U205" s="185"/>
      <c r="V205" s="185"/>
      <c r="W205" s="185"/>
      <c r="X205" s="185"/>
      <c r="Y205" s="185"/>
      <c r="Z205" s="185"/>
      <c r="AA205" s="185"/>
    </row>
    <row r="206" spans="1:27" ht="15.75" customHeight="1">
      <c r="A206" s="185"/>
      <c r="B206" s="360"/>
      <c r="C206" s="361"/>
      <c r="D206" s="185"/>
      <c r="E206" s="185"/>
      <c r="F206" s="362"/>
      <c r="G206" s="360"/>
      <c r="H206" s="185"/>
      <c r="I206" s="362"/>
      <c r="J206" s="185"/>
      <c r="K206" s="363"/>
      <c r="L206" s="363"/>
      <c r="M206" s="363"/>
      <c r="N206" s="363"/>
      <c r="O206" s="363"/>
      <c r="P206" s="363"/>
      <c r="Q206" s="362"/>
      <c r="R206" s="185"/>
      <c r="S206" s="185"/>
      <c r="T206" s="364"/>
      <c r="U206" s="185"/>
      <c r="V206" s="185"/>
      <c r="W206" s="185"/>
      <c r="X206" s="185"/>
      <c r="Y206" s="185"/>
      <c r="Z206" s="185"/>
      <c r="AA206" s="185"/>
    </row>
    <row r="207" spans="1:27" ht="15.75" customHeight="1">
      <c r="A207" s="185"/>
      <c r="B207" s="360"/>
      <c r="C207" s="361"/>
      <c r="D207" s="185"/>
      <c r="E207" s="185"/>
      <c r="F207" s="362"/>
      <c r="G207" s="360"/>
      <c r="H207" s="185"/>
      <c r="I207" s="362"/>
      <c r="J207" s="185"/>
      <c r="K207" s="363"/>
      <c r="L207" s="363"/>
      <c r="M207" s="363"/>
      <c r="N207" s="363"/>
      <c r="O207" s="363"/>
      <c r="P207" s="363"/>
      <c r="Q207" s="362"/>
      <c r="R207" s="185"/>
      <c r="S207" s="185"/>
      <c r="T207" s="364"/>
      <c r="U207" s="185"/>
      <c r="V207" s="185"/>
      <c r="W207" s="185"/>
      <c r="X207" s="185"/>
      <c r="Y207" s="185"/>
      <c r="Z207" s="185"/>
      <c r="AA207" s="185"/>
    </row>
    <row r="208" spans="1:27" ht="15.75" customHeight="1">
      <c r="A208" s="185"/>
      <c r="B208" s="360"/>
      <c r="C208" s="361"/>
      <c r="D208" s="185"/>
      <c r="E208" s="185"/>
      <c r="F208" s="362"/>
      <c r="G208" s="360"/>
      <c r="H208" s="185"/>
      <c r="I208" s="362"/>
      <c r="J208" s="185"/>
      <c r="K208" s="363"/>
      <c r="L208" s="363"/>
      <c r="M208" s="363"/>
      <c r="N208" s="363"/>
      <c r="O208" s="363"/>
      <c r="P208" s="363"/>
      <c r="Q208" s="362"/>
      <c r="R208" s="185"/>
      <c r="S208" s="185"/>
      <c r="T208" s="364"/>
      <c r="U208" s="185"/>
      <c r="V208" s="185"/>
      <c r="W208" s="185"/>
      <c r="X208" s="185"/>
      <c r="Y208" s="185"/>
      <c r="Z208" s="185"/>
      <c r="AA208" s="185"/>
    </row>
    <row r="209" spans="1:27" ht="15.75" customHeight="1">
      <c r="A209" s="185"/>
      <c r="B209" s="360"/>
      <c r="C209" s="361"/>
      <c r="D209" s="185"/>
      <c r="E209" s="185"/>
      <c r="F209" s="362"/>
      <c r="G209" s="360"/>
      <c r="H209" s="185"/>
      <c r="I209" s="362"/>
      <c r="J209" s="185"/>
      <c r="K209" s="363"/>
      <c r="L209" s="363"/>
      <c r="M209" s="363"/>
      <c r="N209" s="363"/>
      <c r="O209" s="363"/>
      <c r="P209" s="363"/>
      <c r="Q209" s="362"/>
      <c r="R209" s="185"/>
      <c r="S209" s="185"/>
      <c r="T209" s="364"/>
      <c r="U209" s="185"/>
      <c r="V209" s="185"/>
      <c r="W209" s="185"/>
      <c r="X209" s="185"/>
      <c r="Y209" s="185"/>
      <c r="Z209" s="185"/>
      <c r="AA209" s="185"/>
    </row>
    <row r="210" spans="1:27" ht="15.75" customHeight="1">
      <c r="A210" s="185"/>
      <c r="B210" s="360"/>
      <c r="C210" s="361"/>
      <c r="D210" s="185"/>
      <c r="E210" s="185"/>
      <c r="F210" s="362"/>
      <c r="G210" s="360"/>
      <c r="H210" s="185"/>
      <c r="I210" s="362"/>
      <c r="J210" s="185"/>
      <c r="K210" s="363"/>
      <c r="L210" s="363"/>
      <c r="M210" s="363"/>
      <c r="N210" s="363"/>
      <c r="O210" s="363"/>
      <c r="P210" s="363"/>
      <c r="Q210" s="362"/>
      <c r="R210" s="185"/>
      <c r="S210" s="185"/>
      <c r="T210" s="364"/>
      <c r="U210" s="185"/>
      <c r="V210" s="185"/>
      <c r="W210" s="185"/>
      <c r="X210" s="185"/>
      <c r="Y210" s="185"/>
      <c r="Z210" s="185"/>
      <c r="AA210" s="185"/>
    </row>
    <row r="211" spans="1:27" ht="15.75" customHeight="1">
      <c r="A211" s="185"/>
      <c r="B211" s="360"/>
      <c r="C211" s="361"/>
      <c r="D211" s="185"/>
      <c r="E211" s="185"/>
      <c r="F211" s="362"/>
      <c r="G211" s="360"/>
      <c r="H211" s="185"/>
      <c r="I211" s="362"/>
      <c r="J211" s="185"/>
      <c r="K211" s="363"/>
      <c r="L211" s="363"/>
      <c r="M211" s="363"/>
      <c r="N211" s="363"/>
      <c r="O211" s="363"/>
      <c r="P211" s="363"/>
      <c r="Q211" s="362"/>
      <c r="R211" s="185"/>
      <c r="S211" s="185"/>
      <c r="T211" s="364"/>
      <c r="U211" s="185"/>
      <c r="V211" s="185"/>
      <c r="W211" s="185"/>
      <c r="X211" s="185"/>
      <c r="Y211" s="185"/>
      <c r="Z211" s="185"/>
      <c r="AA211" s="185"/>
    </row>
    <row r="212" spans="1:27" ht="15.75" customHeight="1">
      <c r="A212" s="185"/>
      <c r="B212" s="360"/>
      <c r="C212" s="361"/>
      <c r="D212" s="185"/>
      <c r="E212" s="185"/>
      <c r="F212" s="362"/>
      <c r="G212" s="360"/>
      <c r="H212" s="185"/>
      <c r="I212" s="362"/>
      <c r="J212" s="185"/>
      <c r="K212" s="363"/>
      <c r="L212" s="363"/>
      <c r="M212" s="363"/>
      <c r="N212" s="363"/>
      <c r="O212" s="363"/>
      <c r="P212" s="363"/>
      <c r="Q212" s="362"/>
      <c r="R212" s="185"/>
      <c r="S212" s="185"/>
      <c r="T212" s="364"/>
      <c r="U212" s="185"/>
      <c r="V212" s="185"/>
      <c r="W212" s="185"/>
      <c r="X212" s="185"/>
      <c r="Y212" s="185"/>
      <c r="Z212" s="185"/>
      <c r="AA212" s="185"/>
    </row>
    <row r="213" spans="1:27" ht="15.75" customHeight="1">
      <c r="A213" s="185"/>
      <c r="B213" s="360"/>
      <c r="C213" s="361"/>
      <c r="D213" s="185"/>
      <c r="E213" s="185"/>
      <c r="F213" s="362"/>
      <c r="G213" s="360"/>
      <c r="H213" s="185"/>
      <c r="I213" s="362"/>
      <c r="J213" s="185"/>
      <c r="K213" s="363"/>
      <c r="L213" s="363"/>
      <c r="M213" s="363"/>
      <c r="N213" s="363"/>
      <c r="O213" s="363"/>
      <c r="P213" s="363"/>
      <c r="Q213" s="362"/>
      <c r="R213" s="185"/>
      <c r="S213" s="185"/>
      <c r="T213" s="364"/>
      <c r="U213" s="185"/>
      <c r="V213" s="185"/>
      <c r="W213" s="185"/>
      <c r="X213" s="185"/>
      <c r="Y213" s="185"/>
      <c r="Z213" s="185"/>
      <c r="AA213" s="185"/>
    </row>
    <row r="214" spans="1:27" ht="15.75" customHeight="1">
      <c r="A214" s="185"/>
      <c r="B214" s="360"/>
      <c r="C214" s="361"/>
      <c r="D214" s="185"/>
      <c r="E214" s="185"/>
      <c r="F214" s="362"/>
      <c r="G214" s="360"/>
      <c r="H214" s="185"/>
      <c r="I214" s="362"/>
      <c r="J214" s="185"/>
      <c r="K214" s="363"/>
      <c r="L214" s="363"/>
      <c r="M214" s="363"/>
      <c r="N214" s="363"/>
      <c r="O214" s="363"/>
      <c r="P214" s="363"/>
      <c r="Q214" s="362"/>
      <c r="R214" s="185"/>
      <c r="S214" s="185"/>
      <c r="T214" s="364"/>
      <c r="U214" s="185"/>
      <c r="V214" s="185"/>
      <c r="W214" s="185"/>
      <c r="X214" s="185"/>
      <c r="Y214" s="185"/>
      <c r="Z214" s="185"/>
      <c r="AA214" s="185"/>
    </row>
    <row r="215" spans="1:27" ht="15.75" customHeight="1">
      <c r="A215" s="185"/>
      <c r="B215" s="360"/>
      <c r="C215" s="361"/>
      <c r="D215" s="185"/>
      <c r="E215" s="185"/>
      <c r="F215" s="362"/>
      <c r="G215" s="360"/>
      <c r="H215" s="185"/>
      <c r="I215" s="362"/>
      <c r="J215" s="185"/>
      <c r="K215" s="363"/>
      <c r="L215" s="363"/>
      <c r="M215" s="363"/>
      <c r="N215" s="363"/>
      <c r="O215" s="363"/>
      <c r="P215" s="363"/>
      <c r="Q215" s="362"/>
      <c r="R215" s="185"/>
      <c r="S215" s="185"/>
      <c r="T215" s="364"/>
      <c r="U215" s="185"/>
      <c r="V215" s="185"/>
      <c r="W215" s="185"/>
      <c r="X215" s="185"/>
      <c r="Y215" s="185"/>
      <c r="Z215" s="185"/>
      <c r="AA215" s="185"/>
    </row>
    <row r="216" spans="1:27" ht="15.75" customHeight="1">
      <c r="A216" s="185"/>
      <c r="B216" s="360"/>
      <c r="C216" s="361"/>
      <c r="D216" s="185"/>
      <c r="E216" s="185"/>
      <c r="F216" s="362"/>
      <c r="G216" s="360"/>
      <c r="H216" s="185"/>
      <c r="I216" s="362"/>
      <c r="J216" s="185"/>
      <c r="K216" s="363"/>
      <c r="L216" s="363"/>
      <c r="M216" s="363"/>
      <c r="N216" s="363"/>
      <c r="O216" s="363"/>
      <c r="P216" s="363"/>
      <c r="Q216" s="362"/>
      <c r="R216" s="185"/>
      <c r="S216" s="185"/>
      <c r="T216" s="364"/>
      <c r="U216" s="185"/>
      <c r="V216" s="185"/>
      <c r="W216" s="185"/>
      <c r="X216" s="185"/>
      <c r="Y216" s="185"/>
      <c r="Z216" s="185"/>
      <c r="AA216" s="185"/>
    </row>
    <row r="217" spans="1:27" ht="15.75" customHeight="1">
      <c r="A217" s="185"/>
      <c r="B217" s="360"/>
      <c r="C217" s="361"/>
      <c r="D217" s="185"/>
      <c r="E217" s="185"/>
      <c r="F217" s="362"/>
      <c r="G217" s="360"/>
      <c r="H217" s="185"/>
      <c r="I217" s="362"/>
      <c r="J217" s="185"/>
      <c r="K217" s="363"/>
      <c r="L217" s="363"/>
      <c r="M217" s="363"/>
      <c r="N217" s="363"/>
      <c r="O217" s="363"/>
      <c r="P217" s="363"/>
      <c r="Q217" s="362"/>
      <c r="R217" s="185"/>
      <c r="S217" s="185"/>
      <c r="T217" s="364"/>
      <c r="U217" s="185"/>
      <c r="V217" s="185"/>
      <c r="W217" s="185"/>
      <c r="X217" s="185"/>
      <c r="Y217" s="185"/>
      <c r="Z217" s="185"/>
      <c r="AA217" s="185"/>
    </row>
    <row r="218" spans="1:27" ht="15.75" customHeight="1">
      <c r="A218" s="185"/>
      <c r="B218" s="360"/>
      <c r="C218" s="361"/>
      <c r="D218" s="185"/>
      <c r="E218" s="185"/>
      <c r="F218" s="362"/>
      <c r="G218" s="360"/>
      <c r="H218" s="185"/>
      <c r="I218" s="362"/>
      <c r="J218" s="185"/>
      <c r="K218" s="363"/>
      <c r="L218" s="363"/>
      <c r="M218" s="363"/>
      <c r="N218" s="363"/>
      <c r="O218" s="363"/>
      <c r="P218" s="363"/>
      <c r="Q218" s="362"/>
      <c r="R218" s="185"/>
      <c r="S218" s="185"/>
      <c r="T218" s="364"/>
      <c r="U218" s="185"/>
      <c r="V218" s="185"/>
      <c r="W218" s="185"/>
      <c r="X218" s="185"/>
      <c r="Y218" s="185"/>
      <c r="Z218" s="185"/>
      <c r="AA218" s="185"/>
    </row>
    <row r="219" spans="1:27" ht="15.75" customHeight="1">
      <c r="A219" s="185"/>
      <c r="B219" s="360"/>
      <c r="C219" s="361"/>
      <c r="D219" s="185"/>
      <c r="E219" s="185"/>
      <c r="F219" s="362"/>
      <c r="G219" s="360"/>
      <c r="H219" s="185"/>
      <c r="I219" s="362"/>
      <c r="J219" s="185"/>
      <c r="K219" s="363"/>
      <c r="L219" s="363"/>
      <c r="M219" s="363"/>
      <c r="N219" s="363"/>
      <c r="O219" s="363"/>
      <c r="P219" s="363"/>
      <c r="Q219" s="362"/>
      <c r="R219" s="185"/>
      <c r="S219" s="185"/>
      <c r="T219" s="364"/>
      <c r="U219" s="185"/>
      <c r="V219" s="185"/>
      <c r="W219" s="185"/>
      <c r="X219" s="185"/>
      <c r="Y219" s="185"/>
      <c r="Z219" s="185"/>
      <c r="AA219" s="185"/>
    </row>
    <row r="220" spans="1:27" ht="15.75" customHeight="1">
      <c r="A220" s="185"/>
      <c r="B220" s="360"/>
      <c r="C220" s="361"/>
      <c r="D220" s="185"/>
      <c r="E220" s="185"/>
      <c r="F220" s="362"/>
      <c r="G220" s="360"/>
      <c r="H220" s="185"/>
      <c r="I220" s="362"/>
      <c r="J220" s="185"/>
      <c r="K220" s="363"/>
      <c r="L220" s="363"/>
      <c r="M220" s="363"/>
      <c r="N220" s="363"/>
      <c r="O220" s="363"/>
      <c r="P220" s="363"/>
      <c r="Q220" s="362"/>
      <c r="R220" s="185"/>
      <c r="S220" s="185"/>
      <c r="T220" s="364"/>
      <c r="U220" s="185"/>
      <c r="V220" s="185"/>
      <c r="W220" s="185"/>
      <c r="X220" s="185"/>
      <c r="Y220" s="185"/>
      <c r="Z220" s="185"/>
      <c r="AA220" s="185"/>
    </row>
    <row r="221" spans="1:27" ht="15.75" customHeight="1">
      <c r="A221" s="185"/>
      <c r="B221" s="360"/>
      <c r="C221" s="361"/>
      <c r="D221" s="185"/>
      <c r="E221" s="185"/>
      <c r="F221" s="362"/>
      <c r="G221" s="360"/>
      <c r="H221" s="185"/>
      <c r="I221" s="362"/>
      <c r="J221" s="185"/>
      <c r="K221" s="363"/>
      <c r="L221" s="363"/>
      <c r="M221" s="363"/>
      <c r="N221" s="363"/>
      <c r="O221" s="363"/>
      <c r="P221" s="363"/>
      <c r="Q221" s="362"/>
      <c r="R221" s="185"/>
      <c r="S221" s="185"/>
      <c r="T221" s="364"/>
      <c r="U221" s="185"/>
      <c r="V221" s="185"/>
      <c r="W221" s="185"/>
      <c r="X221" s="185"/>
      <c r="Y221" s="185"/>
      <c r="Z221" s="185"/>
      <c r="AA221" s="185"/>
    </row>
    <row r="222" spans="1:27" ht="15.75" customHeight="1">
      <c r="A222" s="185"/>
      <c r="B222" s="360"/>
      <c r="C222" s="361"/>
      <c r="D222" s="185"/>
      <c r="E222" s="185"/>
      <c r="F222" s="362"/>
      <c r="G222" s="360"/>
      <c r="H222" s="185"/>
      <c r="I222" s="362"/>
      <c r="J222" s="185"/>
      <c r="K222" s="363"/>
      <c r="L222" s="363"/>
      <c r="M222" s="363"/>
      <c r="N222" s="363"/>
      <c r="O222" s="363"/>
      <c r="P222" s="363"/>
      <c r="Q222" s="362"/>
      <c r="R222" s="185"/>
      <c r="S222" s="185"/>
      <c r="T222" s="364"/>
      <c r="U222" s="185"/>
      <c r="V222" s="185"/>
      <c r="W222" s="185"/>
      <c r="X222" s="185"/>
      <c r="Y222" s="185"/>
      <c r="Z222" s="185"/>
      <c r="AA222" s="185"/>
    </row>
    <row r="223" spans="1:27" ht="15.75" customHeight="1">
      <c r="A223" s="185"/>
      <c r="B223" s="360"/>
      <c r="C223" s="361"/>
      <c r="D223" s="185"/>
      <c r="E223" s="185"/>
      <c r="F223" s="362"/>
      <c r="G223" s="360"/>
      <c r="H223" s="185"/>
      <c r="I223" s="362"/>
      <c r="J223" s="185"/>
      <c r="K223" s="363"/>
      <c r="L223" s="363"/>
      <c r="M223" s="363"/>
      <c r="N223" s="363"/>
      <c r="O223" s="363"/>
      <c r="P223" s="363"/>
      <c r="Q223" s="362"/>
      <c r="R223" s="185"/>
      <c r="S223" s="185"/>
      <c r="T223" s="364"/>
      <c r="U223" s="185"/>
      <c r="V223" s="185"/>
      <c r="W223" s="185"/>
      <c r="X223" s="185"/>
      <c r="Y223" s="185"/>
      <c r="Z223" s="185"/>
      <c r="AA223" s="185"/>
    </row>
    <row r="224" spans="1:27" ht="15.75" customHeight="1">
      <c r="A224" s="185"/>
      <c r="B224" s="360"/>
      <c r="C224" s="361"/>
      <c r="D224" s="185"/>
      <c r="E224" s="185"/>
      <c r="F224" s="362"/>
      <c r="G224" s="360"/>
      <c r="H224" s="185"/>
      <c r="I224" s="362"/>
      <c r="J224" s="185"/>
      <c r="K224" s="363"/>
      <c r="L224" s="363"/>
      <c r="M224" s="363"/>
      <c r="N224" s="363"/>
      <c r="O224" s="363"/>
      <c r="P224" s="363"/>
      <c r="Q224" s="362"/>
      <c r="R224" s="185"/>
      <c r="S224" s="185"/>
      <c r="T224" s="364"/>
      <c r="U224" s="185"/>
      <c r="V224" s="185"/>
      <c r="W224" s="185"/>
      <c r="X224" s="185"/>
      <c r="Y224" s="185"/>
      <c r="Z224" s="185"/>
      <c r="AA224" s="185"/>
    </row>
    <row r="225" spans="1:27" ht="15.75" customHeight="1">
      <c r="A225" s="185"/>
      <c r="B225" s="360"/>
      <c r="C225" s="361"/>
      <c r="D225" s="185"/>
      <c r="E225" s="185"/>
      <c r="F225" s="362"/>
      <c r="G225" s="360"/>
      <c r="H225" s="185"/>
      <c r="I225" s="362"/>
      <c r="J225" s="185"/>
      <c r="K225" s="363"/>
      <c r="L225" s="363"/>
      <c r="M225" s="363"/>
      <c r="N225" s="363"/>
      <c r="O225" s="363"/>
      <c r="P225" s="363"/>
      <c r="Q225" s="362"/>
      <c r="R225" s="185"/>
      <c r="S225" s="185"/>
      <c r="T225" s="364"/>
      <c r="U225" s="185"/>
      <c r="V225" s="185"/>
      <c r="W225" s="185"/>
      <c r="X225" s="185"/>
      <c r="Y225" s="185"/>
      <c r="Z225" s="185"/>
      <c r="AA225" s="185"/>
    </row>
    <row r="226" spans="1:27" ht="15.75" customHeight="1">
      <c r="A226" s="185"/>
      <c r="B226" s="360"/>
      <c r="C226" s="361"/>
      <c r="D226" s="185"/>
      <c r="E226" s="185"/>
      <c r="F226" s="362"/>
      <c r="G226" s="360"/>
      <c r="H226" s="185"/>
      <c r="I226" s="362"/>
      <c r="J226" s="185"/>
      <c r="K226" s="363"/>
      <c r="L226" s="363"/>
      <c r="M226" s="363"/>
      <c r="N226" s="363"/>
      <c r="O226" s="363"/>
      <c r="P226" s="363"/>
      <c r="Q226" s="362"/>
      <c r="R226" s="185"/>
      <c r="S226" s="185"/>
      <c r="T226" s="364"/>
      <c r="U226" s="185"/>
      <c r="V226" s="185"/>
      <c r="W226" s="185"/>
      <c r="X226" s="185"/>
      <c r="Y226" s="185"/>
      <c r="Z226" s="185"/>
      <c r="AA226" s="185"/>
    </row>
    <row r="227" spans="1:27" ht="15.75" customHeight="1">
      <c r="A227" s="185"/>
      <c r="B227" s="360"/>
      <c r="C227" s="361"/>
      <c r="D227" s="185"/>
      <c r="E227" s="185"/>
      <c r="F227" s="362"/>
      <c r="G227" s="360"/>
      <c r="H227" s="185"/>
      <c r="I227" s="362"/>
      <c r="J227" s="185"/>
      <c r="K227" s="363"/>
      <c r="L227" s="363"/>
      <c r="M227" s="363"/>
      <c r="N227" s="363"/>
      <c r="O227" s="363"/>
      <c r="P227" s="363"/>
      <c r="Q227" s="362"/>
      <c r="R227" s="185"/>
      <c r="S227" s="185"/>
      <c r="T227" s="364"/>
      <c r="U227" s="185"/>
      <c r="V227" s="185"/>
      <c r="W227" s="185"/>
      <c r="X227" s="185"/>
      <c r="Y227" s="185"/>
      <c r="Z227" s="185"/>
      <c r="AA227" s="185"/>
    </row>
    <row r="228" spans="1:27" ht="15.75" customHeight="1">
      <c r="A228" s="185"/>
      <c r="B228" s="360"/>
      <c r="C228" s="361"/>
      <c r="D228" s="185"/>
      <c r="E228" s="185"/>
      <c r="F228" s="362"/>
      <c r="G228" s="360"/>
      <c r="H228" s="185"/>
      <c r="I228" s="362"/>
      <c r="J228" s="185"/>
      <c r="K228" s="363"/>
      <c r="L228" s="363"/>
      <c r="M228" s="363"/>
      <c r="N228" s="363"/>
      <c r="O228" s="363"/>
      <c r="P228" s="363"/>
      <c r="Q228" s="362"/>
      <c r="R228" s="185"/>
      <c r="S228" s="185"/>
      <c r="T228" s="364"/>
      <c r="U228" s="185"/>
      <c r="V228" s="185"/>
      <c r="W228" s="185"/>
      <c r="X228" s="185"/>
      <c r="Y228" s="185"/>
      <c r="Z228" s="185"/>
      <c r="AA228" s="185"/>
    </row>
    <row r="229" spans="1:27" ht="15.75" customHeight="1">
      <c r="A229" s="185"/>
      <c r="B229" s="360"/>
      <c r="C229" s="361"/>
      <c r="D229" s="185"/>
      <c r="E229" s="185"/>
      <c r="F229" s="362"/>
      <c r="G229" s="360"/>
      <c r="H229" s="185"/>
      <c r="I229" s="362"/>
      <c r="J229" s="185"/>
      <c r="K229" s="363"/>
      <c r="L229" s="363"/>
      <c r="M229" s="363"/>
      <c r="N229" s="363"/>
      <c r="O229" s="363"/>
      <c r="P229" s="363"/>
      <c r="Q229" s="362"/>
      <c r="R229" s="185"/>
      <c r="S229" s="185"/>
      <c r="T229" s="364"/>
      <c r="U229" s="185"/>
      <c r="V229" s="185"/>
      <c r="W229" s="185"/>
      <c r="X229" s="185"/>
      <c r="Y229" s="185"/>
      <c r="Z229" s="185"/>
      <c r="AA229" s="185"/>
    </row>
    <row r="230" spans="1:27" ht="15.75" customHeight="1">
      <c r="A230" s="185"/>
      <c r="B230" s="360"/>
      <c r="C230" s="361"/>
      <c r="D230" s="185"/>
      <c r="E230" s="185"/>
      <c r="F230" s="362"/>
      <c r="G230" s="360"/>
      <c r="H230" s="185"/>
      <c r="I230" s="362"/>
      <c r="J230" s="185"/>
      <c r="K230" s="363"/>
      <c r="L230" s="363"/>
      <c r="M230" s="363"/>
      <c r="N230" s="363"/>
      <c r="O230" s="363"/>
      <c r="P230" s="363"/>
      <c r="Q230" s="362"/>
      <c r="R230" s="185"/>
      <c r="S230" s="185"/>
      <c r="T230" s="364"/>
      <c r="U230" s="185"/>
      <c r="V230" s="185"/>
      <c r="W230" s="185"/>
      <c r="X230" s="185"/>
      <c r="Y230" s="185"/>
      <c r="Z230" s="185"/>
      <c r="AA230" s="185"/>
    </row>
    <row r="231" spans="1:27" ht="15.75" customHeight="1">
      <c r="A231" s="185"/>
      <c r="B231" s="360"/>
      <c r="C231" s="361"/>
      <c r="D231" s="185"/>
      <c r="E231" s="185"/>
      <c r="F231" s="362"/>
      <c r="G231" s="360"/>
      <c r="H231" s="185"/>
      <c r="I231" s="362"/>
      <c r="J231" s="185"/>
      <c r="K231" s="363"/>
      <c r="L231" s="363"/>
      <c r="M231" s="363"/>
      <c r="N231" s="363"/>
      <c r="O231" s="363"/>
      <c r="P231" s="363"/>
      <c r="Q231" s="362"/>
      <c r="R231" s="185"/>
      <c r="S231" s="185"/>
      <c r="T231" s="364"/>
      <c r="U231" s="185"/>
      <c r="V231" s="185"/>
      <c r="W231" s="185"/>
      <c r="X231" s="185"/>
      <c r="Y231" s="185"/>
      <c r="Z231" s="185"/>
      <c r="AA231" s="185"/>
    </row>
    <row r="232" spans="1:27" ht="15.75" customHeight="1">
      <c r="A232" s="185"/>
      <c r="B232" s="360"/>
      <c r="C232" s="361"/>
      <c r="D232" s="185"/>
      <c r="E232" s="185"/>
      <c r="F232" s="362"/>
      <c r="G232" s="360"/>
      <c r="H232" s="185"/>
      <c r="I232" s="362"/>
      <c r="J232" s="185"/>
      <c r="K232" s="363"/>
      <c r="L232" s="363"/>
      <c r="M232" s="363"/>
      <c r="N232" s="363"/>
      <c r="O232" s="363"/>
      <c r="P232" s="363"/>
      <c r="Q232" s="362"/>
      <c r="R232" s="185"/>
      <c r="S232" s="185"/>
      <c r="T232" s="364"/>
      <c r="U232" s="185"/>
      <c r="V232" s="185"/>
      <c r="W232" s="185"/>
      <c r="X232" s="185"/>
      <c r="Y232" s="185"/>
      <c r="Z232" s="185"/>
      <c r="AA232" s="185"/>
    </row>
    <row r="233" spans="1:27" ht="15.75" customHeight="1">
      <c r="A233" s="185"/>
      <c r="B233" s="360"/>
      <c r="C233" s="361"/>
      <c r="D233" s="185"/>
      <c r="E233" s="185"/>
      <c r="F233" s="362"/>
      <c r="G233" s="360"/>
      <c r="H233" s="185"/>
      <c r="I233" s="362"/>
      <c r="J233" s="185"/>
      <c r="K233" s="363"/>
      <c r="L233" s="363"/>
      <c r="M233" s="363"/>
      <c r="N233" s="363"/>
      <c r="O233" s="363"/>
      <c r="P233" s="363"/>
      <c r="Q233" s="362"/>
      <c r="R233" s="185"/>
      <c r="S233" s="185"/>
      <c r="T233" s="364"/>
      <c r="U233" s="185"/>
      <c r="V233" s="185"/>
      <c r="W233" s="185"/>
      <c r="X233" s="185"/>
      <c r="Y233" s="185"/>
      <c r="Z233" s="185"/>
      <c r="AA233" s="185"/>
    </row>
    <row r="234" spans="1:27" ht="15.75" customHeight="1">
      <c r="A234" s="185"/>
      <c r="B234" s="360"/>
      <c r="C234" s="361"/>
      <c r="D234" s="185"/>
      <c r="E234" s="185"/>
      <c r="F234" s="362"/>
      <c r="G234" s="360"/>
      <c r="H234" s="185"/>
      <c r="I234" s="362"/>
      <c r="J234" s="185"/>
      <c r="K234" s="363"/>
      <c r="L234" s="363"/>
      <c r="M234" s="363"/>
      <c r="N234" s="363"/>
      <c r="O234" s="363"/>
      <c r="P234" s="363"/>
      <c r="Q234" s="362"/>
      <c r="R234" s="185"/>
      <c r="S234" s="185"/>
      <c r="T234" s="364"/>
      <c r="U234" s="185"/>
      <c r="V234" s="185"/>
      <c r="W234" s="185"/>
      <c r="X234" s="185"/>
      <c r="Y234" s="185"/>
      <c r="Z234" s="185"/>
      <c r="AA234" s="185"/>
    </row>
    <row r="235" spans="1:27" ht="15.75" customHeight="1">
      <c r="A235" s="185"/>
      <c r="B235" s="360"/>
      <c r="C235" s="361"/>
      <c r="D235" s="185"/>
      <c r="E235" s="185"/>
      <c r="F235" s="362"/>
      <c r="G235" s="360"/>
      <c r="H235" s="185"/>
      <c r="I235" s="362"/>
      <c r="J235" s="185"/>
      <c r="K235" s="363"/>
      <c r="L235" s="363"/>
      <c r="M235" s="363"/>
      <c r="N235" s="363"/>
      <c r="O235" s="363"/>
      <c r="P235" s="363"/>
      <c r="Q235" s="362"/>
      <c r="R235" s="185"/>
      <c r="S235" s="185"/>
      <c r="T235" s="364"/>
      <c r="U235" s="185"/>
      <c r="V235" s="185"/>
      <c r="W235" s="185"/>
      <c r="X235" s="185"/>
      <c r="Y235" s="185"/>
      <c r="Z235" s="185"/>
      <c r="AA235" s="185"/>
    </row>
    <row r="236" spans="1:27" ht="15.75" customHeight="1">
      <c r="A236" s="185"/>
      <c r="B236" s="360"/>
      <c r="C236" s="361"/>
      <c r="D236" s="185"/>
      <c r="E236" s="185"/>
      <c r="F236" s="362"/>
      <c r="G236" s="360"/>
      <c r="H236" s="185"/>
      <c r="I236" s="362"/>
      <c r="J236" s="185"/>
      <c r="K236" s="363"/>
      <c r="L236" s="363"/>
      <c r="M236" s="363"/>
      <c r="N236" s="363"/>
      <c r="O236" s="363"/>
      <c r="P236" s="363"/>
      <c r="Q236" s="362"/>
      <c r="R236" s="185"/>
      <c r="S236" s="185"/>
      <c r="T236" s="364"/>
      <c r="U236" s="185"/>
      <c r="V236" s="185"/>
      <c r="W236" s="185"/>
      <c r="X236" s="185"/>
      <c r="Y236" s="185"/>
      <c r="Z236" s="185"/>
      <c r="AA236" s="185"/>
    </row>
    <row r="237" spans="1:27" ht="15.75" customHeight="1">
      <c r="A237" s="185"/>
      <c r="B237" s="360"/>
      <c r="C237" s="361"/>
      <c r="D237" s="185"/>
      <c r="E237" s="185"/>
      <c r="F237" s="362"/>
      <c r="G237" s="360"/>
      <c r="H237" s="185"/>
      <c r="I237" s="362"/>
      <c r="J237" s="185"/>
      <c r="K237" s="363"/>
      <c r="L237" s="363"/>
      <c r="M237" s="363"/>
      <c r="N237" s="363"/>
      <c r="O237" s="363"/>
      <c r="P237" s="363"/>
      <c r="Q237" s="362"/>
      <c r="R237" s="185"/>
      <c r="S237" s="185"/>
      <c r="T237" s="364"/>
      <c r="U237" s="185"/>
      <c r="V237" s="185"/>
      <c r="W237" s="185"/>
      <c r="X237" s="185"/>
      <c r="Y237" s="185"/>
      <c r="Z237" s="185"/>
      <c r="AA237" s="185"/>
    </row>
    <row r="238" spans="1:27" ht="15.75" customHeight="1">
      <c r="A238" s="185"/>
      <c r="B238" s="360"/>
      <c r="C238" s="361"/>
      <c r="D238" s="185"/>
      <c r="E238" s="185"/>
      <c r="F238" s="362"/>
      <c r="G238" s="360"/>
      <c r="H238" s="185"/>
      <c r="I238" s="362"/>
      <c r="J238" s="185"/>
      <c r="K238" s="363"/>
      <c r="L238" s="363"/>
      <c r="M238" s="363"/>
      <c r="N238" s="363"/>
      <c r="O238" s="363"/>
      <c r="P238" s="363"/>
      <c r="Q238" s="362"/>
      <c r="R238" s="185"/>
      <c r="S238" s="185"/>
      <c r="T238" s="364"/>
      <c r="U238" s="185"/>
      <c r="V238" s="185"/>
      <c r="W238" s="185"/>
      <c r="X238" s="185"/>
      <c r="Y238" s="185"/>
      <c r="Z238" s="185"/>
      <c r="AA238" s="185"/>
    </row>
    <row r="239" spans="1:27" ht="15.75" customHeight="1">
      <c r="A239" s="185"/>
      <c r="B239" s="360"/>
      <c r="C239" s="361"/>
      <c r="D239" s="185"/>
      <c r="E239" s="185"/>
      <c r="F239" s="362"/>
      <c r="G239" s="360"/>
      <c r="H239" s="185"/>
      <c r="I239" s="362"/>
      <c r="J239" s="185"/>
      <c r="K239" s="363"/>
      <c r="L239" s="363"/>
      <c r="M239" s="363"/>
      <c r="N239" s="363"/>
      <c r="O239" s="363"/>
      <c r="P239" s="363"/>
      <c r="Q239" s="362"/>
      <c r="R239" s="185"/>
      <c r="S239" s="185"/>
      <c r="T239" s="364"/>
      <c r="U239" s="185"/>
      <c r="V239" s="185"/>
      <c r="W239" s="185"/>
      <c r="X239" s="185"/>
      <c r="Y239" s="185"/>
      <c r="Z239" s="185"/>
      <c r="AA239" s="185"/>
    </row>
    <row r="240" spans="1:27" ht="15.75" customHeight="1">
      <c r="A240" s="185"/>
      <c r="B240" s="360"/>
      <c r="C240" s="361"/>
      <c r="D240" s="185"/>
      <c r="E240" s="185"/>
      <c r="F240" s="362"/>
      <c r="G240" s="360"/>
      <c r="H240" s="185"/>
      <c r="I240" s="362"/>
      <c r="J240" s="185"/>
      <c r="K240" s="363"/>
      <c r="L240" s="363"/>
      <c r="M240" s="363"/>
      <c r="N240" s="363"/>
      <c r="O240" s="363"/>
      <c r="P240" s="363"/>
      <c r="Q240" s="362"/>
      <c r="R240" s="185"/>
      <c r="S240" s="185"/>
      <c r="T240" s="364"/>
      <c r="U240" s="185"/>
      <c r="V240" s="185"/>
      <c r="W240" s="185"/>
      <c r="X240" s="185"/>
      <c r="Y240" s="185"/>
      <c r="Z240" s="185"/>
      <c r="AA240" s="185"/>
    </row>
    <row r="241" spans="1:27" ht="15.75" customHeight="1">
      <c r="A241" s="185"/>
      <c r="B241" s="360"/>
      <c r="C241" s="361"/>
      <c r="D241" s="185"/>
      <c r="E241" s="185"/>
      <c r="F241" s="362"/>
      <c r="G241" s="360"/>
      <c r="H241" s="185"/>
      <c r="I241" s="362"/>
      <c r="J241" s="185"/>
      <c r="K241" s="363"/>
      <c r="L241" s="363"/>
      <c r="M241" s="363"/>
      <c r="N241" s="363"/>
      <c r="O241" s="363"/>
      <c r="P241" s="363"/>
      <c r="Q241" s="362"/>
      <c r="R241" s="185"/>
      <c r="S241" s="185"/>
      <c r="T241" s="364"/>
      <c r="U241" s="185"/>
      <c r="V241" s="185"/>
      <c r="W241" s="185"/>
      <c r="X241" s="185"/>
      <c r="Y241" s="185"/>
      <c r="Z241" s="185"/>
      <c r="AA241" s="185"/>
    </row>
    <row r="242" spans="1:27" ht="15.75" customHeight="1">
      <c r="A242" s="185"/>
      <c r="B242" s="360"/>
      <c r="C242" s="361"/>
      <c r="D242" s="185"/>
      <c r="E242" s="185"/>
      <c r="F242" s="362"/>
      <c r="G242" s="360"/>
      <c r="H242" s="185"/>
      <c r="I242" s="362"/>
      <c r="J242" s="185"/>
      <c r="K242" s="363"/>
      <c r="L242" s="363"/>
      <c r="M242" s="363"/>
      <c r="N242" s="363"/>
      <c r="O242" s="363"/>
      <c r="P242" s="363"/>
      <c r="Q242" s="362"/>
      <c r="R242" s="185"/>
      <c r="S242" s="185"/>
      <c r="T242" s="364"/>
      <c r="U242" s="185"/>
      <c r="V242" s="185"/>
      <c r="W242" s="185"/>
      <c r="X242" s="185"/>
      <c r="Y242" s="185"/>
      <c r="Z242" s="185"/>
      <c r="AA242" s="185"/>
    </row>
    <row r="243" spans="1:27" ht="15.75" customHeight="1">
      <c r="A243" s="185"/>
      <c r="B243" s="360"/>
      <c r="C243" s="361"/>
      <c r="D243" s="185"/>
      <c r="E243" s="185"/>
      <c r="F243" s="362"/>
      <c r="G243" s="360"/>
      <c r="H243" s="185"/>
      <c r="I243" s="362"/>
      <c r="J243" s="185"/>
      <c r="K243" s="363"/>
      <c r="L243" s="363"/>
      <c r="M243" s="363"/>
      <c r="N243" s="363"/>
      <c r="O243" s="363"/>
      <c r="P243" s="363"/>
      <c r="Q243" s="362"/>
      <c r="R243" s="185"/>
      <c r="S243" s="185"/>
      <c r="T243" s="364"/>
      <c r="U243" s="185"/>
      <c r="V243" s="185"/>
      <c r="W243" s="185"/>
      <c r="X243" s="185"/>
      <c r="Y243" s="185"/>
      <c r="Z243" s="185"/>
      <c r="AA243" s="185"/>
    </row>
    <row r="244" spans="1:27" ht="15.75" customHeight="1">
      <c r="A244" s="185"/>
      <c r="B244" s="360"/>
      <c r="C244" s="361"/>
      <c r="D244" s="185"/>
      <c r="E244" s="185"/>
      <c r="F244" s="362"/>
      <c r="G244" s="360"/>
      <c r="H244" s="185"/>
      <c r="I244" s="362"/>
      <c r="J244" s="185"/>
      <c r="K244" s="363"/>
      <c r="L244" s="363"/>
      <c r="M244" s="363"/>
      <c r="N244" s="363"/>
      <c r="O244" s="363"/>
      <c r="P244" s="363"/>
      <c r="Q244" s="362"/>
      <c r="R244" s="185"/>
      <c r="S244" s="185"/>
      <c r="T244" s="364"/>
      <c r="U244" s="185"/>
      <c r="V244" s="185"/>
      <c r="W244" s="185"/>
      <c r="X244" s="185"/>
      <c r="Y244" s="185"/>
      <c r="Z244" s="185"/>
      <c r="AA244" s="185"/>
    </row>
    <row r="245" spans="1:27" ht="15.75" customHeight="1">
      <c r="A245" s="185"/>
      <c r="B245" s="360"/>
      <c r="C245" s="361"/>
      <c r="D245" s="185"/>
      <c r="E245" s="185"/>
      <c r="F245" s="362"/>
      <c r="G245" s="360"/>
      <c r="H245" s="185"/>
      <c r="I245" s="362"/>
      <c r="J245" s="185"/>
      <c r="K245" s="363"/>
      <c r="L245" s="363"/>
      <c r="M245" s="363"/>
      <c r="N245" s="363"/>
      <c r="O245" s="363"/>
      <c r="P245" s="363"/>
      <c r="Q245" s="362"/>
      <c r="R245" s="185"/>
      <c r="S245" s="185"/>
      <c r="T245" s="364"/>
      <c r="U245" s="185"/>
      <c r="V245" s="185"/>
      <c r="W245" s="185"/>
      <c r="X245" s="185"/>
      <c r="Y245" s="185"/>
      <c r="Z245" s="185"/>
      <c r="AA245" s="185"/>
    </row>
    <row r="246" spans="1:27" ht="15.75" customHeight="1">
      <c r="A246" s="185"/>
      <c r="B246" s="360"/>
      <c r="C246" s="361"/>
      <c r="D246" s="185"/>
      <c r="E246" s="185"/>
      <c r="F246" s="362"/>
      <c r="G246" s="360"/>
      <c r="H246" s="185"/>
      <c r="I246" s="362"/>
      <c r="J246" s="185"/>
      <c r="K246" s="363"/>
      <c r="L246" s="363"/>
      <c r="M246" s="363"/>
      <c r="N246" s="363"/>
      <c r="O246" s="363"/>
      <c r="P246" s="363"/>
      <c r="Q246" s="362"/>
      <c r="R246" s="185"/>
      <c r="S246" s="185"/>
      <c r="T246" s="364"/>
      <c r="U246" s="185"/>
      <c r="V246" s="185"/>
      <c r="W246" s="185"/>
      <c r="X246" s="185"/>
      <c r="Y246" s="185"/>
      <c r="Z246" s="185"/>
      <c r="AA246" s="185"/>
    </row>
    <row r="247" spans="1:27" ht="15.75" customHeight="1">
      <c r="A247" s="185"/>
      <c r="B247" s="360"/>
      <c r="C247" s="361"/>
      <c r="D247" s="185"/>
      <c r="E247" s="185"/>
      <c r="F247" s="362"/>
      <c r="G247" s="360"/>
      <c r="H247" s="185"/>
      <c r="I247" s="362"/>
      <c r="J247" s="185"/>
      <c r="K247" s="363"/>
      <c r="L247" s="363"/>
      <c r="M247" s="363"/>
      <c r="N247" s="363"/>
      <c r="O247" s="363"/>
      <c r="P247" s="363"/>
      <c r="Q247" s="362"/>
      <c r="R247" s="185"/>
      <c r="S247" s="185"/>
      <c r="T247" s="364"/>
      <c r="U247" s="185"/>
      <c r="V247" s="185"/>
      <c r="W247" s="185"/>
      <c r="X247" s="185"/>
      <c r="Y247" s="185"/>
      <c r="Z247" s="185"/>
      <c r="AA247" s="185"/>
    </row>
    <row r="248" spans="1:27" ht="15.75" customHeight="1">
      <c r="A248" s="185"/>
      <c r="B248" s="360"/>
      <c r="C248" s="361"/>
      <c r="D248" s="185"/>
      <c r="E248" s="185"/>
      <c r="F248" s="362"/>
      <c r="G248" s="360"/>
      <c r="H248" s="185"/>
      <c r="I248" s="362"/>
      <c r="J248" s="185"/>
      <c r="K248" s="363"/>
      <c r="L248" s="363"/>
      <c r="M248" s="363"/>
      <c r="N248" s="363"/>
      <c r="O248" s="363"/>
      <c r="P248" s="363"/>
      <c r="Q248" s="362"/>
      <c r="R248" s="185"/>
      <c r="S248" s="185"/>
      <c r="T248" s="364"/>
      <c r="U248" s="185"/>
      <c r="V248" s="185"/>
      <c r="W248" s="185"/>
      <c r="X248" s="185"/>
      <c r="Y248" s="185"/>
      <c r="Z248" s="185"/>
      <c r="AA248" s="185"/>
    </row>
    <row r="249" spans="1:27" ht="15.75" customHeight="1">
      <c r="A249" s="185"/>
      <c r="B249" s="360"/>
      <c r="C249" s="361"/>
      <c r="D249" s="185"/>
      <c r="E249" s="185"/>
      <c r="F249" s="362"/>
      <c r="G249" s="360"/>
      <c r="H249" s="185"/>
      <c r="I249" s="362"/>
      <c r="J249" s="185"/>
      <c r="K249" s="363"/>
      <c r="L249" s="363"/>
      <c r="M249" s="363"/>
      <c r="N249" s="363"/>
      <c r="O249" s="363"/>
      <c r="P249" s="363"/>
      <c r="Q249" s="362"/>
      <c r="R249" s="185"/>
      <c r="S249" s="185"/>
      <c r="T249" s="364"/>
      <c r="U249" s="185"/>
      <c r="V249" s="185"/>
      <c r="W249" s="185"/>
      <c r="X249" s="185"/>
      <c r="Y249" s="185"/>
      <c r="Z249" s="185"/>
      <c r="AA249" s="185"/>
    </row>
    <row r="250" spans="1:27" ht="15.75" customHeight="1">
      <c r="A250" s="185"/>
      <c r="B250" s="360"/>
      <c r="C250" s="361"/>
      <c r="D250" s="185"/>
      <c r="E250" s="185"/>
      <c r="F250" s="362"/>
      <c r="G250" s="360"/>
      <c r="H250" s="185"/>
      <c r="I250" s="362"/>
      <c r="J250" s="185"/>
      <c r="K250" s="363"/>
      <c r="L250" s="363"/>
      <c r="M250" s="363"/>
      <c r="N250" s="363"/>
      <c r="O250" s="363"/>
      <c r="P250" s="363"/>
      <c r="Q250" s="362"/>
      <c r="R250" s="185"/>
      <c r="S250" s="185"/>
      <c r="T250" s="364"/>
      <c r="U250" s="185"/>
      <c r="V250" s="185"/>
      <c r="W250" s="185"/>
      <c r="X250" s="185"/>
      <c r="Y250" s="185"/>
      <c r="Z250" s="185"/>
      <c r="AA250" s="185"/>
    </row>
    <row r="251" spans="1:27" ht="15.75" customHeight="1">
      <c r="A251" s="185"/>
      <c r="B251" s="360"/>
      <c r="C251" s="361"/>
      <c r="D251" s="185"/>
      <c r="E251" s="185"/>
      <c r="F251" s="362"/>
      <c r="G251" s="360"/>
      <c r="H251" s="185"/>
      <c r="I251" s="362"/>
      <c r="J251" s="185"/>
      <c r="K251" s="363"/>
      <c r="L251" s="363"/>
      <c r="M251" s="363"/>
      <c r="N251" s="363"/>
      <c r="O251" s="363"/>
      <c r="P251" s="363"/>
      <c r="Q251" s="362"/>
      <c r="R251" s="185"/>
      <c r="S251" s="185"/>
      <c r="T251" s="364"/>
      <c r="U251" s="185"/>
      <c r="V251" s="185"/>
      <c r="W251" s="185"/>
      <c r="X251" s="185"/>
      <c r="Y251" s="185"/>
      <c r="Z251" s="185"/>
      <c r="AA251" s="185"/>
    </row>
    <row r="252" spans="1:27" ht="15.75" customHeight="1">
      <c r="A252" s="185"/>
      <c r="B252" s="360"/>
      <c r="C252" s="361"/>
      <c r="D252" s="185"/>
      <c r="E252" s="185"/>
      <c r="F252" s="362"/>
      <c r="G252" s="360"/>
      <c r="H252" s="185"/>
      <c r="I252" s="362"/>
      <c r="J252" s="185"/>
      <c r="K252" s="363"/>
      <c r="L252" s="363"/>
      <c r="M252" s="363"/>
      <c r="N252" s="363"/>
      <c r="O252" s="363"/>
      <c r="P252" s="363"/>
      <c r="Q252" s="362"/>
      <c r="R252" s="185"/>
      <c r="S252" s="185"/>
      <c r="T252" s="364"/>
      <c r="U252" s="185"/>
      <c r="V252" s="185"/>
      <c r="W252" s="185"/>
      <c r="X252" s="185"/>
      <c r="Y252" s="185"/>
      <c r="Z252" s="185"/>
      <c r="AA252" s="185"/>
    </row>
    <row r="253" spans="1:27" ht="15.75" customHeight="1">
      <c r="A253" s="185"/>
      <c r="B253" s="360"/>
      <c r="C253" s="361"/>
      <c r="D253" s="185"/>
      <c r="E253" s="185"/>
      <c r="F253" s="362"/>
      <c r="G253" s="360"/>
      <c r="H253" s="185"/>
      <c r="I253" s="362"/>
      <c r="J253" s="185"/>
      <c r="K253" s="363"/>
      <c r="L253" s="363"/>
      <c r="M253" s="363"/>
      <c r="N253" s="363"/>
      <c r="O253" s="363"/>
      <c r="P253" s="363"/>
      <c r="Q253" s="362"/>
      <c r="R253" s="185"/>
      <c r="S253" s="185"/>
      <c r="T253" s="364"/>
      <c r="U253" s="185"/>
      <c r="V253" s="185"/>
      <c r="W253" s="185"/>
      <c r="X253" s="185"/>
      <c r="Y253" s="185"/>
      <c r="Z253" s="185"/>
      <c r="AA253" s="185"/>
    </row>
    <row r="254" spans="1:27" ht="15.75" customHeight="1">
      <c r="A254" s="185"/>
      <c r="B254" s="360"/>
      <c r="C254" s="361"/>
      <c r="D254" s="185"/>
      <c r="E254" s="185"/>
      <c r="F254" s="362"/>
      <c r="G254" s="360"/>
      <c r="H254" s="185"/>
      <c r="I254" s="362"/>
      <c r="J254" s="185"/>
      <c r="K254" s="363"/>
      <c r="L254" s="363"/>
      <c r="M254" s="363"/>
      <c r="N254" s="363"/>
      <c r="O254" s="363"/>
      <c r="P254" s="363"/>
      <c r="Q254" s="362"/>
      <c r="R254" s="185"/>
      <c r="S254" s="185"/>
      <c r="T254" s="364"/>
      <c r="U254" s="185"/>
      <c r="V254" s="185"/>
      <c r="W254" s="185"/>
      <c r="X254" s="185"/>
      <c r="Y254" s="185"/>
      <c r="Z254" s="185"/>
      <c r="AA254" s="185"/>
    </row>
    <row r="255" spans="1:27" ht="15.75" customHeight="1">
      <c r="A255" s="185"/>
      <c r="B255" s="360"/>
      <c r="C255" s="361"/>
      <c r="D255" s="185"/>
      <c r="E255" s="185"/>
      <c r="F255" s="362"/>
      <c r="G255" s="360"/>
      <c r="H255" s="185"/>
      <c r="I255" s="362"/>
      <c r="J255" s="185"/>
      <c r="K255" s="363"/>
      <c r="L255" s="363"/>
      <c r="M255" s="363"/>
      <c r="N255" s="363"/>
      <c r="O255" s="363"/>
      <c r="P255" s="363"/>
      <c r="Q255" s="362"/>
      <c r="R255" s="185"/>
      <c r="S255" s="185"/>
      <c r="T255" s="364"/>
      <c r="U255" s="185"/>
      <c r="V255" s="185"/>
      <c r="W255" s="185"/>
      <c r="X255" s="185"/>
      <c r="Y255" s="185"/>
      <c r="Z255" s="185"/>
      <c r="AA255" s="185"/>
    </row>
    <row r="256" spans="1:27" ht="15.75" customHeight="1">
      <c r="A256" s="185"/>
      <c r="B256" s="360"/>
      <c r="C256" s="361"/>
      <c r="D256" s="185"/>
      <c r="E256" s="185"/>
      <c r="F256" s="362"/>
      <c r="G256" s="360"/>
      <c r="H256" s="185"/>
      <c r="I256" s="362"/>
      <c r="J256" s="185"/>
      <c r="K256" s="363"/>
      <c r="L256" s="363"/>
      <c r="M256" s="363"/>
      <c r="N256" s="363"/>
      <c r="O256" s="363"/>
      <c r="P256" s="363"/>
      <c r="Q256" s="362"/>
      <c r="R256" s="185"/>
      <c r="S256" s="185"/>
      <c r="T256" s="364"/>
      <c r="U256" s="185"/>
      <c r="V256" s="185"/>
      <c r="W256" s="185"/>
      <c r="X256" s="185"/>
      <c r="Y256" s="185"/>
      <c r="Z256" s="185"/>
      <c r="AA256" s="185"/>
    </row>
    <row r="257" spans="1:27" ht="15.75" customHeight="1">
      <c r="A257" s="185"/>
      <c r="B257" s="360"/>
      <c r="C257" s="361"/>
      <c r="D257" s="185"/>
      <c r="E257" s="185"/>
      <c r="F257" s="362"/>
      <c r="G257" s="360"/>
      <c r="H257" s="185"/>
      <c r="I257" s="362"/>
      <c r="J257" s="185"/>
      <c r="K257" s="363"/>
      <c r="L257" s="363"/>
      <c r="M257" s="363"/>
      <c r="N257" s="363"/>
      <c r="O257" s="363"/>
      <c r="P257" s="363"/>
      <c r="Q257" s="362"/>
      <c r="R257" s="185"/>
      <c r="S257" s="185"/>
      <c r="T257" s="364"/>
      <c r="U257" s="185"/>
      <c r="V257" s="185"/>
      <c r="W257" s="185"/>
      <c r="X257" s="185"/>
      <c r="Y257" s="185"/>
      <c r="Z257" s="185"/>
      <c r="AA257" s="185"/>
    </row>
    <row r="258" spans="1:27" ht="15.75" customHeight="1">
      <c r="A258" s="185"/>
      <c r="B258" s="360"/>
      <c r="C258" s="361"/>
      <c r="D258" s="185"/>
      <c r="E258" s="185"/>
      <c r="F258" s="362"/>
      <c r="G258" s="360"/>
      <c r="H258" s="185"/>
      <c r="I258" s="362"/>
      <c r="J258" s="185"/>
      <c r="K258" s="363"/>
      <c r="L258" s="363"/>
      <c r="M258" s="363"/>
      <c r="N258" s="363"/>
      <c r="O258" s="363"/>
      <c r="P258" s="363"/>
      <c r="Q258" s="362"/>
      <c r="R258" s="185"/>
      <c r="S258" s="185"/>
      <c r="T258" s="364"/>
      <c r="U258" s="185"/>
      <c r="V258" s="185"/>
      <c r="W258" s="185"/>
      <c r="X258" s="185"/>
      <c r="Y258" s="185"/>
      <c r="Z258" s="185"/>
      <c r="AA258" s="185"/>
    </row>
    <row r="259" spans="1:27" ht="15.75" customHeight="1">
      <c r="A259" s="185"/>
      <c r="B259" s="360"/>
      <c r="C259" s="361"/>
      <c r="D259" s="185"/>
      <c r="E259" s="185"/>
      <c r="F259" s="362"/>
      <c r="G259" s="360"/>
      <c r="H259" s="185"/>
      <c r="I259" s="362"/>
      <c r="J259" s="185"/>
      <c r="K259" s="363"/>
      <c r="L259" s="363"/>
      <c r="M259" s="363"/>
      <c r="N259" s="363"/>
      <c r="O259" s="363"/>
      <c r="P259" s="363"/>
      <c r="Q259" s="362"/>
      <c r="R259" s="185"/>
      <c r="S259" s="185"/>
      <c r="T259" s="364"/>
      <c r="U259" s="185"/>
      <c r="V259" s="185"/>
      <c r="W259" s="185"/>
      <c r="X259" s="185"/>
      <c r="Y259" s="185"/>
      <c r="Z259" s="185"/>
      <c r="AA259" s="185"/>
    </row>
    <row r="260" spans="1:27" ht="15.75" customHeight="1">
      <c r="A260" s="185"/>
      <c r="B260" s="360"/>
      <c r="C260" s="361"/>
      <c r="D260" s="185"/>
      <c r="E260" s="185"/>
      <c r="F260" s="362"/>
      <c r="G260" s="360"/>
      <c r="H260" s="185"/>
      <c r="I260" s="362"/>
      <c r="J260" s="185"/>
      <c r="K260" s="363"/>
      <c r="L260" s="363"/>
      <c r="M260" s="363"/>
      <c r="N260" s="363"/>
      <c r="O260" s="363"/>
      <c r="P260" s="363"/>
      <c r="Q260" s="362"/>
      <c r="R260" s="185"/>
      <c r="S260" s="185"/>
      <c r="T260" s="364"/>
      <c r="U260" s="185"/>
      <c r="V260" s="185"/>
      <c r="W260" s="185"/>
      <c r="X260" s="185"/>
      <c r="Y260" s="185"/>
      <c r="Z260" s="185"/>
      <c r="AA260" s="185"/>
    </row>
    <row r="261" spans="1:27" ht="15.75" customHeight="1">
      <c r="A261" s="185"/>
      <c r="B261" s="360"/>
      <c r="C261" s="361"/>
      <c r="D261" s="185"/>
      <c r="E261" s="185"/>
      <c r="F261" s="362"/>
      <c r="G261" s="360"/>
      <c r="H261" s="185"/>
      <c r="I261" s="362"/>
      <c r="J261" s="185"/>
      <c r="K261" s="363"/>
      <c r="L261" s="363"/>
      <c r="M261" s="363"/>
      <c r="N261" s="363"/>
      <c r="O261" s="363"/>
      <c r="P261" s="363"/>
      <c r="Q261" s="362"/>
      <c r="R261" s="185"/>
      <c r="S261" s="185"/>
      <c r="T261" s="364"/>
      <c r="U261" s="185"/>
      <c r="V261" s="185"/>
      <c r="W261" s="185"/>
      <c r="X261" s="185"/>
      <c r="Y261" s="185"/>
      <c r="Z261" s="185"/>
      <c r="AA261" s="185"/>
    </row>
    <row r="262" spans="1:27" ht="15.75" customHeight="1">
      <c r="A262" s="185"/>
      <c r="B262" s="360"/>
      <c r="C262" s="361"/>
      <c r="D262" s="185"/>
      <c r="E262" s="185"/>
      <c r="F262" s="362"/>
      <c r="G262" s="360"/>
      <c r="H262" s="185"/>
      <c r="I262" s="362"/>
      <c r="J262" s="185"/>
      <c r="K262" s="363"/>
      <c r="L262" s="363"/>
      <c r="M262" s="363"/>
      <c r="N262" s="363"/>
      <c r="O262" s="363"/>
      <c r="P262" s="363"/>
      <c r="Q262" s="362"/>
      <c r="R262" s="185"/>
      <c r="S262" s="185"/>
      <c r="T262" s="364"/>
      <c r="U262" s="185"/>
      <c r="V262" s="185"/>
      <c r="W262" s="185"/>
      <c r="X262" s="185"/>
      <c r="Y262" s="185"/>
      <c r="Z262" s="185"/>
      <c r="AA262" s="185"/>
    </row>
    <row r="263" spans="1:27" ht="15.75" customHeight="1">
      <c r="A263" s="185"/>
      <c r="B263" s="360"/>
      <c r="C263" s="361"/>
      <c r="D263" s="185"/>
      <c r="E263" s="185"/>
      <c r="F263" s="362"/>
      <c r="G263" s="360"/>
      <c r="H263" s="185"/>
      <c r="I263" s="362"/>
      <c r="J263" s="185"/>
      <c r="K263" s="363"/>
      <c r="L263" s="363"/>
      <c r="M263" s="363"/>
      <c r="N263" s="363"/>
      <c r="O263" s="363"/>
      <c r="P263" s="363"/>
      <c r="Q263" s="362"/>
      <c r="R263" s="185"/>
      <c r="S263" s="185"/>
      <c r="T263" s="364"/>
      <c r="U263" s="185"/>
      <c r="V263" s="185"/>
      <c r="W263" s="185"/>
      <c r="X263" s="185"/>
      <c r="Y263" s="185"/>
      <c r="Z263" s="185"/>
      <c r="AA263" s="185"/>
    </row>
    <row r="264" spans="1:27" ht="15.75" customHeight="1">
      <c r="A264" s="185"/>
      <c r="B264" s="360"/>
      <c r="C264" s="361"/>
      <c r="D264" s="185"/>
      <c r="E264" s="185"/>
      <c r="F264" s="362"/>
      <c r="G264" s="360"/>
      <c r="H264" s="185"/>
      <c r="I264" s="362"/>
      <c r="J264" s="185"/>
      <c r="K264" s="363"/>
      <c r="L264" s="363"/>
      <c r="M264" s="363"/>
      <c r="N264" s="363"/>
      <c r="O264" s="363"/>
      <c r="P264" s="363"/>
      <c r="Q264" s="362"/>
      <c r="R264" s="185"/>
      <c r="S264" s="185"/>
      <c r="T264" s="364"/>
      <c r="U264" s="185"/>
      <c r="V264" s="185"/>
      <c r="W264" s="185"/>
      <c r="X264" s="185"/>
      <c r="Y264" s="185"/>
      <c r="Z264" s="185"/>
      <c r="AA264" s="185"/>
    </row>
    <row r="265" spans="1:27" ht="15.75" customHeight="1">
      <c r="A265" s="185"/>
      <c r="B265" s="360"/>
      <c r="C265" s="361"/>
      <c r="D265" s="185"/>
      <c r="E265" s="185"/>
      <c r="F265" s="362"/>
      <c r="G265" s="360"/>
      <c r="H265" s="185"/>
      <c r="I265" s="362"/>
      <c r="J265" s="185"/>
      <c r="K265" s="363"/>
      <c r="L265" s="363"/>
      <c r="M265" s="363"/>
      <c r="N265" s="363"/>
      <c r="O265" s="363"/>
      <c r="P265" s="363"/>
      <c r="Q265" s="362"/>
      <c r="R265" s="185"/>
      <c r="S265" s="185"/>
      <c r="T265" s="364"/>
      <c r="U265" s="185"/>
      <c r="V265" s="185"/>
      <c r="W265" s="185"/>
      <c r="X265" s="185"/>
      <c r="Y265" s="185"/>
      <c r="Z265" s="185"/>
      <c r="AA265" s="185"/>
    </row>
    <row r="266" spans="1:27" ht="15.75" customHeight="1">
      <c r="A266" s="185"/>
      <c r="B266" s="360"/>
      <c r="C266" s="361"/>
      <c r="D266" s="185"/>
      <c r="E266" s="185"/>
      <c r="F266" s="362"/>
      <c r="G266" s="360"/>
      <c r="H266" s="185"/>
      <c r="I266" s="362"/>
      <c r="J266" s="185"/>
      <c r="K266" s="363"/>
      <c r="L266" s="363"/>
      <c r="M266" s="363"/>
      <c r="N266" s="363"/>
      <c r="O266" s="363"/>
      <c r="P266" s="363"/>
      <c r="Q266" s="362"/>
      <c r="R266" s="185"/>
      <c r="S266" s="185"/>
      <c r="T266" s="364"/>
      <c r="U266" s="185"/>
      <c r="V266" s="185"/>
      <c r="W266" s="185"/>
      <c r="X266" s="185"/>
      <c r="Y266" s="185"/>
      <c r="Z266" s="185"/>
      <c r="AA266" s="185"/>
    </row>
    <row r="267" spans="1:27" ht="15.75" customHeight="1">
      <c r="A267" s="185"/>
      <c r="B267" s="360"/>
      <c r="C267" s="361"/>
      <c r="D267" s="185"/>
      <c r="E267" s="185"/>
      <c r="F267" s="362"/>
      <c r="G267" s="360"/>
      <c r="H267" s="185"/>
      <c r="I267" s="362"/>
      <c r="J267" s="185"/>
      <c r="K267" s="363"/>
      <c r="L267" s="363"/>
      <c r="M267" s="363"/>
      <c r="N267" s="363"/>
      <c r="O267" s="363"/>
      <c r="P267" s="363"/>
      <c r="Q267" s="362"/>
      <c r="R267" s="185"/>
      <c r="S267" s="185"/>
      <c r="T267" s="364"/>
      <c r="U267" s="185"/>
      <c r="V267" s="185"/>
      <c r="W267" s="185"/>
      <c r="X267" s="185"/>
      <c r="Y267" s="185"/>
      <c r="Z267" s="185"/>
      <c r="AA267" s="185"/>
    </row>
    <row r="268" spans="1:27" ht="15.75" customHeight="1">
      <c r="A268" s="185"/>
      <c r="B268" s="360"/>
      <c r="C268" s="361"/>
      <c r="D268" s="185"/>
      <c r="E268" s="185"/>
      <c r="F268" s="362"/>
      <c r="G268" s="360"/>
      <c r="H268" s="185"/>
      <c r="I268" s="362"/>
      <c r="J268" s="185"/>
      <c r="K268" s="363"/>
      <c r="L268" s="363"/>
      <c r="M268" s="363"/>
      <c r="N268" s="363"/>
      <c r="O268" s="363"/>
      <c r="P268" s="363"/>
      <c r="Q268" s="362"/>
      <c r="R268" s="185"/>
      <c r="S268" s="185"/>
      <c r="T268" s="364"/>
      <c r="U268" s="185"/>
      <c r="V268" s="185"/>
      <c r="W268" s="185"/>
      <c r="X268" s="185"/>
      <c r="Y268" s="185"/>
      <c r="Z268" s="185"/>
      <c r="AA268" s="185"/>
    </row>
    <row r="269" spans="1:27" ht="15.75" customHeight="1">
      <c r="A269" s="185"/>
      <c r="B269" s="360"/>
      <c r="C269" s="361"/>
      <c r="D269" s="185"/>
      <c r="E269" s="185"/>
      <c r="F269" s="362"/>
      <c r="G269" s="360"/>
      <c r="H269" s="185"/>
      <c r="I269" s="362"/>
      <c r="J269" s="185"/>
      <c r="K269" s="363"/>
      <c r="L269" s="363"/>
      <c r="M269" s="363"/>
      <c r="N269" s="363"/>
      <c r="O269" s="363"/>
      <c r="P269" s="363"/>
      <c r="Q269" s="362"/>
      <c r="R269" s="185"/>
      <c r="S269" s="185"/>
      <c r="T269" s="364"/>
      <c r="U269" s="185"/>
      <c r="V269" s="185"/>
      <c r="W269" s="185"/>
      <c r="X269" s="185"/>
      <c r="Y269" s="185"/>
      <c r="Z269" s="185"/>
      <c r="AA269" s="185"/>
    </row>
    <row r="270" spans="1:27" ht="15.75" customHeight="1">
      <c r="A270" s="185"/>
      <c r="B270" s="360"/>
      <c r="C270" s="361"/>
      <c r="D270" s="185"/>
      <c r="E270" s="185"/>
      <c r="F270" s="362"/>
      <c r="G270" s="360"/>
      <c r="H270" s="185"/>
      <c r="I270" s="362"/>
      <c r="J270" s="185"/>
      <c r="K270" s="363"/>
      <c r="L270" s="363"/>
      <c r="M270" s="363"/>
      <c r="N270" s="363"/>
      <c r="O270" s="363"/>
      <c r="P270" s="363"/>
      <c r="Q270" s="362"/>
      <c r="R270" s="185"/>
      <c r="S270" s="185"/>
      <c r="T270" s="364"/>
      <c r="U270" s="185"/>
      <c r="V270" s="185"/>
      <c r="W270" s="185"/>
      <c r="X270" s="185"/>
      <c r="Y270" s="185"/>
      <c r="Z270" s="185"/>
      <c r="AA270" s="185"/>
    </row>
    <row r="271" spans="1:27" ht="15.75" customHeight="1">
      <c r="A271" s="185"/>
      <c r="B271" s="360"/>
      <c r="C271" s="361"/>
      <c r="D271" s="185"/>
      <c r="E271" s="185"/>
      <c r="F271" s="362"/>
      <c r="G271" s="360"/>
      <c r="H271" s="185"/>
      <c r="I271" s="362"/>
      <c r="J271" s="185"/>
      <c r="K271" s="363"/>
      <c r="L271" s="363"/>
      <c r="M271" s="363"/>
      <c r="N271" s="363"/>
      <c r="O271" s="363"/>
      <c r="P271" s="363"/>
      <c r="Q271" s="362"/>
      <c r="R271" s="185"/>
      <c r="S271" s="185"/>
      <c r="T271" s="364"/>
      <c r="U271" s="185"/>
      <c r="V271" s="185"/>
      <c r="W271" s="185"/>
      <c r="X271" s="185"/>
      <c r="Y271" s="185"/>
      <c r="Z271" s="185"/>
      <c r="AA271" s="185"/>
    </row>
    <row r="272" spans="1:27" ht="15.75" customHeight="1">
      <c r="A272" s="185"/>
      <c r="B272" s="360"/>
      <c r="C272" s="361"/>
      <c r="D272" s="185"/>
      <c r="E272" s="185"/>
      <c r="F272" s="362"/>
      <c r="G272" s="360"/>
      <c r="H272" s="185"/>
      <c r="I272" s="362"/>
      <c r="J272" s="185"/>
      <c r="K272" s="363"/>
      <c r="L272" s="363"/>
      <c r="M272" s="363"/>
      <c r="N272" s="363"/>
      <c r="O272" s="363"/>
      <c r="P272" s="363"/>
      <c r="Q272" s="362"/>
      <c r="R272" s="185"/>
      <c r="S272" s="185"/>
      <c r="T272" s="364"/>
      <c r="U272" s="185"/>
      <c r="V272" s="185"/>
      <c r="W272" s="185"/>
      <c r="X272" s="185"/>
      <c r="Y272" s="185"/>
      <c r="Z272" s="185"/>
      <c r="AA272" s="185"/>
    </row>
    <row r="273" spans="1:27" ht="15.75" customHeight="1">
      <c r="A273" s="185"/>
      <c r="B273" s="360"/>
      <c r="C273" s="361"/>
      <c r="D273" s="185"/>
      <c r="E273" s="185"/>
      <c r="F273" s="362"/>
      <c r="G273" s="360"/>
      <c r="H273" s="185"/>
      <c r="I273" s="362"/>
      <c r="J273" s="185"/>
      <c r="K273" s="363"/>
      <c r="L273" s="363"/>
      <c r="M273" s="363"/>
      <c r="N273" s="363"/>
      <c r="O273" s="363"/>
      <c r="P273" s="363"/>
      <c r="Q273" s="362"/>
      <c r="R273" s="185"/>
      <c r="S273" s="185"/>
      <c r="T273" s="364"/>
      <c r="U273" s="185"/>
      <c r="V273" s="185"/>
      <c r="W273" s="185"/>
      <c r="X273" s="185"/>
      <c r="Y273" s="185"/>
      <c r="Z273" s="185"/>
      <c r="AA273" s="185"/>
    </row>
    <row r="274" spans="1:27" ht="15.75" customHeight="1">
      <c r="A274" s="185"/>
      <c r="B274" s="360"/>
      <c r="C274" s="361"/>
      <c r="D274" s="185"/>
      <c r="E274" s="185"/>
      <c r="F274" s="362"/>
      <c r="G274" s="360"/>
      <c r="H274" s="185"/>
      <c r="I274" s="362"/>
      <c r="J274" s="185"/>
      <c r="K274" s="363"/>
      <c r="L274" s="363"/>
      <c r="M274" s="363"/>
      <c r="N274" s="363"/>
      <c r="O274" s="363"/>
      <c r="P274" s="363"/>
      <c r="Q274" s="362"/>
      <c r="R274" s="185"/>
      <c r="S274" s="185"/>
      <c r="T274" s="364"/>
      <c r="U274" s="185"/>
      <c r="V274" s="185"/>
      <c r="W274" s="185"/>
      <c r="X274" s="185"/>
      <c r="Y274" s="185"/>
      <c r="Z274" s="185"/>
      <c r="AA274" s="185"/>
    </row>
    <row r="275" spans="1:27" ht="15.75" customHeight="1">
      <c r="A275" s="185"/>
      <c r="B275" s="360"/>
      <c r="C275" s="361"/>
      <c r="D275" s="185"/>
      <c r="E275" s="185"/>
      <c r="F275" s="362"/>
      <c r="G275" s="360"/>
      <c r="H275" s="185"/>
      <c r="I275" s="362"/>
      <c r="J275" s="185"/>
      <c r="K275" s="363"/>
      <c r="L275" s="363"/>
      <c r="M275" s="363"/>
      <c r="N275" s="363"/>
      <c r="O275" s="363"/>
      <c r="P275" s="363"/>
      <c r="Q275" s="362"/>
      <c r="R275" s="185"/>
      <c r="S275" s="185"/>
      <c r="T275" s="364"/>
      <c r="U275" s="185"/>
      <c r="V275" s="185"/>
      <c r="W275" s="185"/>
      <c r="X275" s="185"/>
      <c r="Y275" s="185"/>
      <c r="Z275" s="185"/>
      <c r="AA275" s="185"/>
    </row>
    <row r="276" spans="1:27" ht="15.75" customHeight="1">
      <c r="A276" s="185"/>
      <c r="B276" s="360"/>
      <c r="C276" s="361"/>
      <c r="D276" s="185"/>
      <c r="E276" s="185"/>
      <c r="F276" s="362"/>
      <c r="G276" s="360"/>
      <c r="H276" s="185"/>
      <c r="I276" s="362"/>
      <c r="J276" s="185"/>
      <c r="K276" s="363"/>
      <c r="L276" s="363"/>
      <c r="M276" s="363"/>
      <c r="N276" s="363"/>
      <c r="O276" s="363"/>
      <c r="P276" s="363"/>
      <c r="Q276" s="362"/>
      <c r="R276" s="185"/>
      <c r="S276" s="185"/>
      <c r="T276" s="364"/>
      <c r="U276" s="185"/>
      <c r="V276" s="185"/>
      <c r="W276" s="185"/>
      <c r="X276" s="185"/>
      <c r="Y276" s="185"/>
      <c r="Z276" s="185"/>
      <c r="AA276" s="185"/>
    </row>
    <row r="277" spans="1:27" ht="15.75" customHeight="1">
      <c r="A277" s="185"/>
      <c r="B277" s="360"/>
      <c r="C277" s="361"/>
      <c r="D277" s="185"/>
      <c r="E277" s="185"/>
      <c r="F277" s="362"/>
      <c r="G277" s="360"/>
      <c r="H277" s="185"/>
      <c r="I277" s="362"/>
      <c r="J277" s="185"/>
      <c r="K277" s="363"/>
      <c r="L277" s="363"/>
      <c r="M277" s="363"/>
      <c r="N277" s="363"/>
      <c r="O277" s="363"/>
      <c r="P277" s="363"/>
      <c r="Q277" s="362"/>
      <c r="R277" s="185"/>
      <c r="S277" s="185"/>
      <c r="T277" s="364"/>
      <c r="U277" s="185"/>
      <c r="V277" s="185"/>
      <c r="W277" s="185"/>
      <c r="X277" s="185"/>
      <c r="Y277" s="185"/>
      <c r="Z277" s="185"/>
      <c r="AA277" s="185"/>
    </row>
    <row r="278" spans="1:27" ht="15.75" customHeight="1">
      <c r="A278" s="185"/>
      <c r="B278" s="360"/>
      <c r="C278" s="361"/>
      <c r="D278" s="185"/>
      <c r="E278" s="185"/>
      <c r="F278" s="362"/>
      <c r="G278" s="360"/>
      <c r="H278" s="185"/>
      <c r="I278" s="362"/>
      <c r="J278" s="185"/>
      <c r="K278" s="363"/>
      <c r="L278" s="363"/>
      <c r="M278" s="363"/>
      <c r="N278" s="363"/>
      <c r="O278" s="363"/>
      <c r="P278" s="363"/>
      <c r="Q278" s="362"/>
      <c r="R278" s="185"/>
      <c r="S278" s="185"/>
      <c r="T278" s="364"/>
      <c r="U278" s="185"/>
      <c r="V278" s="185"/>
      <c r="W278" s="185"/>
      <c r="X278" s="185"/>
      <c r="Y278" s="185"/>
      <c r="Z278" s="185"/>
      <c r="AA278" s="185"/>
    </row>
    <row r="279" spans="1:27" ht="15.75" customHeight="1">
      <c r="A279" s="185"/>
      <c r="B279" s="360"/>
      <c r="C279" s="361"/>
      <c r="D279" s="185"/>
      <c r="E279" s="185"/>
      <c r="F279" s="362"/>
      <c r="G279" s="360"/>
      <c r="H279" s="185"/>
      <c r="I279" s="362"/>
      <c r="J279" s="185"/>
      <c r="K279" s="363"/>
      <c r="L279" s="363"/>
      <c r="M279" s="363"/>
      <c r="N279" s="363"/>
      <c r="O279" s="363"/>
      <c r="P279" s="363"/>
      <c r="Q279" s="362"/>
      <c r="R279" s="185"/>
      <c r="S279" s="185"/>
      <c r="T279" s="364"/>
      <c r="U279" s="185"/>
      <c r="V279" s="185"/>
      <c r="W279" s="185"/>
      <c r="X279" s="185"/>
      <c r="Y279" s="185"/>
      <c r="Z279" s="185"/>
      <c r="AA279" s="185"/>
    </row>
    <row r="280" spans="1:27" ht="15.75" customHeight="1">
      <c r="A280" s="185"/>
      <c r="B280" s="360"/>
      <c r="C280" s="361"/>
      <c r="D280" s="185"/>
      <c r="E280" s="185"/>
      <c r="F280" s="362"/>
      <c r="G280" s="360"/>
      <c r="H280" s="185"/>
      <c r="I280" s="362"/>
      <c r="J280" s="185"/>
      <c r="K280" s="363"/>
      <c r="L280" s="363"/>
      <c r="M280" s="363"/>
      <c r="N280" s="363"/>
      <c r="O280" s="363"/>
      <c r="P280" s="363"/>
      <c r="Q280" s="362"/>
      <c r="R280" s="185"/>
      <c r="S280" s="185"/>
      <c r="T280" s="364"/>
      <c r="U280" s="185"/>
      <c r="V280" s="185"/>
      <c r="W280" s="185"/>
      <c r="X280" s="185"/>
      <c r="Y280" s="185"/>
      <c r="Z280" s="185"/>
      <c r="AA280" s="185"/>
    </row>
    <row r="281" spans="1:27" ht="15.75" customHeight="1">
      <c r="A281" s="185"/>
      <c r="B281" s="360"/>
      <c r="C281" s="361"/>
      <c r="D281" s="185"/>
      <c r="E281" s="185"/>
      <c r="F281" s="362"/>
      <c r="G281" s="360"/>
      <c r="H281" s="185"/>
      <c r="I281" s="362"/>
      <c r="J281" s="185"/>
      <c r="K281" s="363"/>
      <c r="L281" s="363"/>
      <c r="M281" s="363"/>
      <c r="N281" s="363"/>
      <c r="O281" s="363"/>
      <c r="P281" s="363"/>
      <c r="Q281" s="362"/>
      <c r="R281" s="185"/>
      <c r="S281" s="185"/>
      <c r="T281" s="364"/>
      <c r="U281" s="185"/>
      <c r="V281" s="185"/>
      <c r="W281" s="185"/>
      <c r="X281" s="185"/>
      <c r="Y281" s="185"/>
      <c r="Z281" s="185"/>
      <c r="AA281" s="185"/>
    </row>
    <row r="282" spans="1:27" ht="15.75" customHeight="1">
      <c r="A282" s="185"/>
      <c r="B282" s="360"/>
      <c r="C282" s="361"/>
      <c r="D282" s="185"/>
      <c r="E282" s="185"/>
      <c r="F282" s="362"/>
      <c r="G282" s="360"/>
      <c r="H282" s="185"/>
      <c r="I282" s="362"/>
      <c r="J282" s="185"/>
      <c r="K282" s="363"/>
      <c r="L282" s="363"/>
      <c r="M282" s="363"/>
      <c r="N282" s="363"/>
      <c r="O282" s="363"/>
      <c r="P282" s="363"/>
      <c r="Q282" s="362"/>
      <c r="R282" s="185"/>
      <c r="S282" s="185"/>
      <c r="T282" s="364"/>
      <c r="U282" s="185"/>
      <c r="V282" s="185"/>
      <c r="W282" s="185"/>
      <c r="X282" s="185"/>
      <c r="Y282" s="185"/>
      <c r="Z282" s="185"/>
      <c r="AA282" s="185"/>
    </row>
    <row r="283" spans="1:27" ht="15.75" customHeight="1">
      <c r="A283" s="185"/>
      <c r="B283" s="360"/>
      <c r="C283" s="361"/>
      <c r="D283" s="185"/>
      <c r="E283" s="185"/>
      <c r="F283" s="362"/>
      <c r="G283" s="360"/>
      <c r="H283" s="185"/>
      <c r="I283" s="362"/>
      <c r="J283" s="185"/>
      <c r="K283" s="363"/>
      <c r="L283" s="363"/>
      <c r="M283" s="363"/>
      <c r="N283" s="363"/>
      <c r="O283" s="363"/>
      <c r="P283" s="363"/>
      <c r="Q283" s="362"/>
      <c r="R283" s="185"/>
      <c r="S283" s="185"/>
      <c r="T283" s="364"/>
      <c r="U283" s="185"/>
      <c r="V283" s="185"/>
      <c r="W283" s="185"/>
      <c r="X283" s="185"/>
      <c r="Y283" s="185"/>
      <c r="Z283" s="185"/>
      <c r="AA283" s="185"/>
    </row>
    <row r="284" spans="1:27" ht="15.75" customHeight="1">
      <c r="A284" s="185"/>
      <c r="B284" s="360"/>
      <c r="C284" s="361"/>
      <c r="D284" s="185"/>
      <c r="E284" s="185"/>
      <c r="F284" s="362"/>
      <c r="G284" s="360"/>
      <c r="H284" s="185"/>
      <c r="I284" s="362"/>
      <c r="J284" s="185"/>
      <c r="K284" s="363"/>
      <c r="L284" s="363"/>
      <c r="M284" s="363"/>
      <c r="N284" s="363"/>
      <c r="O284" s="363"/>
      <c r="P284" s="363"/>
      <c r="Q284" s="362"/>
      <c r="R284" s="185"/>
      <c r="S284" s="185"/>
      <c r="T284" s="364"/>
      <c r="U284" s="185"/>
      <c r="V284" s="185"/>
      <c r="W284" s="185"/>
      <c r="X284" s="185"/>
      <c r="Y284" s="185"/>
      <c r="Z284" s="185"/>
      <c r="AA284" s="185"/>
    </row>
    <row r="285" spans="1:27" ht="15.75" customHeight="1">
      <c r="A285" s="185"/>
      <c r="B285" s="360"/>
      <c r="C285" s="361"/>
      <c r="D285" s="185"/>
      <c r="E285" s="185"/>
      <c r="F285" s="362"/>
      <c r="G285" s="360"/>
      <c r="H285" s="185"/>
      <c r="I285" s="362"/>
      <c r="J285" s="185"/>
      <c r="K285" s="363"/>
      <c r="L285" s="363"/>
      <c r="M285" s="363"/>
      <c r="N285" s="363"/>
      <c r="O285" s="363"/>
      <c r="P285" s="363"/>
      <c r="Q285" s="362"/>
      <c r="R285" s="185"/>
      <c r="S285" s="185"/>
      <c r="T285" s="364"/>
      <c r="U285" s="185"/>
      <c r="V285" s="185"/>
      <c r="W285" s="185"/>
      <c r="X285" s="185"/>
      <c r="Y285" s="185"/>
      <c r="Z285" s="185"/>
      <c r="AA285" s="185"/>
    </row>
    <row r="286" spans="1:27" ht="15.75" customHeight="1">
      <c r="A286" s="185"/>
      <c r="B286" s="360"/>
      <c r="C286" s="361"/>
      <c r="D286" s="185"/>
      <c r="E286" s="185"/>
      <c r="F286" s="362"/>
      <c r="G286" s="360"/>
      <c r="H286" s="185"/>
      <c r="I286" s="362"/>
      <c r="J286" s="185"/>
      <c r="K286" s="363"/>
      <c r="L286" s="363"/>
      <c r="M286" s="363"/>
      <c r="N286" s="363"/>
      <c r="O286" s="363"/>
      <c r="P286" s="363"/>
      <c r="Q286" s="362"/>
      <c r="R286" s="185"/>
      <c r="S286" s="185"/>
      <c r="T286" s="364"/>
      <c r="U286" s="185"/>
      <c r="V286" s="185"/>
      <c r="W286" s="185"/>
      <c r="X286" s="185"/>
      <c r="Y286" s="185"/>
      <c r="Z286" s="185"/>
      <c r="AA286" s="185"/>
    </row>
    <row r="287" spans="1:27" ht="15.75" customHeight="1">
      <c r="A287" s="185"/>
      <c r="B287" s="360"/>
      <c r="C287" s="361"/>
      <c r="D287" s="185"/>
      <c r="E287" s="185"/>
      <c r="F287" s="362"/>
      <c r="G287" s="360"/>
      <c r="H287" s="185"/>
      <c r="I287" s="362"/>
      <c r="J287" s="185"/>
      <c r="K287" s="363"/>
      <c r="L287" s="363"/>
      <c r="M287" s="363"/>
      <c r="N287" s="363"/>
      <c r="O287" s="363"/>
      <c r="P287" s="363"/>
      <c r="Q287" s="362"/>
      <c r="R287" s="185"/>
      <c r="S287" s="185"/>
      <c r="T287" s="364"/>
      <c r="U287" s="185"/>
      <c r="V287" s="185"/>
      <c r="W287" s="185"/>
      <c r="X287" s="185"/>
      <c r="Y287" s="185"/>
      <c r="Z287" s="185"/>
      <c r="AA287" s="185"/>
    </row>
    <row r="288" spans="1:27" ht="15.75" customHeight="1">
      <c r="A288" s="185"/>
      <c r="B288" s="360"/>
      <c r="C288" s="361"/>
      <c r="D288" s="185"/>
      <c r="E288" s="185"/>
      <c r="F288" s="362"/>
      <c r="G288" s="360"/>
      <c r="H288" s="185"/>
      <c r="I288" s="362"/>
      <c r="J288" s="185"/>
      <c r="K288" s="363"/>
      <c r="L288" s="363"/>
      <c r="M288" s="363"/>
      <c r="N288" s="363"/>
      <c r="O288" s="363"/>
      <c r="P288" s="363"/>
      <c r="Q288" s="362"/>
      <c r="R288" s="185"/>
      <c r="S288" s="185"/>
      <c r="T288" s="364"/>
      <c r="U288" s="185"/>
      <c r="V288" s="185"/>
      <c r="W288" s="185"/>
      <c r="X288" s="185"/>
      <c r="Y288" s="185"/>
      <c r="Z288" s="185"/>
      <c r="AA288" s="185"/>
    </row>
    <row r="289" spans="1:27" ht="15.75" customHeight="1">
      <c r="A289" s="185"/>
      <c r="B289" s="360"/>
      <c r="C289" s="361"/>
      <c r="D289" s="185"/>
      <c r="E289" s="185"/>
      <c r="F289" s="362"/>
      <c r="G289" s="360"/>
      <c r="H289" s="185"/>
      <c r="I289" s="362"/>
      <c r="J289" s="185"/>
      <c r="K289" s="363"/>
      <c r="L289" s="363"/>
      <c r="M289" s="363"/>
      <c r="N289" s="363"/>
      <c r="O289" s="363"/>
      <c r="P289" s="363"/>
      <c r="Q289" s="362"/>
      <c r="R289" s="185"/>
      <c r="S289" s="185"/>
      <c r="T289" s="364"/>
      <c r="U289" s="185"/>
      <c r="V289" s="185"/>
      <c r="W289" s="185"/>
      <c r="X289" s="185"/>
      <c r="Y289" s="185"/>
      <c r="Z289" s="185"/>
      <c r="AA289" s="185"/>
    </row>
    <row r="290" spans="1:27" ht="15.75" customHeight="1">
      <c r="A290" s="185"/>
      <c r="B290" s="360"/>
      <c r="C290" s="361"/>
      <c r="D290" s="185"/>
      <c r="E290" s="185"/>
      <c r="F290" s="362"/>
      <c r="G290" s="360"/>
      <c r="H290" s="185"/>
      <c r="I290" s="362"/>
      <c r="J290" s="185"/>
      <c r="K290" s="363"/>
      <c r="L290" s="363"/>
      <c r="M290" s="363"/>
      <c r="N290" s="363"/>
      <c r="O290" s="363"/>
      <c r="P290" s="363"/>
      <c r="Q290" s="362"/>
      <c r="R290" s="185"/>
      <c r="S290" s="185"/>
      <c r="T290" s="364"/>
      <c r="U290" s="185"/>
      <c r="V290" s="185"/>
      <c r="W290" s="185"/>
      <c r="X290" s="185"/>
      <c r="Y290" s="185"/>
      <c r="Z290" s="185"/>
      <c r="AA290" s="185"/>
    </row>
    <row r="291" spans="1:27" ht="15.75" customHeight="1">
      <c r="A291" s="185"/>
      <c r="B291" s="360"/>
      <c r="C291" s="361"/>
      <c r="D291" s="185"/>
      <c r="E291" s="185"/>
      <c r="F291" s="362"/>
      <c r="G291" s="360"/>
      <c r="H291" s="185"/>
      <c r="I291" s="362"/>
      <c r="J291" s="185"/>
      <c r="K291" s="363"/>
      <c r="L291" s="363"/>
      <c r="M291" s="363"/>
      <c r="N291" s="363"/>
      <c r="O291" s="363"/>
      <c r="P291" s="363"/>
      <c r="Q291" s="362"/>
      <c r="R291" s="185"/>
      <c r="S291" s="185"/>
      <c r="T291" s="364"/>
      <c r="U291" s="185"/>
      <c r="V291" s="185"/>
      <c r="W291" s="185"/>
      <c r="X291" s="185"/>
      <c r="Y291" s="185"/>
      <c r="Z291" s="185"/>
      <c r="AA291" s="185"/>
    </row>
    <row r="292" spans="1:27" ht="15.75" customHeight="1">
      <c r="A292" s="185"/>
      <c r="B292" s="360"/>
      <c r="C292" s="361"/>
      <c r="D292" s="185"/>
      <c r="E292" s="185"/>
      <c r="F292" s="362"/>
      <c r="G292" s="360"/>
      <c r="H292" s="185"/>
      <c r="I292" s="362"/>
      <c r="J292" s="185"/>
      <c r="K292" s="363"/>
      <c r="L292" s="363"/>
      <c r="M292" s="363"/>
      <c r="N292" s="363"/>
      <c r="O292" s="363"/>
      <c r="P292" s="363"/>
      <c r="Q292" s="362"/>
      <c r="R292" s="185"/>
      <c r="S292" s="185"/>
      <c r="T292" s="364"/>
      <c r="U292" s="185"/>
      <c r="V292" s="185"/>
      <c r="W292" s="185"/>
      <c r="X292" s="185"/>
      <c r="Y292" s="185"/>
      <c r="Z292" s="185"/>
      <c r="AA292" s="185"/>
    </row>
    <row r="293" spans="1:27" ht="15.75" customHeight="1">
      <c r="A293" s="185"/>
      <c r="B293" s="360"/>
      <c r="C293" s="361"/>
      <c r="D293" s="185"/>
      <c r="E293" s="185"/>
      <c r="F293" s="362"/>
      <c r="G293" s="360"/>
      <c r="H293" s="185"/>
      <c r="I293" s="362"/>
      <c r="J293" s="185"/>
      <c r="K293" s="363"/>
      <c r="L293" s="363"/>
      <c r="M293" s="363"/>
      <c r="N293" s="363"/>
      <c r="O293" s="363"/>
      <c r="P293" s="363"/>
      <c r="Q293" s="362"/>
      <c r="R293" s="185"/>
      <c r="S293" s="185"/>
      <c r="T293" s="364"/>
      <c r="U293" s="185"/>
      <c r="V293" s="185"/>
      <c r="W293" s="185"/>
      <c r="X293" s="185"/>
      <c r="Y293" s="185"/>
      <c r="Z293" s="185"/>
      <c r="AA293" s="185"/>
    </row>
    <row r="294" spans="1:27" ht="15.75" customHeight="1">
      <c r="A294" s="185"/>
      <c r="B294" s="360"/>
      <c r="C294" s="361"/>
      <c r="D294" s="185"/>
      <c r="E294" s="185"/>
      <c r="F294" s="362"/>
      <c r="G294" s="360"/>
      <c r="H294" s="185"/>
      <c r="I294" s="362"/>
      <c r="J294" s="185"/>
      <c r="K294" s="363"/>
      <c r="L294" s="363"/>
      <c r="M294" s="363"/>
      <c r="N294" s="363"/>
      <c r="O294" s="363"/>
      <c r="P294" s="363"/>
      <c r="Q294" s="362"/>
      <c r="R294" s="185"/>
      <c r="S294" s="185"/>
      <c r="T294" s="364"/>
      <c r="U294" s="185"/>
      <c r="V294" s="185"/>
      <c r="W294" s="185"/>
      <c r="X294" s="185"/>
      <c r="Y294" s="185"/>
      <c r="Z294" s="185"/>
      <c r="AA294" s="185"/>
    </row>
    <row r="295" spans="1:27" ht="15.75" customHeight="1">
      <c r="A295" s="185"/>
      <c r="B295" s="360"/>
      <c r="C295" s="361"/>
      <c r="D295" s="185"/>
      <c r="E295" s="185"/>
      <c r="F295" s="362"/>
      <c r="G295" s="360"/>
      <c r="H295" s="185"/>
      <c r="I295" s="362"/>
      <c r="J295" s="185"/>
      <c r="K295" s="363"/>
      <c r="L295" s="363"/>
      <c r="M295" s="363"/>
      <c r="N295" s="363"/>
      <c r="O295" s="363"/>
      <c r="P295" s="363"/>
      <c r="Q295" s="362"/>
      <c r="R295" s="185"/>
      <c r="S295" s="185"/>
      <c r="T295" s="364"/>
      <c r="U295" s="185"/>
      <c r="V295" s="185"/>
      <c r="W295" s="185"/>
      <c r="X295" s="185"/>
      <c r="Y295" s="185"/>
      <c r="Z295" s="185"/>
      <c r="AA295" s="185"/>
    </row>
    <row r="296" spans="1:27" ht="15.75" customHeight="1">
      <c r="A296" s="185"/>
      <c r="B296" s="360"/>
      <c r="C296" s="361"/>
      <c r="D296" s="185"/>
      <c r="E296" s="185"/>
      <c r="F296" s="362"/>
      <c r="G296" s="360"/>
      <c r="H296" s="185"/>
      <c r="I296" s="362"/>
      <c r="J296" s="185"/>
      <c r="K296" s="363"/>
      <c r="L296" s="363"/>
      <c r="M296" s="363"/>
      <c r="N296" s="363"/>
      <c r="O296" s="363"/>
      <c r="P296" s="363"/>
      <c r="Q296" s="362"/>
      <c r="R296" s="185"/>
      <c r="S296" s="185"/>
      <c r="T296" s="364"/>
      <c r="U296" s="185"/>
      <c r="V296" s="185"/>
      <c r="W296" s="185"/>
      <c r="X296" s="185"/>
      <c r="Y296" s="185"/>
      <c r="Z296" s="185"/>
      <c r="AA296" s="185"/>
    </row>
    <row r="297" spans="1:27" ht="15.75" customHeight="1">
      <c r="A297" s="185"/>
      <c r="B297" s="360"/>
      <c r="C297" s="361"/>
      <c r="D297" s="185"/>
      <c r="E297" s="185"/>
      <c r="F297" s="362"/>
      <c r="G297" s="360"/>
      <c r="H297" s="185"/>
      <c r="I297" s="362"/>
      <c r="J297" s="185"/>
      <c r="K297" s="363"/>
      <c r="L297" s="363"/>
      <c r="M297" s="363"/>
      <c r="N297" s="363"/>
      <c r="O297" s="363"/>
      <c r="P297" s="363"/>
      <c r="Q297" s="362"/>
      <c r="R297" s="185"/>
      <c r="S297" s="185"/>
      <c r="T297" s="364"/>
      <c r="U297" s="185"/>
      <c r="V297" s="185"/>
      <c r="W297" s="185"/>
      <c r="X297" s="185"/>
      <c r="Y297" s="185"/>
      <c r="Z297" s="185"/>
      <c r="AA297" s="185"/>
    </row>
    <row r="298" spans="1:27" ht="15.75" customHeight="1">
      <c r="A298" s="185"/>
      <c r="B298" s="360"/>
      <c r="C298" s="361"/>
      <c r="D298" s="185"/>
      <c r="E298" s="185"/>
      <c r="F298" s="362"/>
      <c r="G298" s="360"/>
      <c r="H298" s="185"/>
      <c r="I298" s="362"/>
      <c r="J298" s="185"/>
      <c r="K298" s="363"/>
      <c r="L298" s="363"/>
      <c r="M298" s="363"/>
      <c r="N298" s="363"/>
      <c r="O298" s="363"/>
      <c r="P298" s="363"/>
      <c r="Q298" s="362"/>
      <c r="R298" s="185"/>
      <c r="S298" s="185"/>
      <c r="T298" s="364"/>
      <c r="U298" s="185"/>
      <c r="V298" s="185"/>
      <c r="W298" s="185"/>
      <c r="X298" s="185"/>
      <c r="Y298" s="185"/>
      <c r="Z298" s="185"/>
      <c r="AA298" s="185"/>
    </row>
    <row r="299" spans="1:27" ht="15.75" customHeight="1">
      <c r="A299" s="185"/>
      <c r="B299" s="360"/>
      <c r="C299" s="361"/>
      <c r="D299" s="185"/>
      <c r="E299" s="185"/>
      <c r="F299" s="362"/>
      <c r="G299" s="360"/>
      <c r="H299" s="185"/>
      <c r="I299" s="362"/>
      <c r="J299" s="185"/>
      <c r="K299" s="363"/>
      <c r="L299" s="363"/>
      <c r="M299" s="363"/>
      <c r="N299" s="363"/>
      <c r="O299" s="363"/>
      <c r="P299" s="363"/>
      <c r="Q299" s="362"/>
      <c r="R299" s="185"/>
      <c r="S299" s="185"/>
      <c r="T299" s="364"/>
      <c r="U299" s="185"/>
      <c r="V299" s="185"/>
      <c r="W299" s="185"/>
      <c r="X299" s="185"/>
      <c r="Y299" s="185"/>
      <c r="Z299" s="185"/>
      <c r="AA299" s="185"/>
    </row>
    <row r="300" spans="1:27" ht="15.75" customHeight="1">
      <c r="A300" s="185"/>
      <c r="B300" s="360"/>
      <c r="C300" s="361"/>
      <c r="D300" s="185"/>
      <c r="E300" s="185"/>
      <c r="F300" s="362"/>
      <c r="G300" s="360"/>
      <c r="H300" s="185"/>
      <c r="I300" s="362"/>
      <c r="J300" s="185"/>
      <c r="K300" s="363"/>
      <c r="L300" s="363"/>
      <c r="M300" s="363"/>
      <c r="N300" s="363"/>
      <c r="O300" s="363"/>
      <c r="P300" s="363"/>
      <c r="Q300" s="362"/>
      <c r="R300" s="185"/>
      <c r="S300" s="185"/>
      <c r="T300" s="364"/>
      <c r="U300" s="185"/>
      <c r="V300" s="185"/>
      <c r="W300" s="185"/>
      <c r="X300" s="185"/>
      <c r="Y300" s="185"/>
      <c r="Z300" s="185"/>
      <c r="AA300" s="185"/>
    </row>
    <row r="301" spans="1:27" ht="15.75" customHeight="1">
      <c r="A301" s="185"/>
      <c r="B301" s="360"/>
      <c r="C301" s="361"/>
      <c r="D301" s="185"/>
      <c r="E301" s="185"/>
      <c r="F301" s="362"/>
      <c r="G301" s="360"/>
      <c r="H301" s="185"/>
      <c r="I301" s="362"/>
      <c r="J301" s="185"/>
      <c r="K301" s="363"/>
      <c r="L301" s="363"/>
      <c r="M301" s="363"/>
      <c r="N301" s="363"/>
      <c r="O301" s="363"/>
      <c r="P301" s="363"/>
      <c r="Q301" s="362"/>
      <c r="R301" s="185"/>
      <c r="S301" s="185"/>
      <c r="T301" s="364"/>
      <c r="U301" s="185"/>
      <c r="V301" s="185"/>
      <c r="W301" s="185"/>
      <c r="X301" s="185"/>
      <c r="Y301" s="185"/>
      <c r="Z301" s="185"/>
      <c r="AA301" s="185"/>
    </row>
    <row r="302" spans="1:27" ht="15.75" customHeight="1">
      <c r="A302" s="185"/>
      <c r="B302" s="360"/>
      <c r="C302" s="361"/>
      <c r="D302" s="185"/>
      <c r="E302" s="185"/>
      <c r="F302" s="362"/>
      <c r="G302" s="360"/>
      <c r="H302" s="185"/>
      <c r="I302" s="362"/>
      <c r="J302" s="185"/>
      <c r="K302" s="363"/>
      <c r="L302" s="363"/>
      <c r="M302" s="363"/>
      <c r="N302" s="363"/>
      <c r="O302" s="363"/>
      <c r="P302" s="363"/>
      <c r="Q302" s="362"/>
      <c r="R302" s="185"/>
      <c r="S302" s="185"/>
      <c r="T302" s="364"/>
      <c r="U302" s="185"/>
      <c r="V302" s="185"/>
      <c r="W302" s="185"/>
      <c r="X302" s="185"/>
      <c r="Y302" s="185"/>
      <c r="Z302" s="185"/>
      <c r="AA302" s="185"/>
    </row>
    <row r="303" spans="1:27" ht="15.75" customHeight="1">
      <c r="A303" s="185"/>
      <c r="B303" s="360"/>
      <c r="C303" s="361"/>
      <c r="D303" s="185"/>
      <c r="E303" s="185"/>
      <c r="F303" s="362"/>
      <c r="G303" s="360"/>
      <c r="H303" s="185"/>
      <c r="I303" s="362"/>
      <c r="J303" s="185"/>
      <c r="K303" s="363"/>
      <c r="L303" s="363"/>
      <c r="M303" s="363"/>
      <c r="N303" s="363"/>
      <c r="O303" s="363"/>
      <c r="P303" s="363"/>
      <c r="Q303" s="362"/>
      <c r="R303" s="185"/>
      <c r="S303" s="185"/>
      <c r="T303" s="364"/>
      <c r="U303" s="185"/>
      <c r="V303" s="185"/>
      <c r="W303" s="185"/>
      <c r="X303" s="185"/>
      <c r="Y303" s="185"/>
      <c r="Z303" s="185"/>
      <c r="AA303" s="185"/>
    </row>
    <row r="304" spans="1:27" ht="15.75" customHeight="1">
      <c r="A304" s="185"/>
      <c r="B304" s="360"/>
      <c r="C304" s="361"/>
      <c r="D304" s="185"/>
      <c r="E304" s="185"/>
      <c r="F304" s="362"/>
      <c r="G304" s="360"/>
      <c r="H304" s="185"/>
      <c r="I304" s="362"/>
      <c r="J304" s="185"/>
      <c r="K304" s="363"/>
      <c r="L304" s="363"/>
      <c r="M304" s="363"/>
      <c r="N304" s="363"/>
      <c r="O304" s="363"/>
      <c r="P304" s="363"/>
      <c r="Q304" s="362"/>
      <c r="R304" s="185"/>
      <c r="S304" s="185"/>
      <c r="T304" s="364"/>
      <c r="U304" s="185"/>
      <c r="V304" s="185"/>
      <c r="W304" s="185"/>
      <c r="X304" s="185"/>
      <c r="Y304" s="185"/>
      <c r="Z304" s="185"/>
      <c r="AA304" s="185"/>
    </row>
    <row r="305" spans="1:27" ht="15.75" customHeight="1">
      <c r="A305" s="185"/>
      <c r="B305" s="360"/>
      <c r="C305" s="361"/>
      <c r="D305" s="185"/>
      <c r="E305" s="185"/>
      <c r="F305" s="362"/>
      <c r="G305" s="360"/>
      <c r="H305" s="185"/>
      <c r="I305" s="362"/>
      <c r="J305" s="185"/>
      <c r="K305" s="363"/>
      <c r="L305" s="363"/>
      <c r="M305" s="363"/>
      <c r="N305" s="363"/>
      <c r="O305" s="363"/>
      <c r="P305" s="363"/>
      <c r="Q305" s="362"/>
      <c r="R305" s="185"/>
      <c r="S305" s="185"/>
      <c r="T305" s="364"/>
      <c r="U305" s="185"/>
      <c r="V305" s="185"/>
      <c r="W305" s="185"/>
      <c r="X305" s="185"/>
      <c r="Y305" s="185"/>
      <c r="Z305" s="185"/>
      <c r="AA305" s="185"/>
    </row>
    <row r="306" spans="1:27" ht="15.75" customHeight="1">
      <c r="A306" s="185"/>
      <c r="B306" s="360"/>
      <c r="C306" s="361"/>
      <c r="D306" s="185"/>
      <c r="E306" s="185"/>
      <c r="F306" s="362"/>
      <c r="G306" s="360"/>
      <c r="H306" s="185"/>
      <c r="I306" s="362"/>
      <c r="J306" s="185"/>
      <c r="K306" s="363"/>
      <c r="L306" s="363"/>
      <c r="M306" s="363"/>
      <c r="N306" s="363"/>
      <c r="O306" s="363"/>
      <c r="P306" s="363"/>
      <c r="Q306" s="362"/>
      <c r="R306" s="185"/>
      <c r="S306" s="185"/>
      <c r="T306" s="364"/>
      <c r="U306" s="185"/>
      <c r="V306" s="185"/>
      <c r="W306" s="185"/>
      <c r="X306" s="185"/>
      <c r="Y306" s="185"/>
      <c r="Z306" s="185"/>
      <c r="AA306" s="185"/>
    </row>
    <row r="307" spans="1:27" ht="15.75" customHeight="1">
      <c r="A307" s="185"/>
      <c r="B307" s="360"/>
      <c r="C307" s="361"/>
      <c r="D307" s="185"/>
      <c r="E307" s="185"/>
      <c r="F307" s="362"/>
      <c r="G307" s="360"/>
      <c r="H307" s="185"/>
      <c r="I307" s="362"/>
      <c r="J307" s="185"/>
      <c r="K307" s="363"/>
      <c r="L307" s="363"/>
      <c r="M307" s="363"/>
      <c r="N307" s="363"/>
      <c r="O307" s="363"/>
      <c r="P307" s="363"/>
      <c r="Q307" s="362"/>
      <c r="R307" s="185"/>
      <c r="S307" s="185"/>
      <c r="T307" s="364"/>
      <c r="U307" s="185"/>
      <c r="V307" s="185"/>
      <c r="W307" s="185"/>
      <c r="X307" s="185"/>
      <c r="Y307" s="185"/>
      <c r="Z307" s="185"/>
      <c r="AA307" s="185"/>
    </row>
    <row r="308" spans="1:27" ht="15.75" customHeight="1">
      <c r="A308" s="185"/>
      <c r="B308" s="360"/>
      <c r="C308" s="361"/>
      <c r="D308" s="185"/>
      <c r="E308" s="185"/>
      <c r="F308" s="362"/>
      <c r="G308" s="360"/>
      <c r="H308" s="185"/>
      <c r="I308" s="362"/>
      <c r="J308" s="185"/>
      <c r="K308" s="363"/>
      <c r="L308" s="363"/>
      <c r="M308" s="363"/>
      <c r="N308" s="363"/>
      <c r="O308" s="363"/>
      <c r="P308" s="363"/>
      <c r="Q308" s="362"/>
      <c r="R308" s="185"/>
      <c r="S308" s="185"/>
      <c r="T308" s="364"/>
      <c r="U308" s="185"/>
      <c r="V308" s="185"/>
      <c r="W308" s="185"/>
      <c r="X308" s="185"/>
      <c r="Y308" s="185"/>
      <c r="Z308" s="185"/>
      <c r="AA308" s="185"/>
    </row>
    <row r="309" spans="1:27" ht="15.75" customHeight="1">
      <c r="A309" s="185"/>
      <c r="B309" s="360"/>
      <c r="C309" s="361"/>
      <c r="D309" s="185"/>
      <c r="E309" s="185"/>
      <c r="F309" s="362"/>
      <c r="G309" s="360"/>
      <c r="H309" s="185"/>
      <c r="I309" s="362"/>
      <c r="J309" s="185"/>
      <c r="K309" s="363"/>
      <c r="L309" s="363"/>
      <c r="M309" s="363"/>
      <c r="N309" s="363"/>
      <c r="O309" s="363"/>
      <c r="P309" s="363"/>
      <c r="Q309" s="362"/>
      <c r="R309" s="185"/>
      <c r="S309" s="185"/>
      <c r="T309" s="364"/>
      <c r="U309" s="185"/>
      <c r="V309" s="185"/>
      <c r="W309" s="185"/>
      <c r="X309" s="185"/>
      <c r="Y309" s="185"/>
      <c r="Z309" s="185"/>
      <c r="AA309" s="185"/>
    </row>
    <row r="310" spans="1:27" ht="15.75" customHeight="1">
      <c r="A310" s="185"/>
      <c r="B310" s="360"/>
      <c r="C310" s="361"/>
      <c r="D310" s="185"/>
      <c r="E310" s="185"/>
      <c r="F310" s="362"/>
      <c r="G310" s="360"/>
      <c r="H310" s="185"/>
      <c r="I310" s="362"/>
      <c r="J310" s="185"/>
      <c r="K310" s="363"/>
      <c r="L310" s="363"/>
      <c r="M310" s="363"/>
      <c r="N310" s="363"/>
      <c r="O310" s="363"/>
      <c r="P310" s="363"/>
      <c r="Q310" s="362"/>
      <c r="R310" s="185"/>
      <c r="S310" s="185"/>
      <c r="T310" s="364"/>
      <c r="U310" s="185"/>
      <c r="V310" s="185"/>
      <c r="W310" s="185"/>
      <c r="X310" s="185"/>
      <c r="Y310" s="185"/>
      <c r="Z310" s="185"/>
      <c r="AA310" s="185"/>
    </row>
    <row r="311" spans="1:27" ht="15.75" customHeight="1">
      <c r="A311" s="185"/>
      <c r="B311" s="360"/>
      <c r="C311" s="361"/>
      <c r="D311" s="185"/>
      <c r="E311" s="185"/>
      <c r="F311" s="362"/>
      <c r="G311" s="360"/>
      <c r="H311" s="185"/>
      <c r="I311" s="362"/>
      <c r="J311" s="185"/>
      <c r="K311" s="363"/>
      <c r="L311" s="363"/>
      <c r="M311" s="363"/>
      <c r="N311" s="363"/>
      <c r="O311" s="363"/>
      <c r="P311" s="363"/>
      <c r="Q311" s="362"/>
      <c r="R311" s="185"/>
      <c r="S311" s="185"/>
      <c r="T311" s="364"/>
      <c r="U311" s="185"/>
      <c r="V311" s="185"/>
      <c r="W311" s="185"/>
      <c r="X311" s="185"/>
      <c r="Y311" s="185"/>
      <c r="Z311" s="185"/>
      <c r="AA311" s="185"/>
    </row>
    <row r="312" spans="1:27" ht="15.75" customHeight="1">
      <c r="A312" s="185"/>
      <c r="B312" s="360"/>
      <c r="C312" s="361"/>
      <c r="D312" s="185"/>
      <c r="E312" s="185"/>
      <c r="F312" s="362"/>
      <c r="G312" s="360"/>
      <c r="H312" s="185"/>
      <c r="I312" s="362"/>
      <c r="J312" s="185"/>
      <c r="K312" s="363"/>
      <c r="L312" s="363"/>
      <c r="M312" s="363"/>
      <c r="N312" s="363"/>
      <c r="O312" s="363"/>
      <c r="P312" s="363"/>
      <c r="Q312" s="362"/>
      <c r="R312" s="185"/>
      <c r="S312" s="185"/>
      <c r="T312" s="364"/>
      <c r="U312" s="185"/>
      <c r="V312" s="185"/>
      <c r="W312" s="185"/>
      <c r="X312" s="185"/>
      <c r="Y312" s="185"/>
      <c r="Z312" s="185"/>
      <c r="AA312" s="185"/>
    </row>
    <row r="313" spans="1:27" ht="15.75" customHeight="1">
      <c r="A313" s="185"/>
      <c r="B313" s="360"/>
      <c r="C313" s="361"/>
      <c r="D313" s="185"/>
      <c r="E313" s="185"/>
      <c r="F313" s="362"/>
      <c r="G313" s="360"/>
      <c r="H313" s="185"/>
      <c r="I313" s="362"/>
      <c r="J313" s="185"/>
      <c r="K313" s="363"/>
      <c r="L313" s="363"/>
      <c r="M313" s="363"/>
      <c r="N313" s="363"/>
      <c r="O313" s="363"/>
      <c r="P313" s="363"/>
      <c r="Q313" s="362"/>
      <c r="R313" s="185"/>
      <c r="S313" s="185"/>
      <c r="T313" s="364"/>
      <c r="U313" s="185"/>
      <c r="V313" s="185"/>
      <c r="W313" s="185"/>
      <c r="X313" s="185"/>
      <c r="Y313" s="185"/>
      <c r="Z313" s="185"/>
      <c r="AA313" s="185"/>
    </row>
    <row r="314" spans="1:27" ht="15.75" customHeight="1">
      <c r="A314" s="185"/>
      <c r="B314" s="360"/>
      <c r="C314" s="361"/>
      <c r="D314" s="185"/>
      <c r="E314" s="185"/>
      <c r="F314" s="362"/>
      <c r="G314" s="360"/>
      <c r="H314" s="185"/>
      <c r="I314" s="362"/>
      <c r="J314" s="185"/>
      <c r="K314" s="363"/>
      <c r="L314" s="363"/>
      <c r="M314" s="363"/>
      <c r="N314" s="363"/>
      <c r="O314" s="363"/>
      <c r="P314" s="363"/>
      <c r="Q314" s="362"/>
      <c r="R314" s="185"/>
      <c r="S314" s="185"/>
      <c r="T314" s="364"/>
      <c r="U314" s="185"/>
      <c r="V314" s="185"/>
      <c r="W314" s="185"/>
      <c r="X314" s="185"/>
      <c r="Y314" s="185"/>
      <c r="Z314" s="185"/>
      <c r="AA314" s="185"/>
    </row>
    <row r="315" spans="1:27" ht="15.75" customHeight="1">
      <c r="A315" s="185"/>
      <c r="B315" s="360"/>
      <c r="C315" s="361"/>
      <c r="D315" s="185"/>
      <c r="E315" s="185"/>
      <c r="F315" s="362"/>
      <c r="G315" s="360"/>
      <c r="H315" s="185"/>
      <c r="I315" s="362"/>
      <c r="J315" s="185"/>
      <c r="K315" s="363"/>
      <c r="L315" s="363"/>
      <c r="M315" s="363"/>
      <c r="N315" s="363"/>
      <c r="O315" s="363"/>
      <c r="P315" s="363"/>
      <c r="Q315" s="362"/>
      <c r="R315" s="185"/>
      <c r="S315" s="185"/>
      <c r="T315" s="364"/>
      <c r="U315" s="185"/>
      <c r="V315" s="185"/>
      <c r="W315" s="185"/>
      <c r="X315" s="185"/>
      <c r="Y315" s="185"/>
      <c r="Z315" s="185"/>
      <c r="AA315" s="185"/>
    </row>
    <row r="316" spans="1:27" ht="15.75" customHeight="1">
      <c r="A316" s="185"/>
      <c r="B316" s="360"/>
      <c r="C316" s="361"/>
      <c r="D316" s="185"/>
      <c r="E316" s="185"/>
      <c r="F316" s="362"/>
      <c r="G316" s="360"/>
      <c r="H316" s="185"/>
      <c r="I316" s="362"/>
      <c r="J316" s="185"/>
      <c r="K316" s="363"/>
      <c r="L316" s="363"/>
      <c r="M316" s="363"/>
      <c r="N316" s="363"/>
      <c r="O316" s="363"/>
      <c r="P316" s="363"/>
      <c r="Q316" s="362"/>
      <c r="R316" s="185"/>
      <c r="S316" s="185"/>
      <c r="T316" s="364"/>
      <c r="U316" s="185"/>
      <c r="V316" s="185"/>
      <c r="W316" s="185"/>
      <c r="X316" s="185"/>
      <c r="Y316" s="185"/>
      <c r="Z316" s="185"/>
      <c r="AA316" s="185"/>
    </row>
    <row r="317" spans="1:27" ht="15.75" customHeight="1">
      <c r="A317" s="185"/>
      <c r="B317" s="360"/>
      <c r="C317" s="361"/>
      <c r="D317" s="185"/>
      <c r="E317" s="185"/>
      <c r="F317" s="362"/>
      <c r="G317" s="360"/>
      <c r="H317" s="185"/>
      <c r="I317" s="362"/>
      <c r="J317" s="185"/>
      <c r="K317" s="363"/>
      <c r="L317" s="363"/>
      <c r="M317" s="363"/>
      <c r="N317" s="363"/>
      <c r="O317" s="363"/>
      <c r="P317" s="363"/>
      <c r="Q317" s="362"/>
      <c r="R317" s="185"/>
      <c r="S317" s="185"/>
      <c r="T317" s="364"/>
      <c r="U317" s="185"/>
      <c r="V317" s="185"/>
      <c r="W317" s="185"/>
      <c r="X317" s="185"/>
      <c r="Y317" s="185"/>
      <c r="Z317" s="185"/>
      <c r="AA317" s="185"/>
    </row>
    <row r="318" spans="1:27" ht="15.75" customHeight="1">
      <c r="A318" s="185"/>
      <c r="B318" s="360"/>
      <c r="C318" s="361"/>
      <c r="D318" s="185"/>
      <c r="E318" s="185"/>
      <c r="F318" s="362"/>
      <c r="G318" s="360"/>
      <c r="H318" s="185"/>
      <c r="I318" s="362"/>
      <c r="J318" s="185"/>
      <c r="K318" s="363"/>
      <c r="L318" s="363"/>
      <c r="M318" s="363"/>
      <c r="N318" s="363"/>
      <c r="O318" s="363"/>
      <c r="P318" s="363"/>
      <c r="Q318" s="362"/>
      <c r="R318" s="185"/>
      <c r="S318" s="185"/>
      <c r="T318" s="364"/>
      <c r="U318" s="185"/>
      <c r="V318" s="185"/>
      <c r="W318" s="185"/>
      <c r="X318" s="185"/>
      <c r="Y318" s="185"/>
      <c r="Z318" s="185"/>
      <c r="AA318" s="185"/>
    </row>
    <row r="319" spans="1:27" ht="15.75" customHeight="1">
      <c r="A319" s="185"/>
      <c r="B319" s="360"/>
      <c r="C319" s="361"/>
      <c r="D319" s="185"/>
      <c r="E319" s="185"/>
      <c r="F319" s="362"/>
      <c r="G319" s="360"/>
      <c r="H319" s="185"/>
      <c r="I319" s="362"/>
      <c r="J319" s="185"/>
      <c r="K319" s="363"/>
      <c r="L319" s="363"/>
      <c r="M319" s="363"/>
      <c r="N319" s="363"/>
      <c r="O319" s="363"/>
      <c r="P319" s="363"/>
      <c r="Q319" s="362"/>
      <c r="R319" s="185"/>
      <c r="S319" s="185"/>
      <c r="T319" s="364"/>
      <c r="U319" s="185"/>
      <c r="V319" s="185"/>
      <c r="W319" s="185"/>
      <c r="X319" s="185"/>
      <c r="Y319" s="185"/>
      <c r="Z319" s="185"/>
      <c r="AA319" s="185"/>
    </row>
    <row r="320" spans="1:27" ht="15.75" customHeight="1">
      <c r="A320" s="185"/>
      <c r="B320" s="360"/>
      <c r="C320" s="361"/>
      <c r="D320" s="185"/>
      <c r="E320" s="185"/>
      <c r="F320" s="362"/>
      <c r="G320" s="360"/>
      <c r="H320" s="185"/>
      <c r="I320" s="362"/>
      <c r="J320" s="185"/>
      <c r="K320" s="363"/>
      <c r="L320" s="363"/>
      <c r="M320" s="363"/>
      <c r="N320" s="363"/>
      <c r="O320" s="363"/>
      <c r="P320" s="363"/>
      <c r="Q320" s="362"/>
      <c r="R320" s="185"/>
      <c r="S320" s="185"/>
      <c r="T320" s="364"/>
      <c r="U320" s="185"/>
      <c r="V320" s="185"/>
      <c r="W320" s="185"/>
      <c r="X320" s="185"/>
      <c r="Y320" s="185"/>
      <c r="Z320" s="185"/>
      <c r="AA320" s="185"/>
    </row>
    <row r="321" spans="1:27" ht="15.75" customHeight="1">
      <c r="A321" s="185"/>
      <c r="B321" s="360"/>
      <c r="C321" s="361"/>
      <c r="D321" s="185"/>
      <c r="E321" s="185"/>
      <c r="F321" s="362"/>
      <c r="G321" s="360"/>
      <c r="H321" s="185"/>
      <c r="I321" s="362"/>
      <c r="J321" s="185"/>
      <c r="K321" s="363"/>
      <c r="L321" s="363"/>
      <c r="M321" s="363"/>
      <c r="N321" s="363"/>
      <c r="O321" s="363"/>
      <c r="P321" s="363"/>
      <c r="Q321" s="362"/>
      <c r="R321" s="185"/>
      <c r="S321" s="185"/>
      <c r="T321" s="364"/>
      <c r="U321" s="185"/>
      <c r="V321" s="185"/>
      <c r="W321" s="185"/>
      <c r="X321" s="185"/>
      <c r="Y321" s="185"/>
      <c r="Z321" s="185"/>
      <c r="AA321" s="185"/>
    </row>
    <row r="322" spans="1:27" ht="15.75" customHeight="1">
      <c r="A322" s="185"/>
      <c r="B322" s="360"/>
      <c r="C322" s="361"/>
      <c r="D322" s="185"/>
      <c r="E322" s="185"/>
      <c r="F322" s="362"/>
      <c r="G322" s="360"/>
      <c r="H322" s="185"/>
      <c r="I322" s="362"/>
      <c r="J322" s="185"/>
      <c r="K322" s="363"/>
      <c r="L322" s="363"/>
      <c r="M322" s="363"/>
      <c r="N322" s="363"/>
      <c r="O322" s="363"/>
      <c r="P322" s="363"/>
      <c r="Q322" s="362"/>
      <c r="R322" s="185"/>
      <c r="S322" s="185"/>
      <c r="T322" s="364"/>
      <c r="U322" s="185"/>
      <c r="V322" s="185"/>
      <c r="W322" s="185"/>
      <c r="X322" s="185"/>
      <c r="Y322" s="185"/>
      <c r="Z322" s="185"/>
      <c r="AA322" s="185"/>
    </row>
    <row r="323" spans="1:27" ht="15.75" customHeight="1">
      <c r="A323" s="185"/>
      <c r="B323" s="360"/>
      <c r="C323" s="361"/>
      <c r="D323" s="185"/>
      <c r="E323" s="185"/>
      <c r="F323" s="362"/>
      <c r="G323" s="360"/>
      <c r="H323" s="185"/>
      <c r="I323" s="362"/>
      <c r="J323" s="185"/>
      <c r="K323" s="363"/>
      <c r="L323" s="363"/>
      <c r="M323" s="363"/>
      <c r="N323" s="363"/>
      <c r="O323" s="363"/>
      <c r="P323" s="363"/>
      <c r="Q323" s="362"/>
      <c r="R323" s="185"/>
      <c r="S323" s="185"/>
      <c r="T323" s="364"/>
      <c r="U323" s="185"/>
      <c r="V323" s="185"/>
      <c r="W323" s="185"/>
      <c r="X323" s="185"/>
      <c r="Y323" s="185"/>
      <c r="Z323" s="185"/>
      <c r="AA323" s="185"/>
    </row>
    <row r="324" spans="1:27" ht="15.75" customHeight="1">
      <c r="A324" s="185"/>
      <c r="B324" s="360"/>
      <c r="C324" s="361"/>
      <c r="D324" s="185"/>
      <c r="E324" s="185"/>
      <c r="F324" s="362"/>
      <c r="G324" s="360"/>
      <c r="H324" s="185"/>
      <c r="I324" s="362"/>
      <c r="J324" s="185"/>
      <c r="K324" s="363"/>
      <c r="L324" s="363"/>
      <c r="M324" s="363"/>
      <c r="N324" s="363"/>
      <c r="O324" s="363"/>
      <c r="P324" s="363"/>
      <c r="Q324" s="362"/>
      <c r="R324" s="185"/>
      <c r="S324" s="185"/>
      <c r="T324" s="364"/>
      <c r="U324" s="185"/>
      <c r="V324" s="185"/>
      <c r="W324" s="185"/>
      <c r="X324" s="185"/>
      <c r="Y324" s="185"/>
      <c r="Z324" s="185"/>
      <c r="AA324" s="185"/>
    </row>
    <row r="325" spans="1:27" ht="15.75" customHeight="1">
      <c r="A325" s="185"/>
      <c r="B325" s="360"/>
      <c r="C325" s="361"/>
      <c r="D325" s="185"/>
      <c r="E325" s="185"/>
      <c r="F325" s="362"/>
      <c r="G325" s="360"/>
      <c r="H325" s="185"/>
      <c r="I325" s="362"/>
      <c r="J325" s="185"/>
      <c r="K325" s="363"/>
      <c r="L325" s="363"/>
      <c r="M325" s="363"/>
      <c r="N325" s="363"/>
      <c r="O325" s="363"/>
      <c r="P325" s="363"/>
      <c r="Q325" s="362"/>
      <c r="R325" s="185"/>
      <c r="S325" s="185"/>
      <c r="T325" s="364"/>
      <c r="U325" s="185"/>
      <c r="V325" s="185"/>
      <c r="W325" s="185"/>
      <c r="X325" s="185"/>
      <c r="Y325" s="185"/>
      <c r="Z325" s="185"/>
      <c r="AA325" s="185"/>
    </row>
    <row r="326" spans="1:27" ht="15.75" customHeight="1">
      <c r="A326" s="185"/>
      <c r="B326" s="360"/>
      <c r="C326" s="361"/>
      <c r="D326" s="185"/>
      <c r="E326" s="185"/>
      <c r="F326" s="362"/>
      <c r="G326" s="360"/>
      <c r="H326" s="185"/>
      <c r="I326" s="362"/>
      <c r="J326" s="185"/>
      <c r="K326" s="363"/>
      <c r="L326" s="363"/>
      <c r="M326" s="363"/>
      <c r="N326" s="363"/>
      <c r="O326" s="363"/>
      <c r="P326" s="363"/>
      <c r="Q326" s="362"/>
      <c r="R326" s="185"/>
      <c r="S326" s="185"/>
      <c r="T326" s="364"/>
      <c r="U326" s="185"/>
      <c r="V326" s="185"/>
      <c r="W326" s="185"/>
      <c r="X326" s="185"/>
      <c r="Y326" s="185"/>
      <c r="Z326" s="185"/>
      <c r="AA326" s="185"/>
    </row>
    <row r="327" spans="1:27" ht="15.75" customHeight="1">
      <c r="A327" s="185"/>
      <c r="B327" s="360"/>
      <c r="C327" s="361"/>
      <c r="D327" s="185"/>
      <c r="E327" s="185"/>
      <c r="F327" s="362"/>
      <c r="G327" s="360"/>
      <c r="H327" s="185"/>
      <c r="I327" s="362"/>
      <c r="J327" s="185"/>
      <c r="K327" s="363"/>
      <c r="L327" s="363"/>
      <c r="M327" s="363"/>
      <c r="N327" s="363"/>
      <c r="O327" s="363"/>
      <c r="P327" s="363"/>
      <c r="Q327" s="362"/>
      <c r="R327" s="185"/>
      <c r="S327" s="185"/>
      <c r="T327" s="364"/>
      <c r="U327" s="185"/>
      <c r="V327" s="185"/>
      <c r="W327" s="185"/>
      <c r="X327" s="185"/>
      <c r="Y327" s="185"/>
      <c r="Z327" s="185"/>
      <c r="AA327" s="185"/>
    </row>
    <row r="328" spans="1:27" ht="15.75" customHeight="1">
      <c r="A328" s="185"/>
      <c r="B328" s="360"/>
      <c r="C328" s="361"/>
      <c r="D328" s="185"/>
      <c r="E328" s="185"/>
      <c r="F328" s="362"/>
      <c r="G328" s="360"/>
      <c r="H328" s="185"/>
      <c r="I328" s="362"/>
      <c r="J328" s="185"/>
      <c r="K328" s="363"/>
      <c r="L328" s="363"/>
      <c r="M328" s="363"/>
      <c r="N328" s="363"/>
      <c r="O328" s="363"/>
      <c r="P328" s="363"/>
      <c r="Q328" s="362"/>
      <c r="R328" s="185"/>
      <c r="S328" s="185"/>
      <c r="T328" s="364"/>
      <c r="U328" s="185"/>
      <c r="V328" s="185"/>
      <c r="W328" s="185"/>
      <c r="X328" s="185"/>
      <c r="Y328" s="185"/>
      <c r="Z328" s="185"/>
      <c r="AA328" s="185"/>
    </row>
    <row r="329" spans="1:27" ht="15.75" customHeight="1">
      <c r="A329" s="185"/>
      <c r="B329" s="360"/>
      <c r="C329" s="361"/>
      <c r="D329" s="185"/>
      <c r="E329" s="185"/>
      <c r="F329" s="362"/>
      <c r="G329" s="360"/>
      <c r="H329" s="185"/>
      <c r="I329" s="362"/>
      <c r="J329" s="185"/>
      <c r="K329" s="363"/>
      <c r="L329" s="363"/>
      <c r="M329" s="363"/>
      <c r="N329" s="363"/>
      <c r="O329" s="363"/>
      <c r="P329" s="363"/>
      <c r="Q329" s="362"/>
      <c r="R329" s="185"/>
      <c r="S329" s="185"/>
      <c r="T329" s="364"/>
      <c r="U329" s="185"/>
      <c r="V329" s="185"/>
      <c r="W329" s="185"/>
      <c r="X329" s="185"/>
      <c r="Y329" s="185"/>
      <c r="Z329" s="185"/>
      <c r="AA329" s="185"/>
    </row>
    <row r="330" spans="1:27" ht="15.75" customHeight="1">
      <c r="A330" s="185"/>
      <c r="B330" s="360"/>
      <c r="C330" s="361"/>
      <c r="D330" s="185"/>
      <c r="E330" s="185"/>
      <c r="F330" s="362"/>
      <c r="G330" s="360"/>
      <c r="H330" s="185"/>
      <c r="I330" s="362"/>
      <c r="J330" s="185"/>
      <c r="K330" s="363"/>
      <c r="L330" s="363"/>
      <c r="M330" s="363"/>
      <c r="N330" s="363"/>
      <c r="O330" s="363"/>
      <c r="P330" s="363"/>
      <c r="Q330" s="362"/>
      <c r="R330" s="185"/>
      <c r="S330" s="185"/>
      <c r="T330" s="364"/>
      <c r="U330" s="185"/>
      <c r="V330" s="185"/>
      <c r="W330" s="185"/>
      <c r="X330" s="185"/>
      <c r="Y330" s="185"/>
      <c r="Z330" s="185"/>
      <c r="AA330" s="185"/>
    </row>
    <row r="331" spans="1:27" ht="15.75" customHeight="1">
      <c r="A331" s="185"/>
      <c r="B331" s="360"/>
      <c r="C331" s="361"/>
      <c r="D331" s="185"/>
      <c r="E331" s="185"/>
      <c r="F331" s="362"/>
      <c r="G331" s="360"/>
      <c r="H331" s="185"/>
      <c r="I331" s="362"/>
      <c r="J331" s="185"/>
      <c r="K331" s="363"/>
      <c r="L331" s="363"/>
      <c r="M331" s="363"/>
      <c r="N331" s="363"/>
      <c r="O331" s="363"/>
      <c r="P331" s="363"/>
      <c r="Q331" s="362"/>
      <c r="R331" s="185"/>
      <c r="S331" s="185"/>
      <c r="T331" s="364"/>
      <c r="U331" s="185"/>
      <c r="V331" s="185"/>
      <c r="W331" s="185"/>
      <c r="X331" s="185"/>
      <c r="Y331" s="185"/>
      <c r="Z331" s="185"/>
      <c r="AA331" s="185"/>
    </row>
    <row r="332" spans="1:27" ht="15.75" customHeight="1">
      <c r="A332" s="185"/>
      <c r="B332" s="360"/>
      <c r="C332" s="361"/>
      <c r="D332" s="185"/>
      <c r="E332" s="185"/>
      <c r="F332" s="362"/>
      <c r="G332" s="360"/>
      <c r="H332" s="185"/>
      <c r="I332" s="362"/>
      <c r="J332" s="185"/>
      <c r="K332" s="363"/>
      <c r="L332" s="363"/>
      <c r="M332" s="363"/>
      <c r="N332" s="363"/>
      <c r="O332" s="363"/>
      <c r="P332" s="363"/>
      <c r="Q332" s="362"/>
      <c r="R332" s="185"/>
      <c r="S332" s="185"/>
      <c r="T332" s="364"/>
      <c r="U332" s="185"/>
      <c r="V332" s="185"/>
      <c r="W332" s="185"/>
      <c r="X332" s="185"/>
      <c r="Y332" s="185"/>
      <c r="Z332" s="185"/>
      <c r="AA332" s="185"/>
    </row>
    <row r="333" spans="1:27" ht="15.75" customHeight="1">
      <c r="A333" s="185"/>
      <c r="B333" s="360"/>
      <c r="C333" s="361"/>
      <c r="D333" s="185"/>
      <c r="E333" s="185"/>
      <c r="F333" s="362"/>
      <c r="G333" s="360"/>
      <c r="H333" s="185"/>
      <c r="I333" s="362"/>
      <c r="J333" s="185"/>
      <c r="K333" s="363"/>
      <c r="L333" s="363"/>
      <c r="M333" s="363"/>
      <c r="N333" s="363"/>
      <c r="O333" s="363"/>
      <c r="P333" s="363"/>
      <c r="Q333" s="362"/>
      <c r="R333" s="185"/>
      <c r="S333" s="185"/>
      <c r="T333" s="364"/>
      <c r="U333" s="185"/>
      <c r="V333" s="185"/>
      <c r="W333" s="185"/>
      <c r="X333" s="185"/>
      <c r="Y333" s="185"/>
      <c r="Z333" s="185"/>
      <c r="AA333" s="185"/>
    </row>
    <row r="334" spans="1:27" ht="15.75" customHeight="1">
      <c r="A334" s="185"/>
      <c r="B334" s="360"/>
      <c r="C334" s="361"/>
      <c r="D334" s="185"/>
      <c r="E334" s="185"/>
      <c r="F334" s="362"/>
      <c r="G334" s="360"/>
      <c r="H334" s="185"/>
      <c r="I334" s="362"/>
      <c r="J334" s="185"/>
      <c r="K334" s="363"/>
      <c r="L334" s="363"/>
      <c r="M334" s="363"/>
      <c r="N334" s="363"/>
      <c r="O334" s="363"/>
      <c r="P334" s="363"/>
      <c r="Q334" s="362"/>
      <c r="R334" s="185"/>
      <c r="S334" s="185"/>
      <c r="T334" s="364"/>
      <c r="U334" s="185"/>
      <c r="V334" s="185"/>
      <c r="W334" s="185"/>
      <c r="X334" s="185"/>
      <c r="Y334" s="185"/>
      <c r="Z334" s="185"/>
      <c r="AA334" s="185"/>
    </row>
    <row r="335" spans="1:27" ht="15.75" customHeight="1">
      <c r="A335" s="185"/>
      <c r="B335" s="360"/>
      <c r="C335" s="361"/>
      <c r="D335" s="185"/>
      <c r="E335" s="185"/>
      <c r="F335" s="362"/>
      <c r="G335" s="360"/>
      <c r="H335" s="185"/>
      <c r="I335" s="362"/>
      <c r="J335" s="185"/>
      <c r="K335" s="363"/>
      <c r="L335" s="363"/>
      <c r="M335" s="363"/>
      <c r="N335" s="363"/>
      <c r="O335" s="363"/>
      <c r="P335" s="363"/>
      <c r="Q335" s="362"/>
      <c r="R335" s="185"/>
      <c r="S335" s="185"/>
      <c r="T335" s="364"/>
      <c r="U335" s="185"/>
      <c r="V335" s="185"/>
      <c r="W335" s="185"/>
      <c r="X335" s="185"/>
      <c r="Y335" s="185"/>
      <c r="Z335" s="185"/>
      <c r="AA335" s="185"/>
    </row>
    <row r="336" spans="1:27" ht="15.75" customHeight="1">
      <c r="A336" s="185"/>
      <c r="B336" s="360"/>
      <c r="C336" s="361"/>
      <c r="D336" s="185"/>
      <c r="E336" s="185"/>
      <c r="F336" s="362"/>
      <c r="G336" s="360"/>
      <c r="H336" s="185"/>
      <c r="I336" s="362"/>
      <c r="J336" s="185"/>
      <c r="K336" s="363"/>
      <c r="L336" s="363"/>
      <c r="M336" s="363"/>
      <c r="N336" s="363"/>
      <c r="O336" s="363"/>
      <c r="P336" s="363"/>
      <c r="Q336" s="362"/>
      <c r="R336" s="185"/>
      <c r="S336" s="185"/>
      <c r="T336" s="364"/>
      <c r="U336" s="185"/>
      <c r="V336" s="185"/>
      <c r="W336" s="185"/>
      <c r="X336" s="185"/>
      <c r="Y336" s="185"/>
      <c r="Z336" s="185"/>
      <c r="AA336" s="185"/>
    </row>
    <row r="337" spans="1:27" ht="15.75" customHeight="1">
      <c r="A337" s="185"/>
      <c r="B337" s="360"/>
      <c r="C337" s="361"/>
      <c r="D337" s="185"/>
      <c r="E337" s="185"/>
      <c r="F337" s="362"/>
      <c r="G337" s="360"/>
      <c r="H337" s="185"/>
      <c r="I337" s="362"/>
      <c r="J337" s="185"/>
      <c r="K337" s="363"/>
      <c r="L337" s="363"/>
      <c r="M337" s="363"/>
      <c r="N337" s="363"/>
      <c r="O337" s="363"/>
      <c r="P337" s="363"/>
      <c r="Q337" s="362"/>
      <c r="R337" s="185"/>
      <c r="S337" s="185"/>
      <c r="T337" s="364"/>
      <c r="U337" s="185"/>
      <c r="V337" s="185"/>
      <c r="W337" s="185"/>
      <c r="X337" s="185"/>
      <c r="Y337" s="185"/>
      <c r="Z337" s="185"/>
      <c r="AA337" s="185"/>
    </row>
    <row r="338" spans="1:27" ht="15.75" customHeight="1">
      <c r="A338" s="185"/>
      <c r="B338" s="360"/>
      <c r="C338" s="361"/>
      <c r="D338" s="185"/>
      <c r="E338" s="185"/>
      <c r="F338" s="362"/>
      <c r="G338" s="360"/>
      <c r="H338" s="185"/>
      <c r="I338" s="362"/>
      <c r="J338" s="185"/>
      <c r="K338" s="363"/>
      <c r="L338" s="363"/>
      <c r="M338" s="363"/>
      <c r="N338" s="363"/>
      <c r="O338" s="363"/>
      <c r="P338" s="363"/>
      <c r="Q338" s="362"/>
      <c r="R338" s="185"/>
      <c r="S338" s="185"/>
      <c r="T338" s="364"/>
      <c r="U338" s="185"/>
      <c r="V338" s="185"/>
      <c r="W338" s="185"/>
      <c r="X338" s="185"/>
      <c r="Y338" s="185"/>
      <c r="Z338" s="185"/>
      <c r="AA338" s="185"/>
    </row>
    <row r="339" spans="1:27" ht="15.75" customHeight="1">
      <c r="A339" s="185"/>
      <c r="B339" s="360"/>
      <c r="C339" s="361"/>
      <c r="D339" s="185"/>
      <c r="E339" s="185"/>
      <c r="F339" s="362"/>
      <c r="G339" s="360"/>
      <c r="H339" s="185"/>
      <c r="I339" s="362"/>
      <c r="J339" s="185"/>
      <c r="K339" s="363"/>
      <c r="L339" s="363"/>
      <c r="M339" s="363"/>
      <c r="N339" s="363"/>
      <c r="O339" s="363"/>
      <c r="P339" s="363"/>
      <c r="Q339" s="362"/>
      <c r="R339" s="185"/>
      <c r="S339" s="185"/>
      <c r="T339" s="364"/>
      <c r="U339" s="185"/>
      <c r="V339" s="185"/>
      <c r="W339" s="185"/>
      <c r="X339" s="185"/>
      <c r="Y339" s="185"/>
      <c r="Z339" s="185"/>
      <c r="AA339" s="185"/>
    </row>
    <row r="340" spans="1:27" ht="15.75" customHeight="1">
      <c r="A340" s="185"/>
      <c r="B340" s="360"/>
      <c r="C340" s="361"/>
      <c r="D340" s="185"/>
      <c r="E340" s="185"/>
      <c r="F340" s="362"/>
      <c r="G340" s="360"/>
      <c r="H340" s="185"/>
      <c r="I340" s="362"/>
      <c r="J340" s="185"/>
      <c r="K340" s="363"/>
      <c r="L340" s="363"/>
      <c r="M340" s="363"/>
      <c r="N340" s="363"/>
      <c r="O340" s="363"/>
      <c r="P340" s="363"/>
      <c r="Q340" s="362"/>
      <c r="R340" s="185"/>
      <c r="S340" s="185"/>
      <c r="T340" s="364"/>
      <c r="U340" s="185"/>
      <c r="V340" s="185"/>
      <c r="W340" s="185"/>
      <c r="X340" s="185"/>
      <c r="Y340" s="185"/>
      <c r="Z340" s="185"/>
      <c r="AA340" s="185"/>
    </row>
    <row r="341" spans="1:27" ht="15.75" customHeight="1">
      <c r="A341" s="185"/>
      <c r="B341" s="360"/>
      <c r="C341" s="361"/>
      <c r="D341" s="185"/>
      <c r="E341" s="185"/>
      <c r="F341" s="362"/>
      <c r="G341" s="360"/>
      <c r="H341" s="185"/>
      <c r="I341" s="362"/>
      <c r="J341" s="185"/>
      <c r="K341" s="363"/>
      <c r="L341" s="363"/>
      <c r="M341" s="363"/>
      <c r="N341" s="363"/>
      <c r="O341" s="363"/>
      <c r="P341" s="363"/>
      <c r="Q341" s="362"/>
      <c r="R341" s="185"/>
      <c r="S341" s="185"/>
      <c r="T341" s="364"/>
      <c r="U341" s="185"/>
      <c r="V341" s="185"/>
      <c r="W341" s="185"/>
      <c r="X341" s="185"/>
      <c r="Y341" s="185"/>
      <c r="Z341" s="185"/>
      <c r="AA341" s="185"/>
    </row>
    <row r="342" spans="1:27" ht="15.75" customHeight="1">
      <c r="A342" s="185"/>
      <c r="B342" s="360"/>
      <c r="C342" s="361"/>
      <c r="D342" s="185"/>
      <c r="E342" s="185"/>
      <c r="F342" s="362"/>
      <c r="G342" s="360"/>
      <c r="H342" s="185"/>
      <c r="I342" s="362"/>
      <c r="J342" s="185"/>
      <c r="K342" s="363"/>
      <c r="L342" s="363"/>
      <c r="M342" s="363"/>
      <c r="N342" s="363"/>
      <c r="O342" s="363"/>
      <c r="P342" s="363"/>
      <c r="Q342" s="362"/>
      <c r="R342" s="185"/>
      <c r="S342" s="185"/>
      <c r="T342" s="364"/>
      <c r="U342" s="185"/>
      <c r="V342" s="185"/>
      <c r="W342" s="185"/>
      <c r="X342" s="185"/>
      <c r="Y342" s="185"/>
      <c r="Z342" s="185"/>
      <c r="AA342" s="185"/>
    </row>
    <row r="343" spans="1:27" ht="15.75" customHeight="1">
      <c r="A343" s="185"/>
      <c r="B343" s="360"/>
      <c r="C343" s="361"/>
      <c r="D343" s="185"/>
      <c r="E343" s="185"/>
      <c r="F343" s="362"/>
      <c r="G343" s="360"/>
      <c r="H343" s="185"/>
      <c r="I343" s="362"/>
      <c r="J343" s="185"/>
      <c r="K343" s="363"/>
      <c r="L343" s="363"/>
      <c r="M343" s="363"/>
      <c r="N343" s="363"/>
      <c r="O343" s="363"/>
      <c r="P343" s="363"/>
      <c r="Q343" s="362"/>
      <c r="R343" s="185"/>
      <c r="S343" s="185"/>
      <c r="T343" s="364"/>
      <c r="U343" s="185"/>
      <c r="V343" s="185"/>
      <c r="W343" s="185"/>
      <c r="X343" s="185"/>
      <c r="Y343" s="185"/>
      <c r="Z343" s="185"/>
      <c r="AA343" s="185"/>
    </row>
    <row r="344" spans="1:27" ht="15.75" customHeight="1">
      <c r="A344" s="185"/>
      <c r="B344" s="360"/>
      <c r="C344" s="361"/>
      <c r="D344" s="185"/>
      <c r="E344" s="185"/>
      <c r="F344" s="362"/>
      <c r="G344" s="360"/>
      <c r="H344" s="185"/>
      <c r="I344" s="362"/>
      <c r="J344" s="185"/>
      <c r="K344" s="363"/>
      <c r="L344" s="363"/>
      <c r="M344" s="363"/>
      <c r="N344" s="363"/>
      <c r="O344" s="363"/>
      <c r="P344" s="363"/>
      <c r="Q344" s="362"/>
      <c r="R344" s="185"/>
      <c r="S344" s="185"/>
      <c r="T344" s="364"/>
      <c r="U344" s="185"/>
      <c r="V344" s="185"/>
      <c r="W344" s="185"/>
      <c r="X344" s="185"/>
      <c r="Y344" s="185"/>
      <c r="Z344" s="185"/>
      <c r="AA344" s="185"/>
    </row>
    <row r="345" spans="1:27" ht="15.75" customHeight="1">
      <c r="A345" s="185"/>
      <c r="B345" s="360"/>
      <c r="C345" s="361"/>
      <c r="D345" s="185"/>
      <c r="E345" s="185"/>
      <c r="F345" s="362"/>
      <c r="G345" s="360"/>
      <c r="H345" s="185"/>
      <c r="I345" s="362"/>
      <c r="J345" s="185"/>
      <c r="K345" s="363"/>
      <c r="L345" s="363"/>
      <c r="M345" s="363"/>
      <c r="N345" s="363"/>
      <c r="O345" s="363"/>
      <c r="P345" s="363"/>
      <c r="Q345" s="362"/>
      <c r="R345" s="185"/>
      <c r="S345" s="185"/>
      <c r="T345" s="364"/>
      <c r="U345" s="185"/>
      <c r="V345" s="185"/>
      <c r="W345" s="185"/>
      <c r="X345" s="185"/>
      <c r="Y345" s="185"/>
      <c r="Z345" s="185"/>
      <c r="AA345" s="185"/>
    </row>
    <row r="346" spans="1:27" ht="15.75" customHeight="1">
      <c r="A346" s="185"/>
      <c r="B346" s="360"/>
      <c r="C346" s="361"/>
      <c r="D346" s="185"/>
      <c r="E346" s="185"/>
      <c r="F346" s="362"/>
      <c r="G346" s="360"/>
      <c r="H346" s="185"/>
      <c r="I346" s="362"/>
      <c r="J346" s="185"/>
      <c r="K346" s="363"/>
      <c r="L346" s="363"/>
      <c r="M346" s="363"/>
      <c r="N346" s="363"/>
      <c r="O346" s="363"/>
      <c r="P346" s="363"/>
      <c r="Q346" s="362"/>
      <c r="R346" s="185"/>
      <c r="S346" s="185"/>
      <c r="T346" s="364"/>
      <c r="U346" s="185"/>
      <c r="V346" s="185"/>
      <c r="W346" s="185"/>
      <c r="X346" s="185"/>
      <c r="Y346" s="185"/>
      <c r="Z346" s="185"/>
      <c r="AA346" s="185"/>
    </row>
    <row r="347" spans="1:27" ht="15.75" customHeight="1">
      <c r="A347" s="185"/>
      <c r="B347" s="360"/>
      <c r="C347" s="361"/>
      <c r="D347" s="185"/>
      <c r="E347" s="185"/>
      <c r="F347" s="362"/>
      <c r="G347" s="360"/>
      <c r="H347" s="185"/>
      <c r="I347" s="362"/>
      <c r="J347" s="185"/>
      <c r="K347" s="363"/>
      <c r="L347" s="363"/>
      <c r="M347" s="363"/>
      <c r="N347" s="363"/>
      <c r="O347" s="363"/>
      <c r="P347" s="363"/>
      <c r="Q347" s="362"/>
      <c r="R347" s="185"/>
      <c r="S347" s="185"/>
      <c r="T347" s="364"/>
      <c r="U347" s="185"/>
      <c r="V347" s="185"/>
      <c r="W347" s="185"/>
      <c r="X347" s="185"/>
      <c r="Y347" s="185"/>
      <c r="Z347" s="185"/>
      <c r="AA347" s="185"/>
    </row>
    <row r="348" spans="1:27" ht="15.75" customHeight="1">
      <c r="A348" s="185"/>
      <c r="B348" s="360"/>
      <c r="C348" s="361"/>
      <c r="D348" s="185"/>
      <c r="E348" s="185"/>
      <c r="F348" s="362"/>
      <c r="G348" s="360"/>
      <c r="H348" s="185"/>
      <c r="I348" s="362"/>
      <c r="J348" s="185"/>
      <c r="K348" s="363"/>
      <c r="L348" s="363"/>
      <c r="M348" s="363"/>
      <c r="N348" s="363"/>
      <c r="O348" s="363"/>
      <c r="P348" s="363"/>
      <c r="Q348" s="362"/>
      <c r="R348" s="185"/>
      <c r="S348" s="185"/>
      <c r="T348" s="364"/>
      <c r="U348" s="185"/>
      <c r="V348" s="185"/>
      <c r="W348" s="185"/>
      <c r="X348" s="185"/>
      <c r="Y348" s="185"/>
      <c r="Z348" s="185"/>
      <c r="AA348" s="185"/>
    </row>
    <row r="349" spans="1:27" ht="15.75" customHeight="1">
      <c r="A349" s="185"/>
      <c r="B349" s="360"/>
      <c r="C349" s="361"/>
      <c r="D349" s="185"/>
      <c r="E349" s="185"/>
      <c r="F349" s="362"/>
      <c r="G349" s="360"/>
      <c r="H349" s="185"/>
      <c r="I349" s="362"/>
      <c r="J349" s="185"/>
      <c r="K349" s="363"/>
      <c r="L349" s="363"/>
      <c r="M349" s="363"/>
      <c r="N349" s="363"/>
      <c r="O349" s="363"/>
      <c r="P349" s="363"/>
      <c r="Q349" s="362"/>
      <c r="R349" s="185"/>
      <c r="S349" s="185"/>
      <c r="T349" s="364"/>
      <c r="U349" s="185"/>
      <c r="V349" s="185"/>
      <c r="W349" s="185"/>
      <c r="X349" s="185"/>
      <c r="Y349" s="185"/>
      <c r="Z349" s="185"/>
      <c r="AA349" s="185"/>
    </row>
    <row r="350" spans="1:27" ht="15.75" customHeight="1">
      <c r="A350" s="185"/>
      <c r="B350" s="360"/>
      <c r="C350" s="361"/>
      <c r="D350" s="185"/>
      <c r="E350" s="185"/>
      <c r="F350" s="362"/>
      <c r="G350" s="360"/>
      <c r="H350" s="185"/>
      <c r="I350" s="362"/>
      <c r="J350" s="185"/>
      <c r="K350" s="363"/>
      <c r="L350" s="363"/>
      <c r="M350" s="363"/>
      <c r="N350" s="363"/>
      <c r="O350" s="363"/>
      <c r="P350" s="363"/>
      <c r="Q350" s="362"/>
      <c r="R350" s="185"/>
      <c r="S350" s="185"/>
      <c r="T350" s="364"/>
      <c r="U350" s="185"/>
      <c r="V350" s="185"/>
      <c r="W350" s="185"/>
      <c r="X350" s="185"/>
      <c r="Y350" s="185"/>
      <c r="Z350" s="185"/>
      <c r="AA350" s="185"/>
    </row>
    <row r="351" spans="1:27" ht="15.75" customHeight="1">
      <c r="A351" s="185"/>
      <c r="B351" s="360"/>
      <c r="C351" s="361"/>
      <c r="D351" s="185"/>
      <c r="E351" s="185"/>
      <c r="F351" s="362"/>
      <c r="G351" s="360"/>
      <c r="H351" s="185"/>
      <c r="I351" s="362"/>
      <c r="J351" s="185"/>
      <c r="K351" s="363"/>
      <c r="L351" s="363"/>
      <c r="M351" s="363"/>
      <c r="N351" s="363"/>
      <c r="O351" s="363"/>
      <c r="P351" s="363"/>
      <c r="Q351" s="362"/>
      <c r="R351" s="185"/>
      <c r="S351" s="185"/>
      <c r="T351" s="364"/>
      <c r="U351" s="185"/>
      <c r="V351" s="185"/>
      <c r="W351" s="185"/>
      <c r="X351" s="185"/>
      <c r="Y351" s="185"/>
      <c r="Z351" s="185"/>
      <c r="AA351" s="185"/>
    </row>
    <row r="352" spans="1:27" ht="15.75" customHeight="1">
      <c r="A352" s="185"/>
      <c r="B352" s="360"/>
      <c r="C352" s="361"/>
      <c r="D352" s="185"/>
      <c r="E352" s="185"/>
      <c r="F352" s="362"/>
      <c r="G352" s="360"/>
      <c r="H352" s="185"/>
      <c r="I352" s="362"/>
      <c r="J352" s="185"/>
      <c r="K352" s="363"/>
      <c r="L352" s="363"/>
      <c r="M352" s="363"/>
      <c r="N352" s="363"/>
      <c r="O352" s="363"/>
      <c r="P352" s="363"/>
      <c r="Q352" s="362"/>
      <c r="R352" s="185"/>
      <c r="S352" s="185"/>
      <c r="T352" s="364"/>
      <c r="U352" s="185"/>
      <c r="V352" s="185"/>
      <c r="W352" s="185"/>
      <c r="X352" s="185"/>
      <c r="Y352" s="185"/>
      <c r="Z352" s="185"/>
      <c r="AA352" s="185"/>
    </row>
    <row r="353" spans="1:27" ht="15.75" customHeight="1">
      <c r="A353" s="185"/>
      <c r="B353" s="360"/>
      <c r="C353" s="361"/>
      <c r="D353" s="185"/>
      <c r="E353" s="185"/>
      <c r="F353" s="362"/>
      <c r="G353" s="360"/>
      <c r="H353" s="185"/>
      <c r="I353" s="362"/>
      <c r="J353" s="185"/>
      <c r="K353" s="363"/>
      <c r="L353" s="363"/>
      <c r="M353" s="363"/>
      <c r="N353" s="363"/>
      <c r="O353" s="363"/>
      <c r="P353" s="363"/>
      <c r="Q353" s="362"/>
      <c r="R353" s="185"/>
      <c r="S353" s="185"/>
      <c r="T353" s="364"/>
      <c r="U353" s="185"/>
      <c r="V353" s="185"/>
      <c r="W353" s="185"/>
      <c r="X353" s="185"/>
      <c r="Y353" s="185"/>
      <c r="Z353" s="185"/>
      <c r="AA353" s="185"/>
    </row>
    <row r="354" spans="1:27" ht="15.75" customHeight="1">
      <c r="A354" s="185"/>
      <c r="B354" s="360"/>
      <c r="C354" s="361"/>
      <c r="D354" s="185"/>
      <c r="E354" s="185"/>
      <c r="F354" s="362"/>
      <c r="G354" s="360"/>
      <c r="H354" s="185"/>
      <c r="I354" s="362"/>
      <c r="J354" s="185"/>
      <c r="K354" s="363"/>
      <c r="L354" s="363"/>
      <c r="M354" s="363"/>
      <c r="N354" s="363"/>
      <c r="O354" s="363"/>
      <c r="P354" s="363"/>
      <c r="Q354" s="362"/>
      <c r="R354" s="185"/>
      <c r="S354" s="185"/>
      <c r="T354" s="364"/>
      <c r="U354" s="185"/>
      <c r="V354" s="185"/>
      <c r="W354" s="185"/>
      <c r="X354" s="185"/>
      <c r="Y354" s="185"/>
      <c r="Z354" s="185"/>
      <c r="AA354" s="185"/>
    </row>
    <row r="355" spans="1:27" ht="15.75" customHeight="1">
      <c r="A355" s="185"/>
      <c r="B355" s="360"/>
      <c r="C355" s="361"/>
      <c r="D355" s="185"/>
      <c r="E355" s="185"/>
      <c r="F355" s="362"/>
      <c r="G355" s="360"/>
      <c r="H355" s="185"/>
      <c r="I355" s="362"/>
      <c r="J355" s="185"/>
      <c r="K355" s="363"/>
      <c r="L355" s="363"/>
      <c r="M355" s="363"/>
      <c r="N355" s="363"/>
      <c r="O355" s="363"/>
      <c r="P355" s="363"/>
      <c r="Q355" s="362"/>
      <c r="R355" s="185"/>
      <c r="S355" s="185"/>
      <c r="T355" s="364"/>
      <c r="U355" s="185"/>
      <c r="V355" s="185"/>
      <c r="W355" s="185"/>
      <c r="X355" s="185"/>
      <c r="Y355" s="185"/>
      <c r="Z355" s="185"/>
      <c r="AA355" s="185"/>
    </row>
    <row r="356" spans="1:27" ht="15.75" customHeight="1">
      <c r="A356" s="185"/>
      <c r="B356" s="360"/>
      <c r="C356" s="361"/>
      <c r="D356" s="185"/>
      <c r="E356" s="185"/>
      <c r="F356" s="362"/>
      <c r="G356" s="360"/>
      <c r="H356" s="185"/>
      <c r="I356" s="362"/>
      <c r="J356" s="185"/>
      <c r="K356" s="363"/>
      <c r="L356" s="363"/>
      <c r="M356" s="363"/>
      <c r="N356" s="363"/>
      <c r="O356" s="363"/>
      <c r="P356" s="363"/>
      <c r="Q356" s="362"/>
      <c r="R356" s="185"/>
      <c r="S356" s="185"/>
      <c r="T356" s="364"/>
      <c r="U356" s="185"/>
      <c r="V356" s="185"/>
      <c r="W356" s="185"/>
      <c r="X356" s="185"/>
      <c r="Y356" s="185"/>
      <c r="Z356" s="185"/>
      <c r="AA356" s="185"/>
    </row>
    <row r="357" spans="1:27" ht="15.75" customHeight="1">
      <c r="A357" s="185"/>
      <c r="B357" s="360"/>
      <c r="C357" s="361"/>
      <c r="D357" s="185"/>
      <c r="E357" s="185"/>
      <c r="F357" s="362"/>
      <c r="G357" s="360"/>
      <c r="H357" s="185"/>
      <c r="I357" s="362"/>
      <c r="J357" s="185"/>
      <c r="K357" s="363"/>
      <c r="L357" s="363"/>
      <c r="M357" s="363"/>
      <c r="N357" s="363"/>
      <c r="O357" s="363"/>
      <c r="P357" s="363"/>
      <c r="Q357" s="362"/>
      <c r="R357" s="185"/>
      <c r="S357" s="185"/>
      <c r="T357" s="364"/>
      <c r="U357" s="185"/>
      <c r="V357" s="185"/>
      <c r="W357" s="185"/>
      <c r="X357" s="185"/>
      <c r="Y357" s="185"/>
      <c r="Z357" s="185"/>
      <c r="AA357" s="185"/>
    </row>
    <row r="358" spans="1:27" ht="15.75" customHeight="1">
      <c r="A358" s="185"/>
      <c r="B358" s="360"/>
      <c r="C358" s="361"/>
      <c r="D358" s="185"/>
      <c r="E358" s="185"/>
      <c r="F358" s="362"/>
      <c r="G358" s="360"/>
      <c r="H358" s="185"/>
      <c r="I358" s="362"/>
      <c r="J358" s="185"/>
      <c r="K358" s="363"/>
      <c r="L358" s="363"/>
      <c r="M358" s="363"/>
      <c r="N358" s="363"/>
      <c r="O358" s="363"/>
      <c r="P358" s="363"/>
      <c r="Q358" s="362"/>
      <c r="R358" s="185"/>
      <c r="S358" s="185"/>
      <c r="T358" s="364"/>
      <c r="U358" s="185"/>
      <c r="V358" s="185"/>
      <c r="W358" s="185"/>
      <c r="X358" s="185"/>
      <c r="Y358" s="185"/>
      <c r="Z358" s="185"/>
      <c r="AA358" s="185"/>
    </row>
    <row r="359" spans="1:27" ht="15.75" customHeight="1">
      <c r="A359" s="185"/>
      <c r="B359" s="360"/>
      <c r="C359" s="361"/>
      <c r="D359" s="185"/>
      <c r="E359" s="185"/>
      <c r="F359" s="362"/>
      <c r="G359" s="360"/>
      <c r="H359" s="185"/>
      <c r="I359" s="362"/>
      <c r="J359" s="185"/>
      <c r="K359" s="363"/>
      <c r="L359" s="363"/>
      <c r="M359" s="363"/>
      <c r="N359" s="363"/>
      <c r="O359" s="363"/>
      <c r="P359" s="363"/>
      <c r="Q359" s="362"/>
      <c r="R359" s="185"/>
      <c r="S359" s="185"/>
      <c r="T359" s="364"/>
      <c r="U359" s="185"/>
      <c r="V359" s="185"/>
      <c r="W359" s="185"/>
      <c r="X359" s="185"/>
      <c r="Y359" s="185"/>
      <c r="Z359" s="185"/>
      <c r="AA359" s="185"/>
    </row>
    <row r="360" spans="1:27" ht="15.75" customHeight="1">
      <c r="A360" s="185"/>
      <c r="B360" s="360"/>
      <c r="C360" s="361"/>
      <c r="D360" s="185"/>
      <c r="E360" s="185"/>
      <c r="F360" s="362"/>
      <c r="G360" s="360"/>
      <c r="H360" s="185"/>
      <c r="I360" s="362"/>
      <c r="J360" s="185"/>
      <c r="K360" s="363"/>
      <c r="L360" s="363"/>
      <c r="M360" s="363"/>
      <c r="N360" s="363"/>
      <c r="O360" s="363"/>
      <c r="P360" s="363"/>
      <c r="Q360" s="362"/>
      <c r="R360" s="185"/>
      <c r="S360" s="185"/>
      <c r="T360" s="364"/>
      <c r="U360" s="185"/>
      <c r="V360" s="185"/>
      <c r="W360" s="185"/>
      <c r="X360" s="185"/>
      <c r="Y360" s="185"/>
      <c r="Z360" s="185"/>
      <c r="AA360" s="185"/>
    </row>
    <row r="361" spans="1:27" ht="15.75" customHeight="1">
      <c r="A361" s="185"/>
      <c r="B361" s="360"/>
      <c r="C361" s="361"/>
      <c r="D361" s="185"/>
      <c r="E361" s="185"/>
      <c r="F361" s="362"/>
      <c r="G361" s="360"/>
      <c r="H361" s="185"/>
      <c r="I361" s="362"/>
      <c r="J361" s="185"/>
      <c r="K361" s="363"/>
      <c r="L361" s="363"/>
      <c r="M361" s="363"/>
      <c r="N361" s="363"/>
      <c r="O361" s="363"/>
      <c r="P361" s="363"/>
      <c r="Q361" s="362"/>
      <c r="R361" s="185"/>
      <c r="S361" s="185"/>
      <c r="T361" s="364"/>
      <c r="U361" s="185"/>
      <c r="V361" s="185"/>
      <c r="W361" s="185"/>
      <c r="X361" s="185"/>
      <c r="Y361" s="185"/>
      <c r="Z361" s="185"/>
      <c r="AA361" s="185"/>
    </row>
    <row r="362" spans="1:27" ht="15.75" customHeight="1">
      <c r="A362" s="185"/>
      <c r="B362" s="360"/>
      <c r="C362" s="361"/>
      <c r="D362" s="185"/>
      <c r="E362" s="185"/>
      <c r="F362" s="362"/>
      <c r="G362" s="360"/>
      <c r="H362" s="185"/>
      <c r="I362" s="362"/>
      <c r="J362" s="185"/>
      <c r="K362" s="363"/>
      <c r="L362" s="363"/>
      <c r="M362" s="363"/>
      <c r="N362" s="363"/>
      <c r="O362" s="363"/>
      <c r="P362" s="363"/>
      <c r="Q362" s="362"/>
      <c r="R362" s="185"/>
      <c r="S362" s="185"/>
      <c r="T362" s="364"/>
      <c r="U362" s="185"/>
      <c r="V362" s="185"/>
      <c r="W362" s="185"/>
      <c r="X362" s="185"/>
      <c r="Y362" s="185"/>
      <c r="Z362" s="185"/>
      <c r="AA362" s="185"/>
    </row>
    <row r="363" spans="1:27" ht="15.75" customHeight="1">
      <c r="A363" s="185"/>
      <c r="B363" s="360"/>
      <c r="C363" s="361"/>
      <c r="D363" s="185"/>
      <c r="E363" s="185"/>
      <c r="F363" s="362"/>
      <c r="G363" s="360"/>
      <c r="H363" s="185"/>
      <c r="I363" s="362"/>
      <c r="J363" s="185"/>
      <c r="K363" s="363"/>
      <c r="L363" s="363"/>
      <c r="M363" s="363"/>
      <c r="N363" s="363"/>
      <c r="O363" s="363"/>
      <c r="P363" s="363"/>
      <c r="Q363" s="362"/>
      <c r="R363" s="185"/>
      <c r="S363" s="185"/>
      <c r="T363" s="364"/>
      <c r="U363" s="185"/>
      <c r="V363" s="185"/>
      <c r="W363" s="185"/>
      <c r="X363" s="185"/>
      <c r="Y363" s="185"/>
      <c r="Z363" s="185"/>
      <c r="AA363" s="185"/>
    </row>
    <row r="364" spans="1:27" ht="15.75" customHeight="1">
      <c r="A364" s="185"/>
      <c r="B364" s="360"/>
      <c r="C364" s="361"/>
      <c r="D364" s="185"/>
      <c r="E364" s="185"/>
      <c r="F364" s="362"/>
      <c r="G364" s="360"/>
      <c r="H364" s="185"/>
      <c r="I364" s="362"/>
      <c r="J364" s="185"/>
      <c r="K364" s="363"/>
      <c r="L364" s="363"/>
      <c r="M364" s="363"/>
      <c r="N364" s="363"/>
      <c r="O364" s="363"/>
      <c r="P364" s="363"/>
      <c r="Q364" s="362"/>
      <c r="R364" s="185"/>
      <c r="S364" s="185"/>
      <c r="T364" s="364"/>
      <c r="U364" s="185"/>
      <c r="V364" s="185"/>
      <c r="W364" s="185"/>
      <c r="X364" s="185"/>
      <c r="Y364" s="185"/>
      <c r="Z364" s="185"/>
      <c r="AA364" s="185"/>
    </row>
    <row r="365" spans="1:27" ht="15.75" customHeight="1">
      <c r="A365" s="185"/>
      <c r="B365" s="360"/>
      <c r="C365" s="361"/>
      <c r="D365" s="185"/>
      <c r="E365" s="185"/>
      <c r="F365" s="362"/>
      <c r="G365" s="360"/>
      <c r="H365" s="185"/>
      <c r="I365" s="362"/>
      <c r="J365" s="185"/>
      <c r="K365" s="363"/>
      <c r="L365" s="363"/>
      <c r="M365" s="363"/>
      <c r="N365" s="363"/>
      <c r="O365" s="363"/>
      <c r="P365" s="363"/>
      <c r="Q365" s="362"/>
      <c r="R365" s="185"/>
      <c r="S365" s="185"/>
      <c r="T365" s="364"/>
      <c r="U365" s="185"/>
      <c r="V365" s="185"/>
      <c r="W365" s="185"/>
      <c r="X365" s="185"/>
      <c r="Y365" s="185"/>
      <c r="Z365" s="185"/>
      <c r="AA365" s="185"/>
    </row>
    <row r="366" spans="1:27" ht="15.75" customHeight="1">
      <c r="A366" s="185"/>
      <c r="B366" s="360"/>
      <c r="C366" s="361"/>
      <c r="D366" s="185"/>
      <c r="E366" s="185"/>
      <c r="F366" s="362"/>
      <c r="G366" s="360"/>
      <c r="H366" s="185"/>
      <c r="I366" s="362"/>
      <c r="J366" s="185"/>
      <c r="K366" s="363"/>
      <c r="L366" s="363"/>
      <c r="M366" s="363"/>
      <c r="N366" s="363"/>
      <c r="O366" s="363"/>
      <c r="P366" s="363"/>
      <c r="Q366" s="362"/>
      <c r="R366" s="185"/>
      <c r="S366" s="185"/>
      <c r="T366" s="364"/>
      <c r="U366" s="185"/>
      <c r="V366" s="185"/>
      <c r="W366" s="185"/>
      <c r="X366" s="185"/>
      <c r="Y366" s="185"/>
      <c r="Z366" s="185"/>
      <c r="AA366" s="185"/>
    </row>
    <row r="367" spans="1:27" ht="15.75" customHeight="1">
      <c r="A367" s="185"/>
      <c r="B367" s="360"/>
      <c r="C367" s="361"/>
      <c r="D367" s="185"/>
      <c r="E367" s="185"/>
      <c r="F367" s="362"/>
      <c r="G367" s="360"/>
      <c r="H367" s="185"/>
      <c r="I367" s="362"/>
      <c r="J367" s="185"/>
      <c r="K367" s="363"/>
      <c r="L367" s="363"/>
      <c r="M367" s="363"/>
      <c r="N367" s="363"/>
      <c r="O367" s="363"/>
      <c r="P367" s="363"/>
      <c r="Q367" s="362"/>
      <c r="R367" s="185"/>
      <c r="S367" s="185"/>
      <c r="T367" s="364"/>
      <c r="U367" s="185"/>
      <c r="V367" s="185"/>
      <c r="W367" s="185"/>
      <c r="X367" s="185"/>
      <c r="Y367" s="185"/>
      <c r="Z367" s="185"/>
      <c r="AA367" s="185"/>
    </row>
    <row r="368" spans="1:27" ht="15.75" customHeight="1">
      <c r="A368" s="185"/>
      <c r="B368" s="360"/>
      <c r="C368" s="361"/>
      <c r="D368" s="185"/>
      <c r="E368" s="185"/>
      <c r="F368" s="362"/>
      <c r="G368" s="360"/>
      <c r="H368" s="185"/>
      <c r="I368" s="362"/>
      <c r="J368" s="185"/>
      <c r="K368" s="363"/>
      <c r="L368" s="363"/>
      <c r="M368" s="363"/>
      <c r="N368" s="363"/>
      <c r="O368" s="363"/>
      <c r="P368" s="363"/>
      <c r="Q368" s="362"/>
      <c r="R368" s="185"/>
      <c r="S368" s="185"/>
      <c r="T368" s="364"/>
      <c r="U368" s="185"/>
      <c r="V368" s="185"/>
      <c r="W368" s="185"/>
      <c r="X368" s="185"/>
      <c r="Y368" s="185"/>
      <c r="Z368" s="185"/>
      <c r="AA368" s="185"/>
    </row>
    <row r="369" spans="1:27" ht="15.75" customHeight="1">
      <c r="A369" s="185"/>
      <c r="B369" s="360"/>
      <c r="C369" s="361"/>
      <c r="D369" s="185"/>
      <c r="E369" s="185"/>
      <c r="F369" s="362"/>
      <c r="G369" s="360"/>
      <c r="H369" s="185"/>
      <c r="I369" s="362"/>
      <c r="J369" s="185"/>
      <c r="K369" s="363"/>
      <c r="L369" s="363"/>
      <c r="M369" s="363"/>
      <c r="N369" s="363"/>
      <c r="O369" s="363"/>
      <c r="P369" s="363"/>
      <c r="Q369" s="362"/>
      <c r="R369" s="185"/>
      <c r="S369" s="185"/>
      <c r="T369" s="364"/>
      <c r="U369" s="185"/>
      <c r="V369" s="185"/>
      <c r="W369" s="185"/>
      <c r="X369" s="185"/>
      <c r="Y369" s="185"/>
      <c r="Z369" s="185"/>
      <c r="AA369" s="185"/>
    </row>
    <row r="370" spans="1:27" ht="15.75" customHeight="1">
      <c r="A370" s="185"/>
      <c r="B370" s="360"/>
      <c r="C370" s="361"/>
      <c r="D370" s="185"/>
      <c r="E370" s="185"/>
      <c r="F370" s="362"/>
      <c r="G370" s="360"/>
      <c r="H370" s="185"/>
      <c r="I370" s="362"/>
      <c r="J370" s="185"/>
      <c r="K370" s="363"/>
      <c r="L370" s="363"/>
      <c r="M370" s="363"/>
      <c r="N370" s="363"/>
      <c r="O370" s="363"/>
      <c r="P370" s="363"/>
      <c r="Q370" s="362"/>
      <c r="R370" s="185"/>
      <c r="S370" s="185"/>
      <c r="T370" s="364"/>
      <c r="U370" s="185"/>
      <c r="V370" s="185"/>
      <c r="W370" s="185"/>
      <c r="X370" s="185"/>
      <c r="Y370" s="185"/>
      <c r="Z370" s="185"/>
      <c r="AA370" s="185"/>
    </row>
    <row r="371" spans="1:27" ht="15.75" customHeight="1">
      <c r="A371" s="185"/>
      <c r="B371" s="360"/>
      <c r="C371" s="361"/>
      <c r="D371" s="185"/>
      <c r="E371" s="185"/>
      <c r="F371" s="362"/>
      <c r="G371" s="360"/>
      <c r="H371" s="185"/>
      <c r="I371" s="362"/>
      <c r="J371" s="185"/>
      <c r="K371" s="363"/>
      <c r="L371" s="363"/>
      <c r="M371" s="363"/>
      <c r="N371" s="363"/>
      <c r="O371" s="363"/>
      <c r="P371" s="363"/>
      <c r="Q371" s="362"/>
      <c r="R371" s="185"/>
      <c r="S371" s="185"/>
      <c r="T371" s="364"/>
      <c r="U371" s="185"/>
      <c r="V371" s="185"/>
      <c r="W371" s="185"/>
      <c r="X371" s="185"/>
      <c r="Y371" s="185"/>
      <c r="Z371" s="185"/>
      <c r="AA371" s="185"/>
    </row>
    <row r="372" spans="1:27" ht="15.75" customHeight="1">
      <c r="A372" s="185"/>
      <c r="B372" s="360"/>
      <c r="C372" s="361"/>
      <c r="D372" s="185"/>
      <c r="E372" s="185"/>
      <c r="F372" s="362"/>
      <c r="G372" s="360"/>
      <c r="H372" s="185"/>
      <c r="I372" s="362"/>
      <c r="J372" s="185"/>
      <c r="K372" s="363"/>
      <c r="L372" s="363"/>
      <c r="M372" s="363"/>
      <c r="N372" s="363"/>
      <c r="O372" s="363"/>
      <c r="P372" s="363"/>
      <c r="Q372" s="362"/>
      <c r="R372" s="185"/>
      <c r="S372" s="185"/>
      <c r="T372" s="364"/>
      <c r="U372" s="185"/>
      <c r="V372" s="185"/>
      <c r="W372" s="185"/>
      <c r="X372" s="185"/>
      <c r="Y372" s="185"/>
      <c r="Z372" s="185"/>
      <c r="AA372" s="185"/>
    </row>
    <row r="373" spans="1:27" ht="15.75" customHeight="1">
      <c r="A373" s="185"/>
      <c r="B373" s="360"/>
      <c r="C373" s="361"/>
      <c r="D373" s="185"/>
      <c r="E373" s="185"/>
      <c r="F373" s="362"/>
      <c r="G373" s="360"/>
      <c r="H373" s="185"/>
      <c r="I373" s="362"/>
      <c r="J373" s="185"/>
      <c r="K373" s="363"/>
      <c r="L373" s="363"/>
      <c r="M373" s="363"/>
      <c r="N373" s="363"/>
      <c r="O373" s="363"/>
      <c r="P373" s="363"/>
      <c r="Q373" s="362"/>
      <c r="R373" s="185"/>
      <c r="S373" s="185"/>
      <c r="T373" s="364"/>
      <c r="U373" s="185"/>
      <c r="V373" s="185"/>
      <c r="W373" s="185"/>
      <c r="X373" s="185"/>
      <c r="Y373" s="185"/>
      <c r="Z373" s="185"/>
      <c r="AA373" s="185"/>
    </row>
    <row r="374" spans="1:27" ht="15.75" customHeight="1">
      <c r="A374" s="185"/>
      <c r="B374" s="360"/>
      <c r="C374" s="361"/>
      <c r="D374" s="185"/>
      <c r="E374" s="185"/>
      <c r="F374" s="362"/>
      <c r="G374" s="360"/>
      <c r="H374" s="185"/>
      <c r="I374" s="362"/>
      <c r="J374" s="185"/>
      <c r="K374" s="363"/>
      <c r="L374" s="363"/>
      <c r="M374" s="363"/>
      <c r="N374" s="363"/>
      <c r="O374" s="363"/>
      <c r="P374" s="363"/>
      <c r="Q374" s="362"/>
      <c r="R374" s="185"/>
      <c r="S374" s="185"/>
      <c r="T374" s="364"/>
      <c r="U374" s="185"/>
      <c r="V374" s="185"/>
      <c r="W374" s="185"/>
      <c r="X374" s="185"/>
      <c r="Y374" s="185"/>
      <c r="Z374" s="185"/>
      <c r="AA374" s="185"/>
    </row>
    <row r="375" spans="1:27" ht="15.75" customHeight="1">
      <c r="A375" s="185"/>
      <c r="B375" s="360"/>
      <c r="C375" s="361"/>
      <c r="D375" s="185"/>
      <c r="E375" s="185"/>
      <c r="F375" s="362"/>
      <c r="G375" s="360"/>
      <c r="H375" s="185"/>
      <c r="I375" s="362"/>
      <c r="J375" s="185"/>
      <c r="K375" s="363"/>
      <c r="L375" s="363"/>
      <c r="M375" s="363"/>
      <c r="N375" s="363"/>
      <c r="O375" s="363"/>
      <c r="P375" s="363"/>
      <c r="Q375" s="362"/>
      <c r="R375" s="185"/>
      <c r="S375" s="185"/>
      <c r="T375" s="364"/>
      <c r="U375" s="185"/>
      <c r="V375" s="185"/>
      <c r="W375" s="185"/>
      <c r="X375" s="185"/>
      <c r="Y375" s="185"/>
      <c r="Z375" s="185"/>
      <c r="AA375" s="185"/>
    </row>
    <row r="376" spans="1:27" ht="15.75" customHeight="1">
      <c r="A376" s="185"/>
      <c r="B376" s="360"/>
      <c r="C376" s="361"/>
      <c r="D376" s="185"/>
      <c r="E376" s="185"/>
      <c r="F376" s="362"/>
      <c r="G376" s="360"/>
      <c r="H376" s="185"/>
      <c r="I376" s="362"/>
      <c r="J376" s="185"/>
      <c r="K376" s="363"/>
      <c r="L376" s="363"/>
      <c r="M376" s="363"/>
      <c r="N376" s="363"/>
      <c r="O376" s="363"/>
      <c r="P376" s="363"/>
      <c r="Q376" s="362"/>
      <c r="R376" s="185"/>
      <c r="S376" s="185"/>
      <c r="T376" s="364"/>
      <c r="U376" s="185"/>
      <c r="V376" s="185"/>
      <c r="W376" s="185"/>
      <c r="X376" s="185"/>
      <c r="Y376" s="185"/>
      <c r="Z376" s="185"/>
      <c r="AA376" s="185"/>
    </row>
    <row r="377" spans="1:27" ht="15.75" customHeight="1">
      <c r="A377" s="185"/>
      <c r="B377" s="360"/>
      <c r="C377" s="361"/>
      <c r="D377" s="185"/>
      <c r="E377" s="185"/>
      <c r="F377" s="362"/>
      <c r="G377" s="360"/>
      <c r="H377" s="185"/>
      <c r="I377" s="362"/>
      <c r="J377" s="185"/>
      <c r="K377" s="363"/>
      <c r="L377" s="363"/>
      <c r="M377" s="363"/>
      <c r="N377" s="363"/>
      <c r="O377" s="363"/>
      <c r="P377" s="363"/>
      <c r="Q377" s="362"/>
      <c r="R377" s="185"/>
      <c r="S377" s="185"/>
      <c r="T377" s="364"/>
      <c r="U377" s="185"/>
      <c r="V377" s="185"/>
      <c r="W377" s="185"/>
      <c r="X377" s="185"/>
      <c r="Y377" s="185"/>
      <c r="Z377" s="185"/>
      <c r="AA377" s="185"/>
    </row>
    <row r="378" spans="1:27" ht="15.75" customHeight="1">
      <c r="A378" s="185"/>
      <c r="B378" s="360"/>
      <c r="C378" s="361"/>
      <c r="D378" s="185"/>
      <c r="E378" s="185"/>
      <c r="F378" s="362"/>
      <c r="G378" s="360"/>
      <c r="H378" s="185"/>
      <c r="I378" s="362"/>
      <c r="J378" s="185"/>
      <c r="K378" s="363"/>
      <c r="L378" s="363"/>
      <c r="M378" s="363"/>
      <c r="N378" s="363"/>
      <c r="O378" s="363"/>
      <c r="P378" s="363"/>
      <c r="Q378" s="362"/>
      <c r="R378" s="185"/>
      <c r="S378" s="185"/>
      <c r="T378" s="364"/>
      <c r="U378" s="185"/>
      <c r="V378" s="185"/>
      <c r="W378" s="185"/>
      <c r="X378" s="185"/>
      <c r="Y378" s="185"/>
      <c r="Z378" s="185"/>
      <c r="AA378" s="185"/>
    </row>
    <row r="379" spans="1:27" ht="15.75" customHeight="1">
      <c r="A379" s="185"/>
      <c r="B379" s="360"/>
      <c r="C379" s="361"/>
      <c r="D379" s="185"/>
      <c r="E379" s="185"/>
      <c r="F379" s="362"/>
      <c r="G379" s="360"/>
      <c r="H379" s="185"/>
      <c r="I379" s="362"/>
      <c r="J379" s="185"/>
      <c r="K379" s="363"/>
      <c r="L379" s="363"/>
      <c r="M379" s="363"/>
      <c r="N379" s="363"/>
      <c r="O379" s="363"/>
      <c r="P379" s="363"/>
      <c r="Q379" s="362"/>
      <c r="R379" s="185"/>
      <c r="S379" s="185"/>
      <c r="T379" s="364"/>
      <c r="U379" s="185"/>
      <c r="V379" s="185"/>
      <c r="W379" s="185"/>
      <c r="X379" s="185"/>
      <c r="Y379" s="185"/>
      <c r="Z379" s="185"/>
      <c r="AA379" s="185"/>
    </row>
    <row r="380" spans="1:27" ht="15.75" customHeight="1">
      <c r="A380" s="185"/>
      <c r="B380" s="360"/>
      <c r="C380" s="361"/>
      <c r="D380" s="185"/>
      <c r="E380" s="185"/>
      <c r="F380" s="362"/>
      <c r="G380" s="360"/>
      <c r="H380" s="185"/>
      <c r="I380" s="362"/>
      <c r="J380" s="185"/>
      <c r="K380" s="363"/>
      <c r="L380" s="363"/>
      <c r="M380" s="363"/>
      <c r="N380" s="363"/>
      <c r="O380" s="363"/>
      <c r="P380" s="363"/>
      <c r="Q380" s="362"/>
      <c r="R380" s="185"/>
      <c r="S380" s="185"/>
      <c r="T380" s="364"/>
      <c r="U380" s="185"/>
      <c r="V380" s="185"/>
      <c r="W380" s="185"/>
      <c r="X380" s="185"/>
      <c r="Y380" s="185"/>
      <c r="Z380" s="185"/>
      <c r="AA380" s="185"/>
    </row>
    <row r="381" spans="1:27" ht="15.75" customHeight="1">
      <c r="A381" s="185"/>
      <c r="B381" s="360"/>
      <c r="C381" s="361"/>
      <c r="D381" s="185"/>
      <c r="E381" s="185"/>
      <c r="F381" s="362"/>
      <c r="G381" s="360"/>
      <c r="H381" s="185"/>
      <c r="I381" s="362"/>
      <c r="J381" s="185"/>
      <c r="K381" s="363"/>
      <c r="L381" s="363"/>
      <c r="M381" s="363"/>
      <c r="N381" s="363"/>
      <c r="O381" s="363"/>
      <c r="P381" s="363"/>
      <c r="Q381" s="362"/>
      <c r="R381" s="185"/>
      <c r="S381" s="185"/>
      <c r="T381" s="364"/>
      <c r="U381" s="185"/>
      <c r="V381" s="185"/>
      <c r="W381" s="185"/>
      <c r="X381" s="185"/>
      <c r="Y381" s="185"/>
      <c r="Z381" s="185"/>
      <c r="AA381" s="185"/>
    </row>
    <row r="382" spans="1:27" ht="15.75" customHeight="1">
      <c r="A382" s="185"/>
      <c r="B382" s="360"/>
      <c r="C382" s="361"/>
      <c r="D382" s="185"/>
      <c r="E382" s="185"/>
      <c r="F382" s="362"/>
      <c r="G382" s="360"/>
      <c r="H382" s="185"/>
      <c r="I382" s="362"/>
      <c r="J382" s="185"/>
      <c r="K382" s="363"/>
      <c r="L382" s="363"/>
      <c r="M382" s="363"/>
      <c r="N382" s="363"/>
      <c r="O382" s="363"/>
      <c r="P382" s="363"/>
      <c r="Q382" s="362"/>
      <c r="R382" s="185"/>
      <c r="S382" s="185"/>
      <c r="T382" s="364"/>
      <c r="U382" s="185"/>
      <c r="V382" s="185"/>
      <c r="W382" s="185"/>
      <c r="X382" s="185"/>
      <c r="Y382" s="185"/>
      <c r="Z382" s="185"/>
      <c r="AA382" s="185"/>
    </row>
    <row r="383" spans="1:27" ht="15.75" customHeight="1">
      <c r="A383" s="185"/>
      <c r="B383" s="360"/>
      <c r="C383" s="361"/>
      <c r="D383" s="185"/>
      <c r="E383" s="185"/>
      <c r="F383" s="362"/>
      <c r="G383" s="360"/>
      <c r="H383" s="185"/>
      <c r="I383" s="362"/>
      <c r="J383" s="185"/>
      <c r="K383" s="363"/>
      <c r="L383" s="363"/>
      <c r="M383" s="363"/>
      <c r="N383" s="363"/>
      <c r="O383" s="363"/>
      <c r="P383" s="363"/>
      <c r="Q383" s="362"/>
      <c r="R383" s="185"/>
      <c r="S383" s="185"/>
      <c r="T383" s="364"/>
      <c r="U383" s="185"/>
      <c r="V383" s="185"/>
      <c r="W383" s="185"/>
      <c r="X383" s="185"/>
      <c r="Y383" s="185"/>
      <c r="Z383" s="185"/>
      <c r="AA383" s="185"/>
    </row>
    <row r="384" spans="1:27" ht="15.75" customHeight="1">
      <c r="A384" s="185"/>
      <c r="B384" s="360"/>
      <c r="C384" s="361"/>
      <c r="D384" s="185"/>
      <c r="E384" s="185"/>
      <c r="F384" s="362"/>
      <c r="G384" s="360"/>
      <c r="H384" s="185"/>
      <c r="I384" s="362"/>
      <c r="J384" s="185"/>
      <c r="K384" s="363"/>
      <c r="L384" s="363"/>
      <c r="M384" s="363"/>
      <c r="N384" s="363"/>
      <c r="O384" s="363"/>
      <c r="P384" s="363"/>
      <c r="Q384" s="362"/>
      <c r="R384" s="185"/>
      <c r="S384" s="185"/>
      <c r="T384" s="364"/>
      <c r="U384" s="185"/>
      <c r="V384" s="185"/>
      <c r="W384" s="185"/>
      <c r="X384" s="185"/>
      <c r="Y384" s="185"/>
      <c r="Z384" s="185"/>
      <c r="AA384" s="185"/>
    </row>
    <row r="385" spans="1:27" ht="15.75" customHeight="1">
      <c r="A385" s="185"/>
      <c r="B385" s="360"/>
      <c r="C385" s="361"/>
      <c r="D385" s="185"/>
      <c r="E385" s="185"/>
      <c r="F385" s="362"/>
      <c r="G385" s="360"/>
      <c r="H385" s="185"/>
      <c r="I385" s="362"/>
      <c r="J385" s="185"/>
      <c r="K385" s="363"/>
      <c r="L385" s="363"/>
      <c r="M385" s="363"/>
      <c r="N385" s="363"/>
      <c r="O385" s="363"/>
      <c r="P385" s="363"/>
      <c r="Q385" s="362"/>
      <c r="R385" s="185"/>
      <c r="S385" s="185"/>
      <c r="T385" s="364"/>
      <c r="U385" s="185"/>
      <c r="V385" s="185"/>
      <c r="W385" s="185"/>
      <c r="X385" s="185"/>
      <c r="Y385" s="185"/>
      <c r="Z385" s="185"/>
      <c r="AA385" s="185"/>
    </row>
    <row r="386" spans="1:27" ht="15.75" customHeight="1">
      <c r="A386" s="185"/>
      <c r="B386" s="360"/>
      <c r="C386" s="361"/>
      <c r="D386" s="185"/>
      <c r="E386" s="185"/>
      <c r="F386" s="362"/>
      <c r="G386" s="360"/>
      <c r="H386" s="185"/>
      <c r="I386" s="362"/>
      <c r="J386" s="185"/>
      <c r="K386" s="363"/>
      <c r="L386" s="363"/>
      <c r="M386" s="363"/>
      <c r="N386" s="363"/>
      <c r="O386" s="363"/>
      <c r="P386" s="363"/>
      <c r="Q386" s="362"/>
      <c r="R386" s="185"/>
      <c r="S386" s="185"/>
      <c r="T386" s="364"/>
      <c r="U386" s="185"/>
      <c r="V386" s="185"/>
      <c r="W386" s="185"/>
      <c r="X386" s="185"/>
      <c r="Y386" s="185"/>
      <c r="Z386" s="185"/>
      <c r="AA386" s="185"/>
    </row>
    <row r="387" spans="1:27" ht="15.75" customHeight="1">
      <c r="A387" s="185"/>
      <c r="B387" s="360"/>
      <c r="C387" s="361"/>
      <c r="D387" s="185"/>
      <c r="E387" s="185"/>
      <c r="F387" s="362"/>
      <c r="G387" s="360"/>
      <c r="H387" s="185"/>
      <c r="I387" s="362"/>
      <c r="J387" s="185"/>
      <c r="K387" s="363"/>
      <c r="L387" s="363"/>
      <c r="M387" s="363"/>
      <c r="N387" s="363"/>
      <c r="O387" s="363"/>
      <c r="P387" s="363"/>
      <c r="Q387" s="362"/>
      <c r="R387" s="185"/>
      <c r="S387" s="185"/>
      <c r="T387" s="364"/>
      <c r="U387" s="185"/>
      <c r="V387" s="185"/>
      <c r="W387" s="185"/>
      <c r="X387" s="185"/>
      <c r="Y387" s="185"/>
      <c r="Z387" s="185"/>
      <c r="AA387" s="185"/>
    </row>
    <row r="388" spans="1:27" ht="15.75" customHeight="1">
      <c r="A388" s="185"/>
      <c r="B388" s="360"/>
      <c r="C388" s="361"/>
      <c r="D388" s="185"/>
      <c r="E388" s="185"/>
      <c r="F388" s="362"/>
      <c r="G388" s="360"/>
      <c r="H388" s="185"/>
      <c r="I388" s="362"/>
      <c r="J388" s="185"/>
      <c r="K388" s="363"/>
      <c r="L388" s="363"/>
      <c r="M388" s="363"/>
      <c r="N388" s="363"/>
      <c r="O388" s="363"/>
      <c r="P388" s="363"/>
      <c r="Q388" s="362"/>
      <c r="R388" s="185"/>
      <c r="S388" s="185"/>
      <c r="T388" s="364"/>
      <c r="U388" s="185"/>
      <c r="V388" s="185"/>
      <c r="W388" s="185"/>
      <c r="X388" s="185"/>
      <c r="Y388" s="185"/>
      <c r="Z388" s="185"/>
      <c r="AA388" s="185"/>
    </row>
    <row r="389" spans="1:27" ht="15.75" customHeight="1">
      <c r="A389" s="185"/>
      <c r="B389" s="360"/>
      <c r="C389" s="361"/>
      <c r="D389" s="185"/>
      <c r="E389" s="185"/>
      <c r="F389" s="362"/>
      <c r="G389" s="360"/>
      <c r="H389" s="185"/>
      <c r="I389" s="362"/>
      <c r="J389" s="185"/>
      <c r="K389" s="363"/>
      <c r="L389" s="363"/>
      <c r="M389" s="363"/>
      <c r="N389" s="363"/>
      <c r="O389" s="363"/>
      <c r="P389" s="363"/>
      <c r="Q389" s="362"/>
      <c r="R389" s="185"/>
      <c r="S389" s="185"/>
      <c r="T389" s="364"/>
      <c r="U389" s="185"/>
      <c r="V389" s="185"/>
      <c r="W389" s="185"/>
      <c r="X389" s="185"/>
      <c r="Y389" s="185"/>
      <c r="Z389" s="185"/>
      <c r="AA389" s="185"/>
    </row>
    <row r="390" spans="1:27" ht="15.75" customHeight="1">
      <c r="A390" s="185"/>
      <c r="B390" s="360"/>
      <c r="C390" s="361"/>
      <c r="D390" s="185"/>
      <c r="E390" s="185"/>
      <c r="F390" s="362"/>
      <c r="G390" s="360"/>
      <c r="H390" s="185"/>
      <c r="I390" s="362"/>
      <c r="J390" s="185"/>
      <c r="K390" s="363"/>
      <c r="L390" s="363"/>
      <c r="M390" s="363"/>
      <c r="N390" s="363"/>
      <c r="O390" s="363"/>
      <c r="P390" s="363"/>
      <c r="Q390" s="362"/>
      <c r="R390" s="185"/>
      <c r="S390" s="185"/>
      <c r="T390" s="364"/>
      <c r="U390" s="185"/>
      <c r="V390" s="185"/>
      <c r="W390" s="185"/>
      <c r="X390" s="185"/>
      <c r="Y390" s="185"/>
      <c r="Z390" s="185"/>
      <c r="AA390" s="185"/>
    </row>
    <row r="391" spans="1:27" ht="15.75" customHeight="1">
      <c r="A391" s="185"/>
      <c r="B391" s="360"/>
      <c r="C391" s="361"/>
      <c r="D391" s="185"/>
      <c r="E391" s="185"/>
      <c r="F391" s="362"/>
      <c r="G391" s="360"/>
      <c r="H391" s="185"/>
      <c r="I391" s="362"/>
      <c r="J391" s="185"/>
      <c r="K391" s="363"/>
      <c r="L391" s="363"/>
      <c r="M391" s="363"/>
      <c r="N391" s="363"/>
      <c r="O391" s="363"/>
      <c r="P391" s="363"/>
      <c r="Q391" s="362"/>
      <c r="R391" s="185"/>
      <c r="S391" s="185"/>
      <c r="T391" s="364"/>
      <c r="U391" s="185"/>
      <c r="V391" s="185"/>
      <c r="W391" s="185"/>
      <c r="X391" s="185"/>
      <c r="Y391" s="185"/>
      <c r="Z391" s="185"/>
      <c r="AA391" s="185"/>
    </row>
    <row r="392" spans="1:27" ht="15.75" customHeight="1">
      <c r="A392" s="185"/>
      <c r="B392" s="360"/>
      <c r="C392" s="361"/>
      <c r="D392" s="185"/>
      <c r="E392" s="185"/>
      <c r="F392" s="362"/>
      <c r="G392" s="360"/>
      <c r="H392" s="185"/>
      <c r="I392" s="362"/>
      <c r="J392" s="185"/>
      <c r="K392" s="363"/>
      <c r="L392" s="363"/>
      <c r="M392" s="363"/>
      <c r="N392" s="363"/>
      <c r="O392" s="363"/>
      <c r="P392" s="363"/>
      <c r="Q392" s="362"/>
      <c r="R392" s="185"/>
      <c r="S392" s="185"/>
      <c r="T392" s="364"/>
      <c r="U392" s="185"/>
      <c r="V392" s="185"/>
      <c r="W392" s="185"/>
      <c r="X392" s="185"/>
      <c r="Y392" s="185"/>
      <c r="Z392" s="185"/>
      <c r="AA392" s="185"/>
    </row>
    <row r="393" spans="1:27" ht="15.75" customHeight="1">
      <c r="A393" s="185"/>
      <c r="B393" s="360"/>
      <c r="C393" s="361"/>
      <c r="D393" s="185"/>
      <c r="E393" s="185"/>
      <c r="F393" s="362"/>
      <c r="G393" s="360"/>
      <c r="H393" s="185"/>
      <c r="I393" s="362"/>
      <c r="J393" s="185"/>
      <c r="K393" s="363"/>
      <c r="L393" s="363"/>
      <c r="M393" s="363"/>
      <c r="N393" s="363"/>
      <c r="O393" s="363"/>
      <c r="P393" s="363"/>
      <c r="Q393" s="362"/>
      <c r="R393" s="185"/>
      <c r="S393" s="185"/>
      <c r="T393" s="364"/>
      <c r="U393" s="185"/>
      <c r="V393" s="185"/>
      <c r="W393" s="185"/>
      <c r="X393" s="185"/>
      <c r="Y393" s="185"/>
      <c r="Z393" s="185"/>
      <c r="AA393" s="185"/>
    </row>
    <row r="394" spans="1:27" ht="15.75" customHeight="1">
      <c r="A394" s="185"/>
      <c r="B394" s="360"/>
      <c r="C394" s="361"/>
      <c r="D394" s="185"/>
      <c r="E394" s="185"/>
      <c r="F394" s="362"/>
      <c r="G394" s="360"/>
      <c r="H394" s="185"/>
      <c r="I394" s="362"/>
      <c r="J394" s="185"/>
      <c r="K394" s="363"/>
      <c r="L394" s="363"/>
      <c r="M394" s="363"/>
      <c r="N394" s="363"/>
      <c r="O394" s="363"/>
      <c r="P394" s="363"/>
      <c r="Q394" s="362"/>
      <c r="R394" s="185"/>
      <c r="S394" s="185"/>
      <c r="T394" s="364"/>
      <c r="U394" s="185"/>
      <c r="V394" s="185"/>
      <c r="W394" s="185"/>
      <c r="X394" s="185"/>
      <c r="Y394" s="185"/>
      <c r="Z394" s="185"/>
      <c r="AA394" s="185"/>
    </row>
    <row r="395" spans="1:27" ht="15.75" customHeight="1">
      <c r="A395" s="185"/>
      <c r="B395" s="360"/>
      <c r="C395" s="361"/>
      <c r="D395" s="185"/>
      <c r="E395" s="185"/>
      <c r="F395" s="362"/>
      <c r="G395" s="360"/>
      <c r="H395" s="185"/>
      <c r="I395" s="362"/>
      <c r="J395" s="185"/>
      <c r="K395" s="363"/>
      <c r="L395" s="363"/>
      <c r="M395" s="363"/>
      <c r="N395" s="363"/>
      <c r="O395" s="363"/>
      <c r="P395" s="363"/>
      <c r="Q395" s="362"/>
      <c r="R395" s="185"/>
      <c r="S395" s="185"/>
      <c r="T395" s="364"/>
      <c r="U395" s="185"/>
      <c r="V395" s="185"/>
      <c r="W395" s="185"/>
      <c r="X395" s="185"/>
      <c r="Y395" s="185"/>
      <c r="Z395" s="185"/>
      <c r="AA395" s="185"/>
    </row>
    <row r="396" spans="1:27" ht="15.75" customHeight="1">
      <c r="A396" s="185"/>
      <c r="B396" s="360"/>
      <c r="C396" s="361"/>
      <c r="D396" s="185"/>
      <c r="E396" s="185"/>
      <c r="F396" s="362"/>
      <c r="G396" s="360"/>
      <c r="H396" s="185"/>
      <c r="I396" s="362"/>
      <c r="J396" s="185"/>
      <c r="K396" s="363"/>
      <c r="L396" s="363"/>
      <c r="M396" s="363"/>
      <c r="N396" s="363"/>
      <c r="O396" s="363"/>
      <c r="P396" s="363"/>
      <c r="Q396" s="362"/>
      <c r="R396" s="185"/>
      <c r="S396" s="185"/>
      <c r="T396" s="364"/>
      <c r="U396" s="185"/>
      <c r="V396" s="185"/>
      <c r="W396" s="185"/>
      <c r="X396" s="185"/>
      <c r="Y396" s="185"/>
      <c r="Z396" s="185"/>
      <c r="AA396" s="185"/>
    </row>
    <row r="397" spans="1:27" ht="15.75" customHeight="1">
      <c r="A397" s="185"/>
      <c r="B397" s="360"/>
      <c r="C397" s="361"/>
      <c r="D397" s="185"/>
      <c r="E397" s="185"/>
      <c r="F397" s="362"/>
      <c r="G397" s="360"/>
      <c r="H397" s="185"/>
      <c r="I397" s="362"/>
      <c r="J397" s="185"/>
      <c r="K397" s="363"/>
      <c r="L397" s="363"/>
      <c r="M397" s="363"/>
      <c r="N397" s="363"/>
      <c r="O397" s="363"/>
      <c r="P397" s="363"/>
      <c r="Q397" s="362"/>
      <c r="R397" s="185"/>
      <c r="S397" s="185"/>
      <c r="T397" s="364"/>
      <c r="U397" s="185"/>
      <c r="V397" s="185"/>
      <c r="W397" s="185"/>
      <c r="X397" s="185"/>
      <c r="Y397" s="185"/>
      <c r="Z397" s="185"/>
      <c r="AA397" s="185"/>
    </row>
    <row r="398" spans="1:27" ht="15.75" customHeight="1">
      <c r="A398" s="185"/>
      <c r="B398" s="360"/>
      <c r="C398" s="361"/>
      <c r="D398" s="185"/>
      <c r="E398" s="185"/>
      <c r="F398" s="362"/>
      <c r="G398" s="360"/>
      <c r="H398" s="185"/>
      <c r="I398" s="362"/>
      <c r="J398" s="185"/>
      <c r="K398" s="363"/>
      <c r="L398" s="363"/>
      <c r="M398" s="363"/>
      <c r="N398" s="363"/>
      <c r="O398" s="363"/>
      <c r="P398" s="363"/>
      <c r="Q398" s="362"/>
      <c r="R398" s="185"/>
      <c r="S398" s="185"/>
      <c r="T398" s="364"/>
      <c r="U398" s="185"/>
      <c r="V398" s="185"/>
      <c r="W398" s="185"/>
      <c r="X398" s="185"/>
      <c r="Y398" s="185"/>
      <c r="Z398" s="185"/>
      <c r="AA398" s="185"/>
    </row>
    <row r="399" spans="1:27" ht="15.75" customHeight="1">
      <c r="A399" s="185"/>
      <c r="B399" s="360"/>
      <c r="C399" s="361"/>
      <c r="D399" s="185"/>
      <c r="E399" s="185"/>
      <c r="F399" s="362"/>
      <c r="G399" s="360"/>
      <c r="H399" s="185"/>
      <c r="I399" s="362"/>
      <c r="J399" s="185"/>
      <c r="K399" s="363"/>
      <c r="L399" s="363"/>
      <c r="M399" s="363"/>
      <c r="N399" s="363"/>
      <c r="O399" s="363"/>
      <c r="P399" s="363"/>
      <c r="Q399" s="362"/>
      <c r="R399" s="185"/>
      <c r="S399" s="185"/>
      <c r="T399" s="364"/>
      <c r="U399" s="185"/>
      <c r="V399" s="185"/>
      <c r="W399" s="185"/>
      <c r="X399" s="185"/>
      <c r="Y399" s="185"/>
      <c r="Z399" s="185"/>
      <c r="AA399" s="185"/>
    </row>
    <row r="400" spans="1:27" ht="15.75" customHeight="1">
      <c r="A400" s="185"/>
      <c r="B400" s="360"/>
      <c r="C400" s="361"/>
      <c r="D400" s="185"/>
      <c r="E400" s="185"/>
      <c r="F400" s="362"/>
      <c r="G400" s="360"/>
      <c r="H400" s="185"/>
      <c r="I400" s="362"/>
      <c r="J400" s="185"/>
      <c r="K400" s="363"/>
      <c r="L400" s="363"/>
      <c r="M400" s="363"/>
      <c r="N400" s="363"/>
      <c r="O400" s="363"/>
      <c r="P400" s="363"/>
      <c r="Q400" s="362"/>
      <c r="R400" s="185"/>
      <c r="S400" s="185"/>
      <c r="T400" s="364"/>
      <c r="U400" s="185"/>
      <c r="V400" s="185"/>
      <c r="W400" s="185"/>
      <c r="X400" s="185"/>
      <c r="Y400" s="185"/>
      <c r="Z400" s="185"/>
      <c r="AA400" s="185"/>
    </row>
    <row r="401" spans="1:27" ht="15.75" customHeight="1">
      <c r="A401" s="185"/>
      <c r="B401" s="360"/>
      <c r="C401" s="361"/>
      <c r="D401" s="185"/>
      <c r="E401" s="185"/>
      <c r="F401" s="362"/>
      <c r="G401" s="360"/>
      <c r="H401" s="185"/>
      <c r="I401" s="362"/>
      <c r="J401" s="185"/>
      <c r="K401" s="363"/>
      <c r="L401" s="363"/>
      <c r="M401" s="363"/>
      <c r="N401" s="363"/>
      <c r="O401" s="363"/>
      <c r="P401" s="363"/>
      <c r="Q401" s="362"/>
      <c r="R401" s="185"/>
      <c r="S401" s="185"/>
      <c r="T401" s="364"/>
      <c r="U401" s="185"/>
      <c r="V401" s="185"/>
      <c r="W401" s="185"/>
      <c r="X401" s="185"/>
      <c r="Y401" s="185"/>
      <c r="Z401" s="185"/>
      <c r="AA401" s="185"/>
    </row>
    <row r="402" spans="1:27" ht="15.75" customHeight="1">
      <c r="A402" s="185"/>
      <c r="B402" s="360"/>
      <c r="C402" s="361"/>
      <c r="D402" s="185"/>
      <c r="E402" s="185"/>
      <c r="F402" s="362"/>
      <c r="G402" s="360"/>
      <c r="H402" s="185"/>
      <c r="I402" s="362"/>
      <c r="J402" s="185"/>
      <c r="K402" s="363"/>
      <c r="L402" s="363"/>
      <c r="M402" s="363"/>
      <c r="N402" s="363"/>
      <c r="O402" s="363"/>
      <c r="P402" s="363"/>
      <c r="Q402" s="362"/>
      <c r="R402" s="185"/>
      <c r="S402" s="185"/>
      <c r="T402" s="364"/>
      <c r="U402" s="185"/>
      <c r="V402" s="185"/>
      <c r="W402" s="185"/>
      <c r="X402" s="185"/>
      <c r="Y402" s="185"/>
      <c r="Z402" s="185"/>
      <c r="AA402" s="185"/>
    </row>
    <row r="403" spans="1:27" ht="15.75" customHeight="1">
      <c r="A403" s="185"/>
      <c r="B403" s="360"/>
      <c r="C403" s="361"/>
      <c r="D403" s="185"/>
      <c r="E403" s="185"/>
      <c r="F403" s="362"/>
      <c r="G403" s="360"/>
      <c r="H403" s="185"/>
      <c r="I403" s="362"/>
      <c r="J403" s="185"/>
      <c r="K403" s="363"/>
      <c r="L403" s="363"/>
      <c r="M403" s="363"/>
      <c r="N403" s="363"/>
      <c r="O403" s="363"/>
      <c r="P403" s="363"/>
      <c r="Q403" s="362"/>
      <c r="R403" s="185"/>
      <c r="S403" s="185"/>
      <c r="T403" s="364"/>
      <c r="U403" s="185"/>
      <c r="V403" s="185"/>
      <c r="W403" s="185"/>
      <c r="X403" s="185"/>
      <c r="Y403" s="185"/>
      <c r="Z403" s="185"/>
      <c r="AA403" s="185"/>
    </row>
    <row r="404" spans="1:27" ht="15.75" customHeight="1">
      <c r="A404" s="185"/>
      <c r="B404" s="360"/>
      <c r="C404" s="361"/>
      <c r="D404" s="185"/>
      <c r="E404" s="185"/>
      <c r="F404" s="362"/>
      <c r="G404" s="360"/>
      <c r="H404" s="185"/>
      <c r="I404" s="362"/>
      <c r="J404" s="185"/>
      <c r="K404" s="363"/>
      <c r="L404" s="363"/>
      <c r="M404" s="363"/>
      <c r="N404" s="363"/>
      <c r="O404" s="363"/>
      <c r="P404" s="363"/>
      <c r="Q404" s="362"/>
      <c r="R404" s="185"/>
      <c r="S404" s="185"/>
      <c r="T404" s="364"/>
      <c r="U404" s="185"/>
      <c r="V404" s="185"/>
      <c r="W404" s="185"/>
      <c r="X404" s="185"/>
      <c r="Y404" s="185"/>
      <c r="Z404" s="185"/>
      <c r="AA404" s="185"/>
    </row>
    <row r="405" spans="1:27" ht="15.75" customHeight="1">
      <c r="A405" s="185"/>
      <c r="B405" s="360"/>
      <c r="C405" s="361"/>
      <c r="D405" s="185"/>
      <c r="E405" s="185"/>
      <c r="F405" s="362"/>
      <c r="G405" s="360"/>
      <c r="H405" s="185"/>
      <c r="I405" s="362"/>
      <c r="J405" s="185"/>
      <c r="K405" s="363"/>
      <c r="L405" s="363"/>
      <c r="M405" s="363"/>
      <c r="N405" s="363"/>
      <c r="O405" s="363"/>
      <c r="P405" s="363"/>
      <c r="Q405" s="362"/>
      <c r="R405" s="185"/>
      <c r="S405" s="185"/>
      <c r="T405" s="364"/>
      <c r="U405" s="185"/>
      <c r="V405" s="185"/>
      <c r="W405" s="185"/>
      <c r="X405" s="185"/>
      <c r="Y405" s="185"/>
      <c r="Z405" s="185"/>
      <c r="AA405" s="185"/>
    </row>
    <row r="406" spans="1:27" ht="15.75" customHeight="1">
      <c r="A406" s="185"/>
      <c r="B406" s="360"/>
      <c r="C406" s="361"/>
      <c r="D406" s="185"/>
      <c r="E406" s="185"/>
      <c r="F406" s="362"/>
      <c r="G406" s="360"/>
      <c r="H406" s="185"/>
      <c r="I406" s="362"/>
      <c r="J406" s="185"/>
      <c r="K406" s="363"/>
      <c r="L406" s="363"/>
      <c r="M406" s="363"/>
      <c r="N406" s="363"/>
      <c r="O406" s="363"/>
      <c r="P406" s="363"/>
      <c r="Q406" s="362"/>
      <c r="R406" s="185"/>
      <c r="S406" s="185"/>
      <c r="T406" s="364"/>
      <c r="U406" s="185"/>
      <c r="V406" s="185"/>
      <c r="W406" s="185"/>
      <c r="X406" s="185"/>
      <c r="Y406" s="185"/>
      <c r="Z406" s="185"/>
      <c r="AA406" s="185"/>
    </row>
    <row r="407" spans="1:27" ht="15.75" customHeight="1">
      <c r="A407" s="185"/>
      <c r="B407" s="360"/>
      <c r="C407" s="361"/>
      <c r="D407" s="185"/>
      <c r="E407" s="185"/>
      <c r="F407" s="362"/>
      <c r="G407" s="360"/>
      <c r="H407" s="185"/>
      <c r="I407" s="362"/>
      <c r="J407" s="185"/>
      <c r="K407" s="363"/>
      <c r="L407" s="363"/>
      <c r="M407" s="363"/>
      <c r="N407" s="363"/>
      <c r="O407" s="363"/>
      <c r="P407" s="363"/>
      <c r="Q407" s="362"/>
      <c r="R407" s="185"/>
      <c r="S407" s="185"/>
      <c r="T407" s="364"/>
      <c r="U407" s="185"/>
      <c r="V407" s="185"/>
      <c r="W407" s="185"/>
      <c r="X407" s="185"/>
      <c r="Y407" s="185"/>
      <c r="Z407" s="185"/>
      <c r="AA407" s="185"/>
    </row>
    <row r="408" spans="1:27" ht="15.75" customHeight="1">
      <c r="A408" s="185"/>
      <c r="B408" s="360"/>
      <c r="C408" s="361"/>
      <c r="D408" s="185"/>
      <c r="E408" s="185"/>
      <c r="F408" s="362"/>
      <c r="G408" s="360"/>
      <c r="H408" s="185"/>
      <c r="I408" s="362"/>
      <c r="J408" s="185"/>
      <c r="K408" s="363"/>
      <c r="L408" s="363"/>
      <c r="M408" s="363"/>
      <c r="N408" s="363"/>
      <c r="O408" s="363"/>
      <c r="P408" s="363"/>
      <c r="Q408" s="362"/>
      <c r="R408" s="185"/>
      <c r="S408" s="185"/>
      <c r="T408" s="364"/>
      <c r="U408" s="185"/>
      <c r="V408" s="185"/>
      <c r="W408" s="185"/>
      <c r="X408" s="185"/>
      <c r="Y408" s="185"/>
      <c r="Z408" s="185"/>
      <c r="AA408" s="185"/>
    </row>
    <row r="409" spans="1:27" ht="15.75" customHeight="1">
      <c r="A409" s="185"/>
      <c r="B409" s="360"/>
      <c r="C409" s="361"/>
      <c r="D409" s="185"/>
      <c r="E409" s="185"/>
      <c r="F409" s="362"/>
      <c r="G409" s="360"/>
      <c r="H409" s="185"/>
      <c r="I409" s="362"/>
      <c r="J409" s="185"/>
      <c r="K409" s="363"/>
      <c r="L409" s="363"/>
      <c r="M409" s="363"/>
      <c r="N409" s="363"/>
      <c r="O409" s="363"/>
      <c r="P409" s="363"/>
      <c r="Q409" s="362"/>
      <c r="R409" s="185"/>
      <c r="S409" s="185"/>
      <c r="T409" s="364"/>
      <c r="U409" s="185"/>
      <c r="V409" s="185"/>
      <c r="W409" s="185"/>
      <c r="X409" s="185"/>
      <c r="Y409" s="185"/>
      <c r="Z409" s="185"/>
      <c r="AA409" s="185"/>
    </row>
    <row r="410" spans="1:27" ht="15.75" customHeight="1">
      <c r="A410" s="185"/>
      <c r="B410" s="360"/>
      <c r="C410" s="361"/>
      <c r="D410" s="185"/>
      <c r="E410" s="185"/>
      <c r="F410" s="362"/>
      <c r="G410" s="360"/>
      <c r="H410" s="185"/>
      <c r="I410" s="362"/>
      <c r="J410" s="185"/>
      <c r="K410" s="363"/>
      <c r="L410" s="363"/>
      <c r="M410" s="363"/>
      <c r="N410" s="363"/>
      <c r="O410" s="363"/>
      <c r="P410" s="363"/>
      <c r="Q410" s="362"/>
      <c r="R410" s="185"/>
      <c r="S410" s="185"/>
      <c r="T410" s="364"/>
      <c r="U410" s="185"/>
      <c r="V410" s="185"/>
      <c r="W410" s="185"/>
      <c r="X410" s="185"/>
      <c r="Y410" s="185"/>
      <c r="Z410" s="185"/>
      <c r="AA410" s="185"/>
    </row>
    <row r="411" spans="1:27" ht="15.75" customHeight="1">
      <c r="A411" s="185"/>
      <c r="B411" s="360"/>
      <c r="C411" s="361"/>
      <c r="D411" s="185"/>
      <c r="E411" s="185"/>
      <c r="F411" s="362"/>
      <c r="G411" s="360"/>
      <c r="H411" s="185"/>
      <c r="I411" s="362"/>
      <c r="J411" s="185"/>
      <c r="K411" s="363"/>
      <c r="L411" s="363"/>
      <c r="M411" s="363"/>
      <c r="N411" s="363"/>
      <c r="O411" s="363"/>
      <c r="P411" s="363"/>
      <c r="Q411" s="362"/>
      <c r="R411" s="185"/>
      <c r="S411" s="185"/>
      <c r="T411" s="364"/>
      <c r="U411" s="185"/>
      <c r="V411" s="185"/>
      <c r="W411" s="185"/>
      <c r="X411" s="185"/>
      <c r="Y411" s="185"/>
      <c r="Z411" s="185"/>
      <c r="AA411" s="185"/>
    </row>
    <row r="412" spans="1:27" ht="15.75" customHeight="1">
      <c r="A412" s="185"/>
      <c r="B412" s="360"/>
      <c r="C412" s="361"/>
      <c r="D412" s="185"/>
      <c r="E412" s="185"/>
      <c r="F412" s="362"/>
      <c r="G412" s="360"/>
      <c r="H412" s="185"/>
      <c r="I412" s="362"/>
      <c r="J412" s="185"/>
      <c r="K412" s="363"/>
      <c r="L412" s="363"/>
      <c r="M412" s="363"/>
      <c r="N412" s="363"/>
      <c r="O412" s="363"/>
      <c r="P412" s="363"/>
      <c r="Q412" s="362"/>
      <c r="R412" s="185"/>
      <c r="S412" s="185"/>
      <c r="T412" s="364"/>
      <c r="U412" s="185"/>
      <c r="V412" s="185"/>
      <c r="W412" s="185"/>
      <c r="X412" s="185"/>
      <c r="Y412" s="185"/>
      <c r="Z412" s="185"/>
      <c r="AA412" s="185"/>
    </row>
    <row r="413" spans="1:27" ht="15.75" customHeight="1">
      <c r="A413" s="185"/>
      <c r="B413" s="360"/>
      <c r="C413" s="361"/>
      <c r="D413" s="185"/>
      <c r="E413" s="185"/>
      <c r="F413" s="362"/>
      <c r="G413" s="360"/>
      <c r="H413" s="185"/>
      <c r="I413" s="362"/>
      <c r="J413" s="185"/>
      <c r="K413" s="363"/>
      <c r="L413" s="363"/>
      <c r="M413" s="363"/>
      <c r="N413" s="363"/>
      <c r="O413" s="363"/>
      <c r="P413" s="363"/>
      <c r="Q413" s="362"/>
      <c r="R413" s="185"/>
      <c r="S413" s="185"/>
      <c r="T413" s="364"/>
      <c r="U413" s="185"/>
      <c r="V413" s="185"/>
      <c r="W413" s="185"/>
      <c r="X413" s="185"/>
      <c r="Y413" s="185"/>
      <c r="Z413" s="185"/>
      <c r="AA413" s="185"/>
    </row>
    <row r="414" spans="1:27" ht="15.75" customHeight="1">
      <c r="A414" s="185"/>
      <c r="B414" s="360"/>
      <c r="C414" s="361"/>
      <c r="D414" s="185"/>
      <c r="E414" s="185"/>
      <c r="F414" s="362"/>
      <c r="G414" s="360"/>
      <c r="H414" s="185"/>
      <c r="I414" s="362"/>
      <c r="J414" s="185"/>
      <c r="K414" s="363"/>
      <c r="L414" s="363"/>
      <c r="M414" s="363"/>
      <c r="N414" s="363"/>
      <c r="O414" s="363"/>
      <c r="P414" s="363"/>
      <c r="Q414" s="362"/>
      <c r="R414" s="185"/>
      <c r="S414" s="185"/>
      <c r="T414" s="364"/>
      <c r="U414" s="185"/>
      <c r="V414" s="185"/>
      <c r="W414" s="185"/>
      <c r="X414" s="185"/>
      <c r="Y414" s="185"/>
      <c r="Z414" s="185"/>
      <c r="AA414" s="185"/>
    </row>
    <row r="415" spans="1:27" ht="15.75" customHeight="1">
      <c r="A415" s="185"/>
      <c r="B415" s="360"/>
      <c r="C415" s="361"/>
      <c r="D415" s="185"/>
      <c r="E415" s="185"/>
      <c r="F415" s="362"/>
      <c r="G415" s="360"/>
      <c r="H415" s="185"/>
      <c r="I415" s="362"/>
      <c r="J415" s="185"/>
      <c r="K415" s="363"/>
      <c r="L415" s="363"/>
      <c r="M415" s="363"/>
      <c r="N415" s="363"/>
      <c r="O415" s="363"/>
      <c r="P415" s="363"/>
      <c r="Q415" s="362"/>
      <c r="R415" s="185"/>
      <c r="S415" s="185"/>
      <c r="T415" s="364"/>
      <c r="U415" s="185"/>
      <c r="V415" s="185"/>
      <c r="W415" s="185"/>
      <c r="X415" s="185"/>
      <c r="Y415" s="185"/>
      <c r="Z415" s="185"/>
      <c r="AA415" s="185"/>
    </row>
    <row r="416" spans="1:27" ht="15.75" customHeight="1">
      <c r="A416" s="185"/>
      <c r="B416" s="360"/>
      <c r="C416" s="361"/>
      <c r="D416" s="185"/>
      <c r="E416" s="185"/>
      <c r="F416" s="362"/>
      <c r="G416" s="360"/>
      <c r="H416" s="185"/>
      <c r="I416" s="362"/>
      <c r="J416" s="185"/>
      <c r="K416" s="363"/>
      <c r="L416" s="363"/>
      <c r="M416" s="363"/>
      <c r="N416" s="363"/>
      <c r="O416" s="363"/>
      <c r="P416" s="363"/>
      <c r="Q416" s="362"/>
      <c r="R416" s="185"/>
      <c r="S416" s="185"/>
      <c r="T416" s="364"/>
      <c r="U416" s="185"/>
      <c r="V416" s="185"/>
      <c r="W416" s="185"/>
      <c r="X416" s="185"/>
      <c r="Y416" s="185"/>
      <c r="Z416" s="185"/>
      <c r="AA416" s="185"/>
    </row>
    <row r="417" spans="1:27" ht="15.75" customHeight="1">
      <c r="A417" s="185"/>
      <c r="B417" s="360"/>
      <c r="C417" s="361"/>
      <c r="D417" s="185"/>
      <c r="E417" s="185"/>
      <c r="F417" s="362"/>
      <c r="G417" s="360"/>
      <c r="H417" s="185"/>
      <c r="I417" s="362"/>
      <c r="J417" s="185"/>
      <c r="K417" s="363"/>
      <c r="L417" s="363"/>
      <c r="M417" s="363"/>
      <c r="N417" s="363"/>
      <c r="O417" s="363"/>
      <c r="P417" s="363"/>
      <c r="Q417" s="362"/>
      <c r="R417" s="185"/>
      <c r="S417" s="185"/>
      <c r="T417" s="364"/>
      <c r="U417" s="185"/>
      <c r="V417" s="185"/>
      <c r="W417" s="185"/>
      <c r="X417" s="185"/>
      <c r="Y417" s="185"/>
      <c r="Z417" s="185"/>
      <c r="AA417" s="185"/>
    </row>
    <row r="418" spans="1:27" ht="15.75" customHeight="1">
      <c r="A418" s="185"/>
      <c r="B418" s="360"/>
      <c r="C418" s="361"/>
      <c r="D418" s="185"/>
      <c r="E418" s="185"/>
      <c r="F418" s="362"/>
      <c r="G418" s="360"/>
      <c r="H418" s="185"/>
      <c r="I418" s="362"/>
      <c r="J418" s="185"/>
      <c r="K418" s="363"/>
      <c r="L418" s="363"/>
      <c r="M418" s="363"/>
      <c r="N418" s="363"/>
      <c r="O418" s="363"/>
      <c r="P418" s="363"/>
      <c r="Q418" s="362"/>
      <c r="R418" s="185"/>
      <c r="S418" s="185"/>
      <c r="T418" s="364"/>
      <c r="U418" s="185"/>
      <c r="V418" s="185"/>
      <c r="W418" s="185"/>
      <c r="X418" s="185"/>
      <c r="Y418" s="185"/>
      <c r="Z418" s="185"/>
      <c r="AA418" s="185"/>
    </row>
    <row r="419" spans="1:27" ht="15.75" customHeight="1">
      <c r="A419" s="185"/>
      <c r="B419" s="360"/>
      <c r="C419" s="361"/>
      <c r="D419" s="185"/>
      <c r="E419" s="185"/>
      <c r="F419" s="362"/>
      <c r="G419" s="360"/>
      <c r="H419" s="185"/>
      <c r="I419" s="362"/>
      <c r="J419" s="185"/>
      <c r="K419" s="363"/>
      <c r="L419" s="363"/>
      <c r="M419" s="363"/>
      <c r="N419" s="363"/>
      <c r="O419" s="363"/>
      <c r="P419" s="363"/>
      <c r="Q419" s="362"/>
      <c r="R419" s="185"/>
      <c r="S419" s="185"/>
      <c r="T419" s="364"/>
      <c r="U419" s="185"/>
      <c r="V419" s="185"/>
      <c r="W419" s="185"/>
      <c r="X419" s="185"/>
      <c r="Y419" s="185"/>
      <c r="Z419" s="185"/>
      <c r="AA419" s="185"/>
    </row>
    <row r="420" spans="1:27" ht="15.75" customHeight="1">
      <c r="A420" s="185"/>
      <c r="B420" s="360"/>
      <c r="C420" s="361"/>
      <c r="D420" s="185"/>
      <c r="E420" s="185"/>
      <c r="F420" s="362"/>
      <c r="G420" s="360"/>
      <c r="H420" s="185"/>
      <c r="I420" s="362"/>
      <c r="J420" s="185"/>
      <c r="K420" s="363"/>
      <c r="L420" s="363"/>
      <c r="M420" s="363"/>
      <c r="N420" s="363"/>
      <c r="O420" s="363"/>
      <c r="P420" s="363"/>
      <c r="Q420" s="362"/>
      <c r="R420" s="185"/>
      <c r="S420" s="185"/>
      <c r="T420" s="364"/>
      <c r="U420" s="185"/>
      <c r="V420" s="185"/>
      <c r="W420" s="185"/>
      <c r="X420" s="185"/>
      <c r="Y420" s="185"/>
      <c r="Z420" s="185"/>
      <c r="AA420" s="185"/>
    </row>
    <row r="421" spans="1:27" ht="15.75" customHeight="1">
      <c r="A421" s="185"/>
      <c r="B421" s="360"/>
      <c r="C421" s="361"/>
      <c r="D421" s="185"/>
      <c r="E421" s="185"/>
      <c r="F421" s="362"/>
      <c r="G421" s="360"/>
      <c r="H421" s="185"/>
      <c r="I421" s="362"/>
      <c r="J421" s="185"/>
      <c r="K421" s="363"/>
      <c r="L421" s="363"/>
      <c r="M421" s="363"/>
      <c r="N421" s="363"/>
      <c r="O421" s="363"/>
      <c r="P421" s="363"/>
      <c r="Q421" s="362"/>
      <c r="R421" s="185"/>
      <c r="S421" s="185"/>
      <c r="T421" s="364"/>
      <c r="U421" s="185"/>
      <c r="V421" s="185"/>
      <c r="W421" s="185"/>
      <c r="X421" s="185"/>
      <c r="Y421" s="185"/>
      <c r="Z421" s="185"/>
      <c r="AA421" s="185"/>
    </row>
    <row r="422" spans="1:27" ht="15.75" customHeight="1">
      <c r="A422" s="185"/>
      <c r="B422" s="360"/>
      <c r="C422" s="361"/>
      <c r="D422" s="185"/>
      <c r="E422" s="185"/>
      <c r="F422" s="362"/>
      <c r="G422" s="360"/>
      <c r="H422" s="185"/>
      <c r="I422" s="362"/>
      <c r="J422" s="185"/>
      <c r="K422" s="363"/>
      <c r="L422" s="363"/>
      <c r="M422" s="363"/>
      <c r="N422" s="363"/>
      <c r="O422" s="363"/>
      <c r="P422" s="363"/>
      <c r="Q422" s="362"/>
      <c r="R422" s="185"/>
      <c r="S422" s="185"/>
      <c r="T422" s="364"/>
      <c r="U422" s="185"/>
      <c r="V422" s="185"/>
      <c r="W422" s="185"/>
      <c r="X422" s="185"/>
      <c r="Y422" s="185"/>
      <c r="Z422" s="185"/>
      <c r="AA422" s="185"/>
    </row>
    <row r="423" spans="1:27" ht="15.75" customHeight="1">
      <c r="A423" s="185"/>
      <c r="B423" s="360"/>
      <c r="C423" s="361"/>
      <c r="D423" s="185"/>
      <c r="E423" s="185"/>
      <c r="F423" s="362"/>
      <c r="G423" s="360"/>
      <c r="H423" s="185"/>
      <c r="I423" s="362"/>
      <c r="J423" s="185"/>
      <c r="K423" s="363"/>
      <c r="L423" s="363"/>
      <c r="M423" s="363"/>
      <c r="N423" s="363"/>
      <c r="O423" s="363"/>
      <c r="P423" s="363"/>
      <c r="Q423" s="362"/>
      <c r="R423" s="185"/>
      <c r="S423" s="185"/>
      <c r="T423" s="364"/>
      <c r="U423" s="185"/>
      <c r="V423" s="185"/>
      <c r="W423" s="185"/>
      <c r="X423" s="185"/>
      <c r="Y423" s="185"/>
      <c r="Z423" s="185"/>
      <c r="AA423" s="185"/>
    </row>
    <row r="424" spans="1:27" ht="15.75" customHeight="1">
      <c r="A424" s="185"/>
      <c r="B424" s="360"/>
      <c r="C424" s="361"/>
      <c r="D424" s="185"/>
      <c r="E424" s="185"/>
      <c r="F424" s="362"/>
      <c r="G424" s="360"/>
      <c r="H424" s="185"/>
      <c r="I424" s="362"/>
      <c r="J424" s="185"/>
      <c r="K424" s="363"/>
      <c r="L424" s="363"/>
      <c r="M424" s="363"/>
      <c r="N424" s="363"/>
      <c r="O424" s="363"/>
      <c r="P424" s="363"/>
      <c r="Q424" s="362"/>
      <c r="R424" s="185"/>
      <c r="S424" s="185"/>
      <c r="T424" s="364"/>
      <c r="U424" s="185"/>
      <c r="V424" s="185"/>
      <c r="W424" s="185"/>
      <c r="X424" s="185"/>
      <c r="Y424" s="185"/>
      <c r="Z424" s="185"/>
      <c r="AA424" s="185"/>
    </row>
    <row r="425" spans="1:27" ht="15.75" customHeight="1">
      <c r="A425" s="185"/>
      <c r="B425" s="360"/>
      <c r="C425" s="361"/>
      <c r="D425" s="185"/>
      <c r="E425" s="185"/>
      <c r="F425" s="362"/>
      <c r="G425" s="360"/>
      <c r="H425" s="185"/>
      <c r="I425" s="362"/>
      <c r="J425" s="185"/>
      <c r="K425" s="363"/>
      <c r="L425" s="363"/>
      <c r="M425" s="363"/>
      <c r="N425" s="363"/>
      <c r="O425" s="363"/>
      <c r="P425" s="363"/>
      <c r="Q425" s="362"/>
      <c r="R425" s="185"/>
      <c r="S425" s="185"/>
      <c r="T425" s="364"/>
      <c r="U425" s="185"/>
      <c r="V425" s="185"/>
      <c r="W425" s="185"/>
      <c r="X425" s="185"/>
      <c r="Y425" s="185"/>
      <c r="Z425" s="185"/>
      <c r="AA425" s="185"/>
    </row>
    <row r="426" spans="1:27" ht="15.75" customHeight="1">
      <c r="A426" s="185"/>
      <c r="B426" s="360"/>
      <c r="C426" s="361"/>
      <c r="D426" s="185"/>
      <c r="E426" s="185"/>
      <c r="F426" s="362"/>
      <c r="G426" s="360"/>
      <c r="H426" s="185"/>
      <c r="I426" s="362"/>
      <c r="J426" s="185"/>
      <c r="K426" s="363"/>
      <c r="L426" s="363"/>
      <c r="M426" s="363"/>
      <c r="N426" s="363"/>
      <c r="O426" s="363"/>
      <c r="P426" s="363"/>
      <c r="Q426" s="362"/>
      <c r="R426" s="185"/>
      <c r="S426" s="185"/>
      <c r="T426" s="364"/>
      <c r="U426" s="185"/>
      <c r="V426" s="185"/>
      <c r="W426" s="185"/>
      <c r="X426" s="185"/>
      <c r="Y426" s="185"/>
      <c r="Z426" s="185"/>
      <c r="AA426" s="185"/>
    </row>
    <row r="427" spans="1:27" ht="15.75" customHeight="1">
      <c r="A427" s="185"/>
      <c r="B427" s="360"/>
      <c r="C427" s="361"/>
      <c r="D427" s="185"/>
      <c r="E427" s="185"/>
      <c r="F427" s="362"/>
      <c r="G427" s="360"/>
      <c r="H427" s="185"/>
      <c r="I427" s="362"/>
      <c r="J427" s="185"/>
      <c r="K427" s="363"/>
      <c r="L427" s="363"/>
      <c r="M427" s="363"/>
      <c r="N427" s="363"/>
      <c r="O427" s="363"/>
      <c r="P427" s="363"/>
      <c r="Q427" s="362"/>
      <c r="R427" s="185"/>
      <c r="S427" s="185"/>
      <c r="T427" s="364"/>
      <c r="U427" s="185"/>
      <c r="V427" s="185"/>
      <c r="W427" s="185"/>
      <c r="X427" s="185"/>
      <c r="Y427" s="185"/>
      <c r="Z427" s="185"/>
      <c r="AA427" s="185"/>
    </row>
    <row r="428" spans="1:27" ht="15.75" customHeight="1">
      <c r="A428" s="185"/>
      <c r="B428" s="360"/>
      <c r="C428" s="361"/>
      <c r="D428" s="185"/>
      <c r="E428" s="185"/>
      <c r="F428" s="362"/>
      <c r="G428" s="360"/>
      <c r="H428" s="185"/>
      <c r="I428" s="362"/>
      <c r="J428" s="185"/>
      <c r="K428" s="363"/>
      <c r="L428" s="363"/>
      <c r="M428" s="363"/>
      <c r="N428" s="363"/>
      <c r="O428" s="363"/>
      <c r="P428" s="363"/>
      <c r="Q428" s="362"/>
      <c r="R428" s="185"/>
      <c r="S428" s="185"/>
      <c r="T428" s="364"/>
      <c r="U428" s="185"/>
      <c r="V428" s="185"/>
      <c r="W428" s="185"/>
      <c r="X428" s="185"/>
      <c r="Y428" s="185"/>
      <c r="Z428" s="185"/>
      <c r="AA428" s="185"/>
    </row>
    <row r="429" spans="1:27" ht="15.75" customHeight="1">
      <c r="A429" s="185"/>
      <c r="B429" s="360"/>
      <c r="C429" s="361"/>
      <c r="D429" s="185"/>
      <c r="E429" s="185"/>
      <c r="F429" s="362"/>
      <c r="G429" s="360"/>
      <c r="H429" s="185"/>
      <c r="I429" s="362"/>
      <c r="J429" s="185"/>
      <c r="K429" s="363"/>
      <c r="L429" s="363"/>
      <c r="M429" s="363"/>
      <c r="N429" s="363"/>
      <c r="O429" s="363"/>
      <c r="P429" s="363"/>
      <c r="Q429" s="362"/>
      <c r="R429" s="185"/>
      <c r="S429" s="185"/>
      <c r="T429" s="364"/>
      <c r="U429" s="185"/>
      <c r="V429" s="185"/>
      <c r="W429" s="185"/>
      <c r="X429" s="185"/>
      <c r="Y429" s="185"/>
      <c r="Z429" s="185"/>
      <c r="AA429" s="185"/>
    </row>
    <row r="430" spans="1:27" ht="15.75" customHeight="1">
      <c r="A430" s="185"/>
      <c r="B430" s="360"/>
      <c r="C430" s="361"/>
      <c r="D430" s="185"/>
      <c r="E430" s="185"/>
      <c r="F430" s="362"/>
      <c r="G430" s="360"/>
      <c r="H430" s="185"/>
      <c r="I430" s="362"/>
      <c r="J430" s="185"/>
      <c r="K430" s="363"/>
      <c r="L430" s="363"/>
      <c r="M430" s="363"/>
      <c r="N430" s="363"/>
      <c r="O430" s="363"/>
      <c r="P430" s="363"/>
      <c r="Q430" s="362"/>
      <c r="R430" s="185"/>
      <c r="S430" s="185"/>
      <c r="T430" s="364"/>
      <c r="U430" s="185"/>
      <c r="V430" s="185"/>
      <c r="W430" s="185"/>
      <c r="X430" s="185"/>
      <c r="Y430" s="185"/>
      <c r="Z430" s="185"/>
      <c r="AA430" s="185"/>
    </row>
    <row r="431" spans="1:27" ht="15.75" customHeight="1">
      <c r="A431" s="185"/>
      <c r="B431" s="360"/>
      <c r="C431" s="361"/>
      <c r="D431" s="185"/>
      <c r="E431" s="185"/>
      <c r="F431" s="362"/>
      <c r="G431" s="360"/>
      <c r="H431" s="185"/>
      <c r="I431" s="362"/>
      <c r="J431" s="185"/>
      <c r="K431" s="363"/>
      <c r="L431" s="363"/>
      <c r="M431" s="363"/>
      <c r="N431" s="363"/>
      <c r="O431" s="363"/>
      <c r="P431" s="363"/>
      <c r="Q431" s="362"/>
      <c r="R431" s="185"/>
      <c r="S431" s="185"/>
      <c r="T431" s="364"/>
      <c r="U431" s="185"/>
      <c r="V431" s="185"/>
      <c r="W431" s="185"/>
      <c r="X431" s="185"/>
      <c r="Y431" s="185"/>
      <c r="Z431" s="185"/>
      <c r="AA431" s="185"/>
    </row>
    <row r="432" spans="1:27" ht="15.75" customHeight="1">
      <c r="A432" s="185"/>
      <c r="B432" s="360"/>
      <c r="C432" s="361"/>
      <c r="D432" s="185"/>
      <c r="E432" s="185"/>
      <c r="F432" s="362"/>
      <c r="G432" s="360"/>
      <c r="H432" s="185"/>
      <c r="I432" s="362"/>
      <c r="J432" s="185"/>
      <c r="K432" s="363"/>
      <c r="L432" s="363"/>
      <c r="M432" s="363"/>
      <c r="N432" s="363"/>
      <c r="O432" s="363"/>
      <c r="P432" s="363"/>
      <c r="Q432" s="362"/>
      <c r="R432" s="185"/>
      <c r="S432" s="185"/>
      <c r="T432" s="364"/>
      <c r="U432" s="185"/>
      <c r="V432" s="185"/>
      <c r="W432" s="185"/>
      <c r="X432" s="185"/>
      <c r="Y432" s="185"/>
      <c r="Z432" s="185"/>
      <c r="AA432" s="185"/>
    </row>
    <row r="433" spans="1:27" ht="15.75" customHeight="1">
      <c r="A433" s="185"/>
      <c r="B433" s="360"/>
      <c r="C433" s="361"/>
      <c r="D433" s="185"/>
      <c r="E433" s="185"/>
      <c r="F433" s="362"/>
      <c r="G433" s="360"/>
      <c r="H433" s="185"/>
      <c r="I433" s="362"/>
      <c r="J433" s="185"/>
      <c r="K433" s="363"/>
      <c r="L433" s="363"/>
      <c r="M433" s="363"/>
      <c r="N433" s="363"/>
      <c r="O433" s="363"/>
      <c r="P433" s="363"/>
      <c r="Q433" s="362"/>
      <c r="R433" s="185"/>
      <c r="S433" s="185"/>
      <c r="T433" s="364"/>
      <c r="U433" s="185"/>
      <c r="V433" s="185"/>
      <c r="W433" s="185"/>
      <c r="X433" s="185"/>
      <c r="Y433" s="185"/>
      <c r="Z433" s="185"/>
      <c r="AA433" s="185"/>
    </row>
    <row r="434" spans="1:27" ht="15.75" customHeight="1">
      <c r="A434" s="185"/>
      <c r="B434" s="360"/>
      <c r="C434" s="361"/>
      <c r="D434" s="185"/>
      <c r="E434" s="185"/>
      <c r="F434" s="362"/>
      <c r="G434" s="360"/>
      <c r="H434" s="185"/>
      <c r="I434" s="362"/>
      <c r="J434" s="185"/>
      <c r="K434" s="363"/>
      <c r="L434" s="363"/>
      <c r="M434" s="363"/>
      <c r="N434" s="363"/>
      <c r="O434" s="363"/>
      <c r="P434" s="363"/>
      <c r="Q434" s="362"/>
      <c r="R434" s="185"/>
      <c r="S434" s="185"/>
      <c r="T434" s="364"/>
      <c r="U434" s="185"/>
      <c r="V434" s="185"/>
      <c r="W434" s="185"/>
      <c r="X434" s="185"/>
      <c r="Y434" s="185"/>
      <c r="Z434" s="185"/>
      <c r="AA434" s="185"/>
    </row>
    <row r="435" spans="1:27" ht="15.75" customHeight="1">
      <c r="A435" s="185"/>
      <c r="B435" s="360"/>
      <c r="C435" s="361"/>
      <c r="D435" s="185"/>
      <c r="E435" s="185"/>
      <c r="F435" s="362"/>
      <c r="G435" s="360"/>
      <c r="H435" s="185"/>
      <c r="I435" s="362"/>
      <c r="J435" s="185"/>
      <c r="K435" s="363"/>
      <c r="L435" s="363"/>
      <c r="M435" s="363"/>
      <c r="N435" s="363"/>
      <c r="O435" s="363"/>
      <c r="P435" s="363"/>
      <c r="Q435" s="362"/>
      <c r="R435" s="185"/>
      <c r="S435" s="185"/>
      <c r="T435" s="364"/>
      <c r="U435" s="185"/>
      <c r="V435" s="185"/>
      <c r="W435" s="185"/>
      <c r="X435" s="185"/>
      <c r="Y435" s="185"/>
      <c r="Z435" s="185"/>
      <c r="AA435" s="185"/>
    </row>
    <row r="436" spans="1:27" ht="15.75" customHeight="1">
      <c r="A436" s="185"/>
      <c r="B436" s="360"/>
      <c r="C436" s="361"/>
      <c r="D436" s="185"/>
      <c r="E436" s="185"/>
      <c r="F436" s="362"/>
      <c r="G436" s="360"/>
      <c r="H436" s="185"/>
      <c r="I436" s="362"/>
      <c r="J436" s="185"/>
      <c r="K436" s="363"/>
      <c r="L436" s="363"/>
      <c r="M436" s="363"/>
      <c r="N436" s="363"/>
      <c r="O436" s="363"/>
      <c r="P436" s="363"/>
      <c r="Q436" s="362"/>
      <c r="R436" s="185"/>
      <c r="S436" s="185"/>
      <c r="T436" s="364"/>
      <c r="U436" s="185"/>
      <c r="V436" s="185"/>
      <c r="W436" s="185"/>
      <c r="X436" s="185"/>
      <c r="Y436" s="185"/>
      <c r="Z436" s="185"/>
      <c r="AA436" s="185"/>
    </row>
    <row r="437" spans="1:27" ht="15.75" customHeight="1">
      <c r="A437" s="185"/>
      <c r="B437" s="360"/>
      <c r="C437" s="361"/>
      <c r="D437" s="185"/>
      <c r="E437" s="185"/>
      <c r="F437" s="362"/>
      <c r="G437" s="360"/>
      <c r="H437" s="185"/>
      <c r="I437" s="362"/>
      <c r="J437" s="185"/>
      <c r="K437" s="363"/>
      <c r="L437" s="363"/>
      <c r="M437" s="363"/>
      <c r="N437" s="363"/>
      <c r="O437" s="363"/>
      <c r="P437" s="363"/>
      <c r="Q437" s="362"/>
      <c r="R437" s="185"/>
      <c r="S437" s="185"/>
      <c r="T437" s="364"/>
      <c r="U437" s="185"/>
      <c r="V437" s="185"/>
      <c r="W437" s="185"/>
      <c r="X437" s="185"/>
      <c r="Y437" s="185"/>
      <c r="Z437" s="185"/>
      <c r="AA437" s="185"/>
    </row>
    <row r="438" spans="1:27" ht="15.75" customHeight="1">
      <c r="A438" s="185"/>
      <c r="B438" s="360"/>
      <c r="C438" s="361"/>
      <c r="D438" s="185"/>
      <c r="E438" s="185"/>
      <c r="F438" s="362"/>
      <c r="G438" s="360"/>
      <c r="H438" s="185"/>
      <c r="I438" s="362"/>
      <c r="J438" s="185"/>
      <c r="K438" s="363"/>
      <c r="L438" s="363"/>
      <c r="M438" s="363"/>
      <c r="N438" s="363"/>
      <c r="O438" s="363"/>
      <c r="P438" s="363"/>
      <c r="Q438" s="362"/>
      <c r="R438" s="185"/>
      <c r="S438" s="185"/>
      <c r="T438" s="364"/>
      <c r="U438" s="185"/>
      <c r="V438" s="185"/>
      <c r="W438" s="185"/>
      <c r="X438" s="185"/>
      <c r="Y438" s="185"/>
      <c r="Z438" s="185"/>
      <c r="AA438" s="185"/>
    </row>
    <row r="439" spans="1:27" ht="15.75" customHeight="1">
      <c r="A439" s="185"/>
      <c r="B439" s="360"/>
      <c r="C439" s="361"/>
      <c r="D439" s="185"/>
      <c r="E439" s="185"/>
      <c r="F439" s="362"/>
      <c r="G439" s="360"/>
      <c r="H439" s="185"/>
      <c r="I439" s="362"/>
      <c r="J439" s="185"/>
      <c r="K439" s="363"/>
      <c r="L439" s="363"/>
      <c r="M439" s="363"/>
      <c r="N439" s="363"/>
      <c r="O439" s="363"/>
      <c r="P439" s="363"/>
      <c r="Q439" s="362"/>
      <c r="R439" s="185"/>
      <c r="S439" s="185"/>
      <c r="T439" s="364"/>
      <c r="U439" s="185"/>
      <c r="V439" s="185"/>
      <c r="W439" s="185"/>
      <c r="X439" s="185"/>
      <c r="Y439" s="185"/>
      <c r="Z439" s="185"/>
      <c r="AA439" s="185"/>
    </row>
    <row r="440" spans="1:27" ht="15.75" customHeight="1">
      <c r="A440" s="185"/>
      <c r="B440" s="360"/>
      <c r="C440" s="361"/>
      <c r="D440" s="185"/>
      <c r="E440" s="185"/>
      <c r="F440" s="362"/>
      <c r="G440" s="360"/>
      <c r="H440" s="185"/>
      <c r="I440" s="362"/>
      <c r="J440" s="185"/>
      <c r="K440" s="363"/>
      <c r="L440" s="363"/>
      <c r="M440" s="363"/>
      <c r="N440" s="363"/>
      <c r="O440" s="363"/>
      <c r="P440" s="363"/>
      <c r="Q440" s="362"/>
      <c r="R440" s="185"/>
      <c r="S440" s="185"/>
      <c r="T440" s="364"/>
      <c r="U440" s="185"/>
      <c r="V440" s="185"/>
      <c r="W440" s="185"/>
      <c r="X440" s="185"/>
      <c r="Y440" s="185"/>
      <c r="Z440" s="185"/>
      <c r="AA440" s="185"/>
    </row>
    <row r="441" spans="1:27" ht="15.75" customHeight="1">
      <c r="A441" s="185"/>
      <c r="B441" s="360"/>
      <c r="C441" s="361"/>
      <c r="D441" s="185"/>
      <c r="E441" s="185"/>
      <c r="F441" s="362"/>
      <c r="G441" s="360"/>
      <c r="H441" s="185"/>
      <c r="I441" s="362"/>
      <c r="J441" s="185"/>
      <c r="K441" s="363"/>
      <c r="L441" s="363"/>
      <c r="M441" s="363"/>
      <c r="N441" s="363"/>
      <c r="O441" s="363"/>
      <c r="P441" s="363"/>
      <c r="Q441" s="362"/>
      <c r="R441" s="185"/>
      <c r="S441" s="185"/>
      <c r="T441" s="364"/>
      <c r="U441" s="185"/>
      <c r="V441" s="185"/>
      <c r="W441" s="185"/>
      <c r="X441" s="185"/>
      <c r="Y441" s="185"/>
      <c r="Z441" s="185"/>
      <c r="AA441" s="185"/>
    </row>
    <row r="442" spans="1:27" ht="15.75" customHeight="1">
      <c r="A442" s="185"/>
      <c r="B442" s="360"/>
      <c r="C442" s="361"/>
      <c r="D442" s="185"/>
      <c r="E442" s="185"/>
      <c r="F442" s="362"/>
      <c r="G442" s="360"/>
      <c r="H442" s="185"/>
      <c r="I442" s="362"/>
      <c r="J442" s="185"/>
      <c r="K442" s="363"/>
      <c r="L442" s="363"/>
      <c r="M442" s="363"/>
      <c r="N442" s="363"/>
      <c r="O442" s="363"/>
      <c r="P442" s="363"/>
      <c r="Q442" s="362"/>
      <c r="R442" s="185"/>
      <c r="S442" s="185"/>
      <c r="T442" s="364"/>
      <c r="U442" s="185"/>
      <c r="V442" s="185"/>
      <c r="W442" s="185"/>
      <c r="X442" s="185"/>
      <c r="Y442" s="185"/>
      <c r="Z442" s="185"/>
      <c r="AA442" s="185"/>
    </row>
    <row r="443" spans="1:27" ht="15.75" customHeight="1">
      <c r="A443" s="185"/>
      <c r="B443" s="360"/>
      <c r="C443" s="361"/>
      <c r="D443" s="185"/>
      <c r="E443" s="185"/>
      <c r="F443" s="362"/>
      <c r="G443" s="360"/>
      <c r="H443" s="185"/>
      <c r="I443" s="362"/>
      <c r="J443" s="185"/>
      <c r="K443" s="363"/>
      <c r="L443" s="363"/>
      <c r="M443" s="363"/>
      <c r="N443" s="363"/>
      <c r="O443" s="363"/>
      <c r="P443" s="363"/>
      <c r="Q443" s="362"/>
      <c r="R443" s="185"/>
      <c r="S443" s="185"/>
      <c r="T443" s="364"/>
      <c r="U443" s="185"/>
      <c r="V443" s="185"/>
      <c r="W443" s="185"/>
      <c r="X443" s="185"/>
      <c r="Y443" s="185"/>
      <c r="Z443" s="185"/>
      <c r="AA443" s="185"/>
    </row>
    <row r="444" spans="1:27" ht="15.75" customHeight="1">
      <c r="A444" s="185"/>
      <c r="B444" s="360"/>
      <c r="C444" s="361"/>
      <c r="D444" s="185"/>
      <c r="E444" s="185"/>
      <c r="F444" s="362"/>
      <c r="G444" s="360"/>
      <c r="H444" s="185"/>
      <c r="I444" s="362"/>
      <c r="J444" s="185"/>
      <c r="K444" s="363"/>
      <c r="L444" s="363"/>
      <c r="M444" s="363"/>
      <c r="N444" s="363"/>
      <c r="O444" s="363"/>
      <c r="P444" s="363"/>
      <c r="Q444" s="362"/>
      <c r="R444" s="185"/>
      <c r="S444" s="185"/>
      <c r="T444" s="364"/>
      <c r="U444" s="185"/>
      <c r="V444" s="185"/>
      <c r="W444" s="185"/>
      <c r="X444" s="185"/>
      <c r="Y444" s="185"/>
      <c r="Z444" s="185"/>
      <c r="AA444" s="185"/>
    </row>
    <row r="445" spans="1:27" ht="15.75" customHeight="1">
      <c r="A445" s="185"/>
      <c r="B445" s="360"/>
      <c r="C445" s="361"/>
      <c r="D445" s="185"/>
      <c r="E445" s="185"/>
      <c r="F445" s="362"/>
      <c r="G445" s="360"/>
      <c r="H445" s="185"/>
      <c r="I445" s="362"/>
      <c r="J445" s="185"/>
      <c r="K445" s="363"/>
      <c r="L445" s="363"/>
      <c r="M445" s="363"/>
      <c r="N445" s="363"/>
      <c r="O445" s="363"/>
      <c r="P445" s="363"/>
      <c r="Q445" s="362"/>
      <c r="R445" s="185"/>
      <c r="S445" s="185"/>
      <c r="T445" s="364"/>
      <c r="U445" s="185"/>
      <c r="V445" s="185"/>
      <c r="W445" s="185"/>
      <c r="X445" s="185"/>
      <c r="Y445" s="185"/>
      <c r="Z445" s="185"/>
      <c r="AA445" s="185"/>
    </row>
    <row r="446" spans="1:27" ht="15.75" customHeight="1">
      <c r="A446" s="185"/>
      <c r="B446" s="360"/>
      <c r="C446" s="361"/>
      <c r="D446" s="185"/>
      <c r="E446" s="185"/>
      <c r="F446" s="362"/>
      <c r="G446" s="360"/>
      <c r="H446" s="185"/>
      <c r="I446" s="362"/>
      <c r="J446" s="185"/>
      <c r="K446" s="363"/>
      <c r="L446" s="363"/>
      <c r="M446" s="363"/>
      <c r="N446" s="363"/>
      <c r="O446" s="363"/>
      <c r="P446" s="363"/>
      <c r="Q446" s="362"/>
      <c r="R446" s="185"/>
      <c r="S446" s="185"/>
      <c r="T446" s="364"/>
      <c r="U446" s="185"/>
      <c r="V446" s="185"/>
      <c r="W446" s="185"/>
      <c r="X446" s="185"/>
      <c r="Y446" s="185"/>
      <c r="Z446" s="185"/>
      <c r="AA446" s="185"/>
    </row>
    <row r="447" spans="1:27" ht="15.75" customHeight="1">
      <c r="A447" s="185"/>
      <c r="B447" s="360"/>
      <c r="C447" s="361"/>
      <c r="D447" s="185"/>
      <c r="E447" s="185"/>
      <c r="F447" s="362"/>
      <c r="G447" s="360"/>
      <c r="H447" s="185"/>
      <c r="I447" s="362"/>
      <c r="J447" s="185"/>
      <c r="K447" s="363"/>
      <c r="L447" s="363"/>
      <c r="M447" s="363"/>
      <c r="N447" s="363"/>
      <c r="O447" s="363"/>
      <c r="P447" s="363"/>
      <c r="Q447" s="362"/>
      <c r="R447" s="185"/>
      <c r="S447" s="185"/>
      <c r="T447" s="364"/>
      <c r="U447" s="185"/>
      <c r="V447" s="185"/>
      <c r="W447" s="185"/>
      <c r="X447" s="185"/>
      <c r="Y447" s="185"/>
      <c r="Z447" s="185"/>
      <c r="AA447" s="185"/>
    </row>
    <row r="448" spans="1:27" ht="15.75" customHeight="1">
      <c r="A448" s="185"/>
      <c r="B448" s="360"/>
      <c r="C448" s="361"/>
      <c r="D448" s="185"/>
      <c r="E448" s="185"/>
      <c r="F448" s="362"/>
      <c r="G448" s="360"/>
      <c r="H448" s="185"/>
      <c r="I448" s="362"/>
      <c r="J448" s="185"/>
      <c r="K448" s="363"/>
      <c r="L448" s="363"/>
      <c r="M448" s="363"/>
      <c r="N448" s="363"/>
      <c r="O448" s="363"/>
      <c r="P448" s="363"/>
      <c r="Q448" s="362"/>
      <c r="R448" s="185"/>
      <c r="S448" s="185"/>
      <c r="T448" s="364"/>
      <c r="U448" s="185"/>
      <c r="V448" s="185"/>
      <c r="W448" s="185"/>
      <c r="X448" s="185"/>
      <c r="Y448" s="185"/>
      <c r="Z448" s="185"/>
      <c r="AA448" s="185"/>
    </row>
    <row r="449" spans="1:27" ht="15.75" customHeight="1">
      <c r="A449" s="185"/>
      <c r="B449" s="360"/>
      <c r="C449" s="361"/>
      <c r="D449" s="185"/>
      <c r="E449" s="185"/>
      <c r="F449" s="362"/>
      <c r="G449" s="360"/>
      <c r="H449" s="185"/>
      <c r="I449" s="362"/>
      <c r="J449" s="185"/>
      <c r="K449" s="363"/>
      <c r="L449" s="363"/>
      <c r="M449" s="363"/>
      <c r="N449" s="363"/>
      <c r="O449" s="363"/>
      <c r="P449" s="363"/>
      <c r="Q449" s="362"/>
      <c r="R449" s="185"/>
      <c r="S449" s="185"/>
      <c r="T449" s="364"/>
      <c r="U449" s="185"/>
      <c r="V449" s="185"/>
      <c r="W449" s="185"/>
      <c r="X449" s="185"/>
      <c r="Y449" s="185"/>
      <c r="Z449" s="185"/>
      <c r="AA449" s="185"/>
    </row>
    <row r="450" spans="1:27" ht="15.75" customHeight="1">
      <c r="A450" s="185"/>
      <c r="B450" s="360"/>
      <c r="C450" s="361"/>
      <c r="D450" s="185"/>
      <c r="E450" s="185"/>
      <c r="F450" s="362"/>
      <c r="G450" s="360"/>
      <c r="H450" s="185"/>
      <c r="I450" s="362"/>
      <c r="J450" s="185"/>
      <c r="K450" s="363"/>
      <c r="L450" s="363"/>
      <c r="M450" s="363"/>
      <c r="N450" s="363"/>
      <c r="O450" s="363"/>
      <c r="P450" s="363"/>
      <c r="Q450" s="362"/>
      <c r="R450" s="185"/>
      <c r="S450" s="185"/>
      <c r="T450" s="364"/>
      <c r="U450" s="185"/>
      <c r="V450" s="185"/>
      <c r="W450" s="185"/>
      <c r="X450" s="185"/>
      <c r="Y450" s="185"/>
      <c r="Z450" s="185"/>
      <c r="AA450" s="185"/>
    </row>
    <row r="451" spans="1:27" ht="15.75" customHeight="1">
      <c r="A451" s="185"/>
      <c r="B451" s="360"/>
      <c r="C451" s="361"/>
      <c r="D451" s="185"/>
      <c r="E451" s="185"/>
      <c r="F451" s="362"/>
      <c r="G451" s="360"/>
      <c r="H451" s="185"/>
      <c r="I451" s="362"/>
      <c r="J451" s="185"/>
      <c r="K451" s="363"/>
      <c r="L451" s="363"/>
      <c r="M451" s="363"/>
      <c r="N451" s="363"/>
      <c r="O451" s="363"/>
      <c r="P451" s="363"/>
      <c r="Q451" s="362"/>
      <c r="R451" s="185"/>
      <c r="S451" s="185"/>
      <c r="T451" s="364"/>
      <c r="U451" s="185"/>
      <c r="V451" s="185"/>
      <c r="W451" s="185"/>
      <c r="X451" s="185"/>
      <c r="Y451" s="185"/>
      <c r="Z451" s="185"/>
      <c r="AA451" s="185"/>
    </row>
    <row r="452" spans="1:27" ht="15.75" customHeight="1">
      <c r="A452" s="185"/>
      <c r="B452" s="360"/>
      <c r="C452" s="361"/>
      <c r="D452" s="185"/>
      <c r="E452" s="185"/>
      <c r="F452" s="362"/>
      <c r="G452" s="360"/>
      <c r="H452" s="185"/>
      <c r="I452" s="362"/>
      <c r="J452" s="185"/>
      <c r="K452" s="363"/>
      <c r="L452" s="363"/>
      <c r="M452" s="363"/>
      <c r="N452" s="363"/>
      <c r="O452" s="363"/>
      <c r="P452" s="363"/>
      <c r="Q452" s="362"/>
      <c r="R452" s="185"/>
      <c r="S452" s="185"/>
      <c r="T452" s="364"/>
      <c r="U452" s="185"/>
      <c r="V452" s="185"/>
      <c r="W452" s="185"/>
      <c r="X452" s="185"/>
      <c r="Y452" s="185"/>
      <c r="Z452" s="185"/>
      <c r="AA452" s="185"/>
    </row>
    <row r="453" spans="1:27" ht="15.75" customHeight="1">
      <c r="A453" s="185"/>
      <c r="B453" s="360"/>
      <c r="C453" s="361"/>
      <c r="D453" s="185"/>
      <c r="E453" s="185"/>
      <c r="F453" s="362"/>
      <c r="G453" s="360"/>
      <c r="H453" s="185"/>
      <c r="I453" s="362"/>
      <c r="J453" s="185"/>
      <c r="K453" s="363"/>
      <c r="L453" s="363"/>
      <c r="M453" s="363"/>
      <c r="N453" s="363"/>
      <c r="O453" s="363"/>
      <c r="P453" s="363"/>
      <c r="Q453" s="362"/>
      <c r="R453" s="185"/>
      <c r="S453" s="185"/>
      <c r="T453" s="364"/>
      <c r="U453" s="185"/>
      <c r="V453" s="185"/>
      <c r="W453" s="185"/>
      <c r="X453" s="185"/>
      <c r="Y453" s="185"/>
      <c r="Z453" s="185"/>
      <c r="AA453" s="185"/>
    </row>
    <row r="454" spans="1:27" ht="15.75" customHeight="1">
      <c r="A454" s="185"/>
      <c r="B454" s="360"/>
      <c r="C454" s="361"/>
      <c r="D454" s="185"/>
      <c r="E454" s="185"/>
      <c r="F454" s="362"/>
      <c r="G454" s="360"/>
      <c r="H454" s="185"/>
      <c r="I454" s="362"/>
      <c r="J454" s="185"/>
      <c r="K454" s="363"/>
      <c r="L454" s="363"/>
      <c r="M454" s="363"/>
      <c r="N454" s="363"/>
      <c r="O454" s="363"/>
      <c r="P454" s="363"/>
      <c r="Q454" s="362"/>
      <c r="R454" s="185"/>
      <c r="S454" s="185"/>
      <c r="T454" s="364"/>
      <c r="U454" s="185"/>
      <c r="V454" s="185"/>
      <c r="W454" s="185"/>
      <c r="X454" s="185"/>
      <c r="Y454" s="185"/>
      <c r="Z454" s="185"/>
      <c r="AA454" s="185"/>
    </row>
    <row r="455" spans="1:27" ht="15.75" customHeight="1">
      <c r="A455" s="185"/>
      <c r="B455" s="360"/>
      <c r="C455" s="361"/>
      <c r="D455" s="185"/>
      <c r="E455" s="185"/>
      <c r="F455" s="362"/>
      <c r="G455" s="360"/>
      <c r="H455" s="185"/>
      <c r="I455" s="362"/>
      <c r="J455" s="185"/>
      <c r="K455" s="363"/>
      <c r="L455" s="363"/>
      <c r="M455" s="363"/>
      <c r="N455" s="363"/>
      <c r="O455" s="363"/>
      <c r="P455" s="363"/>
      <c r="Q455" s="362"/>
      <c r="R455" s="185"/>
      <c r="S455" s="185"/>
      <c r="T455" s="364"/>
      <c r="U455" s="185"/>
      <c r="V455" s="185"/>
      <c r="W455" s="185"/>
      <c r="X455" s="185"/>
      <c r="Y455" s="185"/>
      <c r="Z455" s="185"/>
      <c r="AA455" s="185"/>
    </row>
    <row r="456" spans="1:27" ht="15.75" customHeight="1">
      <c r="A456" s="185"/>
      <c r="B456" s="360"/>
      <c r="C456" s="361"/>
      <c r="D456" s="185"/>
      <c r="E456" s="185"/>
      <c r="F456" s="362"/>
      <c r="G456" s="360"/>
      <c r="H456" s="185"/>
      <c r="I456" s="362"/>
      <c r="J456" s="185"/>
      <c r="K456" s="363"/>
      <c r="L456" s="363"/>
      <c r="M456" s="363"/>
      <c r="N456" s="363"/>
      <c r="O456" s="363"/>
      <c r="P456" s="363"/>
      <c r="Q456" s="362"/>
      <c r="R456" s="185"/>
      <c r="S456" s="185"/>
      <c r="T456" s="364"/>
      <c r="U456" s="185"/>
      <c r="V456" s="185"/>
      <c r="W456" s="185"/>
      <c r="X456" s="185"/>
      <c r="Y456" s="185"/>
      <c r="Z456" s="185"/>
      <c r="AA456" s="185"/>
    </row>
    <row r="457" spans="1:27" ht="15.75" customHeight="1">
      <c r="A457" s="185"/>
      <c r="B457" s="360"/>
      <c r="C457" s="361"/>
      <c r="D457" s="185"/>
      <c r="E457" s="185"/>
      <c r="F457" s="362"/>
      <c r="G457" s="360"/>
      <c r="H457" s="185"/>
      <c r="I457" s="362"/>
      <c r="J457" s="185"/>
      <c r="K457" s="363"/>
      <c r="L457" s="363"/>
      <c r="M457" s="363"/>
      <c r="N457" s="363"/>
      <c r="O457" s="363"/>
      <c r="P457" s="363"/>
      <c r="Q457" s="362"/>
      <c r="R457" s="185"/>
      <c r="S457" s="185"/>
      <c r="T457" s="364"/>
      <c r="U457" s="185"/>
      <c r="V457" s="185"/>
      <c r="W457" s="185"/>
      <c r="X457" s="185"/>
      <c r="Y457" s="185"/>
      <c r="Z457" s="185"/>
      <c r="AA457" s="185"/>
    </row>
    <row r="458" spans="1:27" ht="15.75" customHeight="1">
      <c r="A458" s="185"/>
      <c r="B458" s="360"/>
      <c r="C458" s="361"/>
      <c r="D458" s="185"/>
      <c r="E458" s="185"/>
      <c r="F458" s="362"/>
      <c r="G458" s="360"/>
      <c r="H458" s="185"/>
      <c r="I458" s="362"/>
      <c r="J458" s="185"/>
      <c r="K458" s="363"/>
      <c r="L458" s="363"/>
      <c r="M458" s="363"/>
      <c r="N458" s="363"/>
      <c r="O458" s="363"/>
      <c r="P458" s="363"/>
      <c r="Q458" s="362"/>
      <c r="R458" s="185"/>
      <c r="S458" s="185"/>
      <c r="T458" s="364"/>
      <c r="U458" s="185"/>
      <c r="V458" s="185"/>
      <c r="W458" s="185"/>
      <c r="X458" s="185"/>
      <c r="Y458" s="185"/>
      <c r="Z458" s="185"/>
      <c r="AA458" s="185"/>
    </row>
    <row r="459" spans="1:27" ht="15.75" customHeight="1">
      <c r="A459" s="185"/>
      <c r="B459" s="360"/>
      <c r="C459" s="361"/>
      <c r="D459" s="185"/>
      <c r="E459" s="185"/>
      <c r="F459" s="362"/>
      <c r="G459" s="360"/>
      <c r="H459" s="185"/>
      <c r="I459" s="362"/>
      <c r="J459" s="185"/>
      <c r="K459" s="363"/>
      <c r="L459" s="363"/>
      <c r="M459" s="363"/>
      <c r="N459" s="363"/>
      <c r="O459" s="363"/>
      <c r="P459" s="363"/>
      <c r="Q459" s="362"/>
      <c r="R459" s="185"/>
      <c r="S459" s="185"/>
      <c r="T459" s="364"/>
      <c r="U459" s="185"/>
      <c r="V459" s="185"/>
      <c r="W459" s="185"/>
      <c r="X459" s="185"/>
      <c r="Y459" s="185"/>
      <c r="Z459" s="185"/>
      <c r="AA459" s="185"/>
    </row>
    <row r="460" spans="1:27" ht="15.75" customHeight="1">
      <c r="A460" s="185"/>
      <c r="B460" s="360"/>
      <c r="C460" s="361"/>
      <c r="D460" s="185"/>
      <c r="E460" s="185"/>
      <c r="F460" s="362"/>
      <c r="G460" s="360"/>
      <c r="H460" s="185"/>
      <c r="I460" s="362"/>
      <c r="J460" s="185"/>
      <c r="K460" s="363"/>
      <c r="L460" s="363"/>
      <c r="M460" s="363"/>
      <c r="N460" s="363"/>
      <c r="O460" s="363"/>
      <c r="P460" s="363"/>
      <c r="Q460" s="362"/>
      <c r="R460" s="185"/>
      <c r="S460" s="185"/>
      <c r="T460" s="364"/>
      <c r="U460" s="185"/>
      <c r="V460" s="185"/>
      <c r="W460" s="185"/>
      <c r="X460" s="185"/>
      <c r="Y460" s="185"/>
      <c r="Z460" s="185"/>
      <c r="AA460" s="185"/>
    </row>
    <row r="461" spans="1:27" ht="15.75" customHeight="1">
      <c r="A461" s="185"/>
      <c r="B461" s="360"/>
      <c r="C461" s="361"/>
      <c r="D461" s="185"/>
      <c r="E461" s="185"/>
      <c r="F461" s="362"/>
      <c r="G461" s="360"/>
      <c r="H461" s="185"/>
      <c r="I461" s="362"/>
      <c r="J461" s="185"/>
      <c r="K461" s="363"/>
      <c r="L461" s="363"/>
      <c r="M461" s="363"/>
      <c r="N461" s="363"/>
      <c r="O461" s="363"/>
      <c r="P461" s="363"/>
      <c r="Q461" s="362"/>
      <c r="R461" s="185"/>
      <c r="S461" s="185"/>
      <c r="T461" s="364"/>
      <c r="U461" s="185"/>
      <c r="V461" s="185"/>
      <c r="W461" s="185"/>
      <c r="X461" s="185"/>
      <c r="Y461" s="185"/>
      <c r="Z461" s="185"/>
      <c r="AA461" s="185"/>
    </row>
    <row r="462" spans="1:27" ht="15.75" customHeight="1">
      <c r="A462" s="185"/>
      <c r="B462" s="360"/>
      <c r="C462" s="361"/>
      <c r="D462" s="185"/>
      <c r="E462" s="185"/>
      <c r="F462" s="362"/>
      <c r="G462" s="360"/>
      <c r="H462" s="185"/>
      <c r="I462" s="362"/>
      <c r="J462" s="185"/>
      <c r="K462" s="363"/>
      <c r="L462" s="363"/>
      <c r="M462" s="363"/>
      <c r="N462" s="363"/>
      <c r="O462" s="363"/>
      <c r="P462" s="363"/>
      <c r="Q462" s="362"/>
      <c r="R462" s="185"/>
      <c r="S462" s="185"/>
      <c r="T462" s="364"/>
      <c r="U462" s="185"/>
      <c r="V462" s="185"/>
      <c r="W462" s="185"/>
      <c r="X462" s="185"/>
      <c r="Y462" s="185"/>
      <c r="Z462" s="185"/>
      <c r="AA462" s="185"/>
    </row>
    <row r="463" spans="1:27" ht="15.75" customHeight="1">
      <c r="A463" s="185"/>
      <c r="B463" s="360"/>
      <c r="C463" s="361"/>
      <c r="D463" s="185"/>
      <c r="E463" s="185"/>
      <c r="F463" s="362"/>
      <c r="G463" s="360"/>
      <c r="H463" s="185"/>
      <c r="I463" s="362"/>
      <c r="J463" s="185"/>
      <c r="K463" s="363"/>
      <c r="L463" s="363"/>
      <c r="M463" s="363"/>
      <c r="N463" s="363"/>
      <c r="O463" s="363"/>
      <c r="P463" s="363"/>
      <c r="Q463" s="362"/>
      <c r="R463" s="185"/>
      <c r="S463" s="185"/>
      <c r="T463" s="364"/>
      <c r="U463" s="185"/>
      <c r="V463" s="185"/>
      <c r="W463" s="185"/>
      <c r="X463" s="185"/>
      <c r="Y463" s="185"/>
      <c r="Z463" s="185"/>
      <c r="AA463" s="185"/>
    </row>
    <row r="464" spans="1:27" ht="15.75" customHeight="1">
      <c r="A464" s="185"/>
      <c r="B464" s="360"/>
      <c r="C464" s="361"/>
      <c r="D464" s="185"/>
      <c r="E464" s="185"/>
      <c r="F464" s="362"/>
      <c r="G464" s="360"/>
      <c r="H464" s="185"/>
      <c r="I464" s="362"/>
      <c r="J464" s="185"/>
      <c r="K464" s="363"/>
      <c r="L464" s="363"/>
      <c r="M464" s="363"/>
      <c r="N464" s="363"/>
      <c r="O464" s="363"/>
      <c r="P464" s="363"/>
      <c r="Q464" s="362"/>
      <c r="R464" s="185"/>
      <c r="S464" s="185"/>
      <c r="T464" s="364"/>
      <c r="U464" s="185"/>
      <c r="V464" s="185"/>
      <c r="W464" s="185"/>
      <c r="X464" s="185"/>
      <c r="Y464" s="185"/>
      <c r="Z464" s="185"/>
      <c r="AA464" s="185"/>
    </row>
    <row r="465" spans="1:27" ht="15.75" customHeight="1">
      <c r="A465" s="185"/>
      <c r="B465" s="360"/>
      <c r="C465" s="361"/>
      <c r="D465" s="185"/>
      <c r="E465" s="185"/>
      <c r="F465" s="362"/>
      <c r="G465" s="360"/>
      <c r="H465" s="185"/>
      <c r="I465" s="362"/>
      <c r="J465" s="185"/>
      <c r="K465" s="363"/>
      <c r="L465" s="363"/>
      <c r="M465" s="363"/>
      <c r="N465" s="363"/>
      <c r="O465" s="363"/>
      <c r="P465" s="363"/>
      <c r="Q465" s="362"/>
      <c r="R465" s="185"/>
      <c r="S465" s="185"/>
      <c r="T465" s="364"/>
      <c r="U465" s="185"/>
      <c r="V465" s="185"/>
      <c r="W465" s="185"/>
      <c r="X465" s="185"/>
      <c r="Y465" s="185"/>
      <c r="Z465" s="185"/>
      <c r="AA465" s="185"/>
    </row>
    <row r="466" spans="1:27" ht="15.75" customHeight="1">
      <c r="A466" s="185"/>
      <c r="B466" s="360"/>
      <c r="C466" s="361"/>
      <c r="D466" s="185"/>
      <c r="E466" s="185"/>
      <c r="F466" s="362"/>
      <c r="G466" s="360"/>
      <c r="H466" s="185"/>
      <c r="I466" s="362"/>
      <c r="J466" s="185"/>
      <c r="K466" s="363"/>
      <c r="L466" s="363"/>
      <c r="M466" s="363"/>
      <c r="N466" s="363"/>
      <c r="O466" s="363"/>
      <c r="P466" s="363"/>
      <c r="Q466" s="362"/>
      <c r="R466" s="185"/>
      <c r="S466" s="185"/>
      <c r="T466" s="364"/>
      <c r="U466" s="185"/>
      <c r="V466" s="185"/>
      <c r="W466" s="185"/>
      <c r="X466" s="185"/>
      <c r="Y466" s="185"/>
      <c r="Z466" s="185"/>
      <c r="AA466" s="185"/>
    </row>
    <row r="467" spans="1:27" ht="15.75" customHeight="1">
      <c r="A467" s="185"/>
      <c r="B467" s="360"/>
      <c r="C467" s="361"/>
      <c r="D467" s="185"/>
      <c r="E467" s="185"/>
      <c r="F467" s="362"/>
      <c r="G467" s="360"/>
      <c r="H467" s="185"/>
      <c r="I467" s="362"/>
      <c r="J467" s="185"/>
      <c r="K467" s="363"/>
      <c r="L467" s="363"/>
      <c r="M467" s="363"/>
      <c r="N467" s="363"/>
      <c r="O467" s="363"/>
      <c r="P467" s="363"/>
      <c r="Q467" s="362"/>
      <c r="R467" s="185"/>
      <c r="S467" s="185"/>
      <c r="T467" s="364"/>
      <c r="U467" s="185"/>
      <c r="V467" s="185"/>
      <c r="W467" s="185"/>
      <c r="X467" s="185"/>
      <c r="Y467" s="185"/>
      <c r="Z467" s="185"/>
      <c r="AA467" s="185"/>
    </row>
    <row r="468" spans="1:27" ht="15.75" customHeight="1">
      <c r="A468" s="185"/>
      <c r="B468" s="360"/>
      <c r="C468" s="361"/>
      <c r="D468" s="185"/>
      <c r="E468" s="185"/>
      <c r="F468" s="362"/>
      <c r="G468" s="360"/>
      <c r="H468" s="185"/>
      <c r="I468" s="362"/>
      <c r="J468" s="185"/>
      <c r="K468" s="363"/>
      <c r="L468" s="363"/>
      <c r="M468" s="363"/>
      <c r="N468" s="363"/>
      <c r="O468" s="363"/>
      <c r="P468" s="363"/>
      <c r="Q468" s="362"/>
      <c r="R468" s="185"/>
      <c r="S468" s="185"/>
      <c r="T468" s="364"/>
      <c r="U468" s="185"/>
      <c r="V468" s="185"/>
      <c r="W468" s="185"/>
      <c r="X468" s="185"/>
      <c r="Y468" s="185"/>
      <c r="Z468" s="185"/>
      <c r="AA468" s="185"/>
    </row>
    <row r="469" spans="1:27" ht="15.75" customHeight="1">
      <c r="A469" s="185"/>
      <c r="B469" s="360"/>
      <c r="C469" s="361"/>
      <c r="D469" s="185"/>
      <c r="E469" s="185"/>
      <c r="F469" s="362"/>
      <c r="G469" s="360"/>
      <c r="H469" s="185"/>
      <c r="I469" s="362"/>
      <c r="J469" s="185"/>
      <c r="K469" s="363"/>
      <c r="L469" s="363"/>
      <c r="M469" s="363"/>
      <c r="N469" s="363"/>
      <c r="O469" s="363"/>
      <c r="P469" s="363"/>
      <c r="Q469" s="362"/>
      <c r="R469" s="185"/>
      <c r="S469" s="185"/>
      <c r="T469" s="364"/>
      <c r="U469" s="185"/>
      <c r="V469" s="185"/>
      <c r="W469" s="185"/>
      <c r="X469" s="185"/>
      <c r="Y469" s="185"/>
      <c r="Z469" s="185"/>
      <c r="AA469" s="185"/>
    </row>
    <row r="470" spans="1:27" ht="15.75" customHeight="1">
      <c r="A470" s="185"/>
      <c r="B470" s="360"/>
      <c r="C470" s="361"/>
      <c r="D470" s="185"/>
      <c r="E470" s="185"/>
      <c r="F470" s="362"/>
      <c r="G470" s="360"/>
      <c r="H470" s="185"/>
      <c r="I470" s="362"/>
      <c r="J470" s="185"/>
      <c r="K470" s="363"/>
      <c r="L470" s="363"/>
      <c r="M470" s="363"/>
      <c r="N470" s="363"/>
      <c r="O470" s="363"/>
      <c r="P470" s="363"/>
      <c r="Q470" s="362"/>
      <c r="R470" s="185"/>
      <c r="S470" s="185"/>
      <c r="T470" s="364"/>
      <c r="U470" s="185"/>
      <c r="V470" s="185"/>
      <c r="W470" s="185"/>
      <c r="X470" s="185"/>
      <c r="Y470" s="185"/>
      <c r="Z470" s="185"/>
      <c r="AA470" s="185"/>
    </row>
    <row r="471" spans="1:27" ht="15.75" customHeight="1">
      <c r="A471" s="185"/>
      <c r="B471" s="360"/>
      <c r="C471" s="361"/>
      <c r="D471" s="185"/>
      <c r="E471" s="185"/>
      <c r="F471" s="362"/>
      <c r="G471" s="360"/>
      <c r="H471" s="185"/>
      <c r="I471" s="362"/>
      <c r="J471" s="185"/>
      <c r="K471" s="363"/>
      <c r="L471" s="363"/>
      <c r="M471" s="363"/>
      <c r="N471" s="363"/>
      <c r="O471" s="363"/>
      <c r="P471" s="363"/>
      <c r="Q471" s="362"/>
      <c r="R471" s="185"/>
      <c r="S471" s="185"/>
      <c r="T471" s="364"/>
      <c r="U471" s="185"/>
      <c r="V471" s="185"/>
      <c r="W471" s="185"/>
      <c r="X471" s="185"/>
      <c r="Y471" s="185"/>
      <c r="Z471" s="185"/>
      <c r="AA471" s="185"/>
    </row>
    <row r="472" spans="1:27" ht="15.75" customHeight="1">
      <c r="A472" s="185"/>
      <c r="B472" s="360"/>
      <c r="C472" s="361"/>
      <c r="D472" s="185"/>
      <c r="E472" s="185"/>
      <c r="F472" s="362"/>
      <c r="G472" s="360"/>
      <c r="H472" s="185"/>
      <c r="I472" s="362"/>
      <c r="J472" s="185"/>
      <c r="K472" s="363"/>
      <c r="L472" s="363"/>
      <c r="M472" s="363"/>
      <c r="N472" s="363"/>
      <c r="O472" s="363"/>
      <c r="P472" s="363"/>
      <c r="Q472" s="362"/>
      <c r="R472" s="185"/>
      <c r="S472" s="185"/>
      <c r="T472" s="364"/>
      <c r="U472" s="185"/>
      <c r="V472" s="185"/>
      <c r="W472" s="185"/>
      <c r="X472" s="185"/>
      <c r="Y472" s="185"/>
      <c r="Z472" s="185"/>
      <c r="AA472" s="185"/>
    </row>
    <row r="473" spans="1:27" ht="15.75" customHeight="1">
      <c r="A473" s="185"/>
      <c r="B473" s="360"/>
      <c r="C473" s="361"/>
      <c r="D473" s="185"/>
      <c r="E473" s="185"/>
      <c r="F473" s="362"/>
      <c r="G473" s="360"/>
      <c r="H473" s="185"/>
      <c r="I473" s="362"/>
      <c r="J473" s="185"/>
      <c r="K473" s="363"/>
      <c r="L473" s="363"/>
      <c r="M473" s="363"/>
      <c r="N473" s="363"/>
      <c r="O473" s="363"/>
      <c r="P473" s="363"/>
      <c r="Q473" s="362"/>
      <c r="R473" s="185"/>
      <c r="S473" s="185"/>
      <c r="T473" s="364"/>
      <c r="U473" s="185"/>
      <c r="V473" s="185"/>
      <c r="W473" s="185"/>
      <c r="X473" s="185"/>
      <c r="Y473" s="185"/>
      <c r="Z473" s="185"/>
      <c r="AA473" s="185"/>
    </row>
    <row r="474" spans="1:27" ht="15.75" customHeight="1">
      <c r="A474" s="185"/>
      <c r="B474" s="360"/>
      <c r="C474" s="361"/>
      <c r="D474" s="185"/>
      <c r="E474" s="185"/>
      <c r="F474" s="362"/>
      <c r="G474" s="360"/>
      <c r="H474" s="185"/>
      <c r="I474" s="362"/>
      <c r="J474" s="185"/>
      <c r="K474" s="363"/>
      <c r="L474" s="363"/>
      <c r="M474" s="363"/>
      <c r="N474" s="363"/>
      <c r="O474" s="363"/>
      <c r="P474" s="363"/>
      <c r="Q474" s="362"/>
      <c r="R474" s="185"/>
      <c r="S474" s="185"/>
      <c r="T474" s="364"/>
      <c r="U474" s="185"/>
      <c r="V474" s="185"/>
      <c r="W474" s="185"/>
      <c r="X474" s="185"/>
      <c r="Y474" s="185"/>
      <c r="Z474" s="185"/>
      <c r="AA474" s="185"/>
    </row>
    <row r="475" spans="1:27" ht="15.75" customHeight="1">
      <c r="A475" s="185"/>
      <c r="B475" s="360"/>
      <c r="C475" s="361"/>
      <c r="D475" s="185"/>
      <c r="E475" s="185"/>
      <c r="F475" s="362"/>
      <c r="G475" s="360"/>
      <c r="H475" s="185"/>
      <c r="I475" s="362"/>
      <c r="J475" s="185"/>
      <c r="K475" s="363"/>
      <c r="L475" s="363"/>
      <c r="M475" s="363"/>
      <c r="N475" s="363"/>
      <c r="O475" s="363"/>
      <c r="P475" s="363"/>
      <c r="Q475" s="362"/>
      <c r="R475" s="185"/>
      <c r="S475" s="185"/>
      <c r="T475" s="364"/>
      <c r="U475" s="185"/>
      <c r="V475" s="185"/>
      <c r="W475" s="185"/>
      <c r="X475" s="185"/>
      <c r="Y475" s="185"/>
      <c r="Z475" s="185"/>
      <c r="AA475" s="185"/>
    </row>
    <row r="476" spans="1:27" ht="15.75" customHeight="1">
      <c r="A476" s="185"/>
      <c r="B476" s="360"/>
      <c r="C476" s="361"/>
      <c r="D476" s="185"/>
      <c r="E476" s="185"/>
      <c r="F476" s="362"/>
      <c r="G476" s="360"/>
      <c r="H476" s="185"/>
      <c r="I476" s="362"/>
      <c r="J476" s="185"/>
      <c r="K476" s="363"/>
      <c r="L476" s="363"/>
      <c r="M476" s="363"/>
      <c r="N476" s="363"/>
      <c r="O476" s="363"/>
      <c r="P476" s="363"/>
      <c r="Q476" s="362"/>
      <c r="R476" s="185"/>
      <c r="S476" s="185"/>
      <c r="T476" s="364"/>
      <c r="U476" s="185"/>
      <c r="V476" s="185"/>
      <c r="W476" s="185"/>
      <c r="X476" s="185"/>
      <c r="Y476" s="185"/>
      <c r="Z476" s="185"/>
      <c r="AA476" s="185"/>
    </row>
    <row r="477" spans="1:27" ht="15.75" customHeight="1">
      <c r="A477" s="185"/>
      <c r="B477" s="360"/>
      <c r="C477" s="361"/>
      <c r="D477" s="185"/>
      <c r="E477" s="185"/>
      <c r="F477" s="362"/>
      <c r="G477" s="360"/>
      <c r="H477" s="185"/>
      <c r="I477" s="362"/>
      <c r="J477" s="185"/>
      <c r="K477" s="363"/>
      <c r="L477" s="363"/>
      <c r="M477" s="363"/>
      <c r="N477" s="363"/>
      <c r="O477" s="363"/>
      <c r="P477" s="363"/>
      <c r="Q477" s="362"/>
      <c r="R477" s="185"/>
      <c r="S477" s="185"/>
      <c r="T477" s="364"/>
      <c r="U477" s="185"/>
      <c r="V477" s="185"/>
      <c r="W477" s="185"/>
      <c r="X477" s="185"/>
      <c r="Y477" s="185"/>
      <c r="Z477" s="185"/>
      <c r="AA477" s="185"/>
    </row>
    <row r="478" spans="1:27" ht="15.75" customHeight="1">
      <c r="A478" s="185"/>
      <c r="B478" s="360"/>
      <c r="C478" s="361"/>
      <c r="D478" s="185"/>
      <c r="E478" s="185"/>
      <c r="F478" s="362"/>
      <c r="G478" s="360"/>
      <c r="H478" s="185"/>
      <c r="I478" s="362"/>
      <c r="J478" s="185"/>
      <c r="K478" s="363"/>
      <c r="L478" s="363"/>
      <c r="M478" s="363"/>
      <c r="N478" s="363"/>
      <c r="O478" s="363"/>
      <c r="P478" s="363"/>
      <c r="Q478" s="362"/>
      <c r="R478" s="185"/>
      <c r="S478" s="185"/>
      <c r="T478" s="364"/>
      <c r="U478" s="185"/>
      <c r="V478" s="185"/>
      <c r="W478" s="185"/>
      <c r="X478" s="185"/>
      <c r="Y478" s="185"/>
      <c r="Z478" s="185"/>
      <c r="AA478" s="185"/>
    </row>
    <row r="479" spans="1:27" ht="15.75" customHeight="1">
      <c r="A479" s="185"/>
      <c r="B479" s="360"/>
      <c r="C479" s="361"/>
      <c r="D479" s="185"/>
      <c r="E479" s="185"/>
      <c r="F479" s="362"/>
      <c r="G479" s="360"/>
      <c r="H479" s="185"/>
      <c r="I479" s="362"/>
      <c r="J479" s="185"/>
      <c r="K479" s="363"/>
      <c r="L479" s="363"/>
      <c r="M479" s="363"/>
      <c r="N479" s="363"/>
      <c r="O479" s="363"/>
      <c r="P479" s="363"/>
      <c r="Q479" s="362"/>
      <c r="R479" s="185"/>
      <c r="S479" s="185"/>
      <c r="T479" s="364"/>
      <c r="U479" s="185"/>
      <c r="V479" s="185"/>
      <c r="W479" s="185"/>
      <c r="X479" s="185"/>
      <c r="Y479" s="185"/>
      <c r="Z479" s="185"/>
      <c r="AA479" s="185"/>
    </row>
    <row r="480" spans="1:27" ht="15.75" customHeight="1">
      <c r="A480" s="185"/>
      <c r="B480" s="360"/>
      <c r="C480" s="361"/>
      <c r="D480" s="185"/>
      <c r="E480" s="185"/>
      <c r="F480" s="362"/>
      <c r="G480" s="360"/>
      <c r="H480" s="185"/>
      <c r="I480" s="362"/>
      <c r="J480" s="185"/>
      <c r="K480" s="363"/>
      <c r="L480" s="363"/>
      <c r="M480" s="363"/>
      <c r="N480" s="363"/>
      <c r="O480" s="363"/>
      <c r="P480" s="363"/>
      <c r="Q480" s="362"/>
      <c r="R480" s="185"/>
      <c r="S480" s="185"/>
      <c r="T480" s="364"/>
      <c r="U480" s="185"/>
      <c r="V480" s="185"/>
      <c r="W480" s="185"/>
      <c r="X480" s="185"/>
      <c r="Y480" s="185"/>
      <c r="Z480" s="185"/>
      <c r="AA480" s="185"/>
    </row>
    <row r="481" spans="1:27" ht="15.75" customHeight="1">
      <c r="A481" s="185"/>
      <c r="B481" s="360"/>
      <c r="C481" s="361"/>
      <c r="D481" s="185"/>
      <c r="E481" s="185"/>
      <c r="F481" s="362"/>
      <c r="G481" s="360"/>
      <c r="H481" s="185"/>
      <c r="I481" s="362"/>
      <c r="J481" s="185"/>
      <c r="K481" s="363"/>
      <c r="L481" s="363"/>
      <c r="M481" s="363"/>
      <c r="N481" s="363"/>
      <c r="O481" s="363"/>
      <c r="P481" s="363"/>
      <c r="Q481" s="362"/>
      <c r="R481" s="185"/>
      <c r="S481" s="185"/>
      <c r="T481" s="364"/>
      <c r="U481" s="185"/>
      <c r="V481" s="185"/>
      <c r="W481" s="185"/>
      <c r="X481" s="185"/>
      <c r="Y481" s="185"/>
      <c r="Z481" s="185"/>
      <c r="AA481" s="185"/>
    </row>
    <row r="482" spans="1:27" ht="15.75" customHeight="1">
      <c r="A482" s="185"/>
      <c r="B482" s="360"/>
      <c r="C482" s="361"/>
      <c r="D482" s="185"/>
      <c r="E482" s="185"/>
      <c r="F482" s="362"/>
      <c r="G482" s="360"/>
      <c r="H482" s="185"/>
      <c r="I482" s="362"/>
      <c r="J482" s="185"/>
      <c r="K482" s="363"/>
      <c r="L482" s="363"/>
      <c r="M482" s="363"/>
      <c r="N482" s="363"/>
      <c r="O482" s="363"/>
      <c r="P482" s="363"/>
      <c r="Q482" s="362"/>
      <c r="R482" s="185"/>
      <c r="S482" s="185"/>
      <c r="T482" s="364"/>
      <c r="U482" s="185"/>
      <c r="V482" s="185"/>
      <c r="W482" s="185"/>
      <c r="X482" s="185"/>
      <c r="Y482" s="185"/>
      <c r="Z482" s="185"/>
      <c r="AA482" s="185"/>
    </row>
    <row r="483" spans="1:27" ht="15.75" customHeight="1">
      <c r="A483" s="185"/>
      <c r="B483" s="360"/>
      <c r="C483" s="361"/>
      <c r="D483" s="185"/>
      <c r="E483" s="185"/>
      <c r="F483" s="362"/>
      <c r="G483" s="360"/>
      <c r="H483" s="185"/>
      <c r="I483" s="362"/>
      <c r="J483" s="185"/>
      <c r="K483" s="363"/>
      <c r="L483" s="363"/>
      <c r="M483" s="363"/>
      <c r="N483" s="363"/>
      <c r="O483" s="363"/>
      <c r="P483" s="363"/>
      <c r="Q483" s="362"/>
      <c r="R483" s="185"/>
      <c r="S483" s="185"/>
      <c r="T483" s="364"/>
      <c r="U483" s="185"/>
      <c r="V483" s="185"/>
      <c r="W483" s="185"/>
      <c r="X483" s="185"/>
      <c r="Y483" s="185"/>
      <c r="Z483" s="185"/>
      <c r="AA483" s="185"/>
    </row>
    <row r="484" spans="1:27" ht="15.75" customHeight="1">
      <c r="A484" s="185"/>
      <c r="B484" s="360"/>
      <c r="C484" s="361"/>
      <c r="D484" s="185"/>
      <c r="E484" s="185"/>
      <c r="F484" s="362"/>
      <c r="G484" s="360"/>
      <c r="H484" s="185"/>
      <c r="I484" s="362"/>
      <c r="J484" s="185"/>
      <c r="K484" s="363"/>
      <c r="L484" s="363"/>
      <c r="M484" s="363"/>
      <c r="N484" s="363"/>
      <c r="O484" s="363"/>
      <c r="P484" s="363"/>
      <c r="Q484" s="362"/>
      <c r="R484" s="185"/>
      <c r="S484" s="185"/>
      <c r="T484" s="364"/>
      <c r="U484" s="185"/>
      <c r="V484" s="185"/>
      <c r="W484" s="185"/>
      <c r="X484" s="185"/>
      <c r="Y484" s="185"/>
      <c r="Z484" s="185"/>
      <c r="AA484" s="185"/>
    </row>
    <row r="485" spans="1:27" ht="15.75" customHeight="1">
      <c r="A485" s="185"/>
      <c r="B485" s="360"/>
      <c r="C485" s="361"/>
      <c r="D485" s="185"/>
      <c r="E485" s="185"/>
      <c r="F485" s="362"/>
      <c r="G485" s="360"/>
      <c r="H485" s="185"/>
      <c r="I485" s="362"/>
      <c r="J485" s="185"/>
      <c r="K485" s="363"/>
      <c r="L485" s="363"/>
      <c r="M485" s="363"/>
      <c r="N485" s="363"/>
      <c r="O485" s="363"/>
      <c r="P485" s="363"/>
      <c r="Q485" s="362"/>
      <c r="R485" s="185"/>
      <c r="S485" s="185"/>
      <c r="T485" s="364"/>
      <c r="U485" s="185"/>
      <c r="V485" s="185"/>
      <c r="W485" s="185"/>
      <c r="X485" s="185"/>
      <c r="Y485" s="185"/>
      <c r="Z485" s="185"/>
      <c r="AA485" s="185"/>
    </row>
    <row r="486" spans="1:27" ht="15.75" customHeight="1">
      <c r="A486" s="185"/>
      <c r="B486" s="360"/>
      <c r="C486" s="361"/>
      <c r="D486" s="185"/>
      <c r="E486" s="185"/>
      <c r="F486" s="362"/>
      <c r="G486" s="360"/>
      <c r="H486" s="185"/>
      <c r="I486" s="362"/>
      <c r="J486" s="185"/>
      <c r="K486" s="363"/>
      <c r="L486" s="363"/>
      <c r="M486" s="363"/>
      <c r="N486" s="363"/>
      <c r="O486" s="363"/>
      <c r="P486" s="363"/>
      <c r="Q486" s="362"/>
      <c r="R486" s="185"/>
      <c r="S486" s="185"/>
      <c r="T486" s="364"/>
      <c r="U486" s="185"/>
      <c r="V486" s="185"/>
      <c r="W486" s="185"/>
      <c r="X486" s="185"/>
      <c r="Y486" s="185"/>
      <c r="Z486" s="185"/>
      <c r="AA486" s="185"/>
    </row>
    <row r="487" spans="1:27" ht="15.75" customHeight="1">
      <c r="A487" s="185"/>
      <c r="B487" s="360"/>
      <c r="C487" s="361"/>
      <c r="D487" s="185"/>
      <c r="E487" s="185"/>
      <c r="F487" s="362"/>
      <c r="G487" s="360"/>
      <c r="H487" s="185"/>
      <c r="I487" s="362"/>
      <c r="J487" s="185"/>
      <c r="K487" s="363"/>
      <c r="L487" s="363"/>
      <c r="M487" s="363"/>
      <c r="N487" s="363"/>
      <c r="O487" s="363"/>
      <c r="P487" s="363"/>
      <c r="Q487" s="362"/>
      <c r="R487" s="185"/>
      <c r="S487" s="185"/>
      <c r="T487" s="364"/>
      <c r="U487" s="185"/>
      <c r="V487" s="185"/>
      <c r="W487" s="185"/>
      <c r="X487" s="185"/>
      <c r="Y487" s="185"/>
      <c r="Z487" s="185"/>
      <c r="AA487" s="185"/>
    </row>
    <row r="488" spans="1:27" ht="15.75" customHeight="1">
      <c r="A488" s="185"/>
      <c r="B488" s="360"/>
      <c r="C488" s="361"/>
      <c r="D488" s="185"/>
      <c r="E488" s="185"/>
      <c r="F488" s="362"/>
      <c r="G488" s="360"/>
      <c r="H488" s="185"/>
      <c r="I488" s="362"/>
      <c r="J488" s="185"/>
      <c r="K488" s="363"/>
      <c r="L488" s="363"/>
      <c r="M488" s="363"/>
      <c r="N488" s="363"/>
      <c r="O488" s="363"/>
      <c r="P488" s="363"/>
      <c r="Q488" s="362"/>
      <c r="R488" s="185"/>
      <c r="S488" s="185"/>
      <c r="T488" s="364"/>
      <c r="U488" s="185"/>
      <c r="V488" s="185"/>
      <c r="W488" s="185"/>
      <c r="X488" s="185"/>
      <c r="Y488" s="185"/>
      <c r="Z488" s="185"/>
      <c r="AA488" s="185"/>
    </row>
    <row r="489" spans="1:27" ht="15.75" customHeight="1">
      <c r="A489" s="185"/>
      <c r="B489" s="360"/>
      <c r="C489" s="361"/>
      <c r="D489" s="185"/>
      <c r="E489" s="185"/>
      <c r="F489" s="362"/>
      <c r="G489" s="360"/>
      <c r="H489" s="185"/>
      <c r="I489" s="362"/>
      <c r="J489" s="185"/>
      <c r="K489" s="363"/>
      <c r="L489" s="363"/>
      <c r="M489" s="363"/>
      <c r="N489" s="363"/>
      <c r="O489" s="363"/>
      <c r="P489" s="363"/>
      <c r="Q489" s="362"/>
      <c r="R489" s="185"/>
      <c r="S489" s="185"/>
      <c r="T489" s="364"/>
      <c r="U489" s="185"/>
      <c r="V489" s="185"/>
      <c r="W489" s="185"/>
      <c r="X489" s="185"/>
      <c r="Y489" s="185"/>
      <c r="Z489" s="185"/>
      <c r="AA489" s="185"/>
    </row>
    <row r="490" spans="1:27" ht="15.75" customHeight="1">
      <c r="A490" s="185"/>
      <c r="B490" s="360"/>
      <c r="C490" s="361"/>
      <c r="D490" s="185"/>
      <c r="E490" s="185"/>
      <c r="F490" s="362"/>
      <c r="G490" s="360"/>
      <c r="H490" s="185"/>
      <c r="I490" s="362"/>
      <c r="J490" s="185"/>
      <c r="K490" s="363"/>
      <c r="L490" s="363"/>
      <c r="M490" s="363"/>
      <c r="N490" s="363"/>
      <c r="O490" s="363"/>
      <c r="P490" s="363"/>
      <c r="Q490" s="362"/>
      <c r="R490" s="185"/>
      <c r="S490" s="185"/>
      <c r="T490" s="364"/>
      <c r="U490" s="185"/>
      <c r="V490" s="185"/>
      <c r="W490" s="185"/>
      <c r="X490" s="185"/>
      <c r="Y490" s="185"/>
      <c r="Z490" s="185"/>
      <c r="AA490" s="185"/>
    </row>
    <row r="491" spans="1:27" ht="15.75" customHeight="1">
      <c r="A491" s="185"/>
      <c r="B491" s="360"/>
      <c r="C491" s="361"/>
      <c r="D491" s="185"/>
      <c r="E491" s="185"/>
      <c r="F491" s="362"/>
      <c r="G491" s="360"/>
      <c r="H491" s="185"/>
      <c r="I491" s="362"/>
      <c r="J491" s="185"/>
      <c r="K491" s="363"/>
      <c r="L491" s="363"/>
      <c r="M491" s="363"/>
      <c r="N491" s="363"/>
      <c r="O491" s="363"/>
      <c r="P491" s="363"/>
      <c r="Q491" s="362"/>
      <c r="R491" s="185"/>
      <c r="S491" s="185"/>
      <c r="T491" s="364"/>
      <c r="U491" s="185"/>
      <c r="V491" s="185"/>
      <c r="W491" s="185"/>
      <c r="X491" s="185"/>
      <c r="Y491" s="185"/>
      <c r="Z491" s="185"/>
      <c r="AA491" s="185"/>
    </row>
    <row r="492" spans="1:27" ht="15.75" customHeight="1">
      <c r="A492" s="185"/>
      <c r="B492" s="360"/>
      <c r="C492" s="361"/>
      <c r="D492" s="185"/>
      <c r="E492" s="185"/>
      <c r="F492" s="362"/>
      <c r="G492" s="360"/>
      <c r="H492" s="185"/>
      <c r="I492" s="362"/>
      <c r="J492" s="185"/>
      <c r="K492" s="363"/>
      <c r="L492" s="363"/>
      <c r="M492" s="363"/>
      <c r="N492" s="363"/>
      <c r="O492" s="363"/>
      <c r="P492" s="363"/>
      <c r="Q492" s="362"/>
      <c r="R492" s="185"/>
      <c r="S492" s="185"/>
      <c r="T492" s="364"/>
      <c r="U492" s="185"/>
      <c r="V492" s="185"/>
      <c r="W492" s="185"/>
      <c r="X492" s="185"/>
      <c r="Y492" s="185"/>
      <c r="Z492" s="185"/>
      <c r="AA492" s="185"/>
    </row>
    <row r="493" spans="1:27" ht="15.75" customHeight="1">
      <c r="A493" s="185"/>
      <c r="B493" s="360"/>
      <c r="C493" s="361"/>
      <c r="D493" s="185"/>
      <c r="E493" s="185"/>
      <c r="F493" s="362"/>
      <c r="G493" s="360"/>
      <c r="H493" s="185"/>
      <c r="I493" s="362"/>
      <c r="J493" s="185"/>
      <c r="K493" s="363"/>
      <c r="L493" s="363"/>
      <c r="M493" s="363"/>
      <c r="N493" s="363"/>
      <c r="O493" s="363"/>
      <c r="P493" s="363"/>
      <c r="Q493" s="362"/>
      <c r="R493" s="185"/>
      <c r="S493" s="185"/>
      <c r="T493" s="364"/>
      <c r="U493" s="185"/>
      <c r="V493" s="185"/>
      <c r="W493" s="185"/>
      <c r="X493" s="185"/>
      <c r="Y493" s="185"/>
      <c r="Z493" s="185"/>
      <c r="AA493" s="185"/>
    </row>
    <row r="494" spans="1:27" ht="15.75" customHeight="1">
      <c r="A494" s="185"/>
      <c r="B494" s="360"/>
      <c r="C494" s="361"/>
      <c r="D494" s="185"/>
      <c r="E494" s="185"/>
      <c r="F494" s="362"/>
      <c r="G494" s="360"/>
      <c r="H494" s="185"/>
      <c r="I494" s="362"/>
      <c r="J494" s="185"/>
      <c r="K494" s="363"/>
      <c r="L494" s="363"/>
      <c r="M494" s="363"/>
      <c r="N494" s="363"/>
      <c r="O494" s="363"/>
      <c r="P494" s="363"/>
      <c r="Q494" s="362"/>
      <c r="R494" s="185"/>
      <c r="S494" s="185"/>
      <c r="T494" s="364"/>
      <c r="U494" s="185"/>
      <c r="V494" s="185"/>
      <c r="W494" s="185"/>
      <c r="X494" s="185"/>
      <c r="Y494" s="185"/>
      <c r="Z494" s="185"/>
      <c r="AA494" s="185"/>
    </row>
    <row r="495" spans="1:27" ht="15.75" customHeight="1">
      <c r="A495" s="185"/>
      <c r="B495" s="360"/>
      <c r="C495" s="361"/>
      <c r="D495" s="185"/>
      <c r="E495" s="185"/>
      <c r="F495" s="362"/>
      <c r="G495" s="360"/>
      <c r="H495" s="185"/>
      <c r="I495" s="362"/>
      <c r="J495" s="185"/>
      <c r="K495" s="363"/>
      <c r="L495" s="363"/>
      <c r="M495" s="363"/>
      <c r="N495" s="363"/>
      <c r="O495" s="363"/>
      <c r="P495" s="363"/>
      <c r="Q495" s="362"/>
      <c r="R495" s="185"/>
      <c r="S495" s="185"/>
      <c r="T495" s="364"/>
      <c r="U495" s="185"/>
      <c r="V495" s="185"/>
      <c r="W495" s="185"/>
      <c r="X495" s="185"/>
      <c r="Y495" s="185"/>
      <c r="Z495" s="185"/>
      <c r="AA495" s="185"/>
    </row>
    <row r="496" spans="1:27" ht="15.75" customHeight="1">
      <c r="A496" s="185"/>
      <c r="B496" s="360"/>
      <c r="C496" s="361"/>
      <c r="D496" s="185"/>
      <c r="E496" s="185"/>
      <c r="F496" s="362"/>
      <c r="G496" s="360"/>
      <c r="H496" s="185"/>
      <c r="I496" s="362"/>
      <c r="J496" s="185"/>
      <c r="K496" s="363"/>
      <c r="L496" s="363"/>
      <c r="M496" s="363"/>
      <c r="N496" s="363"/>
      <c r="O496" s="363"/>
      <c r="P496" s="363"/>
      <c r="Q496" s="362"/>
      <c r="R496" s="185"/>
      <c r="S496" s="185"/>
      <c r="T496" s="364"/>
      <c r="U496" s="185"/>
      <c r="V496" s="185"/>
      <c r="W496" s="185"/>
      <c r="X496" s="185"/>
      <c r="Y496" s="185"/>
      <c r="Z496" s="185"/>
      <c r="AA496" s="185"/>
    </row>
    <row r="497" spans="1:27" ht="15.75" customHeight="1">
      <c r="A497" s="185"/>
      <c r="B497" s="360"/>
      <c r="C497" s="361"/>
      <c r="D497" s="185"/>
      <c r="E497" s="185"/>
      <c r="F497" s="362"/>
      <c r="G497" s="360"/>
      <c r="H497" s="185"/>
      <c r="I497" s="362"/>
      <c r="J497" s="185"/>
      <c r="K497" s="363"/>
      <c r="L497" s="363"/>
      <c r="M497" s="363"/>
      <c r="N497" s="363"/>
      <c r="O497" s="363"/>
      <c r="P497" s="363"/>
      <c r="Q497" s="362"/>
      <c r="R497" s="185"/>
      <c r="S497" s="185"/>
      <c r="T497" s="364"/>
      <c r="U497" s="185"/>
      <c r="V497" s="185"/>
      <c r="W497" s="185"/>
      <c r="X497" s="185"/>
      <c r="Y497" s="185"/>
      <c r="Z497" s="185"/>
      <c r="AA497" s="185"/>
    </row>
    <row r="498" spans="1:27" ht="15.75" customHeight="1">
      <c r="A498" s="185"/>
      <c r="B498" s="360"/>
      <c r="C498" s="361"/>
      <c r="D498" s="185"/>
      <c r="E498" s="185"/>
      <c r="F498" s="362"/>
      <c r="G498" s="360"/>
      <c r="H498" s="185"/>
      <c r="I498" s="362"/>
      <c r="J498" s="185"/>
      <c r="K498" s="363"/>
      <c r="L498" s="363"/>
      <c r="M498" s="363"/>
      <c r="N498" s="363"/>
      <c r="O498" s="363"/>
      <c r="P498" s="363"/>
      <c r="Q498" s="362"/>
      <c r="R498" s="185"/>
      <c r="S498" s="185"/>
      <c r="T498" s="364"/>
      <c r="U498" s="185"/>
      <c r="V498" s="185"/>
      <c r="W498" s="185"/>
      <c r="X498" s="185"/>
      <c r="Y498" s="185"/>
      <c r="Z498" s="185"/>
      <c r="AA498" s="185"/>
    </row>
    <row r="499" spans="1:27" ht="15.75" customHeight="1">
      <c r="A499" s="185"/>
      <c r="B499" s="360"/>
      <c r="C499" s="361"/>
      <c r="D499" s="185"/>
      <c r="E499" s="185"/>
      <c r="F499" s="362"/>
      <c r="G499" s="360"/>
      <c r="H499" s="185"/>
      <c r="I499" s="362"/>
      <c r="J499" s="185"/>
      <c r="K499" s="363"/>
      <c r="L499" s="363"/>
      <c r="M499" s="363"/>
      <c r="N499" s="363"/>
      <c r="O499" s="363"/>
      <c r="P499" s="363"/>
      <c r="Q499" s="362"/>
      <c r="R499" s="185"/>
      <c r="S499" s="185"/>
      <c r="T499" s="364"/>
      <c r="U499" s="185"/>
      <c r="V499" s="185"/>
      <c r="W499" s="185"/>
      <c r="X499" s="185"/>
      <c r="Y499" s="185"/>
      <c r="Z499" s="185"/>
      <c r="AA499" s="185"/>
    </row>
    <row r="500" spans="1:27" ht="15.75" customHeight="1">
      <c r="A500" s="185"/>
      <c r="B500" s="360"/>
      <c r="C500" s="361"/>
      <c r="D500" s="185"/>
      <c r="E500" s="185"/>
      <c r="F500" s="362"/>
      <c r="G500" s="360"/>
      <c r="H500" s="185"/>
      <c r="I500" s="362"/>
      <c r="J500" s="185"/>
      <c r="K500" s="363"/>
      <c r="L500" s="363"/>
      <c r="M500" s="363"/>
      <c r="N500" s="363"/>
      <c r="O500" s="363"/>
      <c r="P500" s="363"/>
      <c r="Q500" s="362"/>
      <c r="R500" s="185"/>
      <c r="S500" s="185"/>
      <c r="T500" s="364"/>
      <c r="U500" s="185"/>
      <c r="V500" s="185"/>
      <c r="W500" s="185"/>
      <c r="X500" s="185"/>
      <c r="Y500" s="185"/>
      <c r="Z500" s="185"/>
      <c r="AA500" s="185"/>
    </row>
    <row r="501" spans="1:27" ht="15.75" customHeight="1">
      <c r="A501" s="185"/>
      <c r="B501" s="360"/>
      <c r="C501" s="361"/>
      <c r="D501" s="185"/>
      <c r="E501" s="185"/>
      <c r="F501" s="362"/>
      <c r="G501" s="360"/>
      <c r="H501" s="185"/>
      <c r="I501" s="362"/>
      <c r="J501" s="185"/>
      <c r="K501" s="363"/>
      <c r="L501" s="363"/>
      <c r="M501" s="363"/>
      <c r="N501" s="363"/>
      <c r="O501" s="363"/>
      <c r="P501" s="363"/>
      <c r="Q501" s="362"/>
      <c r="R501" s="185"/>
      <c r="S501" s="185"/>
      <c r="T501" s="364"/>
      <c r="U501" s="185"/>
      <c r="V501" s="185"/>
      <c r="W501" s="185"/>
      <c r="X501" s="185"/>
      <c r="Y501" s="185"/>
      <c r="Z501" s="185"/>
      <c r="AA501" s="185"/>
    </row>
    <row r="502" spans="1:27" ht="15.75" customHeight="1">
      <c r="A502" s="185"/>
      <c r="B502" s="360"/>
      <c r="C502" s="361"/>
      <c r="D502" s="185"/>
      <c r="E502" s="185"/>
      <c r="F502" s="362"/>
      <c r="G502" s="360"/>
      <c r="H502" s="185"/>
      <c r="I502" s="362"/>
      <c r="J502" s="185"/>
      <c r="K502" s="363"/>
      <c r="L502" s="363"/>
      <c r="M502" s="363"/>
      <c r="N502" s="363"/>
      <c r="O502" s="363"/>
      <c r="P502" s="363"/>
      <c r="Q502" s="362"/>
      <c r="R502" s="185"/>
      <c r="S502" s="185"/>
      <c r="T502" s="364"/>
      <c r="U502" s="185"/>
      <c r="V502" s="185"/>
      <c r="W502" s="185"/>
      <c r="X502" s="185"/>
      <c r="Y502" s="185"/>
      <c r="Z502" s="185"/>
      <c r="AA502" s="185"/>
    </row>
    <row r="503" spans="1:27" ht="15.75" customHeight="1">
      <c r="A503" s="185"/>
      <c r="B503" s="360"/>
      <c r="C503" s="361"/>
      <c r="D503" s="185"/>
      <c r="E503" s="185"/>
      <c r="F503" s="362"/>
      <c r="G503" s="360"/>
      <c r="H503" s="185"/>
      <c r="I503" s="362"/>
      <c r="J503" s="185"/>
      <c r="K503" s="363"/>
      <c r="L503" s="363"/>
      <c r="M503" s="363"/>
      <c r="N503" s="363"/>
      <c r="O503" s="363"/>
      <c r="P503" s="363"/>
      <c r="Q503" s="362"/>
      <c r="R503" s="185"/>
      <c r="S503" s="185"/>
      <c r="T503" s="364"/>
      <c r="U503" s="185"/>
      <c r="V503" s="185"/>
      <c r="W503" s="185"/>
      <c r="X503" s="185"/>
      <c r="Y503" s="185"/>
      <c r="Z503" s="185"/>
      <c r="AA503" s="185"/>
    </row>
    <row r="504" spans="1:27" ht="15.75" customHeight="1">
      <c r="A504" s="185"/>
      <c r="B504" s="360"/>
      <c r="C504" s="361"/>
      <c r="D504" s="185"/>
      <c r="E504" s="185"/>
      <c r="F504" s="362"/>
      <c r="G504" s="360"/>
      <c r="H504" s="185"/>
      <c r="I504" s="362"/>
      <c r="J504" s="185"/>
      <c r="K504" s="363"/>
      <c r="L504" s="363"/>
      <c r="M504" s="363"/>
      <c r="N504" s="363"/>
      <c r="O504" s="363"/>
      <c r="P504" s="363"/>
      <c r="Q504" s="362"/>
      <c r="R504" s="185"/>
      <c r="S504" s="185"/>
      <c r="T504" s="364"/>
      <c r="U504" s="185"/>
      <c r="V504" s="185"/>
      <c r="W504" s="185"/>
      <c r="X504" s="185"/>
      <c r="Y504" s="185"/>
      <c r="Z504" s="185"/>
      <c r="AA504" s="185"/>
    </row>
    <row r="505" spans="1:27" ht="15.75" customHeight="1">
      <c r="A505" s="185"/>
      <c r="B505" s="360"/>
      <c r="C505" s="361"/>
      <c r="D505" s="185"/>
      <c r="E505" s="185"/>
      <c r="F505" s="362"/>
      <c r="G505" s="360"/>
      <c r="H505" s="185"/>
      <c r="I505" s="362"/>
      <c r="J505" s="185"/>
      <c r="K505" s="363"/>
      <c r="L505" s="363"/>
      <c r="M505" s="363"/>
      <c r="N505" s="363"/>
      <c r="O505" s="363"/>
      <c r="P505" s="363"/>
      <c r="Q505" s="362"/>
      <c r="R505" s="185"/>
      <c r="S505" s="185"/>
      <c r="T505" s="364"/>
      <c r="U505" s="185"/>
      <c r="V505" s="185"/>
      <c r="W505" s="185"/>
      <c r="X505" s="185"/>
      <c r="Y505" s="185"/>
      <c r="Z505" s="185"/>
      <c r="AA505" s="185"/>
    </row>
    <row r="506" spans="1:27" ht="15.75" customHeight="1">
      <c r="A506" s="185"/>
      <c r="B506" s="360"/>
      <c r="C506" s="361"/>
      <c r="D506" s="185"/>
      <c r="E506" s="185"/>
      <c r="F506" s="362"/>
      <c r="G506" s="360"/>
      <c r="H506" s="185"/>
      <c r="I506" s="362"/>
      <c r="J506" s="185"/>
      <c r="K506" s="363"/>
      <c r="L506" s="363"/>
      <c r="M506" s="363"/>
      <c r="N506" s="363"/>
      <c r="O506" s="363"/>
      <c r="P506" s="363"/>
      <c r="Q506" s="362"/>
      <c r="R506" s="185"/>
      <c r="S506" s="185"/>
      <c r="T506" s="364"/>
      <c r="U506" s="185"/>
      <c r="V506" s="185"/>
      <c r="W506" s="185"/>
      <c r="X506" s="185"/>
      <c r="Y506" s="185"/>
      <c r="Z506" s="185"/>
      <c r="AA506" s="185"/>
    </row>
    <row r="507" spans="1:27" ht="15.75" customHeight="1">
      <c r="A507" s="185"/>
      <c r="B507" s="360"/>
      <c r="C507" s="361"/>
      <c r="D507" s="185"/>
      <c r="E507" s="185"/>
      <c r="F507" s="362"/>
      <c r="G507" s="360"/>
      <c r="H507" s="185"/>
      <c r="I507" s="362"/>
      <c r="J507" s="185"/>
      <c r="K507" s="363"/>
      <c r="L507" s="363"/>
      <c r="M507" s="363"/>
      <c r="N507" s="363"/>
      <c r="O507" s="363"/>
      <c r="P507" s="363"/>
      <c r="Q507" s="362"/>
      <c r="R507" s="185"/>
      <c r="S507" s="185"/>
      <c r="T507" s="364"/>
      <c r="U507" s="185"/>
      <c r="V507" s="185"/>
      <c r="W507" s="185"/>
      <c r="X507" s="185"/>
      <c r="Y507" s="185"/>
      <c r="Z507" s="185"/>
      <c r="AA507" s="185"/>
    </row>
    <row r="508" spans="1:27" ht="15.75" customHeight="1">
      <c r="A508" s="185"/>
      <c r="B508" s="360"/>
      <c r="C508" s="361"/>
      <c r="D508" s="185"/>
      <c r="E508" s="185"/>
      <c r="F508" s="362"/>
      <c r="G508" s="360"/>
      <c r="H508" s="185"/>
      <c r="I508" s="362"/>
      <c r="J508" s="185"/>
      <c r="K508" s="363"/>
      <c r="L508" s="363"/>
      <c r="M508" s="363"/>
      <c r="N508" s="363"/>
      <c r="O508" s="363"/>
      <c r="P508" s="363"/>
      <c r="Q508" s="362"/>
      <c r="R508" s="185"/>
      <c r="S508" s="185"/>
      <c r="T508" s="364"/>
      <c r="U508" s="185"/>
      <c r="V508" s="185"/>
      <c r="W508" s="185"/>
      <c r="X508" s="185"/>
      <c r="Y508" s="185"/>
      <c r="Z508" s="185"/>
      <c r="AA508" s="185"/>
    </row>
    <row r="509" spans="1:27" ht="15.75" customHeight="1">
      <c r="A509" s="185"/>
      <c r="B509" s="360"/>
      <c r="C509" s="361"/>
      <c r="D509" s="185"/>
      <c r="E509" s="185"/>
      <c r="F509" s="362"/>
      <c r="G509" s="360"/>
      <c r="H509" s="185"/>
      <c r="I509" s="362"/>
      <c r="J509" s="185"/>
      <c r="K509" s="363"/>
      <c r="L509" s="363"/>
      <c r="M509" s="363"/>
      <c r="N509" s="363"/>
      <c r="O509" s="363"/>
      <c r="P509" s="363"/>
      <c r="Q509" s="362"/>
      <c r="R509" s="185"/>
      <c r="S509" s="185"/>
      <c r="T509" s="364"/>
      <c r="U509" s="185"/>
      <c r="V509" s="185"/>
      <c r="W509" s="185"/>
      <c r="X509" s="185"/>
      <c r="Y509" s="185"/>
      <c r="Z509" s="185"/>
      <c r="AA509" s="185"/>
    </row>
    <row r="510" spans="1:27" ht="15.75" customHeight="1">
      <c r="A510" s="185"/>
      <c r="B510" s="360"/>
      <c r="C510" s="361"/>
      <c r="D510" s="185"/>
      <c r="E510" s="185"/>
      <c r="F510" s="362"/>
      <c r="G510" s="360"/>
      <c r="H510" s="185"/>
      <c r="I510" s="362"/>
      <c r="J510" s="185"/>
      <c r="K510" s="363"/>
      <c r="L510" s="363"/>
      <c r="M510" s="363"/>
      <c r="N510" s="363"/>
      <c r="O510" s="363"/>
      <c r="P510" s="363"/>
      <c r="Q510" s="362"/>
      <c r="R510" s="185"/>
      <c r="S510" s="185"/>
      <c r="T510" s="364"/>
      <c r="U510" s="185"/>
      <c r="V510" s="185"/>
      <c r="W510" s="185"/>
      <c r="X510" s="185"/>
      <c r="Y510" s="185"/>
      <c r="Z510" s="185"/>
      <c r="AA510" s="185"/>
    </row>
    <row r="511" spans="1:27" ht="15.75" customHeight="1">
      <c r="A511" s="185"/>
      <c r="B511" s="360"/>
      <c r="C511" s="361"/>
      <c r="D511" s="185"/>
      <c r="E511" s="185"/>
      <c r="F511" s="362"/>
      <c r="G511" s="360"/>
      <c r="H511" s="185"/>
      <c r="I511" s="362"/>
      <c r="J511" s="185"/>
      <c r="K511" s="363"/>
      <c r="L511" s="363"/>
      <c r="M511" s="363"/>
      <c r="N511" s="363"/>
      <c r="O511" s="363"/>
      <c r="P511" s="363"/>
      <c r="Q511" s="362"/>
      <c r="R511" s="185"/>
      <c r="S511" s="185"/>
      <c r="T511" s="364"/>
      <c r="U511" s="185"/>
      <c r="V511" s="185"/>
      <c r="W511" s="185"/>
      <c r="X511" s="185"/>
      <c r="Y511" s="185"/>
      <c r="Z511" s="185"/>
      <c r="AA511" s="185"/>
    </row>
    <row r="512" spans="1:27" ht="15.75" customHeight="1">
      <c r="A512" s="185"/>
      <c r="B512" s="360"/>
      <c r="C512" s="361"/>
      <c r="D512" s="185"/>
      <c r="E512" s="185"/>
      <c r="F512" s="362"/>
      <c r="G512" s="360"/>
      <c r="H512" s="185"/>
      <c r="I512" s="362"/>
      <c r="J512" s="185"/>
      <c r="K512" s="363"/>
      <c r="L512" s="363"/>
      <c r="M512" s="363"/>
      <c r="N512" s="363"/>
      <c r="O512" s="363"/>
      <c r="P512" s="363"/>
      <c r="Q512" s="362"/>
      <c r="R512" s="185"/>
      <c r="S512" s="185"/>
      <c r="T512" s="364"/>
      <c r="U512" s="185"/>
      <c r="V512" s="185"/>
      <c r="W512" s="185"/>
      <c r="X512" s="185"/>
      <c r="Y512" s="185"/>
      <c r="Z512" s="185"/>
      <c r="AA512" s="185"/>
    </row>
    <row r="513" spans="1:27" ht="15.75" customHeight="1">
      <c r="A513" s="185"/>
      <c r="B513" s="360"/>
      <c r="C513" s="361"/>
      <c r="D513" s="185"/>
      <c r="E513" s="185"/>
      <c r="F513" s="362"/>
      <c r="G513" s="360"/>
      <c r="H513" s="185"/>
      <c r="I513" s="362"/>
      <c r="J513" s="185"/>
      <c r="K513" s="363"/>
      <c r="L513" s="363"/>
      <c r="M513" s="363"/>
      <c r="N513" s="363"/>
      <c r="O513" s="363"/>
      <c r="P513" s="363"/>
      <c r="Q513" s="362"/>
      <c r="R513" s="185"/>
      <c r="S513" s="185"/>
      <c r="T513" s="364"/>
      <c r="U513" s="185"/>
      <c r="V513" s="185"/>
      <c r="W513" s="185"/>
      <c r="X513" s="185"/>
      <c r="Y513" s="185"/>
      <c r="Z513" s="185"/>
      <c r="AA513" s="185"/>
    </row>
    <row r="514" spans="1:27" ht="15.75" customHeight="1">
      <c r="A514" s="185"/>
      <c r="B514" s="360"/>
      <c r="C514" s="361"/>
      <c r="D514" s="185"/>
      <c r="E514" s="185"/>
      <c r="F514" s="362"/>
      <c r="G514" s="360"/>
      <c r="H514" s="185"/>
      <c r="I514" s="362"/>
      <c r="J514" s="185"/>
      <c r="K514" s="363"/>
      <c r="L514" s="363"/>
      <c r="M514" s="363"/>
      <c r="N514" s="363"/>
      <c r="O514" s="363"/>
      <c r="P514" s="363"/>
      <c r="Q514" s="362"/>
      <c r="R514" s="185"/>
      <c r="S514" s="185"/>
      <c r="T514" s="364"/>
      <c r="U514" s="185"/>
      <c r="V514" s="185"/>
      <c r="W514" s="185"/>
      <c r="X514" s="185"/>
      <c r="Y514" s="185"/>
      <c r="Z514" s="185"/>
      <c r="AA514" s="185"/>
    </row>
    <row r="515" spans="1:27" ht="15.75" customHeight="1">
      <c r="A515" s="185"/>
      <c r="B515" s="360"/>
      <c r="C515" s="361"/>
      <c r="D515" s="185"/>
      <c r="E515" s="185"/>
      <c r="F515" s="362"/>
      <c r="G515" s="360"/>
      <c r="H515" s="185"/>
      <c r="I515" s="362"/>
      <c r="J515" s="185"/>
      <c r="K515" s="363"/>
      <c r="L515" s="363"/>
      <c r="M515" s="363"/>
      <c r="N515" s="363"/>
      <c r="O515" s="363"/>
      <c r="P515" s="363"/>
      <c r="Q515" s="362"/>
      <c r="R515" s="185"/>
      <c r="S515" s="185"/>
      <c r="T515" s="364"/>
      <c r="U515" s="185"/>
      <c r="V515" s="185"/>
      <c r="W515" s="185"/>
      <c r="X515" s="185"/>
      <c r="Y515" s="185"/>
      <c r="Z515" s="185"/>
      <c r="AA515" s="185"/>
    </row>
    <row r="516" spans="1:27" ht="15.75" customHeight="1">
      <c r="A516" s="185"/>
      <c r="B516" s="360"/>
      <c r="C516" s="361"/>
      <c r="D516" s="185"/>
      <c r="E516" s="185"/>
      <c r="F516" s="362"/>
      <c r="G516" s="360"/>
      <c r="H516" s="185"/>
      <c r="I516" s="362"/>
      <c r="J516" s="185"/>
      <c r="K516" s="363"/>
      <c r="L516" s="363"/>
      <c r="M516" s="363"/>
      <c r="N516" s="363"/>
      <c r="O516" s="363"/>
      <c r="P516" s="363"/>
      <c r="Q516" s="362"/>
      <c r="R516" s="185"/>
      <c r="S516" s="185"/>
      <c r="T516" s="364"/>
      <c r="U516" s="185"/>
      <c r="V516" s="185"/>
      <c r="W516" s="185"/>
      <c r="X516" s="185"/>
      <c r="Y516" s="185"/>
      <c r="Z516" s="185"/>
      <c r="AA516" s="185"/>
    </row>
    <row r="517" spans="1:27" ht="15.75" customHeight="1">
      <c r="A517" s="185"/>
      <c r="B517" s="360"/>
      <c r="C517" s="361"/>
      <c r="D517" s="185"/>
      <c r="E517" s="185"/>
      <c r="F517" s="362"/>
      <c r="G517" s="360"/>
      <c r="H517" s="185"/>
      <c r="I517" s="362"/>
      <c r="J517" s="185"/>
      <c r="K517" s="363"/>
      <c r="L517" s="363"/>
      <c r="M517" s="363"/>
      <c r="N517" s="363"/>
      <c r="O517" s="363"/>
      <c r="P517" s="363"/>
      <c r="Q517" s="362"/>
      <c r="R517" s="185"/>
      <c r="S517" s="185"/>
      <c r="T517" s="364"/>
      <c r="U517" s="185"/>
      <c r="V517" s="185"/>
      <c r="W517" s="185"/>
      <c r="X517" s="185"/>
      <c r="Y517" s="185"/>
      <c r="Z517" s="185"/>
      <c r="AA517" s="185"/>
    </row>
    <row r="518" spans="1:27" ht="15.75" customHeight="1">
      <c r="A518" s="185"/>
      <c r="B518" s="360"/>
      <c r="C518" s="361"/>
      <c r="D518" s="185"/>
      <c r="E518" s="185"/>
      <c r="F518" s="362"/>
      <c r="G518" s="360"/>
      <c r="H518" s="185"/>
      <c r="I518" s="362"/>
      <c r="J518" s="185"/>
      <c r="K518" s="363"/>
      <c r="L518" s="363"/>
      <c r="M518" s="363"/>
      <c r="N518" s="363"/>
      <c r="O518" s="363"/>
      <c r="P518" s="363"/>
      <c r="Q518" s="362"/>
      <c r="R518" s="185"/>
      <c r="S518" s="185"/>
      <c r="T518" s="364"/>
      <c r="U518" s="185"/>
      <c r="V518" s="185"/>
      <c r="W518" s="185"/>
      <c r="X518" s="185"/>
      <c r="Y518" s="185"/>
      <c r="Z518" s="185"/>
      <c r="AA518" s="185"/>
    </row>
    <row r="519" spans="1:27" ht="15.75" customHeight="1">
      <c r="A519" s="185"/>
      <c r="B519" s="360"/>
      <c r="C519" s="361"/>
      <c r="D519" s="185"/>
      <c r="E519" s="185"/>
      <c r="F519" s="362"/>
      <c r="G519" s="360"/>
      <c r="H519" s="185"/>
      <c r="I519" s="362"/>
      <c r="J519" s="185"/>
      <c r="K519" s="363"/>
      <c r="L519" s="363"/>
      <c r="M519" s="363"/>
      <c r="N519" s="363"/>
      <c r="O519" s="363"/>
      <c r="P519" s="363"/>
      <c r="Q519" s="362"/>
      <c r="R519" s="185"/>
      <c r="S519" s="185"/>
      <c r="T519" s="364"/>
      <c r="U519" s="185"/>
      <c r="V519" s="185"/>
      <c r="W519" s="185"/>
      <c r="X519" s="185"/>
      <c r="Y519" s="185"/>
      <c r="Z519" s="185"/>
      <c r="AA519" s="185"/>
    </row>
    <row r="520" spans="1:27" ht="15.75" customHeight="1">
      <c r="A520" s="185"/>
      <c r="B520" s="360"/>
      <c r="C520" s="361"/>
      <c r="D520" s="185"/>
      <c r="E520" s="185"/>
      <c r="F520" s="362"/>
      <c r="G520" s="360"/>
      <c r="H520" s="185"/>
      <c r="I520" s="362"/>
      <c r="J520" s="185"/>
      <c r="K520" s="363"/>
      <c r="L520" s="363"/>
      <c r="M520" s="363"/>
      <c r="N520" s="363"/>
      <c r="O520" s="363"/>
      <c r="P520" s="363"/>
      <c r="Q520" s="362"/>
      <c r="R520" s="185"/>
      <c r="S520" s="185"/>
      <c r="T520" s="364"/>
      <c r="U520" s="185"/>
      <c r="V520" s="185"/>
      <c r="W520" s="185"/>
      <c r="X520" s="185"/>
      <c r="Y520" s="185"/>
      <c r="Z520" s="185"/>
      <c r="AA520" s="185"/>
    </row>
    <row r="521" spans="1:27" ht="15.75" customHeight="1">
      <c r="A521" s="185"/>
      <c r="B521" s="360"/>
      <c r="C521" s="361"/>
      <c r="D521" s="185"/>
      <c r="E521" s="185"/>
      <c r="F521" s="362"/>
      <c r="G521" s="360"/>
      <c r="H521" s="185"/>
      <c r="I521" s="362"/>
      <c r="J521" s="185"/>
      <c r="K521" s="363"/>
      <c r="L521" s="363"/>
      <c r="M521" s="363"/>
      <c r="N521" s="363"/>
      <c r="O521" s="363"/>
      <c r="P521" s="363"/>
      <c r="Q521" s="362"/>
      <c r="R521" s="185"/>
      <c r="S521" s="185"/>
      <c r="T521" s="364"/>
      <c r="U521" s="185"/>
      <c r="V521" s="185"/>
      <c r="W521" s="185"/>
      <c r="X521" s="185"/>
      <c r="Y521" s="185"/>
      <c r="Z521" s="185"/>
      <c r="AA521" s="185"/>
    </row>
    <row r="522" spans="1:27" ht="15.75" customHeight="1">
      <c r="A522" s="185"/>
      <c r="B522" s="360"/>
      <c r="C522" s="361"/>
      <c r="D522" s="185"/>
      <c r="E522" s="185"/>
      <c r="F522" s="362"/>
      <c r="G522" s="360"/>
      <c r="H522" s="185"/>
      <c r="I522" s="362"/>
      <c r="J522" s="185"/>
      <c r="K522" s="363"/>
      <c r="L522" s="363"/>
      <c r="M522" s="363"/>
      <c r="N522" s="363"/>
      <c r="O522" s="363"/>
      <c r="P522" s="363"/>
      <c r="Q522" s="362"/>
      <c r="R522" s="185"/>
      <c r="S522" s="185"/>
      <c r="T522" s="364"/>
      <c r="U522" s="185"/>
      <c r="V522" s="185"/>
      <c r="W522" s="185"/>
      <c r="X522" s="185"/>
      <c r="Y522" s="185"/>
      <c r="Z522" s="185"/>
      <c r="AA522" s="185"/>
    </row>
    <row r="523" spans="1:27" ht="15.75" customHeight="1">
      <c r="A523" s="185"/>
      <c r="B523" s="360"/>
      <c r="C523" s="361"/>
      <c r="D523" s="185"/>
      <c r="E523" s="185"/>
      <c r="F523" s="362"/>
      <c r="G523" s="360"/>
      <c r="H523" s="185"/>
      <c r="I523" s="362"/>
      <c r="J523" s="185"/>
      <c r="K523" s="363"/>
      <c r="L523" s="363"/>
      <c r="M523" s="363"/>
      <c r="N523" s="363"/>
      <c r="O523" s="363"/>
      <c r="P523" s="363"/>
      <c r="Q523" s="362"/>
      <c r="R523" s="185"/>
      <c r="S523" s="185"/>
      <c r="T523" s="364"/>
      <c r="U523" s="185"/>
      <c r="V523" s="185"/>
      <c r="W523" s="185"/>
      <c r="X523" s="185"/>
      <c r="Y523" s="185"/>
      <c r="Z523" s="185"/>
      <c r="AA523" s="185"/>
    </row>
    <row r="524" spans="1:27" ht="15.75" customHeight="1">
      <c r="A524" s="185"/>
      <c r="B524" s="360"/>
      <c r="C524" s="361"/>
      <c r="D524" s="185"/>
      <c r="E524" s="185"/>
      <c r="F524" s="362"/>
      <c r="G524" s="360"/>
      <c r="H524" s="185"/>
      <c r="I524" s="362"/>
      <c r="J524" s="185"/>
      <c r="K524" s="363"/>
      <c r="L524" s="363"/>
      <c r="M524" s="363"/>
      <c r="N524" s="363"/>
      <c r="O524" s="363"/>
      <c r="P524" s="363"/>
      <c r="Q524" s="362"/>
      <c r="R524" s="185"/>
      <c r="S524" s="185"/>
      <c r="T524" s="364"/>
      <c r="U524" s="185"/>
      <c r="V524" s="185"/>
      <c r="W524" s="185"/>
      <c r="X524" s="185"/>
      <c r="Y524" s="185"/>
      <c r="Z524" s="185"/>
      <c r="AA524" s="185"/>
    </row>
    <row r="525" spans="1:27" ht="15.75" customHeight="1">
      <c r="A525" s="185"/>
      <c r="B525" s="360"/>
      <c r="C525" s="361"/>
      <c r="D525" s="185"/>
      <c r="E525" s="185"/>
      <c r="F525" s="362"/>
      <c r="G525" s="360"/>
      <c r="H525" s="185"/>
      <c r="I525" s="362"/>
      <c r="J525" s="185"/>
      <c r="K525" s="363"/>
      <c r="L525" s="363"/>
      <c r="M525" s="363"/>
      <c r="N525" s="363"/>
      <c r="O525" s="363"/>
      <c r="P525" s="363"/>
      <c r="Q525" s="362"/>
      <c r="R525" s="185"/>
      <c r="S525" s="185"/>
      <c r="T525" s="364"/>
      <c r="U525" s="185"/>
      <c r="V525" s="185"/>
      <c r="W525" s="185"/>
      <c r="X525" s="185"/>
      <c r="Y525" s="185"/>
      <c r="Z525" s="185"/>
      <c r="AA525" s="185"/>
    </row>
    <row r="526" spans="1:27" ht="15.75" customHeight="1">
      <c r="A526" s="185"/>
      <c r="B526" s="360"/>
      <c r="C526" s="361"/>
      <c r="D526" s="185"/>
      <c r="E526" s="185"/>
      <c r="F526" s="362"/>
      <c r="G526" s="360"/>
      <c r="H526" s="185"/>
      <c r="I526" s="362"/>
      <c r="J526" s="185"/>
      <c r="K526" s="363"/>
      <c r="L526" s="363"/>
      <c r="M526" s="363"/>
      <c r="N526" s="363"/>
      <c r="O526" s="363"/>
      <c r="P526" s="363"/>
      <c r="Q526" s="362"/>
      <c r="R526" s="185"/>
      <c r="S526" s="185"/>
      <c r="T526" s="364"/>
      <c r="U526" s="185"/>
      <c r="V526" s="185"/>
      <c r="W526" s="185"/>
      <c r="X526" s="185"/>
      <c r="Y526" s="185"/>
      <c r="Z526" s="185"/>
      <c r="AA526" s="185"/>
    </row>
    <row r="527" spans="1:27" ht="15.75" customHeight="1">
      <c r="A527" s="185"/>
      <c r="B527" s="360"/>
      <c r="C527" s="361"/>
      <c r="D527" s="185"/>
      <c r="E527" s="185"/>
      <c r="F527" s="362"/>
      <c r="G527" s="360"/>
      <c r="H527" s="185"/>
      <c r="I527" s="362"/>
      <c r="J527" s="185"/>
      <c r="K527" s="363"/>
      <c r="L527" s="363"/>
      <c r="M527" s="363"/>
      <c r="N527" s="363"/>
      <c r="O527" s="363"/>
      <c r="P527" s="363"/>
      <c r="Q527" s="362"/>
      <c r="R527" s="185"/>
      <c r="S527" s="185"/>
      <c r="T527" s="364"/>
      <c r="U527" s="185"/>
      <c r="V527" s="185"/>
      <c r="W527" s="185"/>
      <c r="X527" s="185"/>
      <c r="Y527" s="185"/>
      <c r="Z527" s="185"/>
      <c r="AA527" s="185"/>
    </row>
    <row r="528" spans="1:27" ht="15.75" customHeight="1">
      <c r="A528" s="185"/>
      <c r="B528" s="360"/>
      <c r="C528" s="361"/>
      <c r="D528" s="185"/>
      <c r="E528" s="185"/>
      <c r="F528" s="362"/>
      <c r="G528" s="360"/>
      <c r="H528" s="185"/>
      <c r="I528" s="362"/>
      <c r="J528" s="185"/>
      <c r="K528" s="363"/>
      <c r="L528" s="363"/>
      <c r="M528" s="363"/>
      <c r="N528" s="363"/>
      <c r="O528" s="363"/>
      <c r="P528" s="363"/>
      <c r="Q528" s="362"/>
      <c r="R528" s="185"/>
      <c r="S528" s="185"/>
      <c r="T528" s="364"/>
      <c r="U528" s="185"/>
      <c r="V528" s="185"/>
      <c r="W528" s="185"/>
      <c r="X528" s="185"/>
      <c r="Y528" s="185"/>
      <c r="Z528" s="185"/>
      <c r="AA528" s="185"/>
    </row>
    <row r="529" spans="1:27" ht="15.75" customHeight="1">
      <c r="A529" s="185"/>
      <c r="B529" s="360"/>
      <c r="C529" s="361"/>
      <c r="D529" s="185"/>
      <c r="E529" s="185"/>
      <c r="F529" s="362"/>
      <c r="G529" s="360"/>
      <c r="H529" s="185"/>
      <c r="I529" s="362"/>
      <c r="J529" s="185"/>
      <c r="K529" s="363"/>
      <c r="L529" s="363"/>
      <c r="M529" s="363"/>
      <c r="N529" s="363"/>
      <c r="O529" s="363"/>
      <c r="P529" s="363"/>
      <c r="Q529" s="362"/>
      <c r="R529" s="185"/>
      <c r="S529" s="185"/>
      <c r="T529" s="364"/>
      <c r="U529" s="185"/>
      <c r="V529" s="185"/>
      <c r="W529" s="185"/>
      <c r="X529" s="185"/>
      <c r="Y529" s="185"/>
      <c r="Z529" s="185"/>
      <c r="AA529" s="185"/>
    </row>
    <row r="530" spans="1:27" ht="15.75" customHeight="1">
      <c r="A530" s="185"/>
      <c r="B530" s="360"/>
      <c r="C530" s="361"/>
      <c r="D530" s="185"/>
      <c r="E530" s="185"/>
      <c r="F530" s="362"/>
      <c r="G530" s="360"/>
      <c r="H530" s="185"/>
      <c r="I530" s="362"/>
      <c r="J530" s="185"/>
      <c r="K530" s="363"/>
      <c r="L530" s="363"/>
      <c r="M530" s="363"/>
      <c r="N530" s="363"/>
      <c r="O530" s="363"/>
      <c r="P530" s="363"/>
      <c r="Q530" s="362"/>
      <c r="R530" s="185"/>
      <c r="S530" s="185"/>
      <c r="T530" s="364"/>
      <c r="U530" s="185"/>
      <c r="V530" s="185"/>
      <c r="W530" s="185"/>
      <c r="X530" s="185"/>
      <c r="Y530" s="185"/>
      <c r="Z530" s="185"/>
      <c r="AA530" s="185"/>
    </row>
    <row r="531" spans="1:27" ht="15.75" customHeight="1">
      <c r="A531" s="185"/>
      <c r="B531" s="360"/>
      <c r="C531" s="361"/>
      <c r="D531" s="185"/>
      <c r="E531" s="185"/>
      <c r="F531" s="362"/>
      <c r="G531" s="360"/>
      <c r="H531" s="185"/>
      <c r="I531" s="362"/>
      <c r="J531" s="185"/>
      <c r="K531" s="363"/>
      <c r="L531" s="363"/>
      <c r="M531" s="363"/>
      <c r="N531" s="363"/>
      <c r="O531" s="363"/>
      <c r="P531" s="363"/>
      <c r="Q531" s="362"/>
      <c r="R531" s="185"/>
      <c r="S531" s="185"/>
      <c r="T531" s="364"/>
      <c r="U531" s="185"/>
      <c r="V531" s="185"/>
      <c r="W531" s="185"/>
      <c r="X531" s="185"/>
      <c r="Y531" s="185"/>
      <c r="Z531" s="185"/>
      <c r="AA531" s="185"/>
    </row>
    <row r="532" spans="1:27" ht="15.75" customHeight="1">
      <c r="A532" s="185"/>
      <c r="B532" s="360"/>
      <c r="C532" s="361"/>
      <c r="D532" s="185"/>
      <c r="E532" s="185"/>
      <c r="F532" s="362"/>
      <c r="G532" s="360"/>
      <c r="H532" s="185"/>
      <c r="I532" s="362"/>
      <c r="J532" s="185"/>
      <c r="K532" s="363"/>
      <c r="L532" s="363"/>
      <c r="M532" s="363"/>
      <c r="N532" s="363"/>
      <c r="O532" s="363"/>
      <c r="P532" s="363"/>
      <c r="Q532" s="362"/>
      <c r="R532" s="185"/>
      <c r="S532" s="185"/>
      <c r="T532" s="364"/>
      <c r="U532" s="185"/>
      <c r="V532" s="185"/>
      <c r="W532" s="185"/>
      <c r="X532" s="185"/>
      <c r="Y532" s="185"/>
      <c r="Z532" s="185"/>
      <c r="AA532" s="185"/>
    </row>
    <row r="533" spans="1:27" ht="15.75" customHeight="1">
      <c r="A533" s="185"/>
      <c r="B533" s="360"/>
      <c r="C533" s="361"/>
      <c r="D533" s="185"/>
      <c r="E533" s="185"/>
      <c r="F533" s="362"/>
      <c r="G533" s="360"/>
      <c r="H533" s="185"/>
      <c r="I533" s="362"/>
      <c r="J533" s="185"/>
      <c r="K533" s="363"/>
      <c r="L533" s="363"/>
      <c r="M533" s="363"/>
      <c r="N533" s="363"/>
      <c r="O533" s="363"/>
      <c r="P533" s="363"/>
      <c r="Q533" s="362"/>
      <c r="R533" s="185"/>
      <c r="S533" s="185"/>
      <c r="T533" s="364"/>
      <c r="U533" s="185"/>
      <c r="V533" s="185"/>
      <c r="W533" s="185"/>
      <c r="X533" s="185"/>
      <c r="Y533" s="185"/>
      <c r="Z533" s="185"/>
      <c r="AA533" s="185"/>
    </row>
    <row r="534" spans="1:27" ht="15.75" customHeight="1">
      <c r="A534" s="185"/>
      <c r="B534" s="360"/>
      <c r="C534" s="361"/>
      <c r="D534" s="185"/>
      <c r="E534" s="185"/>
      <c r="F534" s="362"/>
      <c r="G534" s="360"/>
      <c r="H534" s="185"/>
      <c r="I534" s="362"/>
      <c r="J534" s="185"/>
      <c r="K534" s="363"/>
      <c r="L534" s="363"/>
      <c r="M534" s="363"/>
      <c r="N534" s="363"/>
      <c r="O534" s="363"/>
      <c r="P534" s="363"/>
      <c r="Q534" s="362"/>
      <c r="R534" s="185"/>
      <c r="S534" s="185"/>
      <c r="T534" s="364"/>
      <c r="U534" s="185"/>
      <c r="V534" s="185"/>
      <c r="W534" s="185"/>
      <c r="X534" s="185"/>
      <c r="Y534" s="185"/>
      <c r="Z534" s="185"/>
      <c r="AA534" s="185"/>
    </row>
    <row r="535" spans="1:27" ht="15.75" customHeight="1">
      <c r="A535" s="185"/>
      <c r="B535" s="360"/>
      <c r="C535" s="361"/>
      <c r="D535" s="185"/>
      <c r="E535" s="185"/>
      <c r="F535" s="362"/>
      <c r="G535" s="360"/>
      <c r="H535" s="185"/>
      <c r="I535" s="362"/>
      <c r="J535" s="185"/>
      <c r="K535" s="363"/>
      <c r="L535" s="363"/>
      <c r="M535" s="363"/>
      <c r="N535" s="363"/>
      <c r="O535" s="363"/>
      <c r="P535" s="363"/>
      <c r="Q535" s="362"/>
      <c r="R535" s="185"/>
      <c r="S535" s="185"/>
      <c r="T535" s="364"/>
      <c r="U535" s="185"/>
      <c r="V535" s="185"/>
      <c r="W535" s="185"/>
      <c r="X535" s="185"/>
      <c r="Y535" s="185"/>
      <c r="Z535" s="185"/>
      <c r="AA535" s="185"/>
    </row>
    <row r="536" spans="1:27" ht="15.75" customHeight="1">
      <c r="A536" s="185"/>
      <c r="B536" s="360"/>
      <c r="C536" s="361"/>
      <c r="D536" s="185"/>
      <c r="E536" s="185"/>
      <c r="F536" s="362"/>
      <c r="G536" s="360"/>
      <c r="H536" s="185"/>
      <c r="I536" s="362"/>
      <c r="J536" s="185"/>
      <c r="K536" s="363"/>
      <c r="L536" s="363"/>
      <c r="M536" s="363"/>
      <c r="N536" s="363"/>
      <c r="O536" s="363"/>
      <c r="P536" s="363"/>
      <c r="Q536" s="362"/>
      <c r="R536" s="185"/>
      <c r="S536" s="185"/>
      <c r="T536" s="364"/>
      <c r="U536" s="185"/>
      <c r="V536" s="185"/>
      <c r="W536" s="185"/>
      <c r="X536" s="185"/>
      <c r="Y536" s="185"/>
      <c r="Z536" s="185"/>
      <c r="AA536" s="185"/>
    </row>
    <row r="537" spans="1:27" ht="15.75" customHeight="1">
      <c r="A537" s="185"/>
      <c r="B537" s="360"/>
      <c r="C537" s="361"/>
      <c r="D537" s="185"/>
      <c r="E537" s="185"/>
      <c r="F537" s="362"/>
      <c r="G537" s="360"/>
      <c r="H537" s="185"/>
      <c r="I537" s="362"/>
      <c r="J537" s="185"/>
      <c r="K537" s="363"/>
      <c r="L537" s="363"/>
      <c r="M537" s="363"/>
      <c r="N537" s="363"/>
      <c r="O537" s="363"/>
      <c r="P537" s="363"/>
      <c r="Q537" s="362"/>
      <c r="R537" s="185"/>
      <c r="S537" s="185"/>
      <c r="T537" s="364"/>
      <c r="U537" s="185"/>
      <c r="V537" s="185"/>
      <c r="W537" s="185"/>
      <c r="X537" s="185"/>
      <c r="Y537" s="185"/>
      <c r="Z537" s="185"/>
      <c r="AA537" s="185"/>
    </row>
    <row r="538" spans="1:27" ht="15.75" customHeight="1">
      <c r="A538" s="185"/>
      <c r="B538" s="360"/>
      <c r="C538" s="361"/>
      <c r="D538" s="185"/>
      <c r="E538" s="185"/>
      <c r="F538" s="362"/>
      <c r="G538" s="360"/>
      <c r="H538" s="185"/>
      <c r="I538" s="362"/>
      <c r="J538" s="185"/>
      <c r="K538" s="363"/>
      <c r="L538" s="363"/>
      <c r="M538" s="363"/>
      <c r="N538" s="363"/>
      <c r="O538" s="363"/>
      <c r="P538" s="363"/>
      <c r="Q538" s="362"/>
      <c r="R538" s="185"/>
      <c r="S538" s="185"/>
      <c r="T538" s="364"/>
      <c r="U538" s="185"/>
      <c r="V538" s="185"/>
      <c r="W538" s="185"/>
      <c r="X538" s="185"/>
      <c r="Y538" s="185"/>
      <c r="Z538" s="185"/>
      <c r="AA538" s="185"/>
    </row>
    <row r="539" spans="1:27" ht="15.75" customHeight="1">
      <c r="A539" s="185"/>
      <c r="B539" s="360"/>
      <c r="C539" s="361"/>
      <c r="D539" s="185"/>
      <c r="E539" s="185"/>
      <c r="F539" s="362"/>
      <c r="G539" s="360"/>
      <c r="H539" s="185"/>
      <c r="I539" s="362"/>
      <c r="J539" s="185"/>
      <c r="K539" s="363"/>
      <c r="L539" s="363"/>
      <c r="M539" s="363"/>
      <c r="N539" s="363"/>
      <c r="O539" s="363"/>
      <c r="P539" s="363"/>
      <c r="Q539" s="362"/>
      <c r="R539" s="185"/>
      <c r="S539" s="185"/>
      <c r="T539" s="364"/>
      <c r="U539" s="185"/>
      <c r="V539" s="185"/>
      <c r="W539" s="185"/>
      <c r="X539" s="185"/>
      <c r="Y539" s="185"/>
      <c r="Z539" s="185"/>
      <c r="AA539" s="185"/>
    </row>
    <row r="540" spans="1:27" ht="15.75" customHeight="1">
      <c r="A540" s="185"/>
      <c r="B540" s="360"/>
      <c r="C540" s="361"/>
      <c r="D540" s="185"/>
      <c r="E540" s="185"/>
      <c r="F540" s="362"/>
      <c r="G540" s="360"/>
      <c r="H540" s="185"/>
      <c r="I540" s="362"/>
      <c r="J540" s="185"/>
      <c r="K540" s="363"/>
      <c r="L540" s="363"/>
      <c r="M540" s="363"/>
      <c r="N540" s="363"/>
      <c r="O540" s="363"/>
      <c r="P540" s="363"/>
      <c r="Q540" s="362"/>
      <c r="R540" s="185"/>
      <c r="S540" s="185"/>
      <c r="T540" s="364"/>
      <c r="U540" s="185"/>
      <c r="V540" s="185"/>
      <c r="W540" s="185"/>
      <c r="X540" s="185"/>
      <c r="Y540" s="185"/>
      <c r="Z540" s="185"/>
      <c r="AA540" s="185"/>
    </row>
    <row r="541" spans="1:27" ht="15.75" customHeight="1">
      <c r="A541" s="185"/>
      <c r="B541" s="360"/>
      <c r="C541" s="361"/>
      <c r="D541" s="185"/>
      <c r="E541" s="185"/>
      <c r="F541" s="362"/>
      <c r="G541" s="360"/>
      <c r="H541" s="185"/>
      <c r="I541" s="362"/>
      <c r="J541" s="185"/>
      <c r="K541" s="363"/>
      <c r="L541" s="363"/>
      <c r="M541" s="363"/>
      <c r="N541" s="363"/>
      <c r="O541" s="363"/>
      <c r="P541" s="363"/>
      <c r="Q541" s="362"/>
      <c r="R541" s="185"/>
      <c r="S541" s="185"/>
      <c r="T541" s="364"/>
      <c r="U541" s="185"/>
      <c r="V541" s="185"/>
      <c r="W541" s="185"/>
      <c r="X541" s="185"/>
      <c r="Y541" s="185"/>
      <c r="Z541" s="185"/>
      <c r="AA541" s="185"/>
    </row>
    <row r="542" spans="1:27" ht="15.75" customHeight="1">
      <c r="A542" s="185"/>
      <c r="B542" s="360"/>
      <c r="C542" s="361"/>
      <c r="D542" s="185"/>
      <c r="E542" s="185"/>
      <c r="F542" s="362"/>
      <c r="G542" s="360"/>
      <c r="H542" s="185"/>
      <c r="I542" s="362"/>
      <c r="J542" s="185"/>
      <c r="K542" s="363"/>
      <c r="L542" s="363"/>
      <c r="M542" s="363"/>
      <c r="N542" s="363"/>
      <c r="O542" s="363"/>
      <c r="P542" s="363"/>
      <c r="Q542" s="362"/>
      <c r="R542" s="185"/>
      <c r="S542" s="185"/>
      <c r="T542" s="364"/>
      <c r="U542" s="185"/>
      <c r="V542" s="185"/>
      <c r="W542" s="185"/>
      <c r="X542" s="185"/>
      <c r="Y542" s="185"/>
      <c r="Z542" s="185"/>
      <c r="AA542" s="185"/>
    </row>
    <row r="543" spans="1:27" ht="15.75" customHeight="1">
      <c r="A543" s="185"/>
      <c r="B543" s="360"/>
      <c r="C543" s="361"/>
      <c r="D543" s="185"/>
      <c r="E543" s="185"/>
      <c r="F543" s="362"/>
      <c r="G543" s="360"/>
      <c r="H543" s="185"/>
      <c r="I543" s="362"/>
      <c r="J543" s="185"/>
      <c r="K543" s="363"/>
      <c r="L543" s="363"/>
      <c r="M543" s="363"/>
      <c r="N543" s="363"/>
      <c r="O543" s="363"/>
      <c r="P543" s="363"/>
      <c r="Q543" s="362"/>
      <c r="R543" s="185"/>
      <c r="S543" s="185"/>
      <c r="T543" s="364"/>
      <c r="U543" s="185"/>
      <c r="V543" s="185"/>
      <c r="W543" s="185"/>
      <c r="X543" s="185"/>
      <c r="Y543" s="185"/>
      <c r="Z543" s="185"/>
      <c r="AA543" s="185"/>
    </row>
    <row r="544" spans="1:27" ht="15.75" customHeight="1">
      <c r="A544" s="185"/>
      <c r="B544" s="360"/>
      <c r="C544" s="361"/>
      <c r="D544" s="185"/>
      <c r="E544" s="185"/>
      <c r="F544" s="362"/>
      <c r="G544" s="360"/>
      <c r="H544" s="185"/>
      <c r="I544" s="362"/>
      <c r="J544" s="185"/>
      <c r="K544" s="363"/>
      <c r="L544" s="363"/>
      <c r="M544" s="363"/>
      <c r="N544" s="363"/>
      <c r="O544" s="363"/>
      <c r="P544" s="363"/>
      <c r="Q544" s="362"/>
      <c r="R544" s="185"/>
      <c r="S544" s="185"/>
      <c r="T544" s="364"/>
      <c r="U544" s="185"/>
      <c r="V544" s="185"/>
      <c r="W544" s="185"/>
      <c r="X544" s="185"/>
      <c r="Y544" s="185"/>
      <c r="Z544" s="185"/>
      <c r="AA544" s="185"/>
    </row>
    <row r="545" spans="1:27" ht="15.75" customHeight="1">
      <c r="A545" s="185"/>
      <c r="B545" s="360"/>
      <c r="C545" s="361"/>
      <c r="D545" s="185"/>
      <c r="E545" s="185"/>
      <c r="F545" s="362"/>
      <c r="G545" s="360"/>
      <c r="H545" s="185"/>
      <c r="I545" s="362"/>
      <c r="J545" s="185"/>
      <c r="K545" s="363"/>
      <c r="L545" s="363"/>
      <c r="M545" s="363"/>
      <c r="N545" s="363"/>
      <c r="O545" s="363"/>
      <c r="P545" s="363"/>
      <c r="Q545" s="362"/>
      <c r="R545" s="185"/>
      <c r="S545" s="185"/>
      <c r="T545" s="364"/>
      <c r="U545" s="185"/>
      <c r="V545" s="185"/>
      <c r="W545" s="185"/>
      <c r="X545" s="185"/>
      <c r="Y545" s="185"/>
      <c r="Z545" s="185"/>
      <c r="AA545" s="185"/>
    </row>
    <row r="546" spans="1:27" ht="15.75" customHeight="1">
      <c r="A546" s="185"/>
      <c r="B546" s="360"/>
      <c r="C546" s="361"/>
      <c r="D546" s="185"/>
      <c r="E546" s="185"/>
      <c r="F546" s="362"/>
      <c r="G546" s="360"/>
      <c r="H546" s="185"/>
      <c r="I546" s="362"/>
      <c r="J546" s="185"/>
      <c r="K546" s="363"/>
      <c r="L546" s="363"/>
      <c r="M546" s="363"/>
      <c r="N546" s="363"/>
      <c r="O546" s="363"/>
      <c r="P546" s="363"/>
      <c r="Q546" s="362"/>
      <c r="R546" s="185"/>
      <c r="S546" s="185"/>
      <c r="T546" s="364"/>
      <c r="U546" s="185"/>
      <c r="V546" s="185"/>
      <c r="W546" s="185"/>
      <c r="X546" s="185"/>
      <c r="Y546" s="185"/>
      <c r="Z546" s="185"/>
      <c r="AA546" s="185"/>
    </row>
    <row r="547" spans="1:27" ht="15.75" customHeight="1">
      <c r="A547" s="185"/>
      <c r="B547" s="360"/>
      <c r="C547" s="361"/>
      <c r="D547" s="185"/>
      <c r="E547" s="185"/>
      <c r="F547" s="362"/>
      <c r="G547" s="360"/>
      <c r="H547" s="185"/>
      <c r="I547" s="362"/>
      <c r="J547" s="185"/>
      <c r="K547" s="363"/>
      <c r="L547" s="363"/>
      <c r="M547" s="363"/>
      <c r="N547" s="363"/>
      <c r="O547" s="363"/>
      <c r="P547" s="363"/>
      <c r="Q547" s="362"/>
      <c r="R547" s="185"/>
      <c r="S547" s="185"/>
      <c r="T547" s="364"/>
      <c r="U547" s="185"/>
      <c r="V547" s="185"/>
      <c r="W547" s="185"/>
      <c r="X547" s="185"/>
      <c r="Y547" s="185"/>
      <c r="Z547" s="185"/>
      <c r="AA547" s="185"/>
    </row>
    <row r="548" spans="1:27" ht="15.75" customHeight="1">
      <c r="A548" s="185"/>
      <c r="B548" s="360"/>
      <c r="C548" s="361"/>
      <c r="D548" s="185"/>
      <c r="E548" s="185"/>
      <c r="F548" s="362"/>
      <c r="G548" s="360"/>
      <c r="H548" s="185"/>
      <c r="I548" s="362"/>
      <c r="J548" s="185"/>
      <c r="K548" s="363"/>
      <c r="L548" s="363"/>
      <c r="M548" s="363"/>
      <c r="N548" s="363"/>
      <c r="O548" s="363"/>
      <c r="P548" s="363"/>
      <c r="Q548" s="362"/>
      <c r="R548" s="185"/>
      <c r="S548" s="185"/>
      <c r="T548" s="364"/>
      <c r="U548" s="185"/>
      <c r="V548" s="185"/>
      <c r="W548" s="185"/>
      <c r="X548" s="185"/>
      <c r="Y548" s="185"/>
      <c r="Z548" s="185"/>
      <c r="AA548" s="185"/>
    </row>
    <row r="549" spans="1:27" ht="15.75" customHeight="1">
      <c r="A549" s="185"/>
      <c r="B549" s="360"/>
      <c r="C549" s="361"/>
      <c r="D549" s="185"/>
      <c r="E549" s="185"/>
      <c r="F549" s="362"/>
      <c r="G549" s="360"/>
      <c r="H549" s="185"/>
      <c r="I549" s="362"/>
      <c r="J549" s="185"/>
      <c r="K549" s="363"/>
      <c r="L549" s="363"/>
      <c r="M549" s="363"/>
      <c r="N549" s="363"/>
      <c r="O549" s="363"/>
      <c r="P549" s="363"/>
      <c r="Q549" s="362"/>
      <c r="R549" s="185"/>
      <c r="S549" s="185"/>
      <c r="T549" s="364"/>
      <c r="U549" s="185"/>
      <c r="V549" s="185"/>
      <c r="W549" s="185"/>
      <c r="X549" s="185"/>
      <c r="Y549" s="185"/>
      <c r="Z549" s="185"/>
      <c r="AA549" s="185"/>
    </row>
    <row r="550" spans="1:27" ht="15.75" customHeight="1">
      <c r="A550" s="185"/>
      <c r="B550" s="360"/>
      <c r="C550" s="361"/>
      <c r="D550" s="185"/>
      <c r="E550" s="185"/>
      <c r="F550" s="362"/>
      <c r="G550" s="360"/>
      <c r="H550" s="185"/>
      <c r="I550" s="362"/>
      <c r="J550" s="185"/>
      <c r="K550" s="363"/>
      <c r="L550" s="363"/>
      <c r="M550" s="363"/>
      <c r="N550" s="363"/>
      <c r="O550" s="363"/>
      <c r="P550" s="363"/>
      <c r="Q550" s="362"/>
      <c r="R550" s="185"/>
      <c r="S550" s="185"/>
      <c r="T550" s="364"/>
      <c r="U550" s="185"/>
      <c r="V550" s="185"/>
      <c r="W550" s="185"/>
      <c r="X550" s="185"/>
      <c r="Y550" s="185"/>
      <c r="Z550" s="185"/>
      <c r="AA550" s="185"/>
    </row>
    <row r="551" spans="1:27" ht="15.75" customHeight="1">
      <c r="A551" s="185"/>
      <c r="B551" s="360"/>
      <c r="C551" s="361"/>
      <c r="D551" s="185"/>
      <c r="E551" s="185"/>
      <c r="F551" s="362"/>
      <c r="G551" s="360"/>
      <c r="H551" s="185"/>
      <c r="I551" s="362"/>
      <c r="J551" s="185"/>
      <c r="K551" s="363"/>
      <c r="L551" s="363"/>
      <c r="M551" s="363"/>
      <c r="N551" s="363"/>
      <c r="O551" s="363"/>
      <c r="P551" s="363"/>
      <c r="Q551" s="362"/>
      <c r="R551" s="185"/>
      <c r="S551" s="185"/>
      <c r="T551" s="364"/>
      <c r="U551" s="185"/>
      <c r="V551" s="185"/>
      <c r="W551" s="185"/>
      <c r="X551" s="185"/>
      <c r="Y551" s="185"/>
      <c r="Z551" s="185"/>
      <c r="AA551" s="185"/>
    </row>
    <row r="552" spans="1:27" ht="15.75" customHeight="1">
      <c r="A552" s="185"/>
      <c r="B552" s="360"/>
      <c r="C552" s="361"/>
      <c r="D552" s="185"/>
      <c r="E552" s="185"/>
      <c r="F552" s="362"/>
      <c r="G552" s="360"/>
      <c r="H552" s="185"/>
      <c r="I552" s="362"/>
      <c r="J552" s="185"/>
      <c r="K552" s="363"/>
      <c r="L552" s="363"/>
      <c r="M552" s="363"/>
      <c r="N552" s="363"/>
      <c r="O552" s="363"/>
      <c r="P552" s="363"/>
      <c r="Q552" s="362"/>
      <c r="R552" s="185"/>
      <c r="S552" s="185"/>
      <c r="T552" s="364"/>
      <c r="U552" s="185"/>
      <c r="V552" s="185"/>
      <c r="W552" s="185"/>
      <c r="X552" s="185"/>
      <c r="Y552" s="185"/>
      <c r="Z552" s="185"/>
      <c r="AA552" s="185"/>
    </row>
    <row r="553" spans="1:27" ht="15.75" customHeight="1">
      <c r="A553" s="185"/>
      <c r="B553" s="360"/>
      <c r="C553" s="361"/>
      <c r="D553" s="185"/>
      <c r="E553" s="185"/>
      <c r="F553" s="362"/>
      <c r="G553" s="360"/>
      <c r="H553" s="185"/>
      <c r="I553" s="362"/>
      <c r="J553" s="185"/>
      <c r="K553" s="363"/>
      <c r="L553" s="363"/>
      <c r="M553" s="363"/>
      <c r="N553" s="363"/>
      <c r="O553" s="363"/>
      <c r="P553" s="363"/>
      <c r="Q553" s="362"/>
      <c r="R553" s="185"/>
      <c r="S553" s="185"/>
      <c r="T553" s="364"/>
      <c r="U553" s="185"/>
      <c r="V553" s="185"/>
      <c r="W553" s="185"/>
      <c r="X553" s="185"/>
      <c r="Y553" s="185"/>
      <c r="Z553" s="185"/>
      <c r="AA553" s="185"/>
    </row>
    <row r="554" spans="1:27" ht="15.75" customHeight="1">
      <c r="A554" s="185"/>
      <c r="B554" s="360"/>
      <c r="C554" s="361"/>
      <c r="D554" s="185"/>
      <c r="E554" s="185"/>
      <c r="F554" s="362"/>
      <c r="G554" s="360"/>
      <c r="H554" s="185"/>
      <c r="I554" s="362"/>
      <c r="J554" s="185"/>
      <c r="K554" s="363"/>
      <c r="L554" s="363"/>
      <c r="M554" s="363"/>
      <c r="N554" s="363"/>
      <c r="O554" s="363"/>
      <c r="P554" s="363"/>
      <c r="Q554" s="362"/>
      <c r="R554" s="185"/>
      <c r="S554" s="185"/>
      <c r="T554" s="364"/>
      <c r="U554" s="185"/>
      <c r="V554" s="185"/>
      <c r="W554" s="185"/>
      <c r="X554" s="185"/>
      <c r="Y554" s="185"/>
      <c r="Z554" s="185"/>
      <c r="AA554" s="185"/>
    </row>
    <row r="555" spans="1:27" ht="15.75" customHeight="1">
      <c r="A555" s="185"/>
      <c r="B555" s="360"/>
      <c r="C555" s="361"/>
      <c r="D555" s="185"/>
      <c r="E555" s="185"/>
      <c r="F555" s="362"/>
      <c r="G555" s="360"/>
      <c r="H555" s="185"/>
      <c r="I555" s="362"/>
      <c r="J555" s="185"/>
      <c r="K555" s="363"/>
      <c r="L555" s="363"/>
      <c r="M555" s="363"/>
      <c r="N555" s="363"/>
      <c r="O555" s="363"/>
      <c r="P555" s="363"/>
      <c r="Q555" s="362"/>
      <c r="R555" s="185"/>
      <c r="S555" s="185"/>
      <c r="T555" s="364"/>
      <c r="U555" s="185"/>
      <c r="V555" s="185"/>
      <c r="W555" s="185"/>
      <c r="X555" s="185"/>
      <c r="Y555" s="185"/>
      <c r="Z555" s="185"/>
      <c r="AA555" s="185"/>
    </row>
    <row r="556" spans="1:27" ht="15.75" customHeight="1">
      <c r="A556" s="185"/>
      <c r="B556" s="360"/>
      <c r="C556" s="361"/>
      <c r="D556" s="185"/>
      <c r="E556" s="185"/>
      <c r="F556" s="362"/>
      <c r="G556" s="360"/>
      <c r="H556" s="185"/>
      <c r="I556" s="362"/>
      <c r="J556" s="185"/>
      <c r="K556" s="363"/>
      <c r="L556" s="363"/>
      <c r="M556" s="363"/>
      <c r="N556" s="363"/>
      <c r="O556" s="363"/>
      <c r="P556" s="363"/>
      <c r="Q556" s="362"/>
      <c r="R556" s="185"/>
      <c r="S556" s="185"/>
      <c r="T556" s="364"/>
      <c r="U556" s="185"/>
      <c r="V556" s="185"/>
      <c r="W556" s="185"/>
      <c r="X556" s="185"/>
      <c r="Y556" s="185"/>
      <c r="Z556" s="185"/>
      <c r="AA556" s="185"/>
    </row>
    <row r="557" spans="1:27" ht="15.75" customHeight="1">
      <c r="A557" s="185"/>
      <c r="B557" s="360"/>
      <c r="C557" s="361"/>
      <c r="D557" s="185"/>
      <c r="E557" s="185"/>
      <c r="F557" s="362"/>
      <c r="G557" s="360"/>
      <c r="H557" s="185"/>
      <c r="I557" s="362"/>
      <c r="J557" s="185"/>
      <c r="K557" s="363"/>
      <c r="L557" s="363"/>
      <c r="M557" s="363"/>
      <c r="N557" s="363"/>
      <c r="O557" s="363"/>
      <c r="P557" s="363"/>
      <c r="Q557" s="362"/>
      <c r="R557" s="185"/>
      <c r="S557" s="185"/>
      <c r="T557" s="364"/>
      <c r="U557" s="185"/>
      <c r="V557" s="185"/>
      <c r="W557" s="185"/>
      <c r="X557" s="185"/>
      <c r="Y557" s="185"/>
      <c r="Z557" s="185"/>
      <c r="AA557" s="185"/>
    </row>
    <row r="558" spans="1:27" ht="15.75" customHeight="1">
      <c r="A558" s="185"/>
      <c r="B558" s="360"/>
      <c r="C558" s="361"/>
      <c r="D558" s="185"/>
      <c r="E558" s="185"/>
      <c r="F558" s="362"/>
      <c r="G558" s="360"/>
      <c r="H558" s="185"/>
      <c r="I558" s="362"/>
      <c r="J558" s="185"/>
      <c r="K558" s="363"/>
      <c r="L558" s="363"/>
      <c r="M558" s="363"/>
      <c r="N558" s="363"/>
      <c r="O558" s="363"/>
      <c r="P558" s="363"/>
      <c r="Q558" s="362"/>
      <c r="R558" s="185"/>
      <c r="S558" s="185"/>
      <c r="T558" s="364"/>
      <c r="U558" s="185"/>
      <c r="V558" s="185"/>
      <c r="W558" s="185"/>
      <c r="X558" s="185"/>
      <c r="Y558" s="185"/>
      <c r="Z558" s="185"/>
      <c r="AA558" s="185"/>
    </row>
    <row r="559" spans="1:27" ht="15.75" customHeight="1">
      <c r="A559" s="185"/>
      <c r="B559" s="360"/>
      <c r="C559" s="361"/>
      <c r="D559" s="185"/>
      <c r="E559" s="185"/>
      <c r="F559" s="362"/>
      <c r="G559" s="360"/>
      <c r="H559" s="185"/>
      <c r="I559" s="362"/>
      <c r="J559" s="185"/>
      <c r="K559" s="363"/>
      <c r="L559" s="363"/>
      <c r="M559" s="363"/>
      <c r="N559" s="363"/>
      <c r="O559" s="363"/>
      <c r="P559" s="363"/>
      <c r="Q559" s="362"/>
      <c r="R559" s="185"/>
      <c r="S559" s="185"/>
      <c r="T559" s="364"/>
      <c r="U559" s="185"/>
      <c r="V559" s="185"/>
      <c r="W559" s="185"/>
      <c r="X559" s="185"/>
      <c r="Y559" s="185"/>
      <c r="Z559" s="185"/>
      <c r="AA559" s="185"/>
    </row>
    <row r="560" spans="1:27" ht="15.75" customHeight="1">
      <c r="A560" s="185"/>
      <c r="B560" s="360"/>
      <c r="C560" s="361"/>
      <c r="D560" s="185"/>
      <c r="E560" s="185"/>
      <c r="F560" s="362"/>
      <c r="G560" s="360"/>
      <c r="H560" s="185"/>
      <c r="I560" s="362"/>
      <c r="J560" s="185"/>
      <c r="K560" s="363"/>
      <c r="L560" s="363"/>
      <c r="M560" s="363"/>
      <c r="N560" s="363"/>
      <c r="O560" s="363"/>
      <c r="P560" s="363"/>
      <c r="Q560" s="362"/>
      <c r="R560" s="185"/>
      <c r="S560" s="185"/>
      <c r="T560" s="364"/>
      <c r="U560" s="185"/>
      <c r="V560" s="185"/>
      <c r="W560" s="185"/>
      <c r="X560" s="185"/>
      <c r="Y560" s="185"/>
      <c r="Z560" s="185"/>
      <c r="AA560" s="185"/>
    </row>
    <row r="561" spans="1:27" ht="15.75" customHeight="1">
      <c r="A561" s="185"/>
      <c r="B561" s="360"/>
      <c r="C561" s="361"/>
      <c r="D561" s="185"/>
      <c r="E561" s="185"/>
      <c r="F561" s="362"/>
      <c r="G561" s="360"/>
      <c r="H561" s="185"/>
      <c r="I561" s="362"/>
      <c r="J561" s="185"/>
      <c r="K561" s="363"/>
      <c r="L561" s="363"/>
      <c r="M561" s="363"/>
      <c r="N561" s="363"/>
      <c r="O561" s="363"/>
      <c r="P561" s="363"/>
      <c r="Q561" s="362"/>
      <c r="R561" s="185"/>
      <c r="S561" s="185"/>
      <c r="T561" s="364"/>
      <c r="U561" s="185"/>
      <c r="V561" s="185"/>
      <c r="W561" s="185"/>
      <c r="X561" s="185"/>
      <c r="Y561" s="185"/>
      <c r="Z561" s="185"/>
      <c r="AA561" s="185"/>
    </row>
    <row r="562" spans="1:27" ht="15.75" customHeight="1">
      <c r="A562" s="185"/>
      <c r="B562" s="360"/>
      <c r="C562" s="361"/>
      <c r="D562" s="185"/>
      <c r="E562" s="185"/>
      <c r="F562" s="362"/>
      <c r="G562" s="360"/>
      <c r="H562" s="185"/>
      <c r="I562" s="362"/>
      <c r="J562" s="185"/>
      <c r="K562" s="363"/>
      <c r="L562" s="363"/>
      <c r="M562" s="363"/>
      <c r="N562" s="363"/>
      <c r="O562" s="363"/>
      <c r="P562" s="363"/>
      <c r="Q562" s="362"/>
      <c r="R562" s="185"/>
      <c r="S562" s="185"/>
      <c r="T562" s="364"/>
      <c r="U562" s="185"/>
      <c r="V562" s="185"/>
      <c r="W562" s="185"/>
      <c r="X562" s="185"/>
      <c r="Y562" s="185"/>
      <c r="Z562" s="185"/>
      <c r="AA562" s="185"/>
    </row>
    <row r="563" spans="1:27" ht="15.75" customHeight="1">
      <c r="A563" s="185"/>
      <c r="B563" s="360"/>
      <c r="C563" s="361"/>
      <c r="D563" s="185"/>
      <c r="E563" s="185"/>
      <c r="F563" s="362"/>
      <c r="G563" s="360"/>
      <c r="H563" s="185"/>
      <c r="I563" s="362"/>
      <c r="J563" s="185"/>
      <c r="K563" s="363"/>
      <c r="L563" s="363"/>
      <c r="M563" s="363"/>
      <c r="N563" s="363"/>
      <c r="O563" s="363"/>
      <c r="P563" s="363"/>
      <c r="Q563" s="362"/>
      <c r="R563" s="185"/>
      <c r="S563" s="185"/>
      <c r="T563" s="364"/>
      <c r="U563" s="185"/>
      <c r="V563" s="185"/>
      <c r="W563" s="185"/>
      <c r="X563" s="185"/>
      <c r="Y563" s="185"/>
      <c r="Z563" s="185"/>
      <c r="AA563" s="185"/>
    </row>
    <row r="564" spans="1:27" ht="15.75" customHeight="1">
      <c r="A564" s="185"/>
      <c r="B564" s="360"/>
      <c r="C564" s="361"/>
      <c r="D564" s="185"/>
      <c r="E564" s="185"/>
      <c r="F564" s="362"/>
      <c r="G564" s="360"/>
      <c r="H564" s="185"/>
      <c r="I564" s="362"/>
      <c r="J564" s="185"/>
      <c r="K564" s="363"/>
      <c r="L564" s="363"/>
      <c r="M564" s="363"/>
      <c r="N564" s="363"/>
      <c r="O564" s="363"/>
      <c r="P564" s="363"/>
      <c r="Q564" s="362"/>
      <c r="R564" s="185"/>
      <c r="S564" s="185"/>
      <c r="T564" s="364"/>
      <c r="U564" s="185"/>
      <c r="V564" s="185"/>
      <c r="W564" s="185"/>
      <c r="X564" s="185"/>
      <c r="Y564" s="185"/>
      <c r="Z564" s="185"/>
      <c r="AA564" s="185"/>
    </row>
    <row r="565" spans="1:27" ht="15.75" customHeight="1">
      <c r="A565" s="185"/>
      <c r="B565" s="360"/>
      <c r="C565" s="361"/>
      <c r="D565" s="185"/>
      <c r="E565" s="185"/>
      <c r="F565" s="362"/>
      <c r="G565" s="360"/>
      <c r="H565" s="185"/>
      <c r="I565" s="362"/>
      <c r="J565" s="185"/>
      <c r="K565" s="363"/>
      <c r="L565" s="363"/>
      <c r="M565" s="363"/>
      <c r="N565" s="363"/>
      <c r="O565" s="363"/>
      <c r="P565" s="363"/>
      <c r="Q565" s="362"/>
      <c r="R565" s="185"/>
      <c r="S565" s="185"/>
      <c r="T565" s="364"/>
      <c r="U565" s="185"/>
      <c r="V565" s="185"/>
      <c r="W565" s="185"/>
      <c r="X565" s="185"/>
      <c r="Y565" s="185"/>
      <c r="Z565" s="185"/>
      <c r="AA565" s="185"/>
    </row>
    <row r="566" spans="1:27" ht="15.75" customHeight="1">
      <c r="A566" s="185"/>
      <c r="B566" s="360"/>
      <c r="C566" s="361"/>
      <c r="D566" s="185"/>
      <c r="E566" s="185"/>
      <c r="F566" s="362"/>
      <c r="G566" s="360"/>
      <c r="H566" s="185"/>
      <c r="I566" s="362"/>
      <c r="J566" s="185"/>
      <c r="K566" s="363"/>
      <c r="L566" s="363"/>
      <c r="M566" s="363"/>
      <c r="N566" s="363"/>
      <c r="O566" s="363"/>
      <c r="P566" s="363"/>
      <c r="Q566" s="362"/>
      <c r="R566" s="185"/>
      <c r="S566" s="185"/>
      <c r="T566" s="364"/>
      <c r="U566" s="185"/>
      <c r="V566" s="185"/>
      <c r="W566" s="185"/>
      <c r="X566" s="185"/>
      <c r="Y566" s="185"/>
      <c r="Z566" s="185"/>
      <c r="AA566" s="185"/>
    </row>
    <row r="567" spans="1:27" ht="15.75" customHeight="1">
      <c r="A567" s="185"/>
      <c r="B567" s="360"/>
      <c r="C567" s="361"/>
      <c r="D567" s="185"/>
      <c r="E567" s="185"/>
      <c r="F567" s="362"/>
      <c r="G567" s="360"/>
      <c r="H567" s="185"/>
      <c r="I567" s="362"/>
      <c r="J567" s="185"/>
      <c r="K567" s="363"/>
      <c r="L567" s="363"/>
      <c r="M567" s="363"/>
      <c r="N567" s="363"/>
      <c r="O567" s="363"/>
      <c r="P567" s="363"/>
      <c r="Q567" s="362"/>
      <c r="R567" s="185"/>
      <c r="S567" s="185"/>
      <c r="T567" s="364"/>
      <c r="U567" s="185"/>
      <c r="V567" s="185"/>
      <c r="W567" s="185"/>
      <c r="X567" s="185"/>
      <c r="Y567" s="185"/>
      <c r="Z567" s="185"/>
      <c r="AA567" s="185"/>
    </row>
    <row r="568" spans="1:27" ht="15.75" customHeight="1">
      <c r="A568" s="185"/>
      <c r="B568" s="360"/>
      <c r="C568" s="361"/>
      <c r="D568" s="185"/>
      <c r="E568" s="185"/>
      <c r="F568" s="362"/>
      <c r="G568" s="360"/>
      <c r="H568" s="185"/>
      <c r="I568" s="362"/>
      <c r="J568" s="185"/>
      <c r="K568" s="363"/>
      <c r="L568" s="363"/>
      <c r="M568" s="363"/>
      <c r="N568" s="363"/>
      <c r="O568" s="363"/>
      <c r="P568" s="363"/>
      <c r="Q568" s="362"/>
      <c r="R568" s="185"/>
      <c r="S568" s="185"/>
      <c r="T568" s="364"/>
      <c r="U568" s="185"/>
      <c r="V568" s="185"/>
      <c r="W568" s="185"/>
      <c r="X568" s="185"/>
      <c r="Y568" s="185"/>
      <c r="Z568" s="185"/>
      <c r="AA568" s="185"/>
    </row>
    <row r="569" spans="1:27" ht="15.75" customHeight="1">
      <c r="A569" s="185"/>
      <c r="B569" s="360"/>
      <c r="C569" s="361"/>
      <c r="D569" s="185"/>
      <c r="E569" s="185"/>
      <c r="F569" s="362"/>
      <c r="G569" s="360"/>
      <c r="H569" s="185"/>
      <c r="I569" s="362"/>
      <c r="J569" s="185"/>
      <c r="K569" s="363"/>
      <c r="L569" s="363"/>
      <c r="M569" s="363"/>
      <c r="N569" s="363"/>
      <c r="O569" s="363"/>
      <c r="P569" s="363"/>
      <c r="Q569" s="362"/>
      <c r="R569" s="185"/>
      <c r="S569" s="185"/>
      <c r="T569" s="364"/>
      <c r="U569" s="185"/>
      <c r="V569" s="185"/>
      <c r="W569" s="185"/>
      <c r="X569" s="185"/>
      <c r="Y569" s="185"/>
      <c r="Z569" s="185"/>
      <c r="AA569" s="185"/>
    </row>
    <row r="570" spans="1:27" ht="15.75" customHeight="1">
      <c r="A570" s="185"/>
      <c r="B570" s="360"/>
      <c r="C570" s="361"/>
      <c r="D570" s="185"/>
      <c r="E570" s="185"/>
      <c r="F570" s="362"/>
      <c r="G570" s="360"/>
      <c r="H570" s="185"/>
      <c r="I570" s="362"/>
      <c r="J570" s="185"/>
      <c r="K570" s="363"/>
      <c r="L570" s="363"/>
      <c r="M570" s="363"/>
      <c r="N570" s="363"/>
      <c r="O570" s="363"/>
      <c r="P570" s="363"/>
      <c r="Q570" s="362"/>
      <c r="R570" s="185"/>
      <c r="S570" s="185"/>
      <c r="T570" s="364"/>
      <c r="U570" s="185"/>
      <c r="V570" s="185"/>
      <c r="W570" s="185"/>
      <c r="X570" s="185"/>
      <c r="Y570" s="185"/>
      <c r="Z570" s="185"/>
      <c r="AA570" s="185"/>
    </row>
    <row r="571" spans="1:27" ht="15.75" customHeight="1">
      <c r="A571" s="185"/>
      <c r="B571" s="360"/>
      <c r="C571" s="361"/>
      <c r="D571" s="185"/>
      <c r="E571" s="185"/>
      <c r="F571" s="362"/>
      <c r="G571" s="360"/>
      <c r="H571" s="185"/>
      <c r="I571" s="362"/>
      <c r="J571" s="185"/>
      <c r="K571" s="363"/>
      <c r="L571" s="363"/>
      <c r="M571" s="363"/>
      <c r="N571" s="363"/>
      <c r="O571" s="363"/>
      <c r="P571" s="363"/>
      <c r="Q571" s="362"/>
      <c r="R571" s="185"/>
      <c r="S571" s="185"/>
      <c r="T571" s="364"/>
      <c r="U571" s="185"/>
      <c r="V571" s="185"/>
      <c r="W571" s="185"/>
      <c r="X571" s="185"/>
      <c r="Y571" s="185"/>
      <c r="Z571" s="185"/>
      <c r="AA571" s="185"/>
    </row>
    <row r="572" spans="1:27" ht="15.75" customHeight="1">
      <c r="A572" s="185"/>
      <c r="B572" s="360"/>
      <c r="C572" s="361"/>
      <c r="D572" s="185"/>
      <c r="E572" s="185"/>
      <c r="F572" s="362"/>
      <c r="G572" s="360"/>
      <c r="H572" s="185"/>
      <c r="I572" s="362"/>
      <c r="J572" s="185"/>
      <c r="K572" s="363"/>
      <c r="L572" s="363"/>
      <c r="M572" s="363"/>
      <c r="N572" s="363"/>
      <c r="O572" s="363"/>
      <c r="P572" s="363"/>
      <c r="Q572" s="362"/>
      <c r="R572" s="185"/>
      <c r="S572" s="185"/>
      <c r="T572" s="364"/>
      <c r="U572" s="185"/>
      <c r="V572" s="185"/>
      <c r="W572" s="185"/>
      <c r="X572" s="185"/>
      <c r="Y572" s="185"/>
      <c r="Z572" s="185"/>
      <c r="AA572" s="185"/>
    </row>
    <row r="573" spans="1:27" ht="15.75" customHeight="1">
      <c r="A573" s="185"/>
      <c r="B573" s="360"/>
      <c r="C573" s="361"/>
      <c r="D573" s="185"/>
      <c r="E573" s="185"/>
      <c r="F573" s="362"/>
      <c r="G573" s="360"/>
      <c r="H573" s="185"/>
      <c r="I573" s="362"/>
      <c r="J573" s="185"/>
      <c r="K573" s="363"/>
      <c r="L573" s="363"/>
      <c r="M573" s="363"/>
      <c r="N573" s="363"/>
      <c r="O573" s="363"/>
      <c r="P573" s="363"/>
      <c r="Q573" s="362"/>
      <c r="R573" s="185"/>
      <c r="S573" s="185"/>
      <c r="T573" s="364"/>
      <c r="U573" s="185"/>
      <c r="V573" s="185"/>
      <c r="W573" s="185"/>
      <c r="X573" s="185"/>
      <c r="Y573" s="185"/>
      <c r="Z573" s="185"/>
      <c r="AA573" s="185"/>
    </row>
    <row r="574" spans="1:27" ht="15.75" customHeight="1">
      <c r="A574" s="185"/>
      <c r="B574" s="360"/>
      <c r="C574" s="361"/>
      <c r="D574" s="185"/>
      <c r="E574" s="185"/>
      <c r="F574" s="362"/>
      <c r="G574" s="360"/>
      <c r="H574" s="185"/>
      <c r="I574" s="362"/>
      <c r="J574" s="185"/>
      <c r="K574" s="363"/>
      <c r="L574" s="363"/>
      <c r="M574" s="363"/>
      <c r="N574" s="363"/>
      <c r="O574" s="363"/>
      <c r="P574" s="363"/>
      <c r="Q574" s="362"/>
      <c r="R574" s="185"/>
      <c r="S574" s="185"/>
      <c r="T574" s="364"/>
      <c r="U574" s="185"/>
      <c r="V574" s="185"/>
      <c r="W574" s="185"/>
      <c r="X574" s="185"/>
      <c r="Y574" s="185"/>
      <c r="Z574" s="185"/>
      <c r="AA574" s="185"/>
    </row>
    <row r="575" spans="1:27" ht="15.75" customHeight="1">
      <c r="A575" s="185"/>
      <c r="B575" s="360"/>
      <c r="C575" s="361"/>
      <c r="D575" s="185"/>
      <c r="E575" s="185"/>
      <c r="F575" s="362"/>
      <c r="G575" s="360"/>
      <c r="H575" s="185"/>
      <c r="I575" s="362"/>
      <c r="J575" s="185"/>
      <c r="K575" s="363"/>
      <c r="L575" s="363"/>
      <c r="M575" s="363"/>
      <c r="N575" s="363"/>
      <c r="O575" s="363"/>
      <c r="P575" s="363"/>
      <c r="Q575" s="362"/>
      <c r="R575" s="185"/>
      <c r="S575" s="185"/>
      <c r="T575" s="364"/>
      <c r="U575" s="185"/>
      <c r="V575" s="185"/>
      <c r="W575" s="185"/>
      <c r="X575" s="185"/>
      <c r="Y575" s="185"/>
      <c r="Z575" s="185"/>
      <c r="AA575" s="185"/>
    </row>
    <row r="576" spans="1:27" ht="15.75" customHeight="1">
      <c r="A576" s="185"/>
      <c r="B576" s="360"/>
      <c r="C576" s="361"/>
      <c r="D576" s="185"/>
      <c r="E576" s="185"/>
      <c r="F576" s="362"/>
      <c r="G576" s="360"/>
      <c r="H576" s="185"/>
      <c r="I576" s="362"/>
      <c r="J576" s="185"/>
      <c r="K576" s="363"/>
      <c r="L576" s="363"/>
      <c r="M576" s="363"/>
      <c r="N576" s="363"/>
      <c r="O576" s="363"/>
      <c r="P576" s="363"/>
      <c r="Q576" s="362"/>
      <c r="R576" s="185"/>
      <c r="S576" s="185"/>
      <c r="T576" s="364"/>
      <c r="U576" s="185"/>
      <c r="V576" s="185"/>
      <c r="W576" s="185"/>
      <c r="X576" s="185"/>
      <c r="Y576" s="185"/>
      <c r="Z576" s="185"/>
      <c r="AA576" s="185"/>
    </row>
    <row r="577" spans="1:27" ht="15.75" customHeight="1">
      <c r="A577" s="185"/>
      <c r="B577" s="360"/>
      <c r="C577" s="361"/>
      <c r="D577" s="185"/>
      <c r="E577" s="185"/>
      <c r="F577" s="362"/>
      <c r="G577" s="360"/>
      <c r="H577" s="185"/>
      <c r="I577" s="362"/>
      <c r="J577" s="185"/>
      <c r="K577" s="363"/>
      <c r="L577" s="363"/>
      <c r="M577" s="363"/>
      <c r="N577" s="363"/>
      <c r="O577" s="363"/>
      <c r="P577" s="363"/>
      <c r="Q577" s="362"/>
      <c r="R577" s="185"/>
      <c r="S577" s="185"/>
      <c r="T577" s="364"/>
      <c r="U577" s="185"/>
      <c r="V577" s="185"/>
      <c r="W577" s="185"/>
      <c r="X577" s="185"/>
      <c r="Y577" s="185"/>
      <c r="Z577" s="185"/>
      <c r="AA577" s="185"/>
    </row>
    <row r="578" spans="1:27" ht="15.75" customHeight="1">
      <c r="A578" s="185"/>
      <c r="B578" s="360"/>
      <c r="C578" s="361"/>
      <c r="D578" s="185"/>
      <c r="E578" s="185"/>
      <c r="F578" s="362"/>
      <c r="G578" s="360"/>
      <c r="H578" s="185"/>
      <c r="I578" s="362"/>
      <c r="J578" s="185"/>
      <c r="K578" s="363"/>
      <c r="L578" s="363"/>
      <c r="M578" s="363"/>
      <c r="N578" s="363"/>
      <c r="O578" s="363"/>
      <c r="P578" s="363"/>
      <c r="Q578" s="362"/>
      <c r="R578" s="185"/>
      <c r="S578" s="185"/>
      <c r="T578" s="364"/>
      <c r="U578" s="185"/>
      <c r="V578" s="185"/>
      <c r="W578" s="185"/>
      <c r="X578" s="185"/>
      <c r="Y578" s="185"/>
      <c r="Z578" s="185"/>
      <c r="AA578" s="185"/>
    </row>
    <row r="579" spans="1:27" ht="15.75" customHeight="1">
      <c r="A579" s="185"/>
      <c r="B579" s="360"/>
      <c r="C579" s="361"/>
      <c r="D579" s="185"/>
      <c r="E579" s="185"/>
      <c r="F579" s="362"/>
      <c r="G579" s="360"/>
      <c r="H579" s="185"/>
      <c r="I579" s="362"/>
      <c r="J579" s="185"/>
      <c r="K579" s="363"/>
      <c r="L579" s="363"/>
      <c r="M579" s="363"/>
      <c r="N579" s="363"/>
      <c r="O579" s="363"/>
      <c r="P579" s="363"/>
      <c r="Q579" s="362"/>
      <c r="R579" s="185"/>
      <c r="S579" s="185"/>
      <c r="T579" s="364"/>
      <c r="U579" s="185"/>
      <c r="V579" s="185"/>
      <c r="W579" s="185"/>
      <c r="X579" s="185"/>
      <c r="Y579" s="185"/>
      <c r="Z579" s="185"/>
      <c r="AA579" s="185"/>
    </row>
    <row r="580" spans="1:27" ht="15.75" customHeight="1">
      <c r="A580" s="185"/>
      <c r="B580" s="360"/>
      <c r="C580" s="361"/>
      <c r="D580" s="185"/>
      <c r="E580" s="185"/>
      <c r="F580" s="362"/>
      <c r="G580" s="360"/>
      <c r="H580" s="185"/>
      <c r="I580" s="362"/>
      <c r="J580" s="185"/>
      <c r="K580" s="363"/>
      <c r="L580" s="363"/>
      <c r="M580" s="363"/>
      <c r="N580" s="363"/>
      <c r="O580" s="363"/>
      <c r="P580" s="363"/>
      <c r="Q580" s="362"/>
      <c r="R580" s="185"/>
      <c r="S580" s="185"/>
      <c r="T580" s="364"/>
      <c r="U580" s="185"/>
      <c r="V580" s="185"/>
      <c r="W580" s="185"/>
      <c r="X580" s="185"/>
      <c r="Y580" s="185"/>
      <c r="Z580" s="185"/>
      <c r="AA580" s="185"/>
    </row>
    <row r="581" spans="1:27" ht="15.75" customHeight="1">
      <c r="A581" s="185"/>
      <c r="B581" s="360"/>
      <c r="C581" s="361"/>
      <c r="D581" s="185"/>
      <c r="E581" s="185"/>
      <c r="F581" s="362"/>
      <c r="G581" s="360"/>
      <c r="H581" s="185"/>
      <c r="I581" s="362"/>
      <c r="J581" s="185"/>
      <c r="K581" s="363"/>
      <c r="L581" s="363"/>
      <c r="M581" s="363"/>
      <c r="N581" s="363"/>
      <c r="O581" s="363"/>
      <c r="P581" s="363"/>
      <c r="Q581" s="362"/>
      <c r="R581" s="185"/>
      <c r="S581" s="185"/>
      <c r="T581" s="364"/>
      <c r="U581" s="185"/>
      <c r="V581" s="185"/>
      <c r="W581" s="185"/>
      <c r="X581" s="185"/>
      <c r="Y581" s="185"/>
      <c r="Z581" s="185"/>
      <c r="AA581" s="185"/>
    </row>
    <row r="582" spans="1:27" ht="15.75" customHeight="1">
      <c r="A582" s="185"/>
      <c r="B582" s="360"/>
      <c r="C582" s="361"/>
      <c r="D582" s="185"/>
      <c r="E582" s="185"/>
      <c r="F582" s="362"/>
      <c r="G582" s="360"/>
      <c r="H582" s="185"/>
      <c r="I582" s="362"/>
      <c r="J582" s="185"/>
      <c r="K582" s="363"/>
      <c r="L582" s="363"/>
      <c r="M582" s="363"/>
      <c r="N582" s="363"/>
      <c r="O582" s="363"/>
      <c r="P582" s="363"/>
      <c r="Q582" s="362"/>
      <c r="R582" s="185"/>
      <c r="S582" s="185"/>
      <c r="T582" s="364"/>
      <c r="U582" s="185"/>
      <c r="V582" s="185"/>
      <c r="W582" s="185"/>
      <c r="X582" s="185"/>
      <c r="Y582" s="185"/>
      <c r="Z582" s="185"/>
      <c r="AA582" s="185"/>
    </row>
    <row r="583" spans="1:27" ht="15.75" customHeight="1">
      <c r="A583" s="185"/>
      <c r="B583" s="360"/>
      <c r="C583" s="361"/>
      <c r="D583" s="185"/>
      <c r="E583" s="185"/>
      <c r="F583" s="362"/>
      <c r="G583" s="360"/>
      <c r="H583" s="185"/>
      <c r="I583" s="362"/>
      <c r="J583" s="185"/>
      <c r="K583" s="363"/>
      <c r="L583" s="363"/>
      <c r="M583" s="363"/>
      <c r="N583" s="363"/>
      <c r="O583" s="363"/>
      <c r="P583" s="363"/>
      <c r="Q583" s="362"/>
      <c r="R583" s="185"/>
      <c r="S583" s="185"/>
      <c r="T583" s="364"/>
      <c r="U583" s="185"/>
      <c r="V583" s="185"/>
      <c r="W583" s="185"/>
      <c r="X583" s="185"/>
      <c r="Y583" s="185"/>
      <c r="Z583" s="185"/>
      <c r="AA583" s="185"/>
    </row>
    <row r="584" spans="1:27" ht="15.75" customHeight="1">
      <c r="A584" s="185"/>
      <c r="B584" s="360"/>
      <c r="C584" s="361"/>
      <c r="D584" s="185"/>
      <c r="E584" s="185"/>
      <c r="F584" s="362"/>
      <c r="G584" s="360"/>
      <c r="H584" s="185"/>
      <c r="I584" s="362"/>
      <c r="J584" s="185"/>
      <c r="K584" s="363"/>
      <c r="L584" s="363"/>
      <c r="M584" s="363"/>
      <c r="N584" s="363"/>
      <c r="O584" s="363"/>
      <c r="P584" s="363"/>
      <c r="Q584" s="362"/>
      <c r="R584" s="185"/>
      <c r="S584" s="185"/>
      <c r="T584" s="364"/>
      <c r="U584" s="185"/>
      <c r="V584" s="185"/>
      <c r="W584" s="185"/>
      <c r="X584" s="185"/>
      <c r="Y584" s="185"/>
      <c r="Z584" s="185"/>
      <c r="AA584" s="185"/>
    </row>
    <row r="585" spans="1:27" ht="15.75" customHeight="1">
      <c r="A585" s="185"/>
      <c r="B585" s="360"/>
      <c r="C585" s="361"/>
      <c r="D585" s="185"/>
      <c r="E585" s="185"/>
      <c r="F585" s="362"/>
      <c r="G585" s="360"/>
      <c r="H585" s="185"/>
      <c r="I585" s="362"/>
      <c r="J585" s="185"/>
      <c r="K585" s="363"/>
      <c r="L585" s="363"/>
      <c r="M585" s="363"/>
      <c r="N585" s="363"/>
      <c r="O585" s="363"/>
      <c r="P585" s="363"/>
      <c r="Q585" s="362"/>
      <c r="R585" s="185"/>
      <c r="S585" s="185"/>
      <c r="T585" s="364"/>
      <c r="U585" s="185"/>
      <c r="V585" s="185"/>
      <c r="W585" s="185"/>
      <c r="X585" s="185"/>
      <c r="Y585" s="185"/>
      <c r="Z585" s="185"/>
      <c r="AA585" s="185"/>
    </row>
    <row r="586" spans="1:27" ht="15.75" customHeight="1">
      <c r="A586" s="185"/>
      <c r="B586" s="360"/>
      <c r="C586" s="361"/>
      <c r="D586" s="185"/>
      <c r="E586" s="185"/>
      <c r="F586" s="362"/>
      <c r="G586" s="360"/>
      <c r="H586" s="185"/>
      <c r="I586" s="362"/>
      <c r="J586" s="185"/>
      <c r="K586" s="363"/>
      <c r="L586" s="363"/>
      <c r="M586" s="363"/>
      <c r="N586" s="363"/>
      <c r="O586" s="363"/>
      <c r="P586" s="363"/>
      <c r="Q586" s="362"/>
      <c r="R586" s="185"/>
      <c r="S586" s="185"/>
      <c r="T586" s="364"/>
      <c r="U586" s="185"/>
      <c r="V586" s="185"/>
      <c r="W586" s="185"/>
      <c r="X586" s="185"/>
      <c r="Y586" s="185"/>
      <c r="Z586" s="185"/>
      <c r="AA586" s="185"/>
    </row>
    <row r="587" spans="1:27" ht="15.75" customHeight="1">
      <c r="A587" s="185"/>
      <c r="B587" s="360"/>
      <c r="C587" s="361"/>
      <c r="D587" s="185"/>
      <c r="E587" s="185"/>
      <c r="F587" s="362"/>
      <c r="G587" s="360"/>
      <c r="H587" s="185"/>
      <c r="I587" s="362"/>
      <c r="J587" s="185"/>
      <c r="K587" s="363"/>
      <c r="L587" s="363"/>
      <c r="M587" s="363"/>
      <c r="N587" s="363"/>
      <c r="O587" s="363"/>
      <c r="P587" s="363"/>
      <c r="Q587" s="362"/>
      <c r="R587" s="185"/>
      <c r="S587" s="185"/>
      <c r="T587" s="364"/>
      <c r="U587" s="185"/>
      <c r="V587" s="185"/>
      <c r="W587" s="185"/>
      <c r="X587" s="185"/>
      <c r="Y587" s="185"/>
      <c r="Z587" s="185"/>
      <c r="AA587" s="185"/>
    </row>
    <row r="588" spans="1:27" ht="15.75" customHeight="1">
      <c r="A588" s="185"/>
      <c r="B588" s="360"/>
      <c r="C588" s="361"/>
      <c r="D588" s="185"/>
      <c r="E588" s="185"/>
      <c r="F588" s="362"/>
      <c r="G588" s="360"/>
      <c r="H588" s="185"/>
      <c r="I588" s="362"/>
      <c r="J588" s="185"/>
      <c r="K588" s="363"/>
      <c r="L588" s="363"/>
      <c r="M588" s="363"/>
      <c r="N588" s="363"/>
      <c r="O588" s="363"/>
      <c r="P588" s="363"/>
      <c r="Q588" s="362"/>
      <c r="R588" s="185"/>
      <c r="S588" s="185"/>
      <c r="T588" s="364"/>
      <c r="U588" s="185"/>
      <c r="V588" s="185"/>
      <c r="W588" s="185"/>
      <c r="X588" s="185"/>
      <c r="Y588" s="185"/>
      <c r="Z588" s="185"/>
      <c r="AA588" s="185"/>
    </row>
    <row r="589" spans="1:27" ht="15.75" customHeight="1">
      <c r="A589" s="185"/>
      <c r="B589" s="360"/>
      <c r="C589" s="361"/>
      <c r="D589" s="185"/>
      <c r="E589" s="185"/>
      <c r="F589" s="362"/>
      <c r="G589" s="360"/>
      <c r="H589" s="185"/>
      <c r="I589" s="362"/>
      <c r="J589" s="185"/>
      <c r="K589" s="363"/>
      <c r="L589" s="363"/>
      <c r="M589" s="363"/>
      <c r="N589" s="363"/>
      <c r="O589" s="363"/>
      <c r="P589" s="363"/>
      <c r="Q589" s="362"/>
      <c r="R589" s="185"/>
      <c r="S589" s="185"/>
      <c r="T589" s="364"/>
      <c r="U589" s="185"/>
      <c r="V589" s="185"/>
      <c r="W589" s="185"/>
      <c r="X589" s="185"/>
      <c r="Y589" s="185"/>
      <c r="Z589" s="185"/>
      <c r="AA589" s="185"/>
    </row>
    <row r="590" spans="1:27" ht="15.75" customHeight="1">
      <c r="A590" s="185"/>
      <c r="B590" s="360"/>
      <c r="C590" s="361"/>
      <c r="D590" s="185"/>
      <c r="E590" s="185"/>
      <c r="F590" s="362"/>
      <c r="G590" s="360"/>
      <c r="H590" s="185"/>
      <c r="I590" s="362"/>
      <c r="J590" s="185"/>
      <c r="K590" s="363"/>
      <c r="L590" s="363"/>
      <c r="M590" s="363"/>
      <c r="N590" s="363"/>
      <c r="O590" s="363"/>
      <c r="P590" s="363"/>
      <c r="Q590" s="362"/>
      <c r="R590" s="185"/>
      <c r="S590" s="185"/>
      <c r="T590" s="364"/>
      <c r="U590" s="185"/>
      <c r="V590" s="185"/>
      <c r="W590" s="185"/>
      <c r="X590" s="185"/>
      <c r="Y590" s="185"/>
      <c r="Z590" s="185"/>
      <c r="AA590" s="185"/>
    </row>
    <row r="591" spans="1:27" ht="15.75" customHeight="1">
      <c r="A591" s="185"/>
      <c r="B591" s="360"/>
      <c r="C591" s="361"/>
      <c r="D591" s="185"/>
      <c r="E591" s="185"/>
      <c r="F591" s="362"/>
      <c r="G591" s="360"/>
      <c r="H591" s="185"/>
      <c r="I591" s="362"/>
      <c r="J591" s="185"/>
      <c r="K591" s="363"/>
      <c r="L591" s="363"/>
      <c r="M591" s="363"/>
      <c r="N591" s="363"/>
      <c r="O591" s="363"/>
      <c r="P591" s="363"/>
      <c r="Q591" s="362"/>
      <c r="R591" s="185"/>
      <c r="S591" s="185"/>
      <c r="T591" s="364"/>
      <c r="U591" s="185"/>
      <c r="V591" s="185"/>
      <c r="W591" s="185"/>
      <c r="X591" s="185"/>
      <c r="Y591" s="185"/>
      <c r="Z591" s="185"/>
      <c r="AA591" s="185"/>
    </row>
    <row r="592" spans="1:27" ht="15.75" customHeight="1">
      <c r="A592" s="185"/>
      <c r="B592" s="360"/>
      <c r="C592" s="361"/>
      <c r="D592" s="185"/>
      <c r="E592" s="185"/>
      <c r="F592" s="362"/>
      <c r="G592" s="360"/>
      <c r="H592" s="185"/>
      <c r="I592" s="362"/>
      <c r="J592" s="185"/>
      <c r="K592" s="363"/>
      <c r="L592" s="363"/>
      <c r="M592" s="363"/>
      <c r="N592" s="363"/>
      <c r="O592" s="363"/>
      <c r="P592" s="363"/>
      <c r="Q592" s="362"/>
      <c r="R592" s="185"/>
      <c r="S592" s="185"/>
      <c r="T592" s="364"/>
      <c r="U592" s="185"/>
      <c r="V592" s="185"/>
      <c r="W592" s="185"/>
      <c r="X592" s="185"/>
      <c r="Y592" s="185"/>
      <c r="Z592" s="185"/>
      <c r="AA592" s="185"/>
    </row>
    <row r="593" spans="1:27" ht="15.75" customHeight="1">
      <c r="A593" s="185"/>
      <c r="B593" s="360"/>
      <c r="C593" s="361"/>
      <c r="D593" s="185"/>
      <c r="E593" s="185"/>
      <c r="F593" s="362"/>
      <c r="G593" s="360"/>
      <c r="H593" s="185"/>
      <c r="I593" s="362"/>
      <c r="J593" s="185"/>
      <c r="K593" s="363"/>
      <c r="L593" s="363"/>
      <c r="M593" s="363"/>
      <c r="N593" s="363"/>
      <c r="O593" s="363"/>
      <c r="P593" s="363"/>
      <c r="Q593" s="362"/>
      <c r="R593" s="185"/>
      <c r="S593" s="185"/>
      <c r="T593" s="364"/>
      <c r="U593" s="185"/>
      <c r="V593" s="185"/>
      <c r="W593" s="185"/>
      <c r="X593" s="185"/>
      <c r="Y593" s="185"/>
      <c r="Z593" s="185"/>
      <c r="AA593" s="185"/>
    </row>
    <row r="594" spans="1:27" ht="15.75" customHeight="1">
      <c r="A594" s="185"/>
      <c r="B594" s="360"/>
      <c r="C594" s="361"/>
      <c r="D594" s="185"/>
      <c r="E594" s="185"/>
      <c r="F594" s="362"/>
      <c r="G594" s="360"/>
      <c r="H594" s="185"/>
      <c r="I594" s="362"/>
      <c r="J594" s="185"/>
      <c r="K594" s="363"/>
      <c r="L594" s="363"/>
      <c r="M594" s="363"/>
      <c r="N594" s="363"/>
      <c r="O594" s="363"/>
      <c r="P594" s="363"/>
      <c r="Q594" s="362"/>
      <c r="R594" s="185"/>
      <c r="S594" s="185"/>
      <c r="T594" s="364"/>
      <c r="U594" s="185"/>
      <c r="V594" s="185"/>
      <c r="W594" s="185"/>
      <c r="X594" s="185"/>
      <c r="Y594" s="185"/>
      <c r="Z594" s="185"/>
      <c r="AA594" s="185"/>
    </row>
    <row r="595" spans="1:27" ht="15.75" customHeight="1">
      <c r="A595" s="185"/>
      <c r="B595" s="360"/>
      <c r="C595" s="361"/>
      <c r="D595" s="185"/>
      <c r="E595" s="185"/>
      <c r="F595" s="362"/>
      <c r="G595" s="360"/>
      <c r="H595" s="185"/>
      <c r="I595" s="362"/>
      <c r="J595" s="185"/>
      <c r="K595" s="363"/>
      <c r="L595" s="363"/>
      <c r="M595" s="363"/>
      <c r="N595" s="363"/>
      <c r="O595" s="363"/>
      <c r="P595" s="363"/>
      <c r="Q595" s="362"/>
      <c r="R595" s="185"/>
      <c r="S595" s="185"/>
      <c r="T595" s="364"/>
      <c r="U595" s="185"/>
      <c r="V595" s="185"/>
      <c r="W595" s="185"/>
      <c r="X595" s="185"/>
      <c r="Y595" s="185"/>
      <c r="Z595" s="185"/>
      <c r="AA595" s="185"/>
    </row>
    <row r="596" spans="1:27" ht="15.75" customHeight="1">
      <c r="A596" s="185"/>
      <c r="B596" s="360"/>
      <c r="C596" s="361"/>
      <c r="D596" s="185"/>
      <c r="E596" s="185"/>
      <c r="F596" s="362"/>
      <c r="G596" s="360"/>
      <c r="H596" s="185"/>
      <c r="I596" s="362"/>
      <c r="J596" s="185"/>
      <c r="K596" s="363"/>
      <c r="L596" s="363"/>
      <c r="M596" s="363"/>
      <c r="N596" s="363"/>
      <c r="O596" s="363"/>
      <c r="P596" s="363"/>
      <c r="Q596" s="362"/>
      <c r="R596" s="185"/>
      <c r="S596" s="185"/>
      <c r="T596" s="364"/>
      <c r="U596" s="185"/>
      <c r="V596" s="185"/>
      <c r="W596" s="185"/>
      <c r="X596" s="185"/>
      <c r="Y596" s="185"/>
      <c r="Z596" s="185"/>
      <c r="AA596" s="185"/>
    </row>
    <row r="597" spans="1:27" ht="15.75" customHeight="1">
      <c r="A597" s="185"/>
      <c r="B597" s="360"/>
      <c r="C597" s="361"/>
      <c r="D597" s="185"/>
      <c r="E597" s="185"/>
      <c r="F597" s="362"/>
      <c r="G597" s="360"/>
      <c r="H597" s="185"/>
      <c r="I597" s="362"/>
      <c r="J597" s="185"/>
      <c r="K597" s="363"/>
      <c r="L597" s="363"/>
      <c r="M597" s="363"/>
      <c r="N597" s="363"/>
      <c r="O597" s="363"/>
      <c r="P597" s="363"/>
      <c r="Q597" s="362"/>
      <c r="R597" s="185"/>
      <c r="S597" s="185"/>
      <c r="T597" s="364"/>
      <c r="U597" s="185"/>
      <c r="V597" s="185"/>
      <c r="W597" s="185"/>
      <c r="X597" s="185"/>
      <c r="Y597" s="185"/>
      <c r="Z597" s="185"/>
      <c r="AA597" s="185"/>
    </row>
    <row r="598" spans="1:27" ht="15.75" customHeight="1">
      <c r="A598" s="185"/>
      <c r="B598" s="360"/>
      <c r="C598" s="361"/>
      <c r="D598" s="185"/>
      <c r="E598" s="185"/>
      <c r="F598" s="362"/>
      <c r="G598" s="360"/>
      <c r="H598" s="185"/>
      <c r="I598" s="362"/>
      <c r="J598" s="185"/>
      <c r="K598" s="363"/>
      <c r="L598" s="363"/>
      <c r="M598" s="363"/>
      <c r="N598" s="363"/>
      <c r="O598" s="363"/>
      <c r="P598" s="363"/>
      <c r="Q598" s="362"/>
      <c r="R598" s="185"/>
      <c r="S598" s="185"/>
      <c r="T598" s="364"/>
      <c r="U598" s="185"/>
      <c r="V598" s="185"/>
      <c r="W598" s="185"/>
      <c r="X598" s="185"/>
      <c r="Y598" s="185"/>
      <c r="Z598" s="185"/>
      <c r="AA598" s="185"/>
    </row>
    <row r="599" spans="1:27" ht="15.75" customHeight="1">
      <c r="A599" s="185"/>
      <c r="B599" s="360"/>
      <c r="C599" s="361"/>
      <c r="D599" s="185"/>
      <c r="E599" s="185"/>
      <c r="F599" s="362"/>
      <c r="G599" s="360"/>
      <c r="H599" s="185"/>
      <c r="I599" s="362"/>
      <c r="J599" s="185"/>
      <c r="K599" s="363"/>
      <c r="L599" s="363"/>
      <c r="M599" s="363"/>
      <c r="N599" s="363"/>
      <c r="O599" s="363"/>
      <c r="P599" s="363"/>
      <c r="Q599" s="362"/>
      <c r="R599" s="185"/>
      <c r="S599" s="185"/>
      <c r="T599" s="364"/>
      <c r="U599" s="185"/>
      <c r="V599" s="185"/>
      <c r="W599" s="185"/>
      <c r="X599" s="185"/>
      <c r="Y599" s="185"/>
      <c r="Z599" s="185"/>
      <c r="AA599" s="185"/>
    </row>
    <row r="600" spans="1:27" ht="15.75" customHeight="1">
      <c r="A600" s="185"/>
      <c r="B600" s="360"/>
      <c r="C600" s="361"/>
      <c r="D600" s="185"/>
      <c r="E600" s="185"/>
      <c r="F600" s="362"/>
      <c r="G600" s="360"/>
      <c r="H600" s="185"/>
      <c r="I600" s="362"/>
      <c r="J600" s="185"/>
      <c r="K600" s="363"/>
      <c r="L600" s="363"/>
      <c r="M600" s="363"/>
      <c r="N600" s="363"/>
      <c r="O600" s="363"/>
      <c r="P600" s="363"/>
      <c r="Q600" s="362"/>
      <c r="R600" s="185"/>
      <c r="S600" s="185"/>
      <c r="T600" s="364"/>
      <c r="U600" s="185"/>
      <c r="V600" s="185"/>
      <c r="W600" s="185"/>
      <c r="X600" s="185"/>
      <c r="Y600" s="185"/>
      <c r="Z600" s="185"/>
      <c r="AA600" s="185"/>
    </row>
    <row r="601" spans="1:27" ht="15.75" customHeight="1">
      <c r="A601" s="185"/>
      <c r="B601" s="360"/>
      <c r="C601" s="361"/>
      <c r="D601" s="185"/>
      <c r="E601" s="185"/>
      <c r="F601" s="362"/>
      <c r="G601" s="360"/>
      <c r="H601" s="185"/>
      <c r="I601" s="362"/>
      <c r="J601" s="185"/>
      <c r="K601" s="363"/>
      <c r="L601" s="363"/>
      <c r="M601" s="363"/>
      <c r="N601" s="363"/>
      <c r="O601" s="363"/>
      <c r="P601" s="363"/>
      <c r="Q601" s="362"/>
      <c r="R601" s="185"/>
      <c r="S601" s="185"/>
      <c r="T601" s="364"/>
      <c r="U601" s="185"/>
      <c r="V601" s="185"/>
      <c r="W601" s="185"/>
      <c r="X601" s="185"/>
      <c r="Y601" s="185"/>
      <c r="Z601" s="185"/>
      <c r="AA601" s="185"/>
    </row>
    <row r="602" spans="1:27" ht="15.75" customHeight="1">
      <c r="A602" s="185"/>
      <c r="B602" s="360"/>
      <c r="C602" s="361"/>
      <c r="D602" s="185"/>
      <c r="E602" s="185"/>
      <c r="F602" s="362"/>
      <c r="G602" s="360"/>
      <c r="H602" s="185"/>
      <c r="I602" s="362"/>
      <c r="J602" s="185"/>
      <c r="K602" s="363"/>
      <c r="L602" s="363"/>
      <c r="M602" s="363"/>
      <c r="N602" s="363"/>
      <c r="O602" s="363"/>
      <c r="P602" s="363"/>
      <c r="Q602" s="362"/>
      <c r="R602" s="185"/>
      <c r="S602" s="185"/>
      <c r="T602" s="364"/>
      <c r="U602" s="185"/>
      <c r="V602" s="185"/>
      <c r="W602" s="185"/>
      <c r="X602" s="185"/>
      <c r="Y602" s="185"/>
      <c r="Z602" s="185"/>
      <c r="AA602" s="185"/>
    </row>
    <row r="603" spans="1:27" ht="15.75" customHeight="1">
      <c r="A603" s="185"/>
      <c r="B603" s="360"/>
      <c r="C603" s="361"/>
      <c r="D603" s="185"/>
      <c r="E603" s="185"/>
      <c r="F603" s="362"/>
      <c r="G603" s="360"/>
      <c r="H603" s="185"/>
      <c r="I603" s="362"/>
      <c r="J603" s="185"/>
      <c r="K603" s="363"/>
      <c r="L603" s="363"/>
      <c r="M603" s="363"/>
      <c r="N603" s="363"/>
      <c r="O603" s="363"/>
      <c r="P603" s="363"/>
      <c r="Q603" s="362"/>
      <c r="R603" s="185"/>
      <c r="S603" s="185"/>
      <c r="T603" s="364"/>
      <c r="U603" s="185"/>
      <c r="V603" s="185"/>
      <c r="W603" s="185"/>
      <c r="X603" s="185"/>
      <c r="Y603" s="185"/>
      <c r="Z603" s="185"/>
      <c r="AA603" s="185"/>
    </row>
    <row r="604" spans="1:27" ht="15.75" customHeight="1">
      <c r="A604" s="185"/>
      <c r="B604" s="360"/>
      <c r="C604" s="361"/>
      <c r="D604" s="185"/>
      <c r="E604" s="185"/>
      <c r="F604" s="362"/>
      <c r="G604" s="360"/>
      <c r="H604" s="185"/>
      <c r="I604" s="362"/>
      <c r="J604" s="185"/>
      <c r="K604" s="363"/>
      <c r="L604" s="363"/>
      <c r="M604" s="363"/>
      <c r="N604" s="363"/>
      <c r="O604" s="363"/>
      <c r="P604" s="363"/>
      <c r="Q604" s="362"/>
      <c r="R604" s="185"/>
      <c r="S604" s="185"/>
      <c r="T604" s="364"/>
      <c r="U604" s="185"/>
      <c r="V604" s="185"/>
      <c r="W604" s="185"/>
      <c r="X604" s="185"/>
      <c r="Y604" s="185"/>
      <c r="Z604" s="185"/>
      <c r="AA604" s="185"/>
    </row>
    <row r="605" spans="1:27" ht="15.75" customHeight="1">
      <c r="A605" s="185"/>
      <c r="B605" s="360"/>
      <c r="C605" s="361"/>
      <c r="D605" s="185"/>
      <c r="E605" s="185"/>
      <c r="F605" s="362"/>
      <c r="G605" s="360"/>
      <c r="H605" s="185"/>
      <c r="I605" s="362"/>
      <c r="J605" s="185"/>
      <c r="K605" s="363"/>
      <c r="L605" s="363"/>
      <c r="M605" s="363"/>
      <c r="N605" s="363"/>
      <c r="O605" s="363"/>
      <c r="P605" s="363"/>
      <c r="Q605" s="362"/>
      <c r="R605" s="185"/>
      <c r="S605" s="185"/>
      <c r="T605" s="364"/>
      <c r="U605" s="185"/>
      <c r="V605" s="185"/>
      <c r="W605" s="185"/>
      <c r="X605" s="185"/>
      <c r="Y605" s="185"/>
      <c r="Z605" s="185"/>
      <c r="AA605" s="185"/>
    </row>
    <row r="606" spans="1:27" ht="15.75" customHeight="1">
      <c r="A606" s="185"/>
      <c r="B606" s="360"/>
      <c r="C606" s="361"/>
      <c r="D606" s="185"/>
      <c r="E606" s="185"/>
      <c r="F606" s="362"/>
      <c r="G606" s="360"/>
      <c r="H606" s="185"/>
      <c r="I606" s="362"/>
      <c r="J606" s="185"/>
      <c r="K606" s="363"/>
      <c r="L606" s="363"/>
      <c r="M606" s="363"/>
      <c r="N606" s="363"/>
      <c r="O606" s="363"/>
      <c r="P606" s="363"/>
      <c r="Q606" s="362"/>
      <c r="R606" s="185"/>
      <c r="S606" s="185"/>
      <c r="T606" s="364"/>
      <c r="U606" s="185"/>
      <c r="V606" s="185"/>
      <c r="W606" s="185"/>
      <c r="X606" s="185"/>
      <c r="Y606" s="185"/>
      <c r="Z606" s="185"/>
      <c r="AA606" s="185"/>
    </row>
    <row r="607" spans="1:27" ht="15.75" customHeight="1">
      <c r="A607" s="185"/>
      <c r="B607" s="360"/>
      <c r="C607" s="361"/>
      <c r="D607" s="185"/>
      <c r="E607" s="185"/>
      <c r="F607" s="362"/>
      <c r="G607" s="360"/>
      <c r="H607" s="185"/>
      <c r="I607" s="362"/>
      <c r="J607" s="185"/>
      <c r="K607" s="363"/>
      <c r="L607" s="363"/>
      <c r="M607" s="363"/>
      <c r="N607" s="363"/>
      <c r="O607" s="363"/>
      <c r="P607" s="363"/>
      <c r="Q607" s="362"/>
      <c r="R607" s="185"/>
      <c r="S607" s="185"/>
      <c r="T607" s="364"/>
      <c r="U607" s="185"/>
      <c r="V607" s="185"/>
      <c r="W607" s="185"/>
      <c r="X607" s="185"/>
      <c r="Y607" s="185"/>
      <c r="Z607" s="185"/>
      <c r="AA607" s="185"/>
    </row>
    <row r="608" spans="1:27" ht="15.75" customHeight="1">
      <c r="A608" s="185"/>
      <c r="B608" s="360"/>
      <c r="C608" s="361"/>
      <c r="D608" s="185"/>
      <c r="E608" s="185"/>
      <c r="F608" s="362"/>
      <c r="G608" s="360"/>
      <c r="H608" s="185"/>
      <c r="I608" s="362"/>
      <c r="J608" s="185"/>
      <c r="K608" s="363"/>
      <c r="L608" s="363"/>
      <c r="M608" s="363"/>
      <c r="N608" s="363"/>
      <c r="O608" s="363"/>
      <c r="P608" s="363"/>
      <c r="Q608" s="362"/>
      <c r="R608" s="185"/>
      <c r="S608" s="185"/>
      <c r="T608" s="364"/>
      <c r="U608" s="185"/>
      <c r="V608" s="185"/>
      <c r="W608" s="185"/>
      <c r="X608" s="185"/>
      <c r="Y608" s="185"/>
      <c r="Z608" s="185"/>
      <c r="AA608" s="185"/>
    </row>
    <row r="609" spans="1:27" ht="15.75" customHeight="1">
      <c r="A609" s="185"/>
      <c r="B609" s="360"/>
      <c r="C609" s="361"/>
      <c r="D609" s="185"/>
      <c r="E609" s="185"/>
      <c r="F609" s="362"/>
      <c r="G609" s="360"/>
      <c r="H609" s="185"/>
      <c r="I609" s="362"/>
      <c r="J609" s="185"/>
      <c r="K609" s="363"/>
      <c r="L609" s="363"/>
      <c r="M609" s="363"/>
      <c r="N609" s="363"/>
      <c r="O609" s="363"/>
      <c r="P609" s="363"/>
      <c r="Q609" s="362"/>
      <c r="R609" s="185"/>
      <c r="S609" s="185"/>
      <c r="T609" s="364"/>
      <c r="U609" s="185"/>
      <c r="V609" s="185"/>
      <c r="W609" s="185"/>
      <c r="X609" s="185"/>
      <c r="Y609" s="185"/>
      <c r="Z609" s="185"/>
      <c r="AA609" s="185"/>
    </row>
    <row r="610" spans="1:27" ht="15.75" customHeight="1">
      <c r="A610" s="185"/>
      <c r="B610" s="360"/>
      <c r="C610" s="361"/>
      <c r="D610" s="185"/>
      <c r="E610" s="185"/>
      <c r="F610" s="362"/>
      <c r="G610" s="360"/>
      <c r="H610" s="185"/>
      <c r="I610" s="362"/>
      <c r="J610" s="185"/>
      <c r="K610" s="363"/>
      <c r="L610" s="363"/>
      <c r="M610" s="363"/>
      <c r="N610" s="363"/>
      <c r="O610" s="363"/>
      <c r="P610" s="363"/>
      <c r="Q610" s="362"/>
      <c r="R610" s="185"/>
      <c r="S610" s="185"/>
      <c r="T610" s="364"/>
      <c r="U610" s="185"/>
      <c r="V610" s="185"/>
      <c r="W610" s="185"/>
      <c r="X610" s="185"/>
      <c r="Y610" s="185"/>
      <c r="Z610" s="185"/>
      <c r="AA610" s="185"/>
    </row>
    <row r="611" spans="1:27" ht="15.75" customHeight="1">
      <c r="A611" s="185"/>
      <c r="B611" s="360"/>
      <c r="C611" s="361"/>
      <c r="D611" s="185"/>
      <c r="E611" s="185"/>
      <c r="F611" s="362"/>
      <c r="G611" s="360"/>
      <c r="H611" s="185"/>
      <c r="I611" s="362"/>
      <c r="J611" s="185"/>
      <c r="K611" s="363"/>
      <c r="L611" s="363"/>
      <c r="M611" s="363"/>
      <c r="N611" s="363"/>
      <c r="O611" s="363"/>
      <c r="P611" s="363"/>
      <c r="Q611" s="362"/>
      <c r="R611" s="185"/>
      <c r="S611" s="185"/>
      <c r="T611" s="364"/>
      <c r="U611" s="185"/>
      <c r="V611" s="185"/>
      <c r="W611" s="185"/>
      <c r="X611" s="185"/>
      <c r="Y611" s="185"/>
      <c r="Z611" s="185"/>
      <c r="AA611" s="185"/>
    </row>
    <row r="612" spans="1:27" ht="15.75" customHeight="1">
      <c r="A612" s="185"/>
      <c r="B612" s="360"/>
      <c r="C612" s="361"/>
      <c r="D612" s="185"/>
      <c r="E612" s="185"/>
      <c r="F612" s="362"/>
      <c r="G612" s="360"/>
      <c r="H612" s="185"/>
      <c r="I612" s="362"/>
      <c r="J612" s="185"/>
      <c r="K612" s="363"/>
      <c r="L612" s="363"/>
      <c r="M612" s="363"/>
      <c r="N612" s="363"/>
      <c r="O612" s="363"/>
      <c r="P612" s="363"/>
      <c r="Q612" s="362"/>
      <c r="R612" s="185"/>
      <c r="S612" s="185"/>
      <c r="T612" s="364"/>
      <c r="U612" s="185"/>
      <c r="V612" s="185"/>
      <c r="W612" s="185"/>
      <c r="X612" s="185"/>
      <c r="Y612" s="185"/>
      <c r="Z612" s="185"/>
      <c r="AA612" s="185"/>
    </row>
    <row r="613" spans="1:27" ht="15.75" customHeight="1">
      <c r="A613" s="185"/>
      <c r="B613" s="360"/>
      <c r="C613" s="361"/>
      <c r="D613" s="185"/>
      <c r="E613" s="185"/>
      <c r="F613" s="362"/>
      <c r="G613" s="360"/>
      <c r="H613" s="185"/>
      <c r="I613" s="362"/>
      <c r="J613" s="185"/>
      <c r="K613" s="363"/>
      <c r="L613" s="363"/>
      <c r="M613" s="363"/>
      <c r="N613" s="363"/>
      <c r="O613" s="363"/>
      <c r="P613" s="363"/>
      <c r="Q613" s="362"/>
      <c r="R613" s="185"/>
      <c r="S613" s="185"/>
      <c r="T613" s="364"/>
      <c r="U613" s="185"/>
      <c r="V613" s="185"/>
      <c r="W613" s="185"/>
      <c r="X613" s="185"/>
      <c r="Y613" s="185"/>
      <c r="Z613" s="185"/>
      <c r="AA613" s="185"/>
    </row>
    <row r="614" spans="1:27" ht="15.75" customHeight="1">
      <c r="A614" s="185"/>
      <c r="B614" s="360"/>
      <c r="C614" s="361"/>
      <c r="D614" s="185"/>
      <c r="E614" s="185"/>
      <c r="F614" s="362"/>
      <c r="G614" s="360"/>
      <c r="H614" s="185"/>
      <c r="I614" s="362"/>
      <c r="J614" s="185"/>
      <c r="K614" s="363"/>
      <c r="L614" s="363"/>
      <c r="M614" s="363"/>
      <c r="N614" s="363"/>
      <c r="O614" s="363"/>
      <c r="P614" s="363"/>
      <c r="Q614" s="362"/>
      <c r="R614" s="185"/>
      <c r="S614" s="185"/>
      <c r="T614" s="364"/>
      <c r="U614" s="185"/>
      <c r="V614" s="185"/>
      <c r="W614" s="185"/>
      <c r="X614" s="185"/>
      <c r="Y614" s="185"/>
      <c r="Z614" s="185"/>
      <c r="AA614" s="185"/>
    </row>
    <row r="615" spans="1:27" ht="15.75" customHeight="1">
      <c r="A615" s="185"/>
      <c r="B615" s="360"/>
      <c r="C615" s="361"/>
      <c r="D615" s="185"/>
      <c r="E615" s="185"/>
      <c r="F615" s="362"/>
      <c r="G615" s="360"/>
      <c r="H615" s="185"/>
      <c r="I615" s="362"/>
      <c r="J615" s="185"/>
      <c r="K615" s="363"/>
      <c r="L615" s="363"/>
      <c r="M615" s="363"/>
      <c r="N615" s="363"/>
      <c r="O615" s="363"/>
      <c r="P615" s="363"/>
      <c r="Q615" s="362"/>
      <c r="R615" s="185"/>
      <c r="S615" s="185"/>
      <c r="T615" s="364"/>
      <c r="U615" s="185"/>
      <c r="V615" s="185"/>
      <c r="W615" s="185"/>
      <c r="X615" s="185"/>
      <c r="Y615" s="185"/>
      <c r="Z615" s="185"/>
      <c r="AA615" s="185"/>
    </row>
    <row r="616" spans="1:27" ht="15.75" customHeight="1">
      <c r="A616" s="185"/>
      <c r="B616" s="360"/>
      <c r="C616" s="361"/>
      <c r="D616" s="185"/>
      <c r="E616" s="185"/>
      <c r="F616" s="362"/>
      <c r="G616" s="360"/>
      <c r="H616" s="185"/>
      <c r="I616" s="362"/>
      <c r="J616" s="185"/>
      <c r="K616" s="363"/>
      <c r="L616" s="363"/>
      <c r="M616" s="363"/>
      <c r="N616" s="363"/>
      <c r="O616" s="363"/>
      <c r="P616" s="363"/>
      <c r="Q616" s="362"/>
      <c r="R616" s="185"/>
      <c r="S616" s="185"/>
      <c r="T616" s="364"/>
      <c r="U616" s="185"/>
      <c r="V616" s="185"/>
      <c r="W616" s="185"/>
      <c r="X616" s="185"/>
      <c r="Y616" s="185"/>
      <c r="Z616" s="185"/>
      <c r="AA616" s="185"/>
    </row>
    <row r="617" spans="1:27" ht="15.75" customHeight="1">
      <c r="A617" s="185"/>
      <c r="B617" s="360"/>
      <c r="C617" s="361"/>
      <c r="D617" s="185"/>
      <c r="E617" s="185"/>
      <c r="F617" s="362"/>
      <c r="G617" s="360"/>
      <c r="H617" s="185"/>
      <c r="I617" s="362"/>
      <c r="J617" s="185"/>
      <c r="K617" s="363"/>
      <c r="L617" s="363"/>
      <c r="M617" s="363"/>
      <c r="N617" s="363"/>
      <c r="O617" s="363"/>
      <c r="P617" s="363"/>
      <c r="Q617" s="362"/>
      <c r="R617" s="185"/>
      <c r="S617" s="185"/>
      <c r="T617" s="364"/>
      <c r="U617" s="185"/>
      <c r="V617" s="185"/>
      <c r="W617" s="185"/>
      <c r="X617" s="185"/>
      <c r="Y617" s="185"/>
      <c r="Z617" s="185"/>
      <c r="AA617" s="185"/>
    </row>
    <row r="618" spans="1:27" ht="15.75" customHeight="1">
      <c r="A618" s="185"/>
      <c r="B618" s="360"/>
      <c r="C618" s="361"/>
      <c r="D618" s="185"/>
      <c r="E618" s="185"/>
      <c r="F618" s="362"/>
      <c r="G618" s="360"/>
      <c r="H618" s="185"/>
      <c r="I618" s="362"/>
      <c r="J618" s="185"/>
      <c r="K618" s="363"/>
      <c r="L618" s="363"/>
      <c r="M618" s="363"/>
      <c r="N618" s="363"/>
      <c r="O618" s="363"/>
      <c r="P618" s="363"/>
      <c r="Q618" s="362"/>
      <c r="R618" s="185"/>
      <c r="S618" s="185"/>
      <c r="T618" s="364"/>
      <c r="U618" s="185"/>
      <c r="V618" s="185"/>
      <c r="W618" s="185"/>
      <c r="X618" s="185"/>
      <c r="Y618" s="185"/>
      <c r="Z618" s="185"/>
      <c r="AA618" s="185"/>
    </row>
    <row r="619" spans="1:27" ht="15.75" customHeight="1">
      <c r="A619" s="185"/>
      <c r="B619" s="360"/>
      <c r="C619" s="361"/>
      <c r="D619" s="185"/>
      <c r="E619" s="185"/>
      <c r="F619" s="362"/>
      <c r="G619" s="360"/>
      <c r="H619" s="185"/>
      <c r="I619" s="362"/>
      <c r="J619" s="185"/>
      <c r="K619" s="363"/>
      <c r="L619" s="363"/>
      <c r="M619" s="363"/>
      <c r="N619" s="363"/>
      <c r="O619" s="363"/>
      <c r="P619" s="363"/>
      <c r="Q619" s="362"/>
      <c r="R619" s="185"/>
      <c r="S619" s="185"/>
      <c r="T619" s="364"/>
      <c r="U619" s="185"/>
      <c r="V619" s="185"/>
      <c r="W619" s="185"/>
      <c r="X619" s="185"/>
      <c r="Y619" s="185"/>
      <c r="Z619" s="185"/>
      <c r="AA619" s="185"/>
    </row>
    <row r="620" spans="1:27" ht="15.75" customHeight="1">
      <c r="A620" s="185"/>
      <c r="B620" s="360"/>
      <c r="C620" s="361"/>
      <c r="D620" s="185"/>
      <c r="E620" s="185"/>
      <c r="F620" s="362"/>
      <c r="G620" s="360"/>
      <c r="H620" s="185"/>
      <c r="I620" s="362"/>
      <c r="J620" s="185"/>
      <c r="K620" s="363"/>
      <c r="L620" s="363"/>
      <c r="M620" s="363"/>
      <c r="N620" s="363"/>
      <c r="O620" s="363"/>
      <c r="P620" s="363"/>
      <c r="Q620" s="362"/>
      <c r="R620" s="185"/>
      <c r="S620" s="185"/>
      <c r="T620" s="364"/>
      <c r="U620" s="185"/>
      <c r="V620" s="185"/>
      <c r="W620" s="185"/>
      <c r="X620" s="185"/>
      <c r="Y620" s="185"/>
      <c r="Z620" s="185"/>
      <c r="AA620" s="185"/>
    </row>
    <row r="621" spans="1:27" ht="15.75" customHeight="1">
      <c r="A621" s="185"/>
      <c r="B621" s="360"/>
      <c r="C621" s="361"/>
      <c r="D621" s="185"/>
      <c r="E621" s="185"/>
      <c r="F621" s="362"/>
      <c r="G621" s="360"/>
      <c r="H621" s="185"/>
      <c r="I621" s="362"/>
      <c r="J621" s="185"/>
      <c r="K621" s="363"/>
      <c r="L621" s="363"/>
      <c r="M621" s="363"/>
      <c r="N621" s="363"/>
      <c r="O621" s="363"/>
      <c r="P621" s="363"/>
      <c r="Q621" s="362"/>
      <c r="R621" s="185"/>
      <c r="S621" s="185"/>
      <c r="T621" s="364"/>
      <c r="U621" s="185"/>
      <c r="V621" s="185"/>
      <c r="W621" s="185"/>
      <c r="X621" s="185"/>
      <c r="Y621" s="185"/>
      <c r="Z621" s="185"/>
      <c r="AA621" s="185"/>
    </row>
    <row r="622" spans="1:27" ht="15.75" customHeight="1">
      <c r="A622" s="185"/>
      <c r="B622" s="360"/>
      <c r="C622" s="361"/>
      <c r="D622" s="185"/>
      <c r="E622" s="185"/>
      <c r="F622" s="362"/>
      <c r="G622" s="360"/>
      <c r="H622" s="185"/>
      <c r="I622" s="362"/>
      <c r="J622" s="185"/>
      <c r="K622" s="363"/>
      <c r="L622" s="363"/>
      <c r="M622" s="363"/>
      <c r="N622" s="363"/>
      <c r="O622" s="363"/>
      <c r="P622" s="363"/>
      <c r="Q622" s="362"/>
      <c r="R622" s="185"/>
      <c r="S622" s="185"/>
      <c r="T622" s="364"/>
      <c r="U622" s="185"/>
      <c r="V622" s="185"/>
      <c r="W622" s="185"/>
      <c r="X622" s="185"/>
      <c r="Y622" s="185"/>
      <c r="Z622" s="185"/>
      <c r="AA622" s="185"/>
    </row>
    <row r="623" spans="1:27" ht="15.75" customHeight="1">
      <c r="A623" s="185"/>
      <c r="B623" s="360"/>
      <c r="C623" s="361"/>
      <c r="D623" s="185"/>
      <c r="E623" s="185"/>
      <c r="F623" s="362"/>
      <c r="G623" s="360"/>
      <c r="H623" s="185"/>
      <c r="I623" s="362"/>
      <c r="J623" s="185"/>
      <c r="K623" s="363"/>
      <c r="L623" s="363"/>
      <c r="M623" s="363"/>
      <c r="N623" s="363"/>
      <c r="O623" s="363"/>
      <c r="P623" s="363"/>
      <c r="Q623" s="362"/>
      <c r="R623" s="185"/>
      <c r="S623" s="185"/>
      <c r="T623" s="364"/>
      <c r="U623" s="185"/>
      <c r="V623" s="185"/>
      <c r="W623" s="185"/>
      <c r="X623" s="185"/>
      <c r="Y623" s="185"/>
      <c r="Z623" s="185"/>
      <c r="AA623" s="185"/>
    </row>
    <row r="624" spans="1:27" ht="15.75" customHeight="1">
      <c r="A624" s="185"/>
      <c r="B624" s="360"/>
      <c r="C624" s="361"/>
      <c r="D624" s="185"/>
      <c r="E624" s="185"/>
      <c r="F624" s="362"/>
      <c r="G624" s="360"/>
      <c r="H624" s="185"/>
      <c r="I624" s="362"/>
      <c r="J624" s="185"/>
      <c r="K624" s="363"/>
      <c r="L624" s="363"/>
      <c r="M624" s="363"/>
      <c r="N624" s="363"/>
      <c r="O624" s="363"/>
      <c r="P624" s="363"/>
      <c r="Q624" s="362"/>
      <c r="R624" s="185"/>
      <c r="S624" s="185"/>
      <c r="T624" s="364"/>
      <c r="U624" s="185"/>
      <c r="V624" s="185"/>
      <c r="W624" s="185"/>
      <c r="X624" s="185"/>
      <c r="Y624" s="185"/>
      <c r="Z624" s="185"/>
      <c r="AA624" s="185"/>
    </row>
    <row r="625" spans="1:27" ht="15.75" customHeight="1">
      <c r="A625" s="185"/>
      <c r="B625" s="360"/>
      <c r="C625" s="361"/>
      <c r="D625" s="185"/>
      <c r="E625" s="185"/>
      <c r="F625" s="362"/>
      <c r="G625" s="360"/>
      <c r="H625" s="185"/>
      <c r="I625" s="362"/>
      <c r="J625" s="185"/>
      <c r="K625" s="363"/>
      <c r="L625" s="363"/>
      <c r="M625" s="363"/>
      <c r="N625" s="363"/>
      <c r="O625" s="363"/>
      <c r="P625" s="363"/>
      <c r="Q625" s="362"/>
      <c r="R625" s="185"/>
      <c r="S625" s="185"/>
      <c r="T625" s="364"/>
      <c r="U625" s="185"/>
      <c r="V625" s="185"/>
      <c r="W625" s="185"/>
      <c r="X625" s="185"/>
      <c r="Y625" s="185"/>
      <c r="Z625" s="185"/>
      <c r="AA625" s="185"/>
    </row>
    <row r="626" spans="1:27" ht="15.75" customHeight="1">
      <c r="A626" s="185"/>
      <c r="B626" s="360"/>
      <c r="C626" s="361"/>
      <c r="D626" s="185"/>
      <c r="E626" s="185"/>
      <c r="F626" s="362"/>
      <c r="G626" s="360"/>
      <c r="H626" s="185"/>
      <c r="I626" s="362"/>
      <c r="J626" s="185"/>
      <c r="K626" s="363"/>
      <c r="L626" s="363"/>
      <c r="M626" s="363"/>
      <c r="N626" s="363"/>
      <c r="O626" s="363"/>
      <c r="P626" s="363"/>
      <c r="Q626" s="362"/>
      <c r="R626" s="185"/>
      <c r="S626" s="185"/>
      <c r="T626" s="364"/>
      <c r="U626" s="185"/>
      <c r="V626" s="185"/>
      <c r="W626" s="185"/>
      <c r="X626" s="185"/>
      <c r="Y626" s="185"/>
      <c r="Z626" s="185"/>
      <c r="AA626" s="185"/>
    </row>
    <row r="627" spans="1:27" ht="15.75" customHeight="1">
      <c r="A627" s="185"/>
      <c r="B627" s="360"/>
      <c r="C627" s="361"/>
      <c r="D627" s="185"/>
      <c r="E627" s="185"/>
      <c r="F627" s="362"/>
      <c r="G627" s="360"/>
      <c r="H627" s="185"/>
      <c r="I627" s="362"/>
      <c r="J627" s="185"/>
      <c r="K627" s="363"/>
      <c r="L627" s="363"/>
      <c r="M627" s="363"/>
      <c r="N627" s="363"/>
      <c r="O627" s="363"/>
      <c r="P627" s="363"/>
      <c r="Q627" s="362"/>
      <c r="R627" s="185"/>
      <c r="S627" s="185"/>
      <c r="T627" s="364"/>
      <c r="U627" s="185"/>
      <c r="V627" s="185"/>
      <c r="W627" s="185"/>
      <c r="X627" s="185"/>
      <c r="Y627" s="185"/>
      <c r="Z627" s="185"/>
      <c r="AA627" s="185"/>
    </row>
    <row r="628" spans="1:27" ht="15.75" customHeight="1">
      <c r="A628" s="185"/>
      <c r="B628" s="360"/>
      <c r="C628" s="361"/>
      <c r="D628" s="185"/>
      <c r="E628" s="185"/>
      <c r="F628" s="362"/>
      <c r="G628" s="360"/>
      <c r="H628" s="185"/>
      <c r="I628" s="362"/>
      <c r="J628" s="185"/>
      <c r="K628" s="363"/>
      <c r="L628" s="363"/>
      <c r="M628" s="363"/>
      <c r="N628" s="363"/>
      <c r="O628" s="363"/>
      <c r="P628" s="363"/>
      <c r="Q628" s="362"/>
      <c r="R628" s="185"/>
      <c r="S628" s="185"/>
      <c r="T628" s="364"/>
      <c r="U628" s="185"/>
      <c r="V628" s="185"/>
      <c r="W628" s="185"/>
      <c r="X628" s="185"/>
      <c r="Y628" s="185"/>
      <c r="Z628" s="185"/>
      <c r="AA628" s="185"/>
    </row>
    <row r="629" spans="1:27" ht="15.75" customHeight="1">
      <c r="A629" s="185"/>
      <c r="B629" s="360"/>
      <c r="C629" s="361"/>
      <c r="D629" s="185"/>
      <c r="E629" s="185"/>
      <c r="F629" s="362"/>
      <c r="G629" s="360"/>
      <c r="H629" s="185"/>
      <c r="I629" s="362"/>
      <c r="J629" s="185"/>
      <c r="K629" s="363"/>
      <c r="L629" s="363"/>
      <c r="M629" s="363"/>
      <c r="N629" s="363"/>
      <c r="O629" s="363"/>
      <c r="P629" s="363"/>
      <c r="Q629" s="362"/>
      <c r="R629" s="185"/>
      <c r="S629" s="185"/>
      <c r="T629" s="364"/>
      <c r="U629" s="185"/>
      <c r="V629" s="185"/>
      <c r="W629" s="185"/>
      <c r="X629" s="185"/>
      <c r="Y629" s="185"/>
      <c r="Z629" s="185"/>
      <c r="AA629" s="185"/>
    </row>
    <row r="630" spans="1:27" ht="15.75" customHeight="1">
      <c r="A630" s="185"/>
      <c r="B630" s="360"/>
      <c r="C630" s="361"/>
      <c r="D630" s="185"/>
      <c r="E630" s="185"/>
      <c r="F630" s="362"/>
      <c r="G630" s="360"/>
      <c r="H630" s="185"/>
      <c r="I630" s="362"/>
      <c r="J630" s="185"/>
      <c r="K630" s="363"/>
      <c r="L630" s="363"/>
      <c r="M630" s="363"/>
      <c r="N630" s="363"/>
      <c r="O630" s="363"/>
      <c r="P630" s="363"/>
      <c r="Q630" s="362"/>
      <c r="R630" s="185"/>
      <c r="S630" s="185"/>
      <c r="T630" s="364"/>
      <c r="U630" s="185"/>
      <c r="V630" s="185"/>
      <c r="W630" s="185"/>
      <c r="X630" s="185"/>
      <c r="Y630" s="185"/>
      <c r="Z630" s="185"/>
      <c r="AA630" s="185"/>
    </row>
    <row r="631" spans="1:27" ht="15.75" customHeight="1">
      <c r="A631" s="185"/>
      <c r="B631" s="360"/>
      <c r="C631" s="361"/>
      <c r="D631" s="185"/>
      <c r="E631" s="185"/>
      <c r="F631" s="362"/>
      <c r="G631" s="360"/>
      <c r="H631" s="185"/>
      <c r="I631" s="362"/>
      <c r="J631" s="185"/>
      <c r="K631" s="363"/>
      <c r="L631" s="363"/>
      <c r="M631" s="363"/>
      <c r="N631" s="363"/>
      <c r="O631" s="363"/>
      <c r="P631" s="363"/>
      <c r="Q631" s="362"/>
      <c r="R631" s="185"/>
      <c r="S631" s="185"/>
      <c r="T631" s="364"/>
      <c r="U631" s="185"/>
      <c r="V631" s="185"/>
      <c r="W631" s="185"/>
      <c r="X631" s="185"/>
      <c r="Y631" s="185"/>
      <c r="Z631" s="185"/>
      <c r="AA631" s="185"/>
    </row>
    <row r="632" spans="1:27" ht="15.75" customHeight="1">
      <c r="A632" s="185"/>
      <c r="B632" s="360"/>
      <c r="C632" s="361"/>
      <c r="D632" s="185"/>
      <c r="E632" s="185"/>
      <c r="F632" s="362"/>
      <c r="G632" s="360"/>
      <c r="H632" s="185"/>
      <c r="I632" s="362"/>
      <c r="J632" s="185"/>
      <c r="K632" s="363"/>
      <c r="L632" s="363"/>
      <c r="M632" s="363"/>
      <c r="N632" s="363"/>
      <c r="O632" s="363"/>
      <c r="P632" s="363"/>
      <c r="Q632" s="362"/>
      <c r="R632" s="185"/>
      <c r="S632" s="185"/>
      <c r="T632" s="364"/>
      <c r="U632" s="185"/>
      <c r="V632" s="185"/>
      <c r="W632" s="185"/>
      <c r="X632" s="185"/>
      <c r="Y632" s="185"/>
      <c r="Z632" s="185"/>
      <c r="AA632" s="185"/>
    </row>
    <row r="633" spans="1:27" ht="15.75" customHeight="1">
      <c r="A633" s="185"/>
      <c r="B633" s="360"/>
      <c r="C633" s="361"/>
      <c r="D633" s="185"/>
      <c r="E633" s="185"/>
      <c r="F633" s="362"/>
      <c r="G633" s="360"/>
      <c r="H633" s="185"/>
      <c r="I633" s="362"/>
      <c r="J633" s="185"/>
      <c r="K633" s="363"/>
      <c r="L633" s="363"/>
      <c r="M633" s="363"/>
      <c r="N633" s="363"/>
      <c r="O633" s="363"/>
      <c r="P633" s="363"/>
      <c r="Q633" s="362"/>
      <c r="R633" s="185"/>
      <c r="S633" s="185"/>
      <c r="T633" s="364"/>
      <c r="U633" s="185"/>
      <c r="V633" s="185"/>
      <c r="W633" s="185"/>
      <c r="X633" s="185"/>
      <c r="Y633" s="185"/>
      <c r="Z633" s="185"/>
      <c r="AA633" s="185"/>
    </row>
    <row r="634" spans="1:27" ht="15.75" customHeight="1">
      <c r="A634" s="185"/>
      <c r="B634" s="360"/>
      <c r="C634" s="361"/>
      <c r="D634" s="185"/>
      <c r="E634" s="185"/>
      <c r="F634" s="362"/>
      <c r="G634" s="360"/>
      <c r="H634" s="185"/>
      <c r="I634" s="362"/>
      <c r="J634" s="185"/>
      <c r="K634" s="363"/>
      <c r="L634" s="363"/>
      <c r="M634" s="363"/>
      <c r="N634" s="363"/>
      <c r="O634" s="363"/>
      <c r="P634" s="363"/>
      <c r="Q634" s="362"/>
      <c r="R634" s="185"/>
      <c r="S634" s="185"/>
      <c r="T634" s="364"/>
      <c r="U634" s="185"/>
      <c r="V634" s="185"/>
      <c r="W634" s="185"/>
      <c r="X634" s="185"/>
      <c r="Y634" s="185"/>
      <c r="Z634" s="185"/>
      <c r="AA634" s="185"/>
    </row>
    <row r="635" spans="1:27" ht="15.75" customHeight="1">
      <c r="A635" s="185"/>
      <c r="B635" s="360"/>
      <c r="C635" s="361"/>
      <c r="D635" s="185"/>
      <c r="E635" s="185"/>
      <c r="F635" s="362"/>
      <c r="G635" s="360"/>
      <c r="H635" s="185"/>
      <c r="I635" s="362"/>
      <c r="J635" s="185"/>
      <c r="K635" s="363"/>
      <c r="L635" s="363"/>
      <c r="M635" s="363"/>
      <c r="N635" s="363"/>
      <c r="O635" s="363"/>
      <c r="P635" s="363"/>
      <c r="Q635" s="362"/>
      <c r="R635" s="185"/>
      <c r="S635" s="185"/>
      <c r="T635" s="364"/>
      <c r="U635" s="185"/>
      <c r="V635" s="185"/>
      <c r="W635" s="185"/>
      <c r="X635" s="185"/>
      <c r="Y635" s="185"/>
      <c r="Z635" s="185"/>
      <c r="AA635" s="185"/>
    </row>
    <row r="636" spans="1:27" ht="15.75" customHeight="1">
      <c r="A636" s="185"/>
      <c r="B636" s="360"/>
      <c r="C636" s="361"/>
      <c r="D636" s="185"/>
      <c r="E636" s="185"/>
      <c r="F636" s="362"/>
      <c r="G636" s="360"/>
      <c r="H636" s="185"/>
      <c r="I636" s="362"/>
      <c r="J636" s="185"/>
      <c r="K636" s="363"/>
      <c r="L636" s="363"/>
      <c r="M636" s="363"/>
      <c r="N636" s="363"/>
      <c r="O636" s="363"/>
      <c r="P636" s="363"/>
      <c r="Q636" s="362"/>
      <c r="R636" s="185"/>
      <c r="S636" s="185"/>
      <c r="T636" s="364"/>
      <c r="U636" s="185"/>
      <c r="V636" s="185"/>
      <c r="W636" s="185"/>
      <c r="X636" s="185"/>
      <c r="Y636" s="185"/>
      <c r="Z636" s="185"/>
      <c r="AA636" s="185"/>
    </row>
    <row r="637" spans="1:27" ht="15.75" customHeight="1">
      <c r="A637" s="185"/>
      <c r="B637" s="360"/>
      <c r="C637" s="361"/>
      <c r="D637" s="185"/>
      <c r="E637" s="185"/>
      <c r="F637" s="362"/>
      <c r="G637" s="360"/>
      <c r="H637" s="185"/>
      <c r="I637" s="362"/>
      <c r="J637" s="185"/>
      <c r="K637" s="363"/>
      <c r="L637" s="363"/>
      <c r="M637" s="363"/>
      <c r="N637" s="363"/>
      <c r="O637" s="363"/>
      <c r="P637" s="363"/>
      <c r="Q637" s="362"/>
      <c r="R637" s="185"/>
      <c r="S637" s="185"/>
      <c r="T637" s="364"/>
      <c r="U637" s="185"/>
      <c r="V637" s="185"/>
      <c r="W637" s="185"/>
      <c r="X637" s="185"/>
      <c r="Y637" s="185"/>
      <c r="Z637" s="185"/>
      <c r="AA637" s="185"/>
    </row>
    <row r="638" spans="1:27" ht="15.75" customHeight="1">
      <c r="A638" s="185"/>
      <c r="B638" s="360"/>
      <c r="C638" s="361"/>
      <c r="D638" s="185"/>
      <c r="E638" s="185"/>
      <c r="F638" s="362"/>
      <c r="G638" s="360"/>
      <c r="H638" s="185"/>
      <c r="I638" s="362"/>
      <c r="J638" s="185"/>
      <c r="K638" s="363"/>
      <c r="L638" s="363"/>
      <c r="M638" s="363"/>
      <c r="N638" s="363"/>
      <c r="O638" s="363"/>
      <c r="P638" s="363"/>
      <c r="Q638" s="362"/>
      <c r="R638" s="185"/>
      <c r="S638" s="185"/>
      <c r="T638" s="364"/>
      <c r="U638" s="185"/>
      <c r="V638" s="185"/>
      <c r="W638" s="185"/>
      <c r="X638" s="185"/>
      <c r="Y638" s="185"/>
      <c r="Z638" s="185"/>
      <c r="AA638" s="185"/>
    </row>
    <row r="639" spans="1:27" ht="15.75" customHeight="1">
      <c r="A639" s="185"/>
      <c r="B639" s="360"/>
      <c r="C639" s="361"/>
      <c r="D639" s="185"/>
      <c r="E639" s="185"/>
      <c r="F639" s="362"/>
      <c r="G639" s="360"/>
      <c r="H639" s="185"/>
      <c r="I639" s="362"/>
      <c r="J639" s="185"/>
      <c r="K639" s="363"/>
      <c r="L639" s="363"/>
      <c r="M639" s="363"/>
      <c r="N639" s="363"/>
      <c r="O639" s="363"/>
      <c r="P639" s="363"/>
      <c r="Q639" s="362"/>
      <c r="R639" s="185"/>
      <c r="S639" s="185"/>
      <c r="T639" s="364"/>
      <c r="U639" s="185"/>
      <c r="V639" s="185"/>
      <c r="W639" s="185"/>
      <c r="X639" s="185"/>
      <c r="Y639" s="185"/>
      <c r="Z639" s="185"/>
      <c r="AA639" s="185"/>
    </row>
    <row r="640" spans="1:27" ht="15.75" customHeight="1">
      <c r="A640" s="185"/>
      <c r="B640" s="360"/>
      <c r="C640" s="361"/>
      <c r="D640" s="185"/>
      <c r="E640" s="185"/>
      <c r="F640" s="362"/>
      <c r="G640" s="360"/>
      <c r="H640" s="185"/>
      <c r="I640" s="362"/>
      <c r="J640" s="185"/>
      <c r="K640" s="363"/>
      <c r="L640" s="363"/>
      <c r="M640" s="363"/>
      <c r="N640" s="363"/>
      <c r="O640" s="363"/>
      <c r="P640" s="363"/>
      <c r="Q640" s="362"/>
      <c r="R640" s="185"/>
      <c r="S640" s="185"/>
      <c r="T640" s="364"/>
      <c r="U640" s="185"/>
      <c r="V640" s="185"/>
      <c r="W640" s="185"/>
      <c r="X640" s="185"/>
      <c r="Y640" s="185"/>
      <c r="Z640" s="185"/>
      <c r="AA640" s="185"/>
    </row>
    <row r="641" spans="1:27" ht="15.75" customHeight="1">
      <c r="A641" s="185"/>
      <c r="B641" s="360"/>
      <c r="C641" s="361"/>
      <c r="D641" s="185"/>
      <c r="E641" s="185"/>
      <c r="F641" s="362"/>
      <c r="G641" s="360"/>
      <c r="H641" s="185"/>
      <c r="I641" s="362"/>
      <c r="J641" s="185"/>
      <c r="K641" s="363"/>
      <c r="L641" s="363"/>
      <c r="M641" s="363"/>
      <c r="N641" s="363"/>
      <c r="O641" s="363"/>
      <c r="P641" s="363"/>
      <c r="Q641" s="362"/>
      <c r="R641" s="185"/>
      <c r="S641" s="185"/>
      <c r="T641" s="364"/>
      <c r="U641" s="185"/>
      <c r="V641" s="185"/>
      <c r="W641" s="185"/>
      <c r="X641" s="185"/>
      <c r="Y641" s="185"/>
      <c r="Z641" s="185"/>
      <c r="AA641" s="185"/>
    </row>
    <row r="642" spans="1:27" ht="15.75" customHeight="1">
      <c r="A642" s="185"/>
      <c r="B642" s="360"/>
      <c r="C642" s="361"/>
      <c r="D642" s="185"/>
      <c r="E642" s="185"/>
      <c r="F642" s="362"/>
      <c r="G642" s="360"/>
      <c r="H642" s="185"/>
      <c r="I642" s="362"/>
      <c r="J642" s="185"/>
      <c r="K642" s="363"/>
      <c r="L642" s="363"/>
      <c r="M642" s="363"/>
      <c r="N642" s="363"/>
      <c r="O642" s="363"/>
      <c r="P642" s="363"/>
      <c r="Q642" s="362"/>
      <c r="R642" s="185"/>
      <c r="S642" s="185"/>
      <c r="T642" s="364"/>
      <c r="U642" s="185"/>
      <c r="V642" s="185"/>
      <c r="W642" s="185"/>
      <c r="X642" s="185"/>
      <c r="Y642" s="185"/>
      <c r="Z642" s="185"/>
      <c r="AA642" s="185"/>
    </row>
    <row r="643" spans="1:27" ht="15.75" customHeight="1">
      <c r="A643" s="185"/>
      <c r="B643" s="360"/>
      <c r="C643" s="361"/>
      <c r="D643" s="185"/>
      <c r="E643" s="185"/>
      <c r="F643" s="362"/>
      <c r="G643" s="360"/>
      <c r="H643" s="185"/>
      <c r="I643" s="362"/>
      <c r="J643" s="185"/>
      <c r="K643" s="363"/>
      <c r="L643" s="363"/>
      <c r="M643" s="363"/>
      <c r="N643" s="363"/>
      <c r="O643" s="363"/>
      <c r="P643" s="363"/>
      <c r="Q643" s="362"/>
      <c r="R643" s="185"/>
      <c r="S643" s="185"/>
      <c r="T643" s="364"/>
      <c r="U643" s="185"/>
      <c r="V643" s="185"/>
      <c r="W643" s="185"/>
      <c r="X643" s="185"/>
      <c r="Y643" s="185"/>
      <c r="Z643" s="185"/>
      <c r="AA643" s="185"/>
    </row>
    <row r="644" spans="1:27" ht="15.75" customHeight="1">
      <c r="A644" s="185"/>
      <c r="B644" s="360"/>
      <c r="C644" s="361"/>
      <c r="D644" s="185"/>
      <c r="E644" s="185"/>
      <c r="F644" s="362"/>
      <c r="G644" s="360"/>
      <c r="H644" s="185"/>
      <c r="I644" s="362"/>
      <c r="J644" s="185"/>
      <c r="K644" s="363"/>
      <c r="L644" s="363"/>
      <c r="M644" s="363"/>
      <c r="N644" s="363"/>
      <c r="O644" s="363"/>
      <c r="P644" s="363"/>
      <c r="Q644" s="362"/>
      <c r="R644" s="185"/>
      <c r="S644" s="185"/>
      <c r="T644" s="364"/>
      <c r="U644" s="185"/>
      <c r="V644" s="185"/>
      <c r="W644" s="185"/>
      <c r="X644" s="185"/>
      <c r="Y644" s="185"/>
      <c r="Z644" s="185"/>
      <c r="AA644" s="185"/>
    </row>
    <row r="645" spans="1:27" ht="15.75" customHeight="1">
      <c r="A645" s="185"/>
      <c r="B645" s="360"/>
      <c r="C645" s="361"/>
      <c r="D645" s="185"/>
      <c r="E645" s="185"/>
      <c r="F645" s="362"/>
      <c r="G645" s="360"/>
      <c r="H645" s="185"/>
      <c r="I645" s="362"/>
      <c r="J645" s="185"/>
      <c r="K645" s="363"/>
      <c r="L645" s="363"/>
      <c r="M645" s="363"/>
      <c r="N645" s="363"/>
      <c r="O645" s="363"/>
      <c r="P645" s="363"/>
      <c r="Q645" s="362"/>
      <c r="R645" s="185"/>
      <c r="S645" s="185"/>
      <c r="T645" s="364"/>
      <c r="U645" s="185"/>
      <c r="V645" s="185"/>
      <c r="W645" s="185"/>
      <c r="X645" s="185"/>
      <c r="Y645" s="185"/>
      <c r="Z645" s="185"/>
      <c r="AA645" s="185"/>
    </row>
    <row r="646" spans="1:27" ht="15.75" customHeight="1">
      <c r="A646" s="185"/>
      <c r="B646" s="360"/>
      <c r="C646" s="361"/>
      <c r="D646" s="185"/>
      <c r="E646" s="185"/>
      <c r="F646" s="362"/>
      <c r="G646" s="360"/>
      <c r="H646" s="185"/>
      <c r="I646" s="362"/>
      <c r="J646" s="185"/>
      <c r="K646" s="363"/>
      <c r="L646" s="363"/>
      <c r="M646" s="363"/>
      <c r="N646" s="363"/>
      <c r="O646" s="363"/>
      <c r="P646" s="363"/>
      <c r="Q646" s="362"/>
      <c r="R646" s="185"/>
      <c r="S646" s="185"/>
      <c r="T646" s="364"/>
      <c r="U646" s="185"/>
      <c r="V646" s="185"/>
      <c r="W646" s="185"/>
      <c r="X646" s="185"/>
      <c r="Y646" s="185"/>
      <c r="Z646" s="185"/>
      <c r="AA646" s="185"/>
    </row>
    <row r="647" spans="1:27" ht="15.75" customHeight="1">
      <c r="A647" s="185"/>
      <c r="B647" s="360"/>
      <c r="C647" s="361"/>
      <c r="D647" s="185"/>
      <c r="E647" s="185"/>
      <c r="F647" s="362"/>
      <c r="G647" s="360"/>
      <c r="H647" s="185"/>
      <c r="I647" s="362"/>
      <c r="J647" s="185"/>
      <c r="K647" s="363"/>
      <c r="L647" s="363"/>
      <c r="M647" s="363"/>
      <c r="N647" s="363"/>
      <c r="O647" s="363"/>
      <c r="P647" s="363"/>
      <c r="Q647" s="362"/>
      <c r="R647" s="185"/>
      <c r="S647" s="185"/>
      <c r="T647" s="364"/>
      <c r="U647" s="185"/>
      <c r="V647" s="185"/>
      <c r="W647" s="185"/>
      <c r="X647" s="185"/>
      <c r="Y647" s="185"/>
      <c r="Z647" s="185"/>
      <c r="AA647" s="185"/>
    </row>
    <row r="648" spans="1:27" ht="15.75" customHeight="1">
      <c r="A648" s="185"/>
      <c r="B648" s="360"/>
      <c r="C648" s="361"/>
      <c r="D648" s="185"/>
      <c r="E648" s="185"/>
      <c r="F648" s="362"/>
      <c r="G648" s="360"/>
      <c r="H648" s="185"/>
      <c r="I648" s="362"/>
      <c r="J648" s="185"/>
      <c r="K648" s="363"/>
      <c r="L648" s="363"/>
      <c r="M648" s="363"/>
      <c r="N648" s="363"/>
      <c r="O648" s="363"/>
      <c r="P648" s="363"/>
      <c r="Q648" s="362"/>
      <c r="R648" s="185"/>
      <c r="S648" s="185"/>
      <c r="T648" s="364"/>
      <c r="U648" s="185"/>
      <c r="V648" s="185"/>
      <c r="W648" s="185"/>
      <c r="X648" s="185"/>
      <c r="Y648" s="185"/>
      <c r="Z648" s="185"/>
      <c r="AA648" s="185"/>
    </row>
    <row r="649" spans="1:27" ht="15.75" customHeight="1">
      <c r="A649" s="185"/>
      <c r="B649" s="360"/>
      <c r="C649" s="361"/>
      <c r="D649" s="185"/>
      <c r="E649" s="185"/>
      <c r="F649" s="362"/>
      <c r="G649" s="360"/>
      <c r="H649" s="185"/>
      <c r="I649" s="362"/>
      <c r="J649" s="185"/>
      <c r="K649" s="363"/>
      <c r="L649" s="363"/>
      <c r="M649" s="363"/>
      <c r="N649" s="363"/>
      <c r="O649" s="363"/>
      <c r="P649" s="363"/>
      <c r="Q649" s="362"/>
      <c r="R649" s="185"/>
      <c r="S649" s="185"/>
      <c r="T649" s="364"/>
      <c r="U649" s="185"/>
      <c r="V649" s="185"/>
      <c r="W649" s="185"/>
      <c r="X649" s="185"/>
      <c r="Y649" s="185"/>
      <c r="Z649" s="185"/>
      <c r="AA649" s="185"/>
    </row>
    <row r="650" spans="1:27" ht="15.75" customHeight="1">
      <c r="A650" s="185"/>
      <c r="B650" s="360"/>
      <c r="C650" s="361"/>
      <c r="D650" s="185"/>
      <c r="E650" s="185"/>
      <c r="F650" s="362"/>
      <c r="G650" s="360"/>
      <c r="H650" s="185"/>
      <c r="I650" s="362"/>
      <c r="J650" s="185"/>
      <c r="K650" s="363"/>
      <c r="L650" s="363"/>
      <c r="M650" s="363"/>
      <c r="N650" s="363"/>
      <c r="O650" s="363"/>
      <c r="P650" s="363"/>
      <c r="Q650" s="362"/>
      <c r="R650" s="185"/>
      <c r="S650" s="185"/>
      <c r="T650" s="364"/>
      <c r="U650" s="185"/>
      <c r="V650" s="185"/>
      <c r="W650" s="185"/>
      <c r="X650" s="185"/>
      <c r="Y650" s="185"/>
      <c r="Z650" s="185"/>
      <c r="AA650" s="185"/>
    </row>
    <row r="651" spans="1:27" ht="15.75" customHeight="1">
      <c r="A651" s="185"/>
      <c r="B651" s="360"/>
      <c r="C651" s="361"/>
      <c r="D651" s="185"/>
      <c r="E651" s="185"/>
      <c r="F651" s="362"/>
      <c r="G651" s="360"/>
      <c r="H651" s="185"/>
      <c r="I651" s="362"/>
      <c r="J651" s="185"/>
      <c r="K651" s="363"/>
      <c r="L651" s="363"/>
      <c r="M651" s="363"/>
      <c r="N651" s="363"/>
      <c r="O651" s="363"/>
      <c r="P651" s="363"/>
      <c r="Q651" s="362"/>
      <c r="R651" s="185"/>
      <c r="S651" s="185"/>
      <c r="T651" s="364"/>
      <c r="U651" s="185"/>
      <c r="V651" s="185"/>
      <c r="W651" s="185"/>
      <c r="X651" s="185"/>
      <c r="Y651" s="185"/>
      <c r="Z651" s="185"/>
      <c r="AA651" s="185"/>
    </row>
    <row r="652" spans="1:27" ht="15.75" customHeight="1">
      <c r="A652" s="185"/>
      <c r="B652" s="360"/>
      <c r="C652" s="361"/>
      <c r="D652" s="185"/>
      <c r="E652" s="185"/>
      <c r="F652" s="362"/>
      <c r="G652" s="360"/>
      <c r="H652" s="185"/>
      <c r="I652" s="362"/>
      <c r="J652" s="185"/>
      <c r="K652" s="363"/>
      <c r="L652" s="363"/>
      <c r="M652" s="363"/>
      <c r="N652" s="363"/>
      <c r="O652" s="363"/>
      <c r="P652" s="363"/>
      <c r="Q652" s="362"/>
      <c r="R652" s="185"/>
      <c r="S652" s="185"/>
      <c r="T652" s="364"/>
      <c r="U652" s="185"/>
      <c r="V652" s="185"/>
      <c r="W652" s="185"/>
      <c r="X652" s="185"/>
      <c r="Y652" s="185"/>
      <c r="Z652" s="185"/>
      <c r="AA652" s="185"/>
    </row>
    <row r="653" spans="1:27" ht="15.75" customHeight="1">
      <c r="A653" s="185"/>
      <c r="B653" s="360"/>
      <c r="C653" s="361"/>
      <c r="D653" s="185"/>
      <c r="E653" s="185"/>
      <c r="F653" s="362"/>
      <c r="G653" s="360"/>
      <c r="H653" s="185"/>
      <c r="I653" s="362"/>
      <c r="J653" s="185"/>
      <c r="K653" s="363"/>
      <c r="L653" s="363"/>
      <c r="M653" s="363"/>
      <c r="N653" s="363"/>
      <c r="O653" s="363"/>
      <c r="P653" s="363"/>
      <c r="Q653" s="362"/>
      <c r="R653" s="185"/>
      <c r="S653" s="185"/>
      <c r="T653" s="364"/>
      <c r="U653" s="185"/>
      <c r="V653" s="185"/>
      <c r="W653" s="185"/>
      <c r="X653" s="185"/>
      <c r="Y653" s="185"/>
      <c r="Z653" s="185"/>
      <c r="AA653" s="185"/>
    </row>
    <row r="654" spans="1:27" ht="15.75" customHeight="1">
      <c r="A654" s="185"/>
      <c r="B654" s="360"/>
      <c r="C654" s="361"/>
      <c r="D654" s="185"/>
      <c r="E654" s="185"/>
      <c r="F654" s="362"/>
      <c r="G654" s="360"/>
      <c r="H654" s="185"/>
      <c r="I654" s="362"/>
      <c r="J654" s="185"/>
      <c r="K654" s="363"/>
      <c r="L654" s="363"/>
      <c r="M654" s="363"/>
      <c r="N654" s="363"/>
      <c r="O654" s="363"/>
      <c r="P654" s="363"/>
      <c r="Q654" s="362"/>
      <c r="R654" s="185"/>
      <c r="S654" s="185"/>
      <c r="T654" s="364"/>
      <c r="U654" s="185"/>
      <c r="V654" s="185"/>
      <c r="W654" s="185"/>
      <c r="X654" s="185"/>
      <c r="Y654" s="185"/>
      <c r="Z654" s="185"/>
      <c r="AA654" s="185"/>
    </row>
    <row r="655" spans="1:27" ht="15.75" customHeight="1">
      <c r="A655" s="185"/>
      <c r="B655" s="360"/>
      <c r="C655" s="361"/>
      <c r="D655" s="185"/>
      <c r="E655" s="185"/>
      <c r="F655" s="362"/>
      <c r="G655" s="360"/>
      <c r="H655" s="185"/>
      <c r="I655" s="362"/>
      <c r="J655" s="185"/>
      <c r="K655" s="363"/>
      <c r="L655" s="363"/>
      <c r="M655" s="363"/>
      <c r="N655" s="363"/>
      <c r="O655" s="363"/>
      <c r="P655" s="363"/>
      <c r="Q655" s="362"/>
      <c r="R655" s="185"/>
      <c r="S655" s="185"/>
      <c r="T655" s="364"/>
      <c r="U655" s="185"/>
      <c r="V655" s="185"/>
      <c r="W655" s="185"/>
      <c r="X655" s="185"/>
      <c r="Y655" s="185"/>
      <c r="Z655" s="185"/>
      <c r="AA655" s="185"/>
    </row>
    <row r="656" spans="1:27" ht="15.75" customHeight="1">
      <c r="A656" s="185"/>
      <c r="B656" s="360"/>
      <c r="C656" s="361"/>
      <c r="D656" s="185"/>
      <c r="E656" s="185"/>
      <c r="F656" s="362"/>
      <c r="G656" s="360"/>
      <c r="H656" s="185"/>
      <c r="I656" s="362"/>
      <c r="J656" s="185"/>
      <c r="K656" s="363"/>
      <c r="L656" s="363"/>
      <c r="M656" s="363"/>
      <c r="N656" s="363"/>
      <c r="O656" s="363"/>
      <c r="P656" s="363"/>
      <c r="Q656" s="362"/>
      <c r="R656" s="185"/>
      <c r="S656" s="185"/>
      <c r="T656" s="364"/>
      <c r="U656" s="185"/>
      <c r="V656" s="185"/>
      <c r="W656" s="185"/>
      <c r="X656" s="185"/>
      <c r="Y656" s="185"/>
      <c r="Z656" s="185"/>
      <c r="AA656" s="185"/>
    </row>
    <row r="657" spans="1:27" ht="15.75" customHeight="1">
      <c r="A657" s="185"/>
      <c r="B657" s="360"/>
      <c r="C657" s="361"/>
      <c r="D657" s="185"/>
      <c r="E657" s="185"/>
      <c r="F657" s="362"/>
      <c r="G657" s="360"/>
      <c r="H657" s="185"/>
      <c r="I657" s="362"/>
      <c r="J657" s="185"/>
      <c r="K657" s="363"/>
      <c r="L657" s="363"/>
      <c r="M657" s="363"/>
      <c r="N657" s="363"/>
      <c r="O657" s="363"/>
      <c r="P657" s="363"/>
      <c r="Q657" s="362"/>
      <c r="R657" s="185"/>
      <c r="S657" s="185"/>
      <c r="T657" s="364"/>
      <c r="U657" s="185"/>
      <c r="V657" s="185"/>
      <c r="W657" s="185"/>
      <c r="X657" s="185"/>
      <c r="Y657" s="185"/>
      <c r="Z657" s="185"/>
      <c r="AA657" s="185"/>
    </row>
    <row r="658" spans="1:27" ht="15.75" customHeight="1">
      <c r="A658" s="185"/>
      <c r="B658" s="360"/>
      <c r="C658" s="361"/>
      <c r="D658" s="185"/>
      <c r="E658" s="185"/>
      <c r="F658" s="362"/>
      <c r="G658" s="360"/>
      <c r="H658" s="185"/>
      <c r="I658" s="362"/>
      <c r="J658" s="185"/>
      <c r="K658" s="363"/>
      <c r="L658" s="363"/>
      <c r="M658" s="363"/>
      <c r="N658" s="363"/>
      <c r="O658" s="363"/>
      <c r="P658" s="363"/>
      <c r="Q658" s="362"/>
      <c r="R658" s="185"/>
      <c r="S658" s="185"/>
      <c r="T658" s="364"/>
      <c r="U658" s="185"/>
      <c r="V658" s="185"/>
      <c r="W658" s="185"/>
      <c r="X658" s="185"/>
      <c r="Y658" s="185"/>
      <c r="Z658" s="185"/>
      <c r="AA658" s="185"/>
    </row>
    <row r="659" spans="1:27" ht="15.75" customHeight="1">
      <c r="A659" s="185"/>
      <c r="B659" s="360"/>
      <c r="C659" s="361"/>
      <c r="D659" s="185"/>
      <c r="E659" s="185"/>
      <c r="F659" s="362"/>
      <c r="G659" s="360"/>
      <c r="H659" s="185"/>
      <c r="I659" s="362"/>
      <c r="J659" s="185"/>
      <c r="K659" s="363"/>
      <c r="L659" s="363"/>
      <c r="M659" s="363"/>
      <c r="N659" s="363"/>
      <c r="O659" s="363"/>
      <c r="P659" s="363"/>
      <c r="Q659" s="362"/>
      <c r="R659" s="185"/>
      <c r="S659" s="185"/>
      <c r="T659" s="364"/>
      <c r="U659" s="185"/>
      <c r="V659" s="185"/>
      <c r="W659" s="185"/>
      <c r="X659" s="185"/>
      <c r="Y659" s="185"/>
      <c r="Z659" s="185"/>
      <c r="AA659" s="185"/>
    </row>
    <row r="660" spans="1:27" ht="15.75" customHeight="1">
      <c r="A660" s="185"/>
      <c r="B660" s="360"/>
      <c r="C660" s="361"/>
      <c r="D660" s="185"/>
      <c r="E660" s="185"/>
      <c r="F660" s="362"/>
      <c r="G660" s="360"/>
      <c r="H660" s="185"/>
      <c r="I660" s="362"/>
      <c r="J660" s="185"/>
      <c r="K660" s="363"/>
      <c r="L660" s="363"/>
      <c r="M660" s="363"/>
      <c r="N660" s="363"/>
      <c r="O660" s="363"/>
      <c r="P660" s="363"/>
      <c r="Q660" s="362"/>
      <c r="R660" s="185"/>
      <c r="S660" s="185"/>
      <c r="T660" s="364"/>
      <c r="U660" s="185"/>
      <c r="V660" s="185"/>
      <c r="W660" s="185"/>
      <c r="X660" s="185"/>
      <c r="Y660" s="185"/>
      <c r="Z660" s="185"/>
      <c r="AA660" s="185"/>
    </row>
    <row r="661" spans="1:27" ht="15.75" customHeight="1">
      <c r="A661" s="185"/>
      <c r="B661" s="360"/>
      <c r="C661" s="361"/>
      <c r="D661" s="185"/>
      <c r="E661" s="185"/>
      <c r="F661" s="362"/>
      <c r="G661" s="360"/>
      <c r="H661" s="185"/>
      <c r="I661" s="362"/>
      <c r="J661" s="185"/>
      <c r="K661" s="363"/>
      <c r="L661" s="363"/>
      <c r="M661" s="363"/>
      <c r="N661" s="363"/>
      <c r="O661" s="363"/>
      <c r="P661" s="363"/>
      <c r="Q661" s="362"/>
      <c r="R661" s="185"/>
      <c r="S661" s="185"/>
      <c r="T661" s="364"/>
      <c r="U661" s="185"/>
      <c r="V661" s="185"/>
      <c r="W661" s="185"/>
      <c r="X661" s="185"/>
      <c r="Y661" s="185"/>
      <c r="Z661" s="185"/>
      <c r="AA661" s="185"/>
    </row>
    <row r="662" spans="1:27" ht="15.75" customHeight="1">
      <c r="A662" s="185"/>
      <c r="B662" s="360"/>
      <c r="C662" s="361"/>
      <c r="D662" s="185"/>
      <c r="E662" s="185"/>
      <c r="F662" s="362"/>
      <c r="G662" s="360"/>
      <c r="H662" s="185"/>
      <c r="I662" s="362"/>
      <c r="J662" s="185"/>
      <c r="K662" s="363"/>
      <c r="L662" s="363"/>
      <c r="M662" s="363"/>
      <c r="N662" s="363"/>
      <c r="O662" s="363"/>
      <c r="P662" s="363"/>
      <c r="Q662" s="362"/>
      <c r="R662" s="185"/>
      <c r="S662" s="185"/>
      <c r="T662" s="364"/>
      <c r="U662" s="185"/>
      <c r="V662" s="185"/>
      <c r="W662" s="185"/>
      <c r="X662" s="185"/>
      <c r="Y662" s="185"/>
      <c r="Z662" s="185"/>
      <c r="AA662" s="185"/>
    </row>
    <row r="663" spans="1:27" ht="15.75" customHeight="1">
      <c r="A663" s="185"/>
      <c r="B663" s="360"/>
      <c r="C663" s="361"/>
      <c r="D663" s="185"/>
      <c r="E663" s="185"/>
      <c r="F663" s="362"/>
      <c r="G663" s="360"/>
      <c r="H663" s="185"/>
      <c r="I663" s="362"/>
      <c r="J663" s="185"/>
      <c r="K663" s="363"/>
      <c r="L663" s="363"/>
      <c r="M663" s="363"/>
      <c r="N663" s="363"/>
      <c r="O663" s="363"/>
      <c r="P663" s="363"/>
      <c r="Q663" s="362"/>
      <c r="R663" s="185"/>
      <c r="S663" s="185"/>
      <c r="T663" s="364"/>
      <c r="U663" s="185"/>
      <c r="V663" s="185"/>
      <c r="W663" s="185"/>
      <c r="X663" s="185"/>
      <c r="Y663" s="185"/>
      <c r="Z663" s="185"/>
      <c r="AA663" s="185"/>
    </row>
    <row r="664" spans="1:27" ht="15.75" customHeight="1">
      <c r="A664" s="185"/>
      <c r="B664" s="360"/>
      <c r="C664" s="361"/>
      <c r="D664" s="185"/>
      <c r="E664" s="185"/>
      <c r="F664" s="362"/>
      <c r="G664" s="360"/>
      <c r="H664" s="185"/>
      <c r="I664" s="362"/>
      <c r="J664" s="185"/>
      <c r="K664" s="363"/>
      <c r="L664" s="363"/>
      <c r="M664" s="363"/>
      <c r="N664" s="363"/>
      <c r="O664" s="363"/>
      <c r="P664" s="363"/>
      <c r="Q664" s="362"/>
      <c r="R664" s="185"/>
      <c r="S664" s="185"/>
      <c r="T664" s="364"/>
      <c r="U664" s="185"/>
      <c r="V664" s="185"/>
      <c r="W664" s="185"/>
      <c r="X664" s="185"/>
      <c r="Y664" s="185"/>
      <c r="Z664" s="185"/>
      <c r="AA664" s="185"/>
    </row>
    <row r="665" spans="1:27" ht="15.75" customHeight="1">
      <c r="A665" s="185"/>
      <c r="B665" s="360"/>
      <c r="C665" s="361"/>
      <c r="D665" s="185"/>
      <c r="E665" s="185"/>
      <c r="F665" s="362"/>
      <c r="G665" s="360"/>
      <c r="H665" s="185"/>
      <c r="I665" s="362"/>
      <c r="J665" s="185"/>
      <c r="K665" s="363"/>
      <c r="L665" s="363"/>
      <c r="M665" s="363"/>
      <c r="N665" s="363"/>
      <c r="O665" s="363"/>
      <c r="P665" s="363"/>
      <c r="Q665" s="362"/>
      <c r="R665" s="185"/>
      <c r="S665" s="185"/>
      <c r="T665" s="364"/>
      <c r="U665" s="185"/>
      <c r="V665" s="185"/>
      <c r="W665" s="185"/>
      <c r="X665" s="185"/>
      <c r="Y665" s="185"/>
      <c r="Z665" s="185"/>
      <c r="AA665" s="185"/>
    </row>
    <row r="666" spans="1:27" ht="15.75" customHeight="1">
      <c r="A666" s="185"/>
      <c r="B666" s="360"/>
      <c r="C666" s="361"/>
      <c r="D666" s="185"/>
      <c r="E666" s="185"/>
      <c r="F666" s="362"/>
      <c r="G666" s="360"/>
      <c r="H666" s="185"/>
      <c r="I666" s="362"/>
      <c r="J666" s="185"/>
      <c r="K666" s="363"/>
      <c r="L666" s="363"/>
      <c r="M666" s="363"/>
      <c r="N666" s="363"/>
      <c r="O666" s="363"/>
      <c r="P666" s="363"/>
      <c r="Q666" s="362"/>
      <c r="R666" s="185"/>
      <c r="S666" s="185"/>
      <c r="T666" s="364"/>
      <c r="U666" s="185"/>
      <c r="V666" s="185"/>
      <c r="W666" s="185"/>
      <c r="X666" s="185"/>
      <c r="Y666" s="185"/>
      <c r="Z666" s="185"/>
      <c r="AA666" s="185"/>
    </row>
    <row r="667" spans="1:27" ht="15.75" customHeight="1">
      <c r="A667" s="185"/>
      <c r="B667" s="360"/>
      <c r="C667" s="361"/>
      <c r="D667" s="185"/>
      <c r="E667" s="185"/>
      <c r="F667" s="362"/>
      <c r="G667" s="360"/>
      <c r="H667" s="185"/>
      <c r="I667" s="362"/>
      <c r="J667" s="185"/>
      <c r="K667" s="363"/>
      <c r="L667" s="363"/>
      <c r="M667" s="363"/>
      <c r="N667" s="363"/>
      <c r="O667" s="363"/>
      <c r="P667" s="363"/>
      <c r="Q667" s="362"/>
      <c r="R667" s="185"/>
      <c r="S667" s="185"/>
      <c r="T667" s="364"/>
      <c r="U667" s="185"/>
      <c r="V667" s="185"/>
      <c r="W667" s="185"/>
      <c r="X667" s="185"/>
      <c r="Y667" s="185"/>
      <c r="Z667" s="185"/>
      <c r="AA667" s="185"/>
    </row>
    <row r="668" spans="1:27" ht="15.75" customHeight="1">
      <c r="A668" s="185"/>
      <c r="B668" s="360"/>
      <c r="C668" s="361"/>
      <c r="D668" s="185"/>
      <c r="E668" s="185"/>
      <c r="F668" s="362"/>
      <c r="G668" s="360"/>
      <c r="H668" s="185"/>
      <c r="I668" s="362"/>
      <c r="J668" s="185"/>
      <c r="K668" s="363"/>
      <c r="L668" s="363"/>
      <c r="M668" s="363"/>
      <c r="N668" s="363"/>
      <c r="O668" s="363"/>
      <c r="P668" s="363"/>
      <c r="Q668" s="362"/>
      <c r="R668" s="185"/>
      <c r="S668" s="185"/>
      <c r="T668" s="364"/>
      <c r="U668" s="185"/>
      <c r="V668" s="185"/>
      <c r="W668" s="185"/>
      <c r="X668" s="185"/>
      <c r="Y668" s="185"/>
      <c r="Z668" s="185"/>
      <c r="AA668" s="185"/>
    </row>
    <row r="669" spans="1:27" ht="15.75" customHeight="1">
      <c r="A669" s="185"/>
      <c r="B669" s="360"/>
      <c r="C669" s="361"/>
      <c r="D669" s="185"/>
      <c r="E669" s="185"/>
      <c r="F669" s="362"/>
      <c r="G669" s="360"/>
      <c r="H669" s="185"/>
      <c r="I669" s="362"/>
      <c r="J669" s="185"/>
      <c r="K669" s="363"/>
      <c r="L669" s="363"/>
      <c r="M669" s="363"/>
      <c r="N669" s="363"/>
      <c r="O669" s="363"/>
      <c r="P669" s="363"/>
      <c r="Q669" s="362"/>
      <c r="R669" s="185"/>
      <c r="S669" s="185"/>
      <c r="T669" s="364"/>
      <c r="U669" s="185"/>
      <c r="V669" s="185"/>
      <c r="W669" s="185"/>
      <c r="X669" s="185"/>
      <c r="Y669" s="185"/>
      <c r="Z669" s="185"/>
      <c r="AA669" s="185"/>
    </row>
    <row r="670" spans="1:27" ht="15.75" customHeight="1">
      <c r="A670" s="185"/>
      <c r="B670" s="360"/>
      <c r="C670" s="361"/>
      <c r="D670" s="185"/>
      <c r="E670" s="185"/>
      <c r="F670" s="362"/>
      <c r="G670" s="360"/>
      <c r="H670" s="185"/>
      <c r="I670" s="362"/>
      <c r="J670" s="185"/>
      <c r="K670" s="363"/>
      <c r="L670" s="363"/>
      <c r="M670" s="363"/>
      <c r="N670" s="363"/>
      <c r="O670" s="363"/>
      <c r="P670" s="363"/>
      <c r="Q670" s="362"/>
      <c r="R670" s="185"/>
      <c r="S670" s="185"/>
      <c r="T670" s="364"/>
      <c r="U670" s="185"/>
      <c r="V670" s="185"/>
      <c r="W670" s="185"/>
      <c r="X670" s="185"/>
      <c r="Y670" s="185"/>
      <c r="Z670" s="185"/>
      <c r="AA670" s="185"/>
    </row>
    <row r="671" spans="1:27" ht="15.75" customHeight="1">
      <c r="A671" s="185"/>
      <c r="B671" s="360"/>
      <c r="C671" s="361"/>
      <c r="D671" s="185"/>
      <c r="E671" s="185"/>
      <c r="F671" s="362"/>
      <c r="G671" s="360"/>
      <c r="H671" s="185"/>
      <c r="I671" s="362"/>
      <c r="J671" s="185"/>
      <c r="K671" s="363"/>
      <c r="L671" s="363"/>
      <c r="M671" s="363"/>
      <c r="N671" s="363"/>
      <c r="O671" s="363"/>
      <c r="P671" s="363"/>
      <c r="Q671" s="362"/>
      <c r="R671" s="185"/>
      <c r="S671" s="185"/>
      <c r="T671" s="364"/>
      <c r="U671" s="185"/>
      <c r="V671" s="185"/>
      <c r="W671" s="185"/>
      <c r="X671" s="185"/>
      <c r="Y671" s="185"/>
      <c r="Z671" s="185"/>
      <c r="AA671" s="185"/>
    </row>
    <row r="672" spans="1:27" ht="15.75" customHeight="1">
      <c r="A672" s="185"/>
      <c r="B672" s="360"/>
      <c r="C672" s="361"/>
      <c r="D672" s="185"/>
      <c r="E672" s="185"/>
      <c r="F672" s="362"/>
      <c r="G672" s="360"/>
      <c r="H672" s="185"/>
      <c r="I672" s="362"/>
      <c r="J672" s="185"/>
      <c r="K672" s="363"/>
      <c r="L672" s="363"/>
      <c r="M672" s="363"/>
      <c r="N672" s="363"/>
      <c r="O672" s="363"/>
      <c r="P672" s="363"/>
      <c r="Q672" s="362"/>
      <c r="R672" s="185"/>
      <c r="S672" s="185"/>
      <c r="T672" s="364"/>
      <c r="U672" s="185"/>
      <c r="V672" s="185"/>
      <c r="W672" s="185"/>
      <c r="X672" s="185"/>
      <c r="Y672" s="185"/>
      <c r="Z672" s="185"/>
      <c r="AA672" s="185"/>
    </row>
    <row r="673" spans="1:27" ht="15.75" customHeight="1">
      <c r="A673" s="185"/>
      <c r="B673" s="360"/>
      <c r="C673" s="361"/>
      <c r="D673" s="185"/>
      <c r="E673" s="185"/>
      <c r="F673" s="362"/>
      <c r="G673" s="360"/>
      <c r="H673" s="185"/>
      <c r="I673" s="362"/>
      <c r="J673" s="185"/>
      <c r="K673" s="363"/>
      <c r="L673" s="363"/>
      <c r="M673" s="363"/>
      <c r="N673" s="363"/>
      <c r="O673" s="363"/>
      <c r="P673" s="363"/>
      <c r="Q673" s="362"/>
      <c r="R673" s="185"/>
      <c r="S673" s="185"/>
      <c r="T673" s="364"/>
      <c r="U673" s="185"/>
      <c r="V673" s="185"/>
      <c r="W673" s="185"/>
      <c r="X673" s="185"/>
      <c r="Y673" s="185"/>
      <c r="Z673" s="185"/>
      <c r="AA673" s="185"/>
    </row>
    <row r="674" spans="1:27" ht="15.75" customHeight="1">
      <c r="A674" s="185"/>
      <c r="B674" s="360"/>
      <c r="C674" s="361"/>
      <c r="D674" s="185"/>
      <c r="E674" s="185"/>
      <c r="F674" s="362"/>
      <c r="G674" s="360"/>
      <c r="H674" s="185"/>
      <c r="I674" s="362"/>
      <c r="J674" s="185"/>
      <c r="K674" s="363"/>
      <c r="L674" s="363"/>
      <c r="M674" s="363"/>
      <c r="N674" s="363"/>
      <c r="O674" s="363"/>
      <c r="P674" s="363"/>
      <c r="Q674" s="362"/>
      <c r="R674" s="185"/>
      <c r="S674" s="185"/>
      <c r="T674" s="364"/>
      <c r="U674" s="185"/>
      <c r="V674" s="185"/>
      <c r="W674" s="185"/>
      <c r="X674" s="185"/>
      <c r="Y674" s="185"/>
      <c r="Z674" s="185"/>
      <c r="AA674" s="185"/>
    </row>
    <row r="675" spans="1:27" ht="15.75" customHeight="1">
      <c r="A675" s="185"/>
      <c r="B675" s="360"/>
      <c r="C675" s="361"/>
      <c r="D675" s="185"/>
      <c r="E675" s="185"/>
      <c r="F675" s="362"/>
      <c r="G675" s="360"/>
      <c r="H675" s="185"/>
      <c r="I675" s="362"/>
      <c r="J675" s="185"/>
      <c r="K675" s="363"/>
      <c r="L675" s="363"/>
      <c r="M675" s="363"/>
      <c r="N675" s="363"/>
      <c r="O675" s="363"/>
      <c r="P675" s="363"/>
      <c r="Q675" s="362"/>
      <c r="R675" s="185"/>
      <c r="S675" s="185"/>
      <c r="T675" s="364"/>
      <c r="U675" s="185"/>
      <c r="V675" s="185"/>
      <c r="W675" s="185"/>
      <c r="X675" s="185"/>
      <c r="Y675" s="185"/>
      <c r="Z675" s="185"/>
      <c r="AA675" s="185"/>
    </row>
    <row r="676" spans="1:27" ht="15.75" customHeight="1">
      <c r="A676" s="185"/>
      <c r="B676" s="360"/>
      <c r="C676" s="361"/>
      <c r="D676" s="185"/>
      <c r="E676" s="185"/>
      <c r="F676" s="362"/>
      <c r="G676" s="360"/>
      <c r="H676" s="185"/>
      <c r="I676" s="362"/>
      <c r="J676" s="185"/>
      <c r="K676" s="363"/>
      <c r="L676" s="363"/>
      <c r="M676" s="363"/>
      <c r="N676" s="363"/>
      <c r="O676" s="363"/>
      <c r="P676" s="363"/>
      <c r="Q676" s="362"/>
      <c r="R676" s="185"/>
      <c r="S676" s="185"/>
      <c r="T676" s="364"/>
      <c r="U676" s="185"/>
      <c r="V676" s="185"/>
      <c r="W676" s="185"/>
      <c r="X676" s="185"/>
      <c r="Y676" s="185"/>
      <c r="Z676" s="185"/>
      <c r="AA676" s="185"/>
    </row>
    <row r="677" spans="1:27" ht="15.75" customHeight="1">
      <c r="A677" s="185"/>
      <c r="B677" s="360"/>
      <c r="C677" s="361"/>
      <c r="D677" s="185"/>
      <c r="E677" s="185"/>
      <c r="F677" s="362"/>
      <c r="G677" s="360"/>
      <c r="H677" s="185"/>
      <c r="I677" s="362"/>
      <c r="J677" s="185"/>
      <c r="K677" s="363"/>
      <c r="L677" s="363"/>
      <c r="M677" s="363"/>
      <c r="N677" s="363"/>
      <c r="O677" s="363"/>
      <c r="P677" s="363"/>
      <c r="Q677" s="362"/>
      <c r="R677" s="185"/>
      <c r="S677" s="185"/>
      <c r="T677" s="364"/>
      <c r="U677" s="185"/>
      <c r="V677" s="185"/>
      <c r="W677" s="185"/>
      <c r="X677" s="185"/>
      <c r="Y677" s="185"/>
      <c r="Z677" s="185"/>
      <c r="AA677" s="185"/>
    </row>
    <row r="678" spans="1:27" ht="15.75" customHeight="1">
      <c r="A678" s="185"/>
      <c r="B678" s="360"/>
      <c r="C678" s="361"/>
      <c r="D678" s="185"/>
      <c r="E678" s="185"/>
      <c r="F678" s="362"/>
      <c r="G678" s="360"/>
      <c r="H678" s="185"/>
      <c r="I678" s="362"/>
      <c r="J678" s="185"/>
      <c r="K678" s="363"/>
      <c r="L678" s="363"/>
      <c r="M678" s="363"/>
      <c r="N678" s="363"/>
      <c r="O678" s="363"/>
      <c r="P678" s="363"/>
      <c r="Q678" s="362"/>
      <c r="R678" s="185"/>
      <c r="S678" s="185"/>
      <c r="T678" s="364"/>
      <c r="U678" s="185"/>
      <c r="V678" s="185"/>
      <c r="W678" s="185"/>
      <c r="X678" s="185"/>
      <c r="Y678" s="185"/>
      <c r="Z678" s="185"/>
      <c r="AA678" s="185"/>
    </row>
    <row r="679" spans="1:27" ht="15.75" customHeight="1">
      <c r="A679" s="185"/>
      <c r="B679" s="360"/>
      <c r="C679" s="361"/>
      <c r="D679" s="185"/>
      <c r="E679" s="185"/>
      <c r="F679" s="362"/>
      <c r="G679" s="360"/>
      <c r="H679" s="185"/>
      <c r="I679" s="362"/>
      <c r="J679" s="185"/>
      <c r="K679" s="363"/>
      <c r="L679" s="363"/>
      <c r="M679" s="363"/>
      <c r="N679" s="363"/>
      <c r="O679" s="363"/>
      <c r="P679" s="363"/>
      <c r="Q679" s="362"/>
      <c r="R679" s="185"/>
      <c r="S679" s="185"/>
      <c r="T679" s="364"/>
      <c r="U679" s="185"/>
      <c r="V679" s="185"/>
      <c r="W679" s="185"/>
      <c r="X679" s="185"/>
      <c r="Y679" s="185"/>
      <c r="Z679" s="185"/>
      <c r="AA679" s="185"/>
    </row>
    <row r="680" spans="1:27" ht="15.75" customHeight="1">
      <c r="A680" s="185"/>
      <c r="B680" s="360"/>
      <c r="C680" s="361"/>
      <c r="D680" s="185"/>
      <c r="E680" s="185"/>
      <c r="F680" s="362"/>
      <c r="G680" s="360"/>
      <c r="H680" s="185"/>
      <c r="I680" s="362"/>
      <c r="J680" s="185"/>
      <c r="K680" s="363"/>
      <c r="L680" s="363"/>
      <c r="M680" s="363"/>
      <c r="N680" s="363"/>
      <c r="O680" s="363"/>
      <c r="P680" s="363"/>
      <c r="Q680" s="362"/>
      <c r="R680" s="185"/>
      <c r="S680" s="185"/>
      <c r="T680" s="364"/>
      <c r="U680" s="185"/>
      <c r="V680" s="185"/>
      <c r="W680" s="185"/>
      <c r="X680" s="185"/>
      <c r="Y680" s="185"/>
      <c r="Z680" s="185"/>
      <c r="AA680" s="185"/>
    </row>
    <row r="681" spans="1:27" ht="15.75" customHeight="1">
      <c r="A681" s="185"/>
      <c r="B681" s="360"/>
      <c r="C681" s="361"/>
      <c r="D681" s="185"/>
      <c r="E681" s="185"/>
      <c r="F681" s="362"/>
      <c r="G681" s="360"/>
      <c r="H681" s="185"/>
      <c r="I681" s="362"/>
      <c r="J681" s="185"/>
      <c r="K681" s="363"/>
      <c r="L681" s="363"/>
      <c r="M681" s="363"/>
      <c r="N681" s="363"/>
      <c r="O681" s="363"/>
      <c r="P681" s="363"/>
      <c r="Q681" s="362"/>
      <c r="R681" s="185"/>
      <c r="S681" s="185"/>
      <c r="T681" s="364"/>
      <c r="U681" s="185"/>
      <c r="V681" s="185"/>
      <c r="W681" s="185"/>
      <c r="X681" s="185"/>
      <c r="Y681" s="185"/>
      <c r="Z681" s="185"/>
      <c r="AA681" s="185"/>
    </row>
    <row r="682" spans="1:27" ht="15.75" customHeight="1">
      <c r="A682" s="185"/>
      <c r="B682" s="360"/>
      <c r="C682" s="361"/>
      <c r="D682" s="185"/>
      <c r="E682" s="185"/>
      <c r="F682" s="362"/>
      <c r="G682" s="360"/>
      <c r="H682" s="185"/>
      <c r="I682" s="362"/>
      <c r="J682" s="185"/>
      <c r="K682" s="363"/>
      <c r="L682" s="363"/>
      <c r="M682" s="363"/>
      <c r="N682" s="363"/>
      <c r="O682" s="363"/>
      <c r="P682" s="363"/>
      <c r="Q682" s="362"/>
      <c r="R682" s="185"/>
      <c r="S682" s="185"/>
      <c r="T682" s="364"/>
      <c r="U682" s="185"/>
      <c r="V682" s="185"/>
      <c r="W682" s="185"/>
      <c r="X682" s="185"/>
      <c r="Y682" s="185"/>
      <c r="Z682" s="185"/>
      <c r="AA682" s="185"/>
    </row>
    <row r="683" spans="1:27" ht="15.75" customHeight="1">
      <c r="A683" s="185"/>
      <c r="B683" s="360"/>
      <c r="C683" s="361"/>
      <c r="D683" s="185"/>
      <c r="E683" s="185"/>
      <c r="F683" s="362"/>
      <c r="G683" s="360"/>
      <c r="H683" s="185"/>
      <c r="I683" s="362"/>
      <c r="J683" s="185"/>
      <c r="K683" s="363"/>
      <c r="L683" s="363"/>
      <c r="M683" s="363"/>
      <c r="N683" s="363"/>
      <c r="O683" s="363"/>
      <c r="P683" s="363"/>
      <c r="Q683" s="362"/>
      <c r="R683" s="185"/>
      <c r="S683" s="185"/>
      <c r="T683" s="364"/>
      <c r="U683" s="185"/>
      <c r="V683" s="185"/>
      <c r="W683" s="185"/>
      <c r="X683" s="185"/>
      <c r="Y683" s="185"/>
      <c r="Z683" s="185"/>
      <c r="AA683" s="185"/>
    </row>
    <row r="684" spans="1:27" ht="15.75" customHeight="1">
      <c r="A684" s="185"/>
      <c r="B684" s="360"/>
      <c r="C684" s="361"/>
      <c r="D684" s="185"/>
      <c r="E684" s="185"/>
      <c r="F684" s="362"/>
      <c r="G684" s="360"/>
      <c r="H684" s="185"/>
      <c r="I684" s="362"/>
      <c r="J684" s="185"/>
      <c r="K684" s="363"/>
      <c r="L684" s="363"/>
      <c r="M684" s="363"/>
      <c r="N684" s="363"/>
      <c r="O684" s="363"/>
      <c r="P684" s="363"/>
      <c r="Q684" s="362"/>
      <c r="R684" s="185"/>
      <c r="S684" s="185"/>
      <c r="T684" s="364"/>
      <c r="U684" s="185"/>
      <c r="V684" s="185"/>
      <c r="W684" s="185"/>
      <c r="X684" s="185"/>
      <c r="Y684" s="185"/>
      <c r="Z684" s="185"/>
      <c r="AA684" s="185"/>
    </row>
    <row r="685" spans="1:27" ht="15.75" customHeight="1">
      <c r="A685" s="185"/>
      <c r="B685" s="360"/>
      <c r="C685" s="361"/>
      <c r="D685" s="185"/>
      <c r="E685" s="185"/>
      <c r="F685" s="362"/>
      <c r="G685" s="360"/>
      <c r="H685" s="185"/>
      <c r="I685" s="362"/>
      <c r="J685" s="185"/>
      <c r="K685" s="363"/>
      <c r="L685" s="363"/>
      <c r="M685" s="363"/>
      <c r="N685" s="363"/>
      <c r="O685" s="363"/>
      <c r="P685" s="363"/>
      <c r="Q685" s="362"/>
      <c r="R685" s="185"/>
      <c r="S685" s="185"/>
      <c r="T685" s="364"/>
      <c r="U685" s="185"/>
      <c r="V685" s="185"/>
      <c r="W685" s="185"/>
      <c r="X685" s="185"/>
      <c r="Y685" s="185"/>
      <c r="Z685" s="185"/>
      <c r="AA685" s="185"/>
    </row>
    <row r="686" spans="1:27" ht="15.75" customHeight="1">
      <c r="A686" s="185"/>
      <c r="B686" s="360"/>
      <c r="C686" s="361"/>
      <c r="D686" s="185"/>
      <c r="E686" s="185"/>
      <c r="F686" s="362"/>
      <c r="G686" s="360"/>
      <c r="H686" s="185"/>
      <c r="I686" s="362"/>
      <c r="J686" s="185"/>
      <c r="K686" s="363"/>
      <c r="L686" s="363"/>
      <c r="M686" s="363"/>
      <c r="N686" s="363"/>
      <c r="O686" s="363"/>
      <c r="P686" s="363"/>
      <c r="Q686" s="362"/>
      <c r="R686" s="185"/>
      <c r="S686" s="185"/>
      <c r="T686" s="364"/>
      <c r="U686" s="185"/>
      <c r="V686" s="185"/>
      <c r="W686" s="185"/>
      <c r="X686" s="185"/>
      <c r="Y686" s="185"/>
      <c r="Z686" s="185"/>
      <c r="AA686" s="185"/>
    </row>
    <row r="687" spans="1:27" ht="15.75" customHeight="1">
      <c r="A687" s="185"/>
      <c r="B687" s="360"/>
      <c r="C687" s="361"/>
      <c r="D687" s="185"/>
      <c r="E687" s="185"/>
      <c r="F687" s="362"/>
      <c r="G687" s="360"/>
      <c r="H687" s="185"/>
      <c r="I687" s="362"/>
      <c r="J687" s="185"/>
      <c r="K687" s="363"/>
      <c r="L687" s="363"/>
      <c r="M687" s="363"/>
      <c r="N687" s="363"/>
      <c r="O687" s="363"/>
      <c r="P687" s="363"/>
      <c r="Q687" s="362"/>
      <c r="R687" s="185"/>
      <c r="S687" s="185"/>
      <c r="T687" s="364"/>
      <c r="U687" s="185"/>
      <c r="V687" s="185"/>
      <c r="W687" s="185"/>
      <c r="X687" s="185"/>
      <c r="Y687" s="185"/>
      <c r="Z687" s="185"/>
      <c r="AA687" s="185"/>
    </row>
    <row r="688" spans="1:27" ht="15.75" customHeight="1">
      <c r="A688" s="185"/>
      <c r="B688" s="360"/>
      <c r="C688" s="361"/>
      <c r="D688" s="185"/>
      <c r="E688" s="185"/>
      <c r="F688" s="362"/>
      <c r="G688" s="360"/>
      <c r="H688" s="185"/>
      <c r="I688" s="362"/>
      <c r="J688" s="185"/>
      <c r="K688" s="363"/>
      <c r="L688" s="363"/>
      <c r="M688" s="363"/>
      <c r="N688" s="363"/>
      <c r="O688" s="363"/>
      <c r="P688" s="363"/>
      <c r="Q688" s="362"/>
      <c r="R688" s="185"/>
      <c r="S688" s="185"/>
      <c r="T688" s="364"/>
      <c r="U688" s="185"/>
      <c r="V688" s="185"/>
      <c r="W688" s="185"/>
      <c r="X688" s="185"/>
      <c r="Y688" s="185"/>
      <c r="Z688" s="185"/>
      <c r="AA688" s="185"/>
    </row>
    <row r="689" spans="1:27" ht="15.75" customHeight="1">
      <c r="A689" s="185"/>
      <c r="B689" s="360"/>
      <c r="C689" s="361"/>
      <c r="D689" s="185"/>
      <c r="E689" s="185"/>
      <c r="F689" s="362"/>
      <c r="G689" s="360"/>
      <c r="H689" s="185"/>
      <c r="I689" s="362"/>
      <c r="J689" s="185"/>
      <c r="K689" s="363"/>
      <c r="L689" s="363"/>
      <c r="M689" s="363"/>
      <c r="N689" s="363"/>
      <c r="O689" s="363"/>
      <c r="P689" s="363"/>
      <c r="Q689" s="362"/>
      <c r="R689" s="185"/>
      <c r="S689" s="185"/>
      <c r="T689" s="364"/>
      <c r="U689" s="185"/>
      <c r="V689" s="185"/>
      <c r="W689" s="185"/>
      <c r="X689" s="185"/>
      <c r="Y689" s="185"/>
      <c r="Z689" s="185"/>
      <c r="AA689" s="185"/>
    </row>
    <row r="690" spans="1:27" ht="15.75" customHeight="1">
      <c r="A690" s="185"/>
      <c r="B690" s="360"/>
      <c r="C690" s="361"/>
      <c r="D690" s="185"/>
      <c r="E690" s="185"/>
      <c r="F690" s="362"/>
      <c r="G690" s="360"/>
      <c r="H690" s="185"/>
      <c r="I690" s="362"/>
      <c r="J690" s="185"/>
      <c r="K690" s="363"/>
      <c r="L690" s="363"/>
      <c r="M690" s="363"/>
      <c r="N690" s="363"/>
      <c r="O690" s="363"/>
      <c r="P690" s="363"/>
      <c r="Q690" s="362"/>
      <c r="R690" s="185"/>
      <c r="S690" s="185"/>
      <c r="T690" s="364"/>
      <c r="U690" s="185"/>
      <c r="V690" s="185"/>
      <c r="W690" s="185"/>
      <c r="X690" s="185"/>
      <c r="Y690" s="185"/>
      <c r="Z690" s="185"/>
      <c r="AA690" s="185"/>
    </row>
    <row r="691" spans="1:27" ht="15.75" customHeight="1">
      <c r="A691" s="185"/>
      <c r="B691" s="360"/>
      <c r="C691" s="361"/>
      <c r="D691" s="185"/>
      <c r="E691" s="185"/>
      <c r="F691" s="362"/>
      <c r="G691" s="360"/>
      <c r="H691" s="185"/>
      <c r="I691" s="362"/>
      <c r="J691" s="185"/>
      <c r="K691" s="363"/>
      <c r="L691" s="363"/>
      <c r="M691" s="363"/>
      <c r="N691" s="363"/>
      <c r="O691" s="363"/>
      <c r="P691" s="363"/>
      <c r="Q691" s="362"/>
      <c r="R691" s="185"/>
      <c r="S691" s="185"/>
      <c r="T691" s="364"/>
      <c r="U691" s="185"/>
      <c r="V691" s="185"/>
      <c r="W691" s="185"/>
      <c r="X691" s="185"/>
      <c r="Y691" s="185"/>
      <c r="Z691" s="185"/>
      <c r="AA691" s="185"/>
    </row>
    <row r="692" spans="1:27" ht="15.75" customHeight="1">
      <c r="A692" s="185"/>
      <c r="B692" s="360"/>
      <c r="C692" s="361"/>
      <c r="D692" s="185"/>
      <c r="E692" s="185"/>
      <c r="F692" s="362"/>
      <c r="G692" s="360"/>
      <c r="H692" s="185"/>
      <c r="I692" s="362"/>
      <c r="J692" s="185"/>
      <c r="K692" s="363"/>
      <c r="L692" s="363"/>
      <c r="M692" s="363"/>
      <c r="N692" s="363"/>
      <c r="O692" s="363"/>
      <c r="P692" s="363"/>
      <c r="Q692" s="362"/>
      <c r="R692" s="185"/>
      <c r="S692" s="185"/>
      <c r="T692" s="364"/>
      <c r="U692" s="185"/>
      <c r="V692" s="185"/>
      <c r="W692" s="185"/>
      <c r="X692" s="185"/>
      <c r="Y692" s="185"/>
      <c r="Z692" s="185"/>
      <c r="AA692" s="185"/>
    </row>
    <row r="693" spans="1:27" ht="15.75" customHeight="1">
      <c r="A693" s="185"/>
      <c r="B693" s="360"/>
      <c r="C693" s="361"/>
      <c r="D693" s="185"/>
      <c r="E693" s="185"/>
      <c r="F693" s="362"/>
      <c r="G693" s="360"/>
      <c r="H693" s="185"/>
      <c r="I693" s="362"/>
      <c r="J693" s="185"/>
      <c r="K693" s="363"/>
      <c r="L693" s="363"/>
      <c r="M693" s="363"/>
      <c r="N693" s="363"/>
      <c r="O693" s="363"/>
      <c r="P693" s="363"/>
      <c r="Q693" s="362"/>
      <c r="R693" s="185"/>
      <c r="S693" s="185"/>
      <c r="T693" s="364"/>
      <c r="U693" s="185"/>
      <c r="V693" s="185"/>
      <c r="W693" s="185"/>
      <c r="X693" s="185"/>
      <c r="Y693" s="185"/>
      <c r="Z693" s="185"/>
      <c r="AA693" s="185"/>
    </row>
    <row r="694" spans="1:27" ht="15.75" customHeight="1">
      <c r="A694" s="185"/>
      <c r="B694" s="360"/>
      <c r="C694" s="361"/>
      <c r="D694" s="185"/>
      <c r="E694" s="185"/>
      <c r="F694" s="362"/>
      <c r="G694" s="360"/>
      <c r="H694" s="185"/>
      <c r="I694" s="362"/>
      <c r="J694" s="185"/>
      <c r="K694" s="363"/>
      <c r="L694" s="363"/>
      <c r="M694" s="363"/>
      <c r="N694" s="363"/>
      <c r="O694" s="363"/>
      <c r="P694" s="363"/>
      <c r="Q694" s="362"/>
      <c r="R694" s="185"/>
      <c r="S694" s="185"/>
      <c r="T694" s="364"/>
      <c r="U694" s="185"/>
      <c r="V694" s="185"/>
      <c r="W694" s="185"/>
      <c r="X694" s="185"/>
      <c r="Y694" s="185"/>
      <c r="Z694" s="185"/>
      <c r="AA694" s="185"/>
    </row>
    <row r="695" spans="1:27" ht="15.75" customHeight="1">
      <c r="A695" s="185"/>
      <c r="B695" s="360"/>
      <c r="C695" s="361"/>
      <c r="D695" s="185"/>
      <c r="E695" s="185"/>
      <c r="F695" s="362"/>
      <c r="G695" s="360"/>
      <c r="H695" s="185"/>
      <c r="I695" s="362"/>
      <c r="J695" s="185"/>
      <c r="K695" s="363"/>
      <c r="L695" s="363"/>
      <c r="M695" s="363"/>
      <c r="N695" s="363"/>
      <c r="O695" s="363"/>
      <c r="P695" s="363"/>
      <c r="Q695" s="362"/>
      <c r="R695" s="185"/>
      <c r="S695" s="185"/>
      <c r="T695" s="364"/>
      <c r="U695" s="185"/>
      <c r="V695" s="185"/>
      <c r="W695" s="185"/>
      <c r="X695" s="185"/>
      <c r="Y695" s="185"/>
      <c r="Z695" s="185"/>
      <c r="AA695" s="185"/>
    </row>
    <row r="696" spans="1:27" ht="15.75" customHeight="1">
      <c r="A696" s="185"/>
      <c r="B696" s="360"/>
      <c r="C696" s="361"/>
      <c r="D696" s="185"/>
      <c r="E696" s="185"/>
      <c r="F696" s="362"/>
      <c r="G696" s="360"/>
      <c r="H696" s="185"/>
      <c r="I696" s="362"/>
      <c r="J696" s="185"/>
      <c r="K696" s="363"/>
      <c r="L696" s="363"/>
      <c r="M696" s="363"/>
      <c r="N696" s="363"/>
      <c r="O696" s="363"/>
      <c r="P696" s="363"/>
      <c r="Q696" s="362"/>
      <c r="R696" s="185"/>
      <c r="S696" s="185"/>
      <c r="T696" s="364"/>
      <c r="U696" s="185"/>
      <c r="V696" s="185"/>
      <c r="W696" s="185"/>
      <c r="X696" s="185"/>
      <c r="Y696" s="185"/>
      <c r="Z696" s="185"/>
      <c r="AA696" s="185"/>
    </row>
    <row r="697" spans="1:27" ht="15.75" customHeight="1">
      <c r="A697" s="185"/>
      <c r="B697" s="360"/>
      <c r="C697" s="361"/>
      <c r="D697" s="185"/>
      <c r="E697" s="185"/>
      <c r="F697" s="362"/>
      <c r="G697" s="360"/>
      <c r="H697" s="185"/>
      <c r="I697" s="362"/>
      <c r="J697" s="185"/>
      <c r="K697" s="363"/>
      <c r="L697" s="363"/>
      <c r="M697" s="363"/>
      <c r="N697" s="363"/>
      <c r="O697" s="363"/>
      <c r="P697" s="363"/>
      <c r="Q697" s="362"/>
      <c r="R697" s="185"/>
      <c r="S697" s="185"/>
      <c r="T697" s="364"/>
      <c r="U697" s="185"/>
      <c r="V697" s="185"/>
      <c r="W697" s="185"/>
      <c r="X697" s="185"/>
      <c r="Y697" s="185"/>
      <c r="Z697" s="185"/>
      <c r="AA697" s="185"/>
    </row>
    <row r="698" spans="1:27" ht="15.75" customHeight="1">
      <c r="A698" s="185"/>
      <c r="B698" s="360"/>
      <c r="C698" s="361"/>
      <c r="D698" s="185"/>
      <c r="E698" s="185"/>
      <c r="F698" s="362"/>
      <c r="G698" s="360"/>
      <c r="H698" s="185"/>
      <c r="I698" s="362"/>
      <c r="J698" s="185"/>
      <c r="K698" s="363"/>
      <c r="L698" s="363"/>
      <c r="M698" s="363"/>
      <c r="N698" s="363"/>
      <c r="O698" s="363"/>
      <c r="P698" s="363"/>
      <c r="Q698" s="362"/>
      <c r="R698" s="185"/>
      <c r="S698" s="185"/>
      <c r="T698" s="364"/>
      <c r="U698" s="185"/>
      <c r="V698" s="185"/>
      <c r="W698" s="185"/>
      <c r="X698" s="185"/>
      <c r="Y698" s="185"/>
      <c r="Z698" s="185"/>
      <c r="AA698" s="185"/>
    </row>
    <row r="699" spans="1:27" ht="15.75" customHeight="1">
      <c r="A699" s="185"/>
      <c r="B699" s="360"/>
      <c r="C699" s="361"/>
      <c r="D699" s="185"/>
      <c r="E699" s="185"/>
      <c r="F699" s="362"/>
      <c r="G699" s="360"/>
      <c r="H699" s="185"/>
      <c r="I699" s="362"/>
      <c r="J699" s="185"/>
      <c r="K699" s="363"/>
      <c r="L699" s="363"/>
      <c r="M699" s="363"/>
      <c r="N699" s="363"/>
      <c r="O699" s="363"/>
      <c r="P699" s="363"/>
      <c r="Q699" s="362"/>
      <c r="R699" s="185"/>
      <c r="S699" s="185"/>
      <c r="T699" s="364"/>
      <c r="U699" s="185"/>
      <c r="V699" s="185"/>
      <c r="W699" s="185"/>
      <c r="X699" s="185"/>
      <c r="Y699" s="185"/>
      <c r="Z699" s="185"/>
      <c r="AA699" s="185"/>
    </row>
    <row r="700" spans="1:27" ht="15.75" customHeight="1">
      <c r="A700" s="185"/>
      <c r="B700" s="360"/>
      <c r="C700" s="361"/>
      <c r="D700" s="185"/>
      <c r="E700" s="185"/>
      <c r="F700" s="362"/>
      <c r="G700" s="360"/>
      <c r="H700" s="185"/>
      <c r="I700" s="362"/>
      <c r="J700" s="185"/>
      <c r="K700" s="363"/>
      <c r="L700" s="363"/>
      <c r="M700" s="363"/>
      <c r="N700" s="363"/>
      <c r="O700" s="363"/>
      <c r="P700" s="363"/>
      <c r="Q700" s="362"/>
      <c r="R700" s="185"/>
      <c r="S700" s="185"/>
      <c r="T700" s="364"/>
      <c r="U700" s="185"/>
      <c r="V700" s="185"/>
      <c r="W700" s="185"/>
      <c r="X700" s="185"/>
      <c r="Y700" s="185"/>
      <c r="Z700" s="185"/>
      <c r="AA700" s="185"/>
    </row>
    <row r="701" spans="1:27" ht="15.75" customHeight="1">
      <c r="A701" s="185"/>
      <c r="B701" s="360"/>
      <c r="C701" s="361"/>
      <c r="D701" s="185"/>
      <c r="E701" s="185"/>
      <c r="F701" s="362"/>
      <c r="G701" s="360"/>
      <c r="H701" s="185"/>
      <c r="I701" s="362"/>
      <c r="J701" s="185"/>
      <c r="K701" s="363"/>
      <c r="L701" s="363"/>
      <c r="M701" s="363"/>
      <c r="N701" s="363"/>
      <c r="O701" s="363"/>
      <c r="P701" s="363"/>
      <c r="Q701" s="362"/>
      <c r="R701" s="185"/>
      <c r="S701" s="185"/>
      <c r="T701" s="364"/>
      <c r="U701" s="185"/>
      <c r="V701" s="185"/>
      <c r="W701" s="185"/>
      <c r="X701" s="185"/>
      <c r="Y701" s="185"/>
      <c r="Z701" s="185"/>
      <c r="AA701" s="185"/>
    </row>
    <row r="702" spans="1:27" ht="15.75" customHeight="1">
      <c r="A702" s="185"/>
      <c r="B702" s="360"/>
      <c r="C702" s="361"/>
      <c r="D702" s="185"/>
      <c r="E702" s="185"/>
      <c r="F702" s="362"/>
      <c r="G702" s="360"/>
      <c r="H702" s="185"/>
      <c r="I702" s="362"/>
      <c r="J702" s="185"/>
      <c r="K702" s="363"/>
      <c r="L702" s="363"/>
      <c r="M702" s="363"/>
      <c r="N702" s="363"/>
      <c r="O702" s="363"/>
      <c r="P702" s="363"/>
      <c r="Q702" s="362"/>
      <c r="R702" s="185"/>
      <c r="S702" s="185"/>
      <c r="T702" s="364"/>
      <c r="U702" s="185"/>
      <c r="V702" s="185"/>
      <c r="W702" s="185"/>
      <c r="X702" s="185"/>
      <c r="Y702" s="185"/>
      <c r="Z702" s="185"/>
      <c r="AA702" s="185"/>
    </row>
    <row r="703" spans="1:27" ht="15.75" customHeight="1">
      <c r="A703" s="185"/>
      <c r="B703" s="360"/>
      <c r="C703" s="361"/>
      <c r="D703" s="185"/>
      <c r="E703" s="185"/>
      <c r="F703" s="362"/>
      <c r="G703" s="360"/>
      <c r="H703" s="185"/>
      <c r="I703" s="362"/>
      <c r="J703" s="185"/>
      <c r="K703" s="363"/>
      <c r="L703" s="363"/>
      <c r="M703" s="363"/>
      <c r="N703" s="363"/>
      <c r="O703" s="363"/>
      <c r="P703" s="363"/>
      <c r="Q703" s="362"/>
      <c r="R703" s="185"/>
      <c r="S703" s="185"/>
      <c r="T703" s="364"/>
      <c r="U703" s="185"/>
      <c r="V703" s="185"/>
      <c r="W703" s="185"/>
      <c r="X703" s="185"/>
      <c r="Y703" s="185"/>
      <c r="Z703" s="185"/>
      <c r="AA703" s="185"/>
    </row>
    <row r="704" spans="1:27" ht="15.75" customHeight="1">
      <c r="A704" s="185"/>
      <c r="B704" s="360"/>
      <c r="C704" s="361"/>
      <c r="D704" s="185"/>
      <c r="E704" s="185"/>
      <c r="F704" s="362"/>
      <c r="G704" s="360"/>
      <c r="H704" s="185"/>
      <c r="I704" s="362"/>
      <c r="J704" s="185"/>
      <c r="K704" s="363"/>
      <c r="L704" s="363"/>
      <c r="M704" s="363"/>
      <c r="N704" s="363"/>
      <c r="O704" s="363"/>
      <c r="P704" s="363"/>
      <c r="Q704" s="362"/>
      <c r="R704" s="185"/>
      <c r="S704" s="185"/>
      <c r="T704" s="364"/>
      <c r="U704" s="185"/>
      <c r="V704" s="185"/>
      <c r="W704" s="185"/>
      <c r="X704" s="185"/>
      <c r="Y704" s="185"/>
      <c r="Z704" s="185"/>
      <c r="AA704" s="185"/>
    </row>
    <row r="705" spans="1:27" ht="15.75" customHeight="1">
      <c r="A705" s="185"/>
      <c r="B705" s="360"/>
      <c r="C705" s="361"/>
      <c r="D705" s="185"/>
      <c r="E705" s="185"/>
      <c r="F705" s="362"/>
      <c r="G705" s="360"/>
      <c r="H705" s="185"/>
      <c r="I705" s="362"/>
      <c r="J705" s="185"/>
      <c r="K705" s="363"/>
      <c r="L705" s="363"/>
      <c r="M705" s="363"/>
      <c r="N705" s="363"/>
      <c r="O705" s="363"/>
      <c r="P705" s="363"/>
      <c r="Q705" s="362"/>
      <c r="R705" s="185"/>
      <c r="S705" s="185"/>
      <c r="T705" s="364"/>
      <c r="U705" s="185"/>
      <c r="V705" s="185"/>
      <c r="W705" s="185"/>
      <c r="X705" s="185"/>
      <c r="Y705" s="185"/>
      <c r="Z705" s="185"/>
      <c r="AA705" s="185"/>
    </row>
    <row r="706" spans="1:27" ht="15.75" customHeight="1">
      <c r="A706" s="185"/>
      <c r="B706" s="360"/>
      <c r="C706" s="361"/>
      <c r="D706" s="185"/>
      <c r="E706" s="185"/>
      <c r="F706" s="362"/>
      <c r="G706" s="360"/>
      <c r="H706" s="185"/>
      <c r="I706" s="362"/>
      <c r="J706" s="185"/>
      <c r="K706" s="363"/>
      <c r="L706" s="363"/>
      <c r="M706" s="363"/>
      <c r="N706" s="363"/>
      <c r="O706" s="363"/>
      <c r="P706" s="363"/>
      <c r="Q706" s="362"/>
      <c r="R706" s="185"/>
      <c r="S706" s="185"/>
      <c r="T706" s="364"/>
      <c r="U706" s="185"/>
      <c r="V706" s="185"/>
      <c r="W706" s="185"/>
      <c r="X706" s="185"/>
      <c r="Y706" s="185"/>
      <c r="Z706" s="185"/>
      <c r="AA706" s="185"/>
    </row>
    <row r="707" spans="1:27" ht="15.75" customHeight="1">
      <c r="A707" s="185"/>
      <c r="B707" s="360"/>
      <c r="C707" s="361"/>
      <c r="D707" s="185"/>
      <c r="E707" s="185"/>
      <c r="F707" s="362"/>
      <c r="G707" s="360"/>
      <c r="H707" s="185"/>
      <c r="I707" s="362"/>
      <c r="J707" s="185"/>
      <c r="K707" s="363"/>
      <c r="L707" s="363"/>
      <c r="M707" s="363"/>
      <c r="N707" s="363"/>
      <c r="O707" s="363"/>
      <c r="P707" s="363"/>
      <c r="Q707" s="362"/>
      <c r="R707" s="185"/>
      <c r="S707" s="185"/>
      <c r="T707" s="364"/>
      <c r="U707" s="185"/>
      <c r="V707" s="185"/>
      <c r="W707" s="185"/>
      <c r="X707" s="185"/>
      <c r="Y707" s="185"/>
      <c r="Z707" s="185"/>
      <c r="AA707" s="185"/>
    </row>
    <row r="708" spans="1:27" ht="15.75" customHeight="1">
      <c r="A708" s="185"/>
      <c r="B708" s="360"/>
      <c r="C708" s="361"/>
      <c r="D708" s="185"/>
      <c r="E708" s="185"/>
      <c r="F708" s="362"/>
      <c r="G708" s="360"/>
      <c r="H708" s="185"/>
      <c r="I708" s="362"/>
      <c r="J708" s="185"/>
      <c r="K708" s="363"/>
      <c r="L708" s="363"/>
      <c r="M708" s="363"/>
      <c r="N708" s="363"/>
      <c r="O708" s="363"/>
      <c r="P708" s="363"/>
      <c r="Q708" s="362"/>
      <c r="R708" s="185"/>
      <c r="S708" s="185"/>
      <c r="T708" s="364"/>
      <c r="U708" s="185"/>
      <c r="V708" s="185"/>
      <c r="W708" s="185"/>
      <c r="X708" s="185"/>
      <c r="Y708" s="185"/>
      <c r="Z708" s="185"/>
      <c r="AA708" s="185"/>
    </row>
    <row r="709" spans="1:27" ht="15.75" customHeight="1">
      <c r="A709" s="185"/>
      <c r="B709" s="360"/>
      <c r="C709" s="361"/>
      <c r="D709" s="185"/>
      <c r="E709" s="185"/>
      <c r="F709" s="362"/>
      <c r="G709" s="360"/>
      <c r="H709" s="185"/>
      <c r="I709" s="362"/>
      <c r="J709" s="185"/>
      <c r="K709" s="363"/>
      <c r="L709" s="363"/>
      <c r="M709" s="363"/>
      <c r="N709" s="363"/>
      <c r="O709" s="363"/>
      <c r="P709" s="363"/>
      <c r="Q709" s="362"/>
      <c r="R709" s="185"/>
      <c r="S709" s="185"/>
      <c r="T709" s="364"/>
      <c r="U709" s="185"/>
      <c r="V709" s="185"/>
      <c r="W709" s="185"/>
      <c r="X709" s="185"/>
      <c r="Y709" s="185"/>
      <c r="Z709" s="185"/>
      <c r="AA709" s="185"/>
    </row>
    <row r="710" spans="1:27" ht="15.75" customHeight="1">
      <c r="A710" s="185"/>
      <c r="B710" s="360"/>
      <c r="C710" s="361"/>
      <c r="D710" s="185"/>
      <c r="E710" s="185"/>
      <c r="F710" s="362"/>
      <c r="G710" s="360"/>
      <c r="H710" s="185"/>
      <c r="I710" s="362"/>
      <c r="J710" s="185"/>
      <c r="K710" s="363"/>
      <c r="L710" s="363"/>
      <c r="M710" s="363"/>
      <c r="N710" s="363"/>
      <c r="O710" s="363"/>
      <c r="P710" s="363"/>
      <c r="Q710" s="362"/>
      <c r="R710" s="185"/>
      <c r="S710" s="185"/>
      <c r="T710" s="364"/>
      <c r="U710" s="185"/>
      <c r="V710" s="185"/>
      <c r="W710" s="185"/>
      <c r="X710" s="185"/>
      <c r="Y710" s="185"/>
      <c r="Z710" s="185"/>
      <c r="AA710" s="185"/>
    </row>
    <row r="711" spans="1:27" ht="15.75" customHeight="1">
      <c r="A711" s="185"/>
      <c r="B711" s="360"/>
      <c r="C711" s="361"/>
      <c r="D711" s="185"/>
      <c r="E711" s="185"/>
      <c r="F711" s="362"/>
      <c r="G711" s="360"/>
      <c r="H711" s="185"/>
      <c r="I711" s="362"/>
      <c r="J711" s="185"/>
      <c r="K711" s="363"/>
      <c r="L711" s="363"/>
      <c r="M711" s="363"/>
      <c r="N711" s="363"/>
      <c r="O711" s="363"/>
      <c r="P711" s="363"/>
      <c r="Q711" s="362"/>
      <c r="R711" s="185"/>
      <c r="S711" s="185"/>
      <c r="T711" s="364"/>
      <c r="U711" s="185"/>
      <c r="V711" s="185"/>
      <c r="W711" s="185"/>
      <c r="X711" s="185"/>
      <c r="Y711" s="185"/>
      <c r="Z711" s="185"/>
      <c r="AA711" s="185"/>
    </row>
    <row r="712" spans="1:27" ht="15.75" customHeight="1">
      <c r="A712" s="185"/>
      <c r="B712" s="360"/>
      <c r="C712" s="361"/>
      <c r="D712" s="185"/>
      <c r="E712" s="185"/>
      <c r="F712" s="362"/>
      <c r="G712" s="360"/>
      <c r="H712" s="185"/>
      <c r="I712" s="362"/>
      <c r="J712" s="185"/>
      <c r="K712" s="363"/>
      <c r="L712" s="363"/>
      <c r="M712" s="363"/>
      <c r="N712" s="363"/>
      <c r="O712" s="363"/>
      <c r="P712" s="363"/>
      <c r="Q712" s="362"/>
      <c r="R712" s="185"/>
      <c r="S712" s="185"/>
      <c r="T712" s="364"/>
      <c r="U712" s="185"/>
      <c r="V712" s="185"/>
      <c r="W712" s="185"/>
      <c r="X712" s="185"/>
      <c r="Y712" s="185"/>
      <c r="Z712" s="185"/>
      <c r="AA712" s="185"/>
    </row>
    <row r="713" spans="1:27" ht="15.75" customHeight="1">
      <c r="A713" s="185"/>
      <c r="B713" s="360"/>
      <c r="C713" s="361"/>
      <c r="D713" s="185"/>
      <c r="E713" s="185"/>
      <c r="F713" s="362"/>
      <c r="G713" s="360"/>
      <c r="H713" s="185"/>
      <c r="I713" s="362"/>
      <c r="J713" s="185"/>
      <c r="K713" s="363"/>
      <c r="L713" s="363"/>
      <c r="M713" s="363"/>
      <c r="N713" s="363"/>
      <c r="O713" s="363"/>
      <c r="P713" s="363"/>
      <c r="Q713" s="362"/>
      <c r="R713" s="185"/>
      <c r="S713" s="185"/>
      <c r="T713" s="364"/>
      <c r="U713" s="185"/>
      <c r="V713" s="185"/>
      <c r="W713" s="185"/>
      <c r="X713" s="185"/>
      <c r="Y713" s="185"/>
      <c r="Z713" s="185"/>
      <c r="AA713" s="185"/>
    </row>
    <row r="714" spans="1:27" ht="15.75" customHeight="1">
      <c r="A714" s="185"/>
      <c r="B714" s="360"/>
      <c r="C714" s="361"/>
      <c r="D714" s="185"/>
      <c r="E714" s="185"/>
      <c r="F714" s="362"/>
      <c r="G714" s="360"/>
      <c r="H714" s="185"/>
      <c r="I714" s="362"/>
      <c r="J714" s="185"/>
      <c r="K714" s="363"/>
      <c r="L714" s="363"/>
      <c r="M714" s="363"/>
      <c r="N714" s="363"/>
      <c r="O714" s="363"/>
      <c r="P714" s="363"/>
      <c r="Q714" s="362"/>
      <c r="R714" s="185"/>
      <c r="S714" s="185"/>
      <c r="T714" s="364"/>
      <c r="U714" s="185"/>
      <c r="V714" s="185"/>
      <c r="W714" s="185"/>
      <c r="X714" s="185"/>
      <c r="Y714" s="185"/>
      <c r="Z714" s="185"/>
      <c r="AA714" s="185"/>
    </row>
    <row r="715" spans="1:27" ht="15.75" customHeight="1">
      <c r="A715" s="185"/>
      <c r="B715" s="360"/>
      <c r="C715" s="361"/>
      <c r="D715" s="185"/>
      <c r="E715" s="185"/>
      <c r="F715" s="362"/>
      <c r="G715" s="360"/>
      <c r="H715" s="185"/>
      <c r="I715" s="362"/>
      <c r="J715" s="185"/>
      <c r="K715" s="363"/>
      <c r="L715" s="363"/>
      <c r="M715" s="363"/>
      <c r="N715" s="363"/>
      <c r="O715" s="363"/>
      <c r="P715" s="363"/>
      <c r="Q715" s="362"/>
      <c r="R715" s="185"/>
      <c r="S715" s="185"/>
      <c r="T715" s="364"/>
      <c r="U715" s="185"/>
      <c r="V715" s="185"/>
      <c r="W715" s="185"/>
      <c r="X715" s="185"/>
      <c r="Y715" s="185"/>
      <c r="Z715" s="185"/>
      <c r="AA715" s="185"/>
    </row>
    <row r="716" spans="1:27" ht="15.75" customHeight="1">
      <c r="A716" s="185"/>
      <c r="B716" s="360"/>
      <c r="C716" s="361"/>
      <c r="D716" s="185"/>
      <c r="E716" s="185"/>
      <c r="F716" s="362"/>
      <c r="G716" s="360"/>
      <c r="H716" s="185"/>
      <c r="I716" s="362"/>
      <c r="J716" s="185"/>
      <c r="K716" s="363"/>
      <c r="L716" s="363"/>
      <c r="M716" s="363"/>
      <c r="N716" s="363"/>
      <c r="O716" s="363"/>
      <c r="P716" s="363"/>
      <c r="Q716" s="362"/>
      <c r="R716" s="185"/>
      <c r="S716" s="185"/>
      <c r="T716" s="364"/>
      <c r="U716" s="185"/>
      <c r="V716" s="185"/>
      <c r="W716" s="185"/>
      <c r="X716" s="185"/>
      <c r="Y716" s="185"/>
      <c r="Z716" s="185"/>
      <c r="AA716" s="185"/>
    </row>
    <row r="717" spans="1:27" ht="15.75" customHeight="1">
      <c r="A717" s="185"/>
      <c r="B717" s="360"/>
      <c r="C717" s="361"/>
      <c r="D717" s="185"/>
      <c r="E717" s="185"/>
      <c r="F717" s="362"/>
      <c r="G717" s="360"/>
      <c r="H717" s="185"/>
      <c r="I717" s="362"/>
      <c r="J717" s="185"/>
      <c r="K717" s="363"/>
      <c r="L717" s="363"/>
      <c r="M717" s="363"/>
      <c r="N717" s="363"/>
      <c r="O717" s="363"/>
      <c r="P717" s="363"/>
      <c r="Q717" s="362"/>
      <c r="R717" s="185"/>
      <c r="S717" s="185"/>
      <c r="T717" s="364"/>
      <c r="U717" s="185"/>
      <c r="V717" s="185"/>
      <c r="W717" s="185"/>
      <c r="X717" s="185"/>
      <c r="Y717" s="185"/>
      <c r="Z717" s="185"/>
      <c r="AA717" s="185"/>
    </row>
    <row r="718" spans="1:27" ht="15.75" customHeight="1">
      <c r="A718" s="185"/>
      <c r="B718" s="360"/>
      <c r="C718" s="361"/>
      <c r="D718" s="185"/>
      <c r="E718" s="185"/>
      <c r="F718" s="362"/>
      <c r="G718" s="360"/>
      <c r="H718" s="185"/>
      <c r="I718" s="362"/>
      <c r="J718" s="185"/>
      <c r="K718" s="363"/>
      <c r="L718" s="363"/>
      <c r="M718" s="363"/>
      <c r="N718" s="363"/>
      <c r="O718" s="363"/>
      <c r="P718" s="363"/>
      <c r="Q718" s="362"/>
      <c r="R718" s="185"/>
      <c r="S718" s="185"/>
      <c r="T718" s="364"/>
      <c r="U718" s="185"/>
      <c r="V718" s="185"/>
      <c r="W718" s="185"/>
      <c r="X718" s="185"/>
      <c r="Y718" s="185"/>
      <c r="Z718" s="185"/>
      <c r="AA718" s="185"/>
    </row>
    <row r="719" spans="1:27" ht="15.75" customHeight="1">
      <c r="A719" s="185"/>
      <c r="B719" s="360"/>
      <c r="C719" s="361"/>
      <c r="D719" s="185"/>
      <c r="E719" s="185"/>
      <c r="F719" s="362"/>
      <c r="G719" s="360"/>
      <c r="H719" s="185"/>
      <c r="I719" s="362"/>
      <c r="J719" s="185"/>
      <c r="K719" s="363"/>
      <c r="L719" s="363"/>
      <c r="M719" s="363"/>
      <c r="N719" s="363"/>
      <c r="O719" s="363"/>
      <c r="P719" s="363"/>
      <c r="Q719" s="362"/>
      <c r="R719" s="185"/>
      <c r="S719" s="185"/>
      <c r="T719" s="364"/>
      <c r="U719" s="185"/>
      <c r="V719" s="185"/>
      <c r="W719" s="185"/>
      <c r="X719" s="185"/>
      <c r="Y719" s="185"/>
      <c r="Z719" s="185"/>
      <c r="AA719" s="185"/>
    </row>
    <row r="720" spans="1:27" ht="15.75" customHeight="1">
      <c r="A720" s="185"/>
      <c r="B720" s="360"/>
      <c r="C720" s="361"/>
      <c r="D720" s="185"/>
      <c r="E720" s="185"/>
      <c r="F720" s="362"/>
      <c r="G720" s="360"/>
      <c r="H720" s="185"/>
      <c r="I720" s="362"/>
      <c r="J720" s="185"/>
      <c r="K720" s="363"/>
      <c r="L720" s="363"/>
      <c r="M720" s="363"/>
      <c r="N720" s="363"/>
      <c r="O720" s="363"/>
      <c r="P720" s="363"/>
      <c r="Q720" s="362"/>
      <c r="R720" s="185"/>
      <c r="S720" s="185"/>
      <c r="T720" s="364"/>
      <c r="U720" s="185"/>
      <c r="V720" s="185"/>
      <c r="W720" s="185"/>
      <c r="X720" s="185"/>
      <c r="Y720" s="185"/>
      <c r="Z720" s="185"/>
      <c r="AA720" s="185"/>
    </row>
    <row r="721" spans="1:27" ht="15.75" customHeight="1">
      <c r="A721" s="185"/>
      <c r="B721" s="360"/>
      <c r="C721" s="361"/>
      <c r="D721" s="185"/>
      <c r="E721" s="185"/>
      <c r="F721" s="362"/>
      <c r="G721" s="360"/>
      <c r="H721" s="185"/>
      <c r="I721" s="362"/>
      <c r="J721" s="185"/>
      <c r="K721" s="363"/>
      <c r="L721" s="363"/>
      <c r="M721" s="363"/>
      <c r="N721" s="363"/>
      <c r="O721" s="363"/>
      <c r="P721" s="363"/>
      <c r="Q721" s="362"/>
      <c r="R721" s="185"/>
      <c r="S721" s="185"/>
      <c r="T721" s="364"/>
      <c r="U721" s="185"/>
      <c r="V721" s="185"/>
      <c r="W721" s="185"/>
      <c r="X721" s="185"/>
      <c r="Y721" s="185"/>
      <c r="Z721" s="185"/>
      <c r="AA721" s="185"/>
    </row>
    <row r="722" spans="1:27" ht="15.75" customHeight="1">
      <c r="A722" s="185"/>
      <c r="B722" s="360"/>
      <c r="C722" s="361"/>
      <c r="D722" s="185"/>
      <c r="E722" s="185"/>
      <c r="F722" s="362"/>
      <c r="G722" s="360"/>
      <c r="H722" s="185"/>
      <c r="I722" s="362"/>
      <c r="J722" s="185"/>
      <c r="K722" s="363"/>
      <c r="L722" s="363"/>
      <c r="M722" s="363"/>
      <c r="N722" s="363"/>
      <c r="O722" s="363"/>
      <c r="P722" s="363"/>
      <c r="Q722" s="362"/>
      <c r="R722" s="185"/>
      <c r="S722" s="185"/>
      <c r="T722" s="364"/>
      <c r="U722" s="185"/>
      <c r="V722" s="185"/>
      <c r="W722" s="185"/>
      <c r="X722" s="185"/>
      <c r="Y722" s="185"/>
      <c r="Z722" s="185"/>
      <c r="AA722" s="185"/>
    </row>
    <row r="723" spans="1:27" ht="15.75" customHeight="1">
      <c r="A723" s="185"/>
      <c r="B723" s="360"/>
      <c r="C723" s="361"/>
      <c r="D723" s="185"/>
      <c r="E723" s="185"/>
      <c r="F723" s="362"/>
      <c r="G723" s="360"/>
      <c r="H723" s="185"/>
      <c r="I723" s="362"/>
      <c r="J723" s="185"/>
      <c r="K723" s="363"/>
      <c r="L723" s="363"/>
      <c r="M723" s="363"/>
      <c r="N723" s="363"/>
      <c r="O723" s="363"/>
      <c r="P723" s="363"/>
      <c r="Q723" s="362"/>
      <c r="R723" s="185"/>
      <c r="S723" s="185"/>
      <c r="T723" s="364"/>
      <c r="U723" s="185"/>
      <c r="V723" s="185"/>
      <c r="W723" s="185"/>
      <c r="X723" s="185"/>
      <c r="Y723" s="185"/>
      <c r="Z723" s="185"/>
      <c r="AA723" s="185"/>
    </row>
    <row r="724" spans="1:27" ht="15.75" customHeight="1">
      <c r="A724" s="185"/>
      <c r="B724" s="360"/>
      <c r="C724" s="361"/>
      <c r="D724" s="185"/>
      <c r="E724" s="185"/>
      <c r="F724" s="362"/>
      <c r="G724" s="360"/>
      <c r="H724" s="185"/>
      <c r="I724" s="362"/>
      <c r="J724" s="185"/>
      <c r="K724" s="363"/>
      <c r="L724" s="363"/>
      <c r="M724" s="363"/>
      <c r="N724" s="363"/>
      <c r="O724" s="363"/>
      <c r="P724" s="363"/>
      <c r="Q724" s="362"/>
      <c r="R724" s="185"/>
      <c r="S724" s="185"/>
      <c r="T724" s="364"/>
      <c r="U724" s="185"/>
      <c r="V724" s="185"/>
      <c r="W724" s="185"/>
      <c r="X724" s="185"/>
      <c r="Y724" s="185"/>
      <c r="Z724" s="185"/>
      <c r="AA724" s="185"/>
    </row>
    <row r="725" spans="1:27" ht="15.75" customHeight="1">
      <c r="A725" s="185"/>
      <c r="B725" s="360"/>
      <c r="C725" s="361"/>
      <c r="D725" s="185"/>
      <c r="E725" s="185"/>
      <c r="F725" s="362"/>
      <c r="G725" s="360"/>
      <c r="H725" s="185"/>
      <c r="I725" s="362"/>
      <c r="J725" s="185"/>
      <c r="K725" s="363"/>
      <c r="L725" s="363"/>
      <c r="M725" s="363"/>
      <c r="N725" s="363"/>
      <c r="O725" s="363"/>
      <c r="P725" s="363"/>
      <c r="Q725" s="362"/>
      <c r="R725" s="185"/>
      <c r="S725" s="185"/>
      <c r="T725" s="364"/>
      <c r="U725" s="185"/>
      <c r="V725" s="185"/>
      <c r="W725" s="185"/>
      <c r="X725" s="185"/>
      <c r="Y725" s="185"/>
      <c r="Z725" s="185"/>
      <c r="AA725" s="185"/>
    </row>
    <row r="726" spans="1:27" ht="15.75" customHeight="1">
      <c r="A726" s="185"/>
      <c r="B726" s="360"/>
      <c r="C726" s="361"/>
      <c r="D726" s="185"/>
      <c r="E726" s="185"/>
      <c r="F726" s="362"/>
      <c r="G726" s="360"/>
      <c r="H726" s="185"/>
      <c r="I726" s="362"/>
      <c r="J726" s="185"/>
      <c r="K726" s="363"/>
      <c r="L726" s="363"/>
      <c r="M726" s="363"/>
      <c r="N726" s="363"/>
      <c r="O726" s="363"/>
      <c r="P726" s="363"/>
      <c r="Q726" s="362"/>
      <c r="R726" s="185"/>
      <c r="S726" s="185"/>
      <c r="T726" s="364"/>
      <c r="U726" s="185"/>
      <c r="V726" s="185"/>
      <c r="W726" s="185"/>
      <c r="X726" s="185"/>
      <c r="Y726" s="185"/>
      <c r="Z726" s="185"/>
      <c r="AA726" s="185"/>
    </row>
    <row r="727" spans="1:27" ht="15.75" customHeight="1">
      <c r="A727" s="185"/>
      <c r="B727" s="360"/>
      <c r="C727" s="361"/>
      <c r="D727" s="185"/>
      <c r="E727" s="185"/>
      <c r="F727" s="362"/>
      <c r="G727" s="360"/>
      <c r="H727" s="185"/>
      <c r="I727" s="362"/>
      <c r="J727" s="185"/>
      <c r="K727" s="363"/>
      <c r="L727" s="363"/>
      <c r="M727" s="363"/>
      <c r="N727" s="363"/>
      <c r="O727" s="363"/>
      <c r="P727" s="363"/>
      <c r="Q727" s="362"/>
      <c r="R727" s="185"/>
      <c r="S727" s="185"/>
      <c r="T727" s="364"/>
      <c r="U727" s="185"/>
      <c r="V727" s="185"/>
      <c r="W727" s="185"/>
      <c r="X727" s="185"/>
      <c r="Y727" s="185"/>
      <c r="Z727" s="185"/>
      <c r="AA727" s="185"/>
    </row>
    <row r="728" spans="1:27" ht="15.75" customHeight="1">
      <c r="A728" s="185"/>
      <c r="B728" s="360"/>
      <c r="C728" s="361"/>
      <c r="D728" s="185"/>
      <c r="E728" s="185"/>
      <c r="F728" s="362"/>
      <c r="G728" s="360"/>
      <c r="H728" s="185"/>
      <c r="I728" s="362"/>
      <c r="J728" s="185"/>
      <c r="K728" s="363"/>
      <c r="L728" s="363"/>
      <c r="M728" s="363"/>
      <c r="N728" s="363"/>
      <c r="O728" s="363"/>
      <c r="P728" s="363"/>
      <c r="Q728" s="362"/>
      <c r="R728" s="185"/>
      <c r="S728" s="185"/>
      <c r="T728" s="364"/>
      <c r="U728" s="185"/>
      <c r="V728" s="185"/>
      <c r="W728" s="185"/>
      <c r="X728" s="185"/>
      <c r="Y728" s="185"/>
      <c r="Z728" s="185"/>
      <c r="AA728" s="185"/>
    </row>
    <row r="729" spans="1:27" ht="15.75" customHeight="1">
      <c r="A729" s="185"/>
      <c r="B729" s="360"/>
      <c r="C729" s="361"/>
      <c r="D729" s="185"/>
      <c r="E729" s="185"/>
      <c r="F729" s="362"/>
      <c r="G729" s="360"/>
      <c r="H729" s="185"/>
      <c r="I729" s="362"/>
      <c r="J729" s="185"/>
      <c r="K729" s="363"/>
      <c r="L729" s="363"/>
      <c r="M729" s="363"/>
      <c r="N729" s="363"/>
      <c r="O729" s="363"/>
      <c r="P729" s="363"/>
      <c r="Q729" s="362"/>
      <c r="R729" s="185"/>
      <c r="S729" s="185"/>
      <c r="T729" s="364"/>
      <c r="U729" s="185"/>
      <c r="V729" s="185"/>
      <c r="W729" s="185"/>
      <c r="X729" s="185"/>
      <c r="Y729" s="185"/>
      <c r="Z729" s="185"/>
      <c r="AA729" s="185"/>
    </row>
    <row r="730" spans="1:27" ht="15.75" customHeight="1">
      <c r="A730" s="185"/>
      <c r="B730" s="360"/>
      <c r="C730" s="361"/>
      <c r="D730" s="185"/>
      <c r="E730" s="185"/>
      <c r="F730" s="362"/>
      <c r="G730" s="360"/>
      <c r="H730" s="185"/>
      <c r="I730" s="362"/>
      <c r="J730" s="185"/>
      <c r="K730" s="363"/>
      <c r="L730" s="363"/>
      <c r="M730" s="363"/>
      <c r="N730" s="363"/>
      <c r="O730" s="363"/>
      <c r="P730" s="363"/>
      <c r="Q730" s="362"/>
      <c r="R730" s="185"/>
      <c r="S730" s="185"/>
      <c r="T730" s="364"/>
      <c r="U730" s="185"/>
      <c r="V730" s="185"/>
      <c r="W730" s="185"/>
      <c r="X730" s="185"/>
      <c r="Y730" s="185"/>
      <c r="Z730" s="185"/>
      <c r="AA730" s="185"/>
    </row>
    <row r="731" spans="1:27" ht="15.75" customHeight="1">
      <c r="A731" s="185"/>
      <c r="B731" s="360"/>
      <c r="C731" s="361"/>
      <c r="D731" s="185"/>
      <c r="E731" s="185"/>
      <c r="F731" s="362"/>
      <c r="G731" s="360"/>
      <c r="H731" s="185"/>
      <c r="I731" s="362"/>
      <c r="J731" s="185"/>
      <c r="K731" s="363"/>
      <c r="L731" s="363"/>
      <c r="M731" s="363"/>
      <c r="N731" s="363"/>
      <c r="O731" s="363"/>
      <c r="P731" s="363"/>
      <c r="Q731" s="362"/>
      <c r="R731" s="185"/>
      <c r="S731" s="185"/>
      <c r="T731" s="364"/>
      <c r="U731" s="185"/>
      <c r="V731" s="185"/>
      <c r="W731" s="185"/>
      <c r="X731" s="185"/>
      <c r="Y731" s="185"/>
      <c r="Z731" s="185"/>
      <c r="AA731" s="185"/>
    </row>
    <row r="732" spans="1:27" ht="15.75" customHeight="1">
      <c r="A732" s="185"/>
      <c r="B732" s="360"/>
      <c r="C732" s="361"/>
      <c r="D732" s="185"/>
      <c r="E732" s="185"/>
      <c r="F732" s="362"/>
      <c r="G732" s="360"/>
      <c r="H732" s="185"/>
      <c r="I732" s="362"/>
      <c r="J732" s="185"/>
      <c r="K732" s="363"/>
      <c r="L732" s="363"/>
      <c r="M732" s="363"/>
      <c r="N732" s="363"/>
      <c r="O732" s="363"/>
      <c r="P732" s="363"/>
      <c r="Q732" s="362"/>
      <c r="R732" s="185"/>
      <c r="S732" s="185"/>
      <c r="T732" s="364"/>
      <c r="U732" s="185"/>
      <c r="V732" s="185"/>
      <c r="W732" s="185"/>
      <c r="X732" s="185"/>
      <c r="Y732" s="185"/>
      <c r="Z732" s="185"/>
      <c r="AA732" s="185"/>
    </row>
    <row r="733" spans="1:27" ht="15.75" customHeight="1">
      <c r="A733" s="185"/>
      <c r="B733" s="360"/>
      <c r="C733" s="361"/>
      <c r="D733" s="185"/>
      <c r="E733" s="185"/>
      <c r="F733" s="362"/>
      <c r="G733" s="360"/>
      <c r="H733" s="185"/>
      <c r="I733" s="362"/>
      <c r="J733" s="185"/>
      <c r="K733" s="363"/>
      <c r="L733" s="363"/>
      <c r="M733" s="363"/>
      <c r="N733" s="363"/>
      <c r="O733" s="363"/>
      <c r="P733" s="363"/>
      <c r="Q733" s="362"/>
      <c r="R733" s="185"/>
      <c r="S733" s="185"/>
      <c r="T733" s="364"/>
      <c r="U733" s="185"/>
      <c r="V733" s="185"/>
      <c r="W733" s="185"/>
      <c r="X733" s="185"/>
      <c r="Y733" s="185"/>
      <c r="Z733" s="185"/>
      <c r="AA733" s="185"/>
    </row>
    <row r="734" spans="1:27" ht="15.75" customHeight="1">
      <c r="A734" s="185"/>
      <c r="B734" s="360"/>
      <c r="C734" s="361"/>
      <c r="D734" s="185"/>
      <c r="E734" s="185"/>
      <c r="F734" s="362"/>
      <c r="G734" s="360"/>
      <c r="H734" s="185"/>
      <c r="I734" s="362"/>
      <c r="J734" s="185"/>
      <c r="K734" s="363"/>
      <c r="L734" s="363"/>
      <c r="M734" s="363"/>
      <c r="N734" s="363"/>
      <c r="O734" s="363"/>
      <c r="P734" s="363"/>
      <c r="Q734" s="362"/>
      <c r="R734" s="185"/>
      <c r="S734" s="185"/>
      <c r="T734" s="364"/>
      <c r="U734" s="185"/>
      <c r="V734" s="185"/>
      <c r="W734" s="185"/>
      <c r="X734" s="185"/>
      <c r="Y734" s="185"/>
      <c r="Z734" s="185"/>
      <c r="AA734" s="185"/>
    </row>
    <row r="735" spans="1:27" ht="15.75" customHeight="1">
      <c r="A735" s="185"/>
      <c r="B735" s="360"/>
      <c r="C735" s="361"/>
      <c r="D735" s="185"/>
      <c r="E735" s="185"/>
      <c r="F735" s="362"/>
      <c r="G735" s="360"/>
      <c r="H735" s="185"/>
      <c r="I735" s="362"/>
      <c r="J735" s="185"/>
      <c r="K735" s="363"/>
      <c r="L735" s="363"/>
      <c r="M735" s="363"/>
      <c r="N735" s="363"/>
      <c r="O735" s="363"/>
      <c r="P735" s="363"/>
      <c r="Q735" s="362"/>
      <c r="R735" s="185"/>
      <c r="S735" s="185"/>
      <c r="T735" s="364"/>
      <c r="U735" s="185"/>
      <c r="V735" s="185"/>
      <c r="W735" s="185"/>
      <c r="X735" s="185"/>
      <c r="Y735" s="185"/>
      <c r="Z735" s="185"/>
      <c r="AA735" s="185"/>
    </row>
    <row r="736" spans="1:27" ht="15.75" customHeight="1">
      <c r="A736" s="185"/>
      <c r="B736" s="360"/>
      <c r="C736" s="361"/>
      <c r="D736" s="185"/>
      <c r="E736" s="185"/>
      <c r="F736" s="362"/>
      <c r="G736" s="360"/>
      <c r="H736" s="185"/>
      <c r="I736" s="362"/>
      <c r="J736" s="185"/>
      <c r="K736" s="363"/>
      <c r="L736" s="363"/>
      <c r="M736" s="363"/>
      <c r="N736" s="363"/>
      <c r="O736" s="363"/>
      <c r="P736" s="363"/>
      <c r="Q736" s="362"/>
      <c r="R736" s="185"/>
      <c r="S736" s="185"/>
      <c r="T736" s="364"/>
      <c r="U736" s="185"/>
      <c r="V736" s="185"/>
      <c r="W736" s="185"/>
      <c r="X736" s="185"/>
      <c r="Y736" s="185"/>
      <c r="Z736" s="185"/>
      <c r="AA736" s="185"/>
    </row>
    <row r="737" spans="1:27" ht="15.75" customHeight="1">
      <c r="A737" s="185"/>
      <c r="B737" s="360"/>
      <c r="C737" s="361"/>
      <c r="D737" s="185"/>
      <c r="E737" s="185"/>
      <c r="F737" s="362"/>
      <c r="G737" s="360"/>
      <c r="H737" s="185"/>
      <c r="I737" s="362"/>
      <c r="J737" s="185"/>
      <c r="K737" s="363"/>
      <c r="L737" s="363"/>
      <c r="M737" s="363"/>
      <c r="N737" s="363"/>
      <c r="O737" s="363"/>
      <c r="P737" s="363"/>
      <c r="Q737" s="362"/>
      <c r="R737" s="185"/>
      <c r="S737" s="185"/>
      <c r="T737" s="364"/>
      <c r="U737" s="185"/>
      <c r="V737" s="185"/>
      <c r="W737" s="185"/>
      <c r="X737" s="185"/>
      <c r="Y737" s="185"/>
      <c r="Z737" s="185"/>
      <c r="AA737" s="185"/>
    </row>
    <row r="738" spans="1:27" ht="15.75" customHeight="1">
      <c r="A738" s="185"/>
      <c r="B738" s="360"/>
      <c r="C738" s="361"/>
      <c r="D738" s="185"/>
      <c r="E738" s="185"/>
      <c r="F738" s="362"/>
      <c r="G738" s="360"/>
      <c r="H738" s="185"/>
      <c r="I738" s="362"/>
      <c r="J738" s="185"/>
      <c r="K738" s="363"/>
      <c r="L738" s="363"/>
      <c r="M738" s="363"/>
      <c r="N738" s="363"/>
      <c r="O738" s="363"/>
      <c r="P738" s="363"/>
      <c r="Q738" s="362"/>
      <c r="R738" s="185"/>
      <c r="S738" s="185"/>
      <c r="T738" s="364"/>
      <c r="U738" s="185"/>
      <c r="V738" s="185"/>
      <c r="W738" s="185"/>
      <c r="X738" s="185"/>
      <c r="Y738" s="185"/>
      <c r="Z738" s="185"/>
      <c r="AA738" s="185"/>
    </row>
    <row r="739" spans="1:27" ht="15.75" customHeight="1">
      <c r="A739" s="185"/>
      <c r="B739" s="360"/>
      <c r="C739" s="361"/>
      <c r="D739" s="185"/>
      <c r="E739" s="185"/>
      <c r="F739" s="362"/>
      <c r="G739" s="360"/>
      <c r="H739" s="185"/>
      <c r="I739" s="362"/>
      <c r="J739" s="185"/>
      <c r="K739" s="363"/>
      <c r="L739" s="363"/>
      <c r="M739" s="363"/>
      <c r="N739" s="363"/>
      <c r="O739" s="363"/>
      <c r="P739" s="363"/>
      <c r="Q739" s="362"/>
      <c r="R739" s="185"/>
      <c r="S739" s="185"/>
      <c r="T739" s="364"/>
      <c r="U739" s="185"/>
      <c r="V739" s="185"/>
      <c r="W739" s="185"/>
      <c r="X739" s="185"/>
      <c r="Y739" s="185"/>
      <c r="Z739" s="185"/>
      <c r="AA739" s="185"/>
    </row>
    <row r="740" spans="1:27" ht="15.75" customHeight="1">
      <c r="A740" s="185"/>
      <c r="B740" s="360"/>
      <c r="C740" s="361"/>
      <c r="D740" s="185"/>
      <c r="E740" s="185"/>
      <c r="F740" s="362"/>
      <c r="G740" s="360"/>
      <c r="H740" s="185"/>
      <c r="I740" s="362"/>
      <c r="J740" s="185"/>
      <c r="K740" s="363"/>
      <c r="L740" s="363"/>
      <c r="M740" s="363"/>
      <c r="N740" s="363"/>
      <c r="O740" s="363"/>
      <c r="P740" s="363"/>
      <c r="Q740" s="362"/>
      <c r="R740" s="185"/>
      <c r="S740" s="185"/>
      <c r="T740" s="364"/>
      <c r="U740" s="185"/>
      <c r="V740" s="185"/>
      <c r="W740" s="185"/>
      <c r="X740" s="185"/>
      <c r="Y740" s="185"/>
      <c r="Z740" s="185"/>
      <c r="AA740" s="185"/>
    </row>
    <row r="741" spans="1:27" ht="15.75" customHeight="1">
      <c r="A741" s="185"/>
      <c r="B741" s="360"/>
      <c r="C741" s="361"/>
      <c r="D741" s="185"/>
      <c r="E741" s="185"/>
      <c r="F741" s="362"/>
      <c r="G741" s="360"/>
      <c r="H741" s="185"/>
      <c r="I741" s="362"/>
      <c r="J741" s="185"/>
      <c r="K741" s="363"/>
      <c r="L741" s="363"/>
      <c r="M741" s="363"/>
      <c r="N741" s="363"/>
      <c r="O741" s="363"/>
      <c r="P741" s="363"/>
      <c r="Q741" s="362"/>
      <c r="R741" s="185"/>
      <c r="S741" s="185"/>
      <c r="T741" s="364"/>
      <c r="U741" s="185"/>
      <c r="V741" s="185"/>
      <c r="W741" s="185"/>
      <c r="X741" s="185"/>
      <c r="Y741" s="185"/>
      <c r="Z741" s="185"/>
      <c r="AA741" s="185"/>
    </row>
    <row r="742" spans="1:27" ht="15.75" customHeight="1">
      <c r="A742" s="185"/>
      <c r="B742" s="360"/>
      <c r="C742" s="361"/>
      <c r="D742" s="185"/>
      <c r="E742" s="185"/>
      <c r="F742" s="362"/>
      <c r="G742" s="360"/>
      <c r="H742" s="185"/>
      <c r="I742" s="362"/>
      <c r="J742" s="185"/>
      <c r="K742" s="363"/>
      <c r="L742" s="363"/>
      <c r="M742" s="363"/>
      <c r="N742" s="363"/>
      <c r="O742" s="363"/>
      <c r="P742" s="363"/>
      <c r="Q742" s="362"/>
      <c r="R742" s="185"/>
      <c r="S742" s="185"/>
      <c r="T742" s="364"/>
      <c r="U742" s="185"/>
      <c r="V742" s="185"/>
      <c r="W742" s="185"/>
      <c r="X742" s="185"/>
      <c r="Y742" s="185"/>
      <c r="Z742" s="185"/>
      <c r="AA742" s="185"/>
    </row>
    <row r="743" spans="1:27" ht="15.75" customHeight="1">
      <c r="A743" s="185"/>
      <c r="B743" s="360"/>
      <c r="C743" s="361"/>
      <c r="D743" s="185"/>
      <c r="E743" s="185"/>
      <c r="F743" s="362"/>
      <c r="G743" s="360"/>
      <c r="H743" s="185"/>
      <c r="I743" s="362"/>
      <c r="J743" s="185"/>
      <c r="K743" s="363"/>
      <c r="L743" s="363"/>
      <c r="M743" s="363"/>
      <c r="N743" s="363"/>
      <c r="O743" s="363"/>
      <c r="P743" s="363"/>
      <c r="Q743" s="362"/>
      <c r="R743" s="185"/>
      <c r="S743" s="185"/>
      <c r="T743" s="364"/>
      <c r="U743" s="185"/>
      <c r="V743" s="185"/>
      <c r="W743" s="185"/>
      <c r="X743" s="185"/>
      <c r="Y743" s="185"/>
      <c r="Z743" s="185"/>
      <c r="AA743" s="185"/>
    </row>
    <row r="744" spans="1:27" ht="15.75" customHeight="1">
      <c r="A744" s="185"/>
      <c r="B744" s="360"/>
      <c r="C744" s="361"/>
      <c r="D744" s="185"/>
      <c r="E744" s="185"/>
      <c r="F744" s="362"/>
      <c r="G744" s="360"/>
      <c r="H744" s="185"/>
      <c r="I744" s="362"/>
      <c r="J744" s="185"/>
      <c r="K744" s="363"/>
      <c r="L744" s="363"/>
      <c r="M744" s="363"/>
      <c r="N744" s="363"/>
      <c r="O744" s="363"/>
      <c r="P744" s="363"/>
      <c r="Q744" s="362"/>
      <c r="R744" s="185"/>
      <c r="S744" s="185"/>
      <c r="T744" s="364"/>
      <c r="U744" s="185"/>
      <c r="V744" s="185"/>
      <c r="W744" s="185"/>
      <c r="X744" s="185"/>
      <c r="Y744" s="185"/>
      <c r="Z744" s="185"/>
      <c r="AA744" s="185"/>
    </row>
    <row r="745" spans="1:27" ht="15.75" customHeight="1">
      <c r="A745" s="185"/>
      <c r="B745" s="360"/>
      <c r="C745" s="361"/>
      <c r="D745" s="185"/>
      <c r="E745" s="185"/>
      <c r="F745" s="362"/>
      <c r="G745" s="360"/>
      <c r="H745" s="185"/>
      <c r="I745" s="362"/>
      <c r="J745" s="185"/>
      <c r="K745" s="363"/>
      <c r="L745" s="363"/>
      <c r="M745" s="363"/>
      <c r="N745" s="363"/>
      <c r="O745" s="363"/>
      <c r="P745" s="363"/>
      <c r="Q745" s="362"/>
      <c r="R745" s="185"/>
      <c r="S745" s="185"/>
      <c r="T745" s="364"/>
      <c r="U745" s="185"/>
      <c r="V745" s="185"/>
      <c r="W745" s="185"/>
      <c r="X745" s="185"/>
      <c r="Y745" s="185"/>
      <c r="Z745" s="185"/>
      <c r="AA745" s="185"/>
    </row>
    <row r="746" spans="1:27" ht="15.75" customHeight="1">
      <c r="A746" s="185"/>
      <c r="B746" s="360"/>
      <c r="C746" s="361"/>
      <c r="D746" s="185"/>
      <c r="E746" s="185"/>
      <c r="F746" s="362"/>
      <c r="G746" s="360"/>
      <c r="H746" s="185"/>
      <c r="I746" s="362"/>
      <c r="J746" s="185"/>
      <c r="K746" s="363"/>
      <c r="L746" s="363"/>
      <c r="M746" s="363"/>
      <c r="N746" s="363"/>
      <c r="O746" s="363"/>
      <c r="P746" s="363"/>
      <c r="Q746" s="362"/>
      <c r="R746" s="185"/>
      <c r="S746" s="185"/>
      <c r="T746" s="364"/>
      <c r="U746" s="185"/>
      <c r="V746" s="185"/>
      <c r="W746" s="185"/>
      <c r="X746" s="185"/>
      <c r="Y746" s="185"/>
      <c r="Z746" s="185"/>
      <c r="AA746" s="185"/>
    </row>
    <row r="747" spans="1:27" ht="15.75" customHeight="1">
      <c r="A747" s="185"/>
      <c r="B747" s="360"/>
      <c r="C747" s="361"/>
      <c r="D747" s="185"/>
      <c r="E747" s="185"/>
      <c r="F747" s="362"/>
      <c r="G747" s="360"/>
      <c r="H747" s="185"/>
      <c r="I747" s="362"/>
      <c r="J747" s="185"/>
      <c r="K747" s="363"/>
      <c r="L747" s="363"/>
      <c r="M747" s="363"/>
      <c r="N747" s="363"/>
      <c r="O747" s="363"/>
      <c r="P747" s="363"/>
      <c r="Q747" s="362"/>
      <c r="R747" s="185"/>
      <c r="S747" s="185"/>
      <c r="T747" s="364"/>
      <c r="U747" s="185"/>
      <c r="V747" s="185"/>
      <c r="W747" s="185"/>
      <c r="X747" s="185"/>
      <c r="Y747" s="185"/>
      <c r="Z747" s="185"/>
      <c r="AA747" s="185"/>
    </row>
    <row r="748" spans="1:27" ht="15.75" customHeight="1">
      <c r="A748" s="185"/>
      <c r="B748" s="360"/>
      <c r="C748" s="361"/>
      <c r="D748" s="185"/>
      <c r="E748" s="185"/>
      <c r="F748" s="362"/>
      <c r="G748" s="360"/>
      <c r="H748" s="185"/>
      <c r="I748" s="362"/>
      <c r="J748" s="185"/>
      <c r="K748" s="363"/>
      <c r="L748" s="363"/>
      <c r="M748" s="363"/>
      <c r="N748" s="363"/>
      <c r="O748" s="363"/>
      <c r="P748" s="363"/>
      <c r="Q748" s="362"/>
      <c r="R748" s="185"/>
      <c r="S748" s="185"/>
      <c r="T748" s="364"/>
      <c r="U748" s="185"/>
      <c r="V748" s="185"/>
      <c r="W748" s="185"/>
      <c r="X748" s="185"/>
      <c r="Y748" s="185"/>
      <c r="Z748" s="185"/>
      <c r="AA748" s="185"/>
    </row>
    <row r="749" spans="1:27" ht="15.75" customHeight="1">
      <c r="A749" s="185"/>
      <c r="B749" s="360"/>
      <c r="C749" s="361"/>
      <c r="D749" s="185"/>
      <c r="E749" s="185"/>
      <c r="F749" s="362"/>
      <c r="G749" s="360"/>
      <c r="H749" s="185"/>
      <c r="I749" s="362"/>
      <c r="J749" s="185"/>
      <c r="K749" s="363"/>
      <c r="L749" s="363"/>
      <c r="M749" s="363"/>
      <c r="N749" s="363"/>
      <c r="O749" s="363"/>
      <c r="P749" s="363"/>
      <c r="Q749" s="362"/>
      <c r="R749" s="185"/>
      <c r="S749" s="185"/>
      <c r="T749" s="364"/>
      <c r="U749" s="185"/>
      <c r="V749" s="185"/>
      <c r="W749" s="185"/>
      <c r="X749" s="185"/>
      <c r="Y749" s="185"/>
      <c r="Z749" s="185"/>
      <c r="AA749" s="185"/>
    </row>
    <row r="750" spans="1:27" ht="15.75" customHeight="1">
      <c r="A750" s="185"/>
      <c r="B750" s="360"/>
      <c r="C750" s="361"/>
      <c r="D750" s="185"/>
      <c r="E750" s="185"/>
      <c r="F750" s="362"/>
      <c r="G750" s="360"/>
      <c r="H750" s="185"/>
      <c r="I750" s="362"/>
      <c r="J750" s="185"/>
      <c r="K750" s="363"/>
      <c r="L750" s="363"/>
      <c r="M750" s="363"/>
      <c r="N750" s="363"/>
      <c r="O750" s="363"/>
      <c r="P750" s="363"/>
      <c r="Q750" s="362"/>
      <c r="R750" s="185"/>
      <c r="S750" s="185"/>
      <c r="T750" s="364"/>
      <c r="U750" s="185"/>
      <c r="V750" s="185"/>
      <c r="W750" s="185"/>
      <c r="X750" s="185"/>
      <c r="Y750" s="185"/>
      <c r="Z750" s="185"/>
      <c r="AA750" s="185"/>
    </row>
    <row r="751" spans="1:27" ht="15.75" customHeight="1">
      <c r="A751" s="185"/>
      <c r="B751" s="360"/>
      <c r="C751" s="361"/>
      <c r="D751" s="185"/>
      <c r="E751" s="185"/>
      <c r="F751" s="362"/>
      <c r="G751" s="360"/>
      <c r="H751" s="185"/>
      <c r="I751" s="362"/>
      <c r="J751" s="185"/>
      <c r="K751" s="363"/>
      <c r="L751" s="363"/>
      <c r="M751" s="363"/>
      <c r="N751" s="363"/>
      <c r="O751" s="363"/>
      <c r="P751" s="363"/>
      <c r="Q751" s="362"/>
      <c r="R751" s="185"/>
      <c r="S751" s="185"/>
      <c r="T751" s="364"/>
      <c r="U751" s="185"/>
      <c r="V751" s="185"/>
      <c r="W751" s="185"/>
      <c r="X751" s="185"/>
      <c r="Y751" s="185"/>
      <c r="Z751" s="185"/>
      <c r="AA751" s="185"/>
    </row>
    <row r="752" spans="1:27" ht="15.75" customHeight="1">
      <c r="A752" s="185"/>
      <c r="B752" s="360"/>
      <c r="C752" s="361"/>
      <c r="D752" s="185"/>
      <c r="E752" s="185"/>
      <c r="F752" s="362"/>
      <c r="G752" s="360"/>
      <c r="H752" s="185"/>
      <c r="I752" s="362"/>
      <c r="J752" s="185"/>
      <c r="K752" s="363"/>
      <c r="L752" s="363"/>
      <c r="M752" s="363"/>
      <c r="N752" s="363"/>
      <c r="O752" s="363"/>
      <c r="P752" s="363"/>
      <c r="Q752" s="362"/>
      <c r="R752" s="185"/>
      <c r="S752" s="185"/>
      <c r="T752" s="364"/>
      <c r="U752" s="185"/>
      <c r="V752" s="185"/>
      <c r="W752" s="185"/>
      <c r="X752" s="185"/>
      <c r="Y752" s="185"/>
      <c r="Z752" s="185"/>
      <c r="AA752" s="185"/>
    </row>
    <row r="753" spans="1:27" ht="15.75" customHeight="1">
      <c r="A753" s="185"/>
      <c r="B753" s="360"/>
      <c r="C753" s="361"/>
      <c r="D753" s="185"/>
      <c r="E753" s="185"/>
      <c r="F753" s="362"/>
      <c r="G753" s="360"/>
      <c r="H753" s="185"/>
      <c r="I753" s="362"/>
      <c r="J753" s="185"/>
      <c r="K753" s="363"/>
      <c r="L753" s="363"/>
      <c r="M753" s="363"/>
      <c r="N753" s="363"/>
      <c r="O753" s="363"/>
      <c r="P753" s="363"/>
      <c r="Q753" s="362"/>
      <c r="R753" s="185"/>
      <c r="S753" s="185"/>
      <c r="T753" s="364"/>
      <c r="U753" s="185"/>
      <c r="V753" s="185"/>
      <c r="W753" s="185"/>
      <c r="X753" s="185"/>
      <c r="Y753" s="185"/>
      <c r="Z753" s="185"/>
      <c r="AA753" s="185"/>
    </row>
    <row r="754" spans="1:27" ht="15.75" customHeight="1">
      <c r="A754" s="185"/>
      <c r="B754" s="360"/>
      <c r="C754" s="361"/>
      <c r="D754" s="185"/>
      <c r="E754" s="185"/>
      <c r="F754" s="362"/>
      <c r="G754" s="360"/>
      <c r="H754" s="185"/>
      <c r="I754" s="362"/>
      <c r="J754" s="185"/>
      <c r="K754" s="363"/>
      <c r="L754" s="363"/>
      <c r="M754" s="363"/>
      <c r="N754" s="363"/>
      <c r="O754" s="363"/>
      <c r="P754" s="363"/>
      <c r="Q754" s="362"/>
      <c r="R754" s="185"/>
      <c r="S754" s="185"/>
      <c r="T754" s="364"/>
      <c r="U754" s="185"/>
      <c r="V754" s="185"/>
      <c r="W754" s="185"/>
      <c r="X754" s="185"/>
      <c r="Y754" s="185"/>
      <c r="Z754" s="185"/>
      <c r="AA754" s="185"/>
    </row>
    <row r="755" spans="1:27" ht="15.75" customHeight="1">
      <c r="A755" s="185"/>
      <c r="B755" s="360"/>
      <c r="C755" s="361"/>
      <c r="D755" s="185"/>
      <c r="E755" s="185"/>
      <c r="F755" s="362"/>
      <c r="G755" s="360"/>
      <c r="H755" s="185"/>
      <c r="I755" s="362"/>
      <c r="J755" s="185"/>
      <c r="K755" s="363"/>
      <c r="L755" s="363"/>
      <c r="M755" s="363"/>
      <c r="N755" s="363"/>
      <c r="O755" s="363"/>
      <c r="P755" s="363"/>
      <c r="Q755" s="362"/>
      <c r="R755" s="185"/>
      <c r="S755" s="185"/>
      <c r="T755" s="364"/>
      <c r="U755" s="185"/>
      <c r="V755" s="185"/>
      <c r="W755" s="185"/>
      <c r="X755" s="185"/>
      <c r="Y755" s="185"/>
      <c r="Z755" s="185"/>
      <c r="AA755" s="185"/>
    </row>
    <row r="756" spans="1:27" ht="15.75" customHeight="1">
      <c r="A756" s="185"/>
      <c r="B756" s="360"/>
      <c r="C756" s="361"/>
      <c r="D756" s="185"/>
      <c r="E756" s="185"/>
      <c r="F756" s="362"/>
      <c r="G756" s="360"/>
      <c r="H756" s="185"/>
      <c r="I756" s="362"/>
      <c r="J756" s="185"/>
      <c r="K756" s="363"/>
      <c r="L756" s="363"/>
      <c r="M756" s="363"/>
      <c r="N756" s="363"/>
      <c r="O756" s="363"/>
      <c r="P756" s="363"/>
      <c r="Q756" s="362"/>
      <c r="R756" s="185"/>
      <c r="S756" s="185"/>
      <c r="T756" s="364"/>
      <c r="U756" s="185"/>
      <c r="V756" s="185"/>
      <c r="W756" s="185"/>
      <c r="X756" s="185"/>
      <c r="Y756" s="185"/>
      <c r="Z756" s="185"/>
      <c r="AA756" s="185"/>
    </row>
    <row r="757" spans="1:27" ht="15.75" customHeight="1">
      <c r="A757" s="185"/>
      <c r="B757" s="360"/>
      <c r="C757" s="361"/>
      <c r="D757" s="185"/>
      <c r="E757" s="185"/>
      <c r="F757" s="362"/>
      <c r="G757" s="360"/>
      <c r="H757" s="185"/>
      <c r="I757" s="362"/>
      <c r="J757" s="185"/>
      <c r="K757" s="363"/>
      <c r="L757" s="363"/>
      <c r="M757" s="363"/>
      <c r="N757" s="363"/>
      <c r="O757" s="363"/>
      <c r="P757" s="363"/>
      <c r="Q757" s="362"/>
      <c r="R757" s="185"/>
      <c r="S757" s="185"/>
      <c r="T757" s="364"/>
      <c r="U757" s="185"/>
      <c r="V757" s="185"/>
      <c r="W757" s="185"/>
      <c r="X757" s="185"/>
      <c r="Y757" s="185"/>
      <c r="Z757" s="185"/>
      <c r="AA757" s="185"/>
    </row>
    <row r="758" spans="1:27" ht="15.75" customHeight="1">
      <c r="A758" s="185"/>
      <c r="B758" s="360"/>
      <c r="C758" s="361"/>
      <c r="D758" s="185"/>
      <c r="E758" s="185"/>
      <c r="F758" s="362"/>
      <c r="G758" s="360"/>
      <c r="H758" s="185"/>
      <c r="I758" s="362"/>
      <c r="J758" s="185"/>
      <c r="K758" s="363"/>
      <c r="L758" s="363"/>
      <c r="M758" s="363"/>
      <c r="N758" s="363"/>
      <c r="O758" s="363"/>
      <c r="P758" s="363"/>
      <c r="Q758" s="362"/>
      <c r="R758" s="185"/>
      <c r="S758" s="185"/>
      <c r="T758" s="364"/>
      <c r="U758" s="185"/>
      <c r="V758" s="185"/>
      <c r="W758" s="185"/>
      <c r="X758" s="185"/>
      <c r="Y758" s="185"/>
      <c r="Z758" s="185"/>
      <c r="AA758" s="185"/>
    </row>
    <row r="759" spans="1:27" ht="15.75" customHeight="1">
      <c r="A759" s="185"/>
      <c r="B759" s="360"/>
      <c r="C759" s="361"/>
      <c r="D759" s="185"/>
      <c r="E759" s="185"/>
      <c r="F759" s="362"/>
      <c r="G759" s="360"/>
      <c r="H759" s="185"/>
      <c r="I759" s="362"/>
      <c r="J759" s="185"/>
      <c r="K759" s="363"/>
      <c r="L759" s="363"/>
      <c r="M759" s="363"/>
      <c r="N759" s="363"/>
      <c r="O759" s="363"/>
      <c r="P759" s="363"/>
      <c r="Q759" s="362"/>
      <c r="R759" s="185"/>
      <c r="S759" s="185"/>
      <c r="T759" s="364"/>
      <c r="U759" s="185"/>
      <c r="V759" s="185"/>
      <c r="W759" s="185"/>
      <c r="X759" s="185"/>
      <c r="Y759" s="185"/>
      <c r="Z759" s="185"/>
      <c r="AA759" s="185"/>
    </row>
    <row r="760" spans="1:27" ht="15.75" customHeight="1">
      <c r="A760" s="185"/>
      <c r="B760" s="360"/>
      <c r="C760" s="361"/>
      <c r="D760" s="185"/>
      <c r="E760" s="185"/>
      <c r="F760" s="362"/>
      <c r="G760" s="360"/>
      <c r="H760" s="185"/>
      <c r="I760" s="362"/>
      <c r="J760" s="185"/>
      <c r="K760" s="363"/>
      <c r="L760" s="363"/>
      <c r="M760" s="363"/>
      <c r="N760" s="363"/>
      <c r="O760" s="363"/>
      <c r="P760" s="363"/>
      <c r="Q760" s="362"/>
      <c r="R760" s="185"/>
      <c r="S760" s="185"/>
      <c r="T760" s="364"/>
      <c r="U760" s="185"/>
      <c r="V760" s="185"/>
      <c r="W760" s="185"/>
      <c r="X760" s="185"/>
      <c r="Y760" s="185"/>
      <c r="Z760" s="185"/>
      <c r="AA760" s="185"/>
    </row>
    <row r="761" spans="1:27" ht="15.75" customHeight="1">
      <c r="A761" s="185"/>
      <c r="B761" s="360"/>
      <c r="C761" s="361"/>
      <c r="D761" s="185"/>
      <c r="E761" s="185"/>
      <c r="F761" s="362"/>
      <c r="G761" s="360"/>
      <c r="H761" s="185"/>
      <c r="I761" s="362"/>
      <c r="J761" s="185"/>
      <c r="K761" s="363"/>
      <c r="L761" s="363"/>
      <c r="M761" s="363"/>
      <c r="N761" s="363"/>
      <c r="O761" s="363"/>
      <c r="P761" s="363"/>
      <c r="Q761" s="362"/>
      <c r="R761" s="185"/>
      <c r="S761" s="185"/>
      <c r="T761" s="364"/>
      <c r="U761" s="185"/>
      <c r="V761" s="185"/>
      <c r="W761" s="185"/>
      <c r="X761" s="185"/>
      <c r="Y761" s="185"/>
      <c r="Z761" s="185"/>
      <c r="AA761" s="185"/>
    </row>
    <row r="762" spans="1:27" ht="15.75" customHeight="1">
      <c r="A762" s="185"/>
      <c r="B762" s="360"/>
      <c r="C762" s="361"/>
      <c r="D762" s="185"/>
      <c r="E762" s="185"/>
      <c r="F762" s="362"/>
      <c r="G762" s="360"/>
      <c r="H762" s="185"/>
      <c r="I762" s="362"/>
      <c r="J762" s="185"/>
      <c r="K762" s="363"/>
      <c r="L762" s="363"/>
      <c r="M762" s="363"/>
      <c r="N762" s="363"/>
      <c r="O762" s="363"/>
      <c r="P762" s="363"/>
      <c r="Q762" s="362"/>
      <c r="R762" s="185"/>
      <c r="S762" s="185"/>
      <c r="T762" s="364"/>
      <c r="U762" s="185"/>
      <c r="V762" s="185"/>
      <c r="W762" s="185"/>
      <c r="X762" s="185"/>
      <c r="Y762" s="185"/>
      <c r="Z762" s="185"/>
      <c r="AA762" s="185"/>
    </row>
    <row r="763" spans="1:27" ht="15.75" customHeight="1">
      <c r="A763" s="185"/>
      <c r="B763" s="360"/>
      <c r="C763" s="361"/>
      <c r="D763" s="185"/>
      <c r="E763" s="185"/>
      <c r="F763" s="362"/>
      <c r="G763" s="360"/>
      <c r="H763" s="185"/>
      <c r="I763" s="362"/>
      <c r="J763" s="185"/>
      <c r="K763" s="363"/>
      <c r="L763" s="363"/>
      <c r="M763" s="363"/>
      <c r="N763" s="363"/>
      <c r="O763" s="363"/>
      <c r="P763" s="363"/>
      <c r="Q763" s="362"/>
      <c r="R763" s="185"/>
      <c r="S763" s="185"/>
      <c r="T763" s="364"/>
      <c r="U763" s="185"/>
      <c r="V763" s="185"/>
      <c r="W763" s="185"/>
      <c r="X763" s="185"/>
      <c r="Y763" s="185"/>
      <c r="Z763" s="185"/>
      <c r="AA763" s="185"/>
    </row>
    <row r="764" spans="1:27" ht="15.75" customHeight="1">
      <c r="A764" s="185"/>
      <c r="B764" s="360"/>
      <c r="C764" s="361"/>
      <c r="D764" s="185"/>
      <c r="E764" s="185"/>
      <c r="F764" s="362"/>
      <c r="G764" s="360"/>
      <c r="H764" s="185"/>
      <c r="I764" s="362"/>
      <c r="J764" s="185"/>
      <c r="K764" s="363"/>
      <c r="L764" s="363"/>
      <c r="M764" s="363"/>
      <c r="N764" s="363"/>
      <c r="O764" s="363"/>
      <c r="P764" s="363"/>
      <c r="Q764" s="362"/>
      <c r="R764" s="185"/>
      <c r="S764" s="185"/>
      <c r="T764" s="364"/>
      <c r="U764" s="185"/>
      <c r="V764" s="185"/>
      <c r="W764" s="185"/>
      <c r="X764" s="185"/>
      <c r="Y764" s="185"/>
      <c r="Z764" s="185"/>
      <c r="AA764" s="185"/>
    </row>
    <row r="765" spans="1:27" ht="15.75" customHeight="1">
      <c r="A765" s="185"/>
      <c r="B765" s="360"/>
      <c r="C765" s="361"/>
      <c r="D765" s="185"/>
      <c r="E765" s="185"/>
      <c r="F765" s="362"/>
      <c r="G765" s="360"/>
      <c r="H765" s="185"/>
      <c r="I765" s="362"/>
      <c r="J765" s="185"/>
      <c r="K765" s="363"/>
      <c r="L765" s="363"/>
      <c r="M765" s="363"/>
      <c r="N765" s="363"/>
      <c r="O765" s="363"/>
      <c r="P765" s="363"/>
      <c r="Q765" s="362"/>
      <c r="R765" s="185"/>
      <c r="S765" s="185"/>
      <c r="T765" s="364"/>
      <c r="U765" s="185"/>
      <c r="V765" s="185"/>
      <c r="W765" s="185"/>
      <c r="X765" s="185"/>
      <c r="Y765" s="185"/>
      <c r="Z765" s="185"/>
      <c r="AA765" s="185"/>
    </row>
    <row r="766" spans="1:27" ht="15.75" customHeight="1">
      <c r="A766" s="185"/>
      <c r="B766" s="360"/>
      <c r="C766" s="361"/>
      <c r="D766" s="185"/>
      <c r="E766" s="185"/>
      <c r="F766" s="362"/>
      <c r="G766" s="360"/>
      <c r="H766" s="185"/>
      <c r="I766" s="362"/>
      <c r="J766" s="185"/>
      <c r="K766" s="363"/>
      <c r="L766" s="363"/>
      <c r="M766" s="363"/>
      <c r="N766" s="363"/>
      <c r="O766" s="363"/>
      <c r="P766" s="363"/>
      <c r="Q766" s="362"/>
      <c r="R766" s="185"/>
      <c r="S766" s="185"/>
      <c r="T766" s="364"/>
      <c r="U766" s="185"/>
      <c r="V766" s="185"/>
      <c r="W766" s="185"/>
      <c r="X766" s="185"/>
      <c r="Y766" s="185"/>
      <c r="Z766" s="185"/>
      <c r="AA766" s="185"/>
    </row>
    <row r="767" spans="1:27" ht="15.75" customHeight="1">
      <c r="A767" s="185"/>
      <c r="B767" s="360"/>
      <c r="C767" s="361"/>
      <c r="D767" s="185"/>
      <c r="E767" s="185"/>
      <c r="F767" s="362"/>
      <c r="G767" s="360"/>
      <c r="H767" s="185"/>
      <c r="I767" s="362"/>
      <c r="J767" s="185"/>
      <c r="K767" s="363"/>
      <c r="L767" s="363"/>
      <c r="M767" s="363"/>
      <c r="N767" s="363"/>
      <c r="O767" s="363"/>
      <c r="P767" s="363"/>
      <c r="Q767" s="362"/>
      <c r="R767" s="185"/>
      <c r="S767" s="185"/>
      <c r="T767" s="364"/>
      <c r="U767" s="185"/>
      <c r="V767" s="185"/>
      <c r="W767" s="185"/>
      <c r="X767" s="185"/>
      <c r="Y767" s="185"/>
      <c r="Z767" s="185"/>
      <c r="AA767" s="185"/>
    </row>
    <row r="768" spans="1:27" ht="15.75" customHeight="1">
      <c r="A768" s="185"/>
      <c r="B768" s="360"/>
      <c r="C768" s="361"/>
      <c r="D768" s="185"/>
      <c r="E768" s="185"/>
      <c r="F768" s="362"/>
      <c r="G768" s="360"/>
      <c r="H768" s="185"/>
      <c r="I768" s="362"/>
      <c r="J768" s="185"/>
      <c r="K768" s="363"/>
      <c r="L768" s="363"/>
      <c r="M768" s="363"/>
      <c r="N768" s="363"/>
      <c r="O768" s="363"/>
      <c r="P768" s="363"/>
      <c r="Q768" s="362"/>
      <c r="R768" s="185"/>
      <c r="S768" s="185"/>
      <c r="T768" s="364"/>
      <c r="U768" s="185"/>
      <c r="V768" s="185"/>
      <c r="W768" s="185"/>
      <c r="X768" s="185"/>
      <c r="Y768" s="185"/>
      <c r="Z768" s="185"/>
      <c r="AA768" s="185"/>
    </row>
    <row r="769" spans="1:27" ht="15.75" customHeight="1">
      <c r="A769" s="185"/>
      <c r="B769" s="360"/>
      <c r="C769" s="361"/>
      <c r="D769" s="185"/>
      <c r="E769" s="185"/>
      <c r="F769" s="362"/>
      <c r="G769" s="360"/>
      <c r="H769" s="185"/>
      <c r="I769" s="362"/>
      <c r="J769" s="185"/>
      <c r="K769" s="363"/>
      <c r="L769" s="363"/>
      <c r="M769" s="363"/>
      <c r="N769" s="363"/>
      <c r="O769" s="363"/>
      <c r="P769" s="363"/>
      <c r="Q769" s="362"/>
      <c r="R769" s="185"/>
      <c r="S769" s="185"/>
      <c r="T769" s="364"/>
      <c r="U769" s="185"/>
      <c r="V769" s="185"/>
      <c r="W769" s="185"/>
      <c r="X769" s="185"/>
      <c r="Y769" s="185"/>
      <c r="Z769" s="185"/>
      <c r="AA769" s="185"/>
    </row>
    <row r="770" spans="1:27" ht="15.75" customHeight="1">
      <c r="A770" s="185"/>
      <c r="B770" s="360"/>
      <c r="C770" s="361"/>
      <c r="D770" s="185"/>
      <c r="E770" s="185"/>
      <c r="F770" s="362"/>
      <c r="G770" s="360"/>
      <c r="H770" s="185"/>
      <c r="I770" s="362"/>
      <c r="J770" s="185"/>
      <c r="K770" s="363"/>
      <c r="L770" s="363"/>
      <c r="M770" s="363"/>
      <c r="N770" s="363"/>
      <c r="O770" s="363"/>
      <c r="P770" s="363"/>
      <c r="Q770" s="362"/>
      <c r="R770" s="185"/>
      <c r="S770" s="185"/>
      <c r="T770" s="364"/>
      <c r="U770" s="185"/>
      <c r="V770" s="185"/>
      <c r="W770" s="185"/>
      <c r="X770" s="185"/>
      <c r="Y770" s="185"/>
      <c r="Z770" s="185"/>
      <c r="AA770" s="185"/>
    </row>
    <row r="771" spans="1:27" ht="15.75" customHeight="1">
      <c r="A771" s="185"/>
      <c r="B771" s="360"/>
      <c r="C771" s="361"/>
      <c r="D771" s="185"/>
      <c r="E771" s="185"/>
      <c r="F771" s="362"/>
      <c r="G771" s="360"/>
      <c r="H771" s="185"/>
      <c r="I771" s="362"/>
      <c r="J771" s="185"/>
      <c r="K771" s="363"/>
      <c r="L771" s="363"/>
      <c r="M771" s="363"/>
      <c r="N771" s="363"/>
      <c r="O771" s="363"/>
      <c r="P771" s="363"/>
      <c r="Q771" s="362"/>
      <c r="R771" s="185"/>
      <c r="S771" s="185"/>
      <c r="T771" s="364"/>
      <c r="U771" s="185"/>
      <c r="V771" s="185"/>
      <c r="W771" s="185"/>
      <c r="X771" s="185"/>
      <c r="Y771" s="185"/>
      <c r="Z771" s="185"/>
      <c r="AA771" s="185"/>
    </row>
    <row r="772" spans="1:27" ht="15.75" customHeight="1">
      <c r="A772" s="185"/>
      <c r="B772" s="360"/>
      <c r="C772" s="361"/>
      <c r="D772" s="185"/>
      <c r="E772" s="185"/>
      <c r="F772" s="362"/>
      <c r="G772" s="360"/>
      <c r="H772" s="185"/>
      <c r="I772" s="362"/>
      <c r="J772" s="185"/>
      <c r="K772" s="363"/>
      <c r="L772" s="363"/>
      <c r="M772" s="363"/>
      <c r="N772" s="363"/>
      <c r="O772" s="363"/>
      <c r="P772" s="363"/>
      <c r="Q772" s="362"/>
      <c r="R772" s="185"/>
      <c r="S772" s="185"/>
      <c r="T772" s="364"/>
      <c r="U772" s="185"/>
      <c r="V772" s="185"/>
      <c r="W772" s="185"/>
      <c r="X772" s="185"/>
      <c r="Y772" s="185"/>
      <c r="Z772" s="185"/>
      <c r="AA772" s="185"/>
    </row>
    <row r="773" spans="1:27" ht="15.75" customHeight="1">
      <c r="A773" s="185"/>
      <c r="B773" s="360"/>
      <c r="C773" s="361"/>
      <c r="D773" s="185"/>
      <c r="E773" s="185"/>
      <c r="F773" s="362"/>
      <c r="G773" s="360"/>
      <c r="H773" s="185"/>
      <c r="I773" s="362"/>
      <c r="J773" s="185"/>
      <c r="K773" s="363"/>
      <c r="L773" s="363"/>
      <c r="M773" s="363"/>
      <c r="N773" s="363"/>
      <c r="O773" s="363"/>
      <c r="P773" s="363"/>
      <c r="Q773" s="362"/>
      <c r="R773" s="185"/>
      <c r="S773" s="185"/>
      <c r="T773" s="364"/>
      <c r="U773" s="185"/>
      <c r="V773" s="185"/>
      <c r="W773" s="185"/>
      <c r="X773" s="185"/>
      <c r="Y773" s="185"/>
      <c r="Z773" s="185"/>
      <c r="AA773" s="185"/>
    </row>
    <row r="774" spans="1:27" ht="15.75" customHeight="1">
      <c r="A774" s="185"/>
      <c r="B774" s="360"/>
      <c r="C774" s="361"/>
      <c r="D774" s="185"/>
      <c r="E774" s="185"/>
      <c r="F774" s="362"/>
      <c r="G774" s="360"/>
      <c r="H774" s="185"/>
      <c r="I774" s="362"/>
      <c r="J774" s="185"/>
      <c r="K774" s="363"/>
      <c r="L774" s="363"/>
      <c r="M774" s="363"/>
      <c r="N774" s="363"/>
      <c r="O774" s="363"/>
      <c r="P774" s="363"/>
      <c r="Q774" s="362"/>
      <c r="R774" s="185"/>
      <c r="S774" s="185"/>
      <c r="T774" s="364"/>
      <c r="U774" s="185"/>
      <c r="V774" s="185"/>
      <c r="W774" s="185"/>
      <c r="X774" s="185"/>
      <c r="Y774" s="185"/>
      <c r="Z774" s="185"/>
      <c r="AA774" s="185"/>
    </row>
    <row r="775" spans="1:27" ht="15.75" customHeight="1">
      <c r="A775" s="185"/>
      <c r="B775" s="360"/>
      <c r="C775" s="361"/>
      <c r="D775" s="185"/>
      <c r="E775" s="185"/>
      <c r="F775" s="362"/>
      <c r="G775" s="360"/>
      <c r="H775" s="185"/>
      <c r="I775" s="362"/>
      <c r="J775" s="185"/>
      <c r="K775" s="363"/>
      <c r="L775" s="363"/>
      <c r="M775" s="363"/>
      <c r="N775" s="363"/>
      <c r="O775" s="363"/>
      <c r="P775" s="363"/>
      <c r="Q775" s="362"/>
      <c r="R775" s="185"/>
      <c r="S775" s="185"/>
      <c r="T775" s="364"/>
      <c r="U775" s="185"/>
      <c r="V775" s="185"/>
      <c r="W775" s="185"/>
      <c r="X775" s="185"/>
      <c r="Y775" s="185"/>
      <c r="Z775" s="185"/>
      <c r="AA775" s="185"/>
    </row>
    <row r="776" spans="1:27" ht="15.75" customHeight="1">
      <c r="A776" s="185"/>
      <c r="B776" s="360"/>
      <c r="C776" s="361"/>
      <c r="D776" s="185"/>
      <c r="E776" s="185"/>
      <c r="F776" s="362"/>
      <c r="G776" s="360"/>
      <c r="H776" s="185"/>
      <c r="I776" s="362"/>
      <c r="J776" s="185"/>
      <c r="K776" s="363"/>
      <c r="L776" s="363"/>
      <c r="M776" s="363"/>
      <c r="N776" s="363"/>
      <c r="O776" s="363"/>
      <c r="P776" s="363"/>
      <c r="Q776" s="362"/>
      <c r="R776" s="185"/>
      <c r="S776" s="185"/>
      <c r="T776" s="364"/>
      <c r="U776" s="185"/>
      <c r="V776" s="185"/>
      <c r="W776" s="185"/>
      <c r="X776" s="185"/>
      <c r="Y776" s="185"/>
      <c r="Z776" s="185"/>
      <c r="AA776" s="185"/>
    </row>
    <row r="777" spans="1:27" ht="15.75" customHeight="1">
      <c r="A777" s="185"/>
      <c r="B777" s="360"/>
      <c r="C777" s="361"/>
      <c r="D777" s="185"/>
      <c r="E777" s="185"/>
      <c r="F777" s="362"/>
      <c r="G777" s="360"/>
      <c r="H777" s="185"/>
      <c r="I777" s="362"/>
      <c r="J777" s="185"/>
      <c r="K777" s="363"/>
      <c r="L777" s="363"/>
      <c r="M777" s="363"/>
      <c r="N777" s="363"/>
      <c r="O777" s="363"/>
      <c r="P777" s="363"/>
      <c r="Q777" s="362"/>
      <c r="R777" s="185"/>
      <c r="S777" s="185"/>
      <c r="T777" s="364"/>
      <c r="U777" s="185"/>
      <c r="V777" s="185"/>
      <c r="W777" s="185"/>
      <c r="X777" s="185"/>
      <c r="Y777" s="185"/>
      <c r="Z777" s="185"/>
      <c r="AA777" s="185"/>
    </row>
    <row r="778" spans="1:27" ht="15.75" customHeight="1">
      <c r="A778" s="185"/>
      <c r="B778" s="360"/>
      <c r="C778" s="361"/>
      <c r="D778" s="185"/>
      <c r="E778" s="185"/>
      <c r="F778" s="362"/>
      <c r="G778" s="360"/>
      <c r="H778" s="185"/>
      <c r="I778" s="362"/>
      <c r="J778" s="185"/>
      <c r="K778" s="363"/>
      <c r="L778" s="363"/>
      <c r="M778" s="363"/>
      <c r="N778" s="363"/>
      <c r="O778" s="363"/>
      <c r="P778" s="363"/>
      <c r="Q778" s="362"/>
      <c r="R778" s="185"/>
      <c r="S778" s="185"/>
      <c r="T778" s="364"/>
      <c r="U778" s="185"/>
      <c r="V778" s="185"/>
      <c r="W778" s="185"/>
      <c r="X778" s="185"/>
      <c r="Y778" s="185"/>
      <c r="Z778" s="185"/>
      <c r="AA778" s="185"/>
    </row>
    <row r="779" spans="1:27" ht="15.75" customHeight="1">
      <c r="A779" s="185"/>
      <c r="B779" s="360"/>
      <c r="C779" s="361"/>
      <c r="D779" s="185"/>
      <c r="E779" s="185"/>
      <c r="F779" s="362"/>
      <c r="G779" s="360"/>
      <c r="H779" s="185"/>
      <c r="I779" s="362"/>
      <c r="J779" s="185"/>
      <c r="K779" s="363"/>
      <c r="L779" s="363"/>
      <c r="M779" s="363"/>
      <c r="N779" s="363"/>
      <c r="O779" s="363"/>
      <c r="P779" s="363"/>
      <c r="Q779" s="362"/>
      <c r="R779" s="185"/>
      <c r="S779" s="185"/>
      <c r="T779" s="364"/>
      <c r="U779" s="185"/>
      <c r="V779" s="185"/>
      <c r="W779" s="185"/>
      <c r="X779" s="185"/>
      <c r="Y779" s="185"/>
      <c r="Z779" s="185"/>
      <c r="AA779" s="185"/>
    </row>
    <row r="780" spans="1:27" ht="15.75" customHeight="1">
      <c r="A780" s="185"/>
      <c r="B780" s="360"/>
      <c r="C780" s="361"/>
      <c r="D780" s="185"/>
      <c r="E780" s="185"/>
      <c r="F780" s="362"/>
      <c r="G780" s="360"/>
      <c r="H780" s="185"/>
      <c r="I780" s="362"/>
      <c r="J780" s="185"/>
      <c r="K780" s="363"/>
      <c r="L780" s="363"/>
      <c r="M780" s="363"/>
      <c r="N780" s="363"/>
      <c r="O780" s="363"/>
      <c r="P780" s="363"/>
      <c r="Q780" s="362"/>
      <c r="R780" s="185"/>
      <c r="S780" s="185"/>
      <c r="T780" s="364"/>
      <c r="U780" s="185"/>
      <c r="V780" s="185"/>
      <c r="W780" s="185"/>
      <c r="X780" s="185"/>
      <c r="Y780" s="185"/>
      <c r="Z780" s="185"/>
      <c r="AA780" s="185"/>
    </row>
    <row r="781" spans="1:27" ht="15.75" customHeight="1">
      <c r="A781" s="185"/>
      <c r="B781" s="360"/>
      <c r="C781" s="361"/>
      <c r="D781" s="185"/>
      <c r="E781" s="185"/>
      <c r="F781" s="362"/>
      <c r="G781" s="360"/>
      <c r="H781" s="185"/>
      <c r="I781" s="362"/>
      <c r="J781" s="185"/>
      <c r="K781" s="363"/>
      <c r="L781" s="363"/>
      <c r="M781" s="363"/>
      <c r="N781" s="363"/>
      <c r="O781" s="363"/>
      <c r="P781" s="363"/>
      <c r="Q781" s="362"/>
      <c r="R781" s="185"/>
      <c r="S781" s="185"/>
      <c r="T781" s="364"/>
      <c r="U781" s="185"/>
      <c r="V781" s="185"/>
      <c r="W781" s="185"/>
      <c r="X781" s="185"/>
      <c r="Y781" s="185"/>
      <c r="Z781" s="185"/>
      <c r="AA781" s="185"/>
    </row>
    <row r="782" spans="1:27" ht="15.75" customHeight="1">
      <c r="A782" s="185"/>
      <c r="B782" s="360"/>
      <c r="C782" s="361"/>
      <c r="D782" s="185"/>
      <c r="E782" s="185"/>
      <c r="F782" s="362"/>
      <c r="G782" s="360"/>
      <c r="H782" s="185"/>
      <c r="I782" s="362"/>
      <c r="J782" s="185"/>
      <c r="K782" s="363"/>
      <c r="L782" s="363"/>
      <c r="M782" s="363"/>
      <c r="N782" s="363"/>
      <c r="O782" s="363"/>
      <c r="P782" s="363"/>
      <c r="Q782" s="362"/>
      <c r="R782" s="185"/>
      <c r="S782" s="185"/>
      <c r="T782" s="364"/>
      <c r="U782" s="185"/>
      <c r="V782" s="185"/>
      <c r="W782" s="185"/>
      <c r="X782" s="185"/>
      <c r="Y782" s="185"/>
      <c r="Z782" s="185"/>
      <c r="AA782" s="185"/>
    </row>
    <row r="783" spans="1:27" ht="15.75" customHeight="1">
      <c r="A783" s="185"/>
      <c r="B783" s="360"/>
      <c r="C783" s="361"/>
      <c r="D783" s="185"/>
      <c r="E783" s="185"/>
      <c r="F783" s="362"/>
      <c r="G783" s="360"/>
      <c r="H783" s="185"/>
      <c r="I783" s="362"/>
      <c r="J783" s="185"/>
      <c r="K783" s="363"/>
      <c r="L783" s="363"/>
      <c r="M783" s="363"/>
      <c r="N783" s="363"/>
      <c r="O783" s="363"/>
      <c r="P783" s="363"/>
      <c r="Q783" s="362"/>
      <c r="R783" s="185"/>
      <c r="S783" s="185"/>
      <c r="T783" s="364"/>
      <c r="U783" s="185"/>
      <c r="V783" s="185"/>
      <c r="W783" s="185"/>
      <c r="X783" s="185"/>
      <c r="Y783" s="185"/>
      <c r="Z783" s="185"/>
      <c r="AA783" s="185"/>
    </row>
    <row r="784" spans="1:27" ht="15.75" customHeight="1">
      <c r="A784" s="185"/>
      <c r="B784" s="360"/>
      <c r="C784" s="361"/>
      <c r="D784" s="185"/>
      <c r="E784" s="185"/>
      <c r="F784" s="362"/>
      <c r="G784" s="360"/>
      <c r="H784" s="185"/>
      <c r="I784" s="362"/>
      <c r="J784" s="185"/>
      <c r="K784" s="363"/>
      <c r="L784" s="363"/>
      <c r="M784" s="363"/>
      <c r="N784" s="363"/>
      <c r="O784" s="363"/>
      <c r="P784" s="363"/>
      <c r="Q784" s="362"/>
      <c r="R784" s="185"/>
      <c r="S784" s="185"/>
      <c r="T784" s="364"/>
      <c r="U784" s="185"/>
      <c r="V784" s="185"/>
      <c r="W784" s="185"/>
      <c r="X784" s="185"/>
      <c r="Y784" s="185"/>
      <c r="Z784" s="185"/>
      <c r="AA784" s="185"/>
    </row>
    <row r="785" spans="1:27" ht="15.75" customHeight="1">
      <c r="A785" s="185"/>
      <c r="B785" s="360"/>
      <c r="C785" s="361"/>
      <c r="D785" s="185"/>
      <c r="E785" s="185"/>
      <c r="F785" s="362"/>
      <c r="G785" s="360"/>
      <c r="H785" s="185"/>
      <c r="I785" s="362"/>
      <c r="J785" s="185"/>
      <c r="K785" s="363"/>
      <c r="L785" s="363"/>
      <c r="M785" s="363"/>
      <c r="N785" s="363"/>
      <c r="O785" s="363"/>
      <c r="P785" s="363"/>
      <c r="Q785" s="362"/>
      <c r="R785" s="185"/>
      <c r="S785" s="185"/>
      <c r="T785" s="364"/>
      <c r="U785" s="185"/>
      <c r="V785" s="185"/>
      <c r="W785" s="185"/>
      <c r="X785" s="185"/>
      <c r="Y785" s="185"/>
      <c r="Z785" s="185"/>
      <c r="AA785" s="185"/>
    </row>
    <row r="786" spans="1:27" ht="15.75" customHeight="1">
      <c r="A786" s="185"/>
      <c r="B786" s="360"/>
      <c r="C786" s="361"/>
      <c r="D786" s="185"/>
      <c r="E786" s="185"/>
      <c r="F786" s="362"/>
      <c r="G786" s="360"/>
      <c r="H786" s="185"/>
      <c r="I786" s="362"/>
      <c r="J786" s="185"/>
      <c r="K786" s="363"/>
      <c r="L786" s="363"/>
      <c r="M786" s="363"/>
      <c r="N786" s="363"/>
      <c r="O786" s="363"/>
      <c r="P786" s="363"/>
      <c r="Q786" s="362"/>
      <c r="R786" s="185"/>
      <c r="S786" s="185"/>
      <c r="T786" s="364"/>
      <c r="U786" s="185"/>
      <c r="V786" s="185"/>
      <c r="W786" s="185"/>
      <c r="X786" s="185"/>
      <c r="Y786" s="185"/>
      <c r="Z786" s="185"/>
      <c r="AA786" s="185"/>
    </row>
    <row r="787" spans="1:27" ht="15.75" customHeight="1">
      <c r="A787" s="185"/>
      <c r="B787" s="360"/>
      <c r="C787" s="361"/>
      <c r="D787" s="185"/>
      <c r="E787" s="185"/>
      <c r="F787" s="362"/>
      <c r="G787" s="360"/>
      <c r="H787" s="185"/>
      <c r="I787" s="362"/>
      <c r="J787" s="185"/>
      <c r="K787" s="363"/>
      <c r="L787" s="363"/>
      <c r="M787" s="363"/>
      <c r="N787" s="363"/>
      <c r="O787" s="363"/>
      <c r="P787" s="363"/>
      <c r="Q787" s="362"/>
      <c r="R787" s="185"/>
      <c r="S787" s="185"/>
      <c r="T787" s="364"/>
      <c r="U787" s="185"/>
      <c r="V787" s="185"/>
      <c r="W787" s="185"/>
      <c r="X787" s="185"/>
      <c r="Y787" s="185"/>
      <c r="Z787" s="185"/>
      <c r="AA787" s="185"/>
    </row>
    <row r="788" spans="1:27" ht="15.75" customHeight="1">
      <c r="A788" s="185"/>
      <c r="B788" s="360"/>
      <c r="C788" s="361"/>
      <c r="D788" s="185"/>
      <c r="E788" s="185"/>
      <c r="F788" s="362"/>
      <c r="G788" s="360"/>
      <c r="H788" s="185"/>
      <c r="I788" s="362"/>
      <c r="J788" s="185"/>
      <c r="K788" s="363"/>
      <c r="L788" s="363"/>
      <c r="M788" s="363"/>
      <c r="N788" s="363"/>
      <c r="O788" s="363"/>
      <c r="P788" s="363"/>
      <c r="Q788" s="362"/>
      <c r="R788" s="185"/>
      <c r="S788" s="185"/>
      <c r="T788" s="364"/>
      <c r="U788" s="185"/>
      <c r="V788" s="185"/>
      <c r="W788" s="185"/>
      <c r="X788" s="185"/>
      <c r="Y788" s="185"/>
      <c r="Z788" s="185"/>
      <c r="AA788" s="185"/>
    </row>
    <row r="789" spans="1:27" ht="15.75" customHeight="1">
      <c r="A789" s="185"/>
      <c r="B789" s="360"/>
      <c r="C789" s="361"/>
      <c r="D789" s="185"/>
      <c r="E789" s="185"/>
      <c r="F789" s="362"/>
      <c r="G789" s="360"/>
      <c r="H789" s="185"/>
      <c r="I789" s="362"/>
      <c r="J789" s="185"/>
      <c r="K789" s="363"/>
      <c r="L789" s="363"/>
      <c r="M789" s="363"/>
      <c r="N789" s="363"/>
      <c r="O789" s="363"/>
      <c r="P789" s="363"/>
      <c r="Q789" s="362"/>
      <c r="R789" s="185"/>
      <c r="S789" s="185"/>
      <c r="T789" s="364"/>
      <c r="U789" s="185"/>
      <c r="V789" s="185"/>
      <c r="W789" s="185"/>
      <c r="X789" s="185"/>
      <c r="Y789" s="185"/>
      <c r="Z789" s="185"/>
      <c r="AA789" s="185"/>
    </row>
    <row r="790" spans="1:27" ht="15.75" customHeight="1">
      <c r="A790" s="185"/>
      <c r="B790" s="360"/>
      <c r="C790" s="361"/>
      <c r="D790" s="185"/>
      <c r="E790" s="185"/>
      <c r="F790" s="362"/>
      <c r="G790" s="360"/>
      <c r="H790" s="185"/>
      <c r="I790" s="362"/>
      <c r="J790" s="185"/>
      <c r="K790" s="363"/>
      <c r="L790" s="363"/>
      <c r="M790" s="363"/>
      <c r="N790" s="363"/>
      <c r="O790" s="363"/>
      <c r="P790" s="363"/>
      <c r="Q790" s="362"/>
      <c r="R790" s="185"/>
      <c r="S790" s="185"/>
      <c r="T790" s="364"/>
      <c r="U790" s="185"/>
      <c r="V790" s="185"/>
      <c r="W790" s="185"/>
      <c r="X790" s="185"/>
      <c r="Y790" s="185"/>
      <c r="Z790" s="185"/>
      <c r="AA790" s="185"/>
    </row>
    <row r="791" spans="1:27" ht="15.75" customHeight="1">
      <c r="A791" s="185"/>
      <c r="B791" s="360"/>
      <c r="C791" s="361"/>
      <c r="D791" s="185"/>
      <c r="E791" s="185"/>
      <c r="F791" s="362"/>
      <c r="G791" s="360"/>
      <c r="H791" s="185"/>
      <c r="I791" s="362"/>
      <c r="J791" s="185"/>
      <c r="K791" s="363"/>
      <c r="L791" s="363"/>
      <c r="M791" s="363"/>
      <c r="N791" s="363"/>
      <c r="O791" s="363"/>
      <c r="P791" s="363"/>
      <c r="Q791" s="362"/>
      <c r="R791" s="185"/>
      <c r="S791" s="185"/>
      <c r="T791" s="364"/>
      <c r="U791" s="185"/>
      <c r="V791" s="185"/>
      <c r="W791" s="185"/>
      <c r="X791" s="185"/>
      <c r="Y791" s="185"/>
      <c r="Z791" s="185"/>
      <c r="AA791" s="185"/>
    </row>
    <row r="792" spans="1:27" ht="15.75" customHeight="1">
      <c r="A792" s="185"/>
      <c r="B792" s="360"/>
      <c r="C792" s="361"/>
      <c r="D792" s="185"/>
      <c r="E792" s="185"/>
      <c r="F792" s="362"/>
      <c r="G792" s="360"/>
      <c r="H792" s="185"/>
      <c r="I792" s="362"/>
      <c r="J792" s="185"/>
      <c r="K792" s="363"/>
      <c r="L792" s="363"/>
      <c r="M792" s="363"/>
      <c r="N792" s="363"/>
      <c r="O792" s="363"/>
      <c r="P792" s="363"/>
      <c r="Q792" s="362"/>
      <c r="R792" s="185"/>
      <c r="S792" s="185"/>
      <c r="T792" s="364"/>
      <c r="U792" s="185"/>
      <c r="V792" s="185"/>
      <c r="W792" s="185"/>
      <c r="X792" s="185"/>
      <c r="Y792" s="185"/>
      <c r="Z792" s="185"/>
      <c r="AA792" s="185"/>
    </row>
    <row r="793" spans="1:27" ht="15.75" customHeight="1">
      <c r="A793" s="185"/>
      <c r="B793" s="360"/>
      <c r="C793" s="361"/>
      <c r="D793" s="185"/>
      <c r="E793" s="185"/>
      <c r="F793" s="362"/>
      <c r="G793" s="360"/>
      <c r="H793" s="185"/>
      <c r="I793" s="362"/>
      <c r="J793" s="185"/>
      <c r="K793" s="363"/>
      <c r="L793" s="363"/>
      <c r="M793" s="363"/>
      <c r="N793" s="363"/>
      <c r="O793" s="363"/>
      <c r="P793" s="363"/>
      <c r="Q793" s="362"/>
      <c r="R793" s="185"/>
      <c r="S793" s="185"/>
      <c r="T793" s="364"/>
      <c r="U793" s="185"/>
      <c r="V793" s="185"/>
      <c r="W793" s="185"/>
      <c r="X793" s="185"/>
      <c r="Y793" s="185"/>
      <c r="Z793" s="185"/>
      <c r="AA793" s="185"/>
    </row>
    <row r="794" spans="1:27" ht="15.75" customHeight="1">
      <c r="A794" s="185"/>
      <c r="B794" s="360"/>
      <c r="C794" s="361"/>
      <c r="D794" s="185"/>
      <c r="E794" s="185"/>
      <c r="F794" s="362"/>
      <c r="G794" s="360"/>
      <c r="H794" s="185"/>
      <c r="I794" s="362"/>
      <c r="J794" s="185"/>
      <c r="K794" s="363"/>
      <c r="L794" s="363"/>
      <c r="M794" s="363"/>
      <c r="N794" s="363"/>
      <c r="O794" s="363"/>
      <c r="P794" s="363"/>
      <c r="Q794" s="362"/>
      <c r="R794" s="185"/>
      <c r="S794" s="185"/>
      <c r="T794" s="364"/>
      <c r="U794" s="185"/>
      <c r="V794" s="185"/>
      <c r="W794" s="185"/>
      <c r="X794" s="185"/>
      <c r="Y794" s="185"/>
      <c r="Z794" s="185"/>
      <c r="AA794" s="185"/>
    </row>
    <row r="795" spans="1:27" ht="15.75" customHeight="1">
      <c r="A795" s="185"/>
      <c r="B795" s="360"/>
      <c r="C795" s="361"/>
      <c r="D795" s="185"/>
      <c r="E795" s="185"/>
      <c r="F795" s="362"/>
      <c r="G795" s="360"/>
      <c r="H795" s="185"/>
      <c r="I795" s="362"/>
      <c r="J795" s="185"/>
      <c r="K795" s="363"/>
      <c r="L795" s="363"/>
      <c r="M795" s="363"/>
      <c r="N795" s="363"/>
      <c r="O795" s="363"/>
      <c r="P795" s="363"/>
      <c r="Q795" s="362"/>
      <c r="R795" s="185"/>
      <c r="S795" s="185"/>
      <c r="T795" s="364"/>
      <c r="U795" s="185"/>
      <c r="V795" s="185"/>
      <c r="W795" s="185"/>
      <c r="X795" s="185"/>
      <c r="Y795" s="185"/>
      <c r="Z795" s="185"/>
      <c r="AA795" s="185"/>
    </row>
    <row r="796" spans="1:27" ht="15.75" customHeight="1">
      <c r="A796" s="185"/>
      <c r="B796" s="360"/>
      <c r="C796" s="361"/>
      <c r="D796" s="185"/>
      <c r="E796" s="185"/>
      <c r="F796" s="362"/>
      <c r="G796" s="360"/>
      <c r="H796" s="185"/>
      <c r="I796" s="362"/>
      <c r="J796" s="185"/>
      <c r="K796" s="363"/>
      <c r="L796" s="363"/>
      <c r="M796" s="363"/>
      <c r="N796" s="363"/>
      <c r="O796" s="363"/>
      <c r="P796" s="363"/>
      <c r="Q796" s="362"/>
      <c r="R796" s="185"/>
      <c r="S796" s="185"/>
      <c r="T796" s="364"/>
      <c r="U796" s="185"/>
      <c r="V796" s="185"/>
      <c r="W796" s="185"/>
      <c r="X796" s="185"/>
      <c r="Y796" s="185"/>
      <c r="Z796" s="185"/>
      <c r="AA796" s="185"/>
    </row>
    <row r="797" spans="1:27" ht="15.75" customHeight="1">
      <c r="A797" s="185"/>
      <c r="B797" s="360"/>
      <c r="C797" s="361"/>
      <c r="D797" s="185"/>
      <c r="E797" s="185"/>
      <c r="F797" s="362"/>
      <c r="G797" s="360"/>
      <c r="H797" s="185"/>
      <c r="I797" s="362"/>
      <c r="J797" s="185"/>
      <c r="K797" s="363"/>
      <c r="L797" s="363"/>
      <c r="M797" s="363"/>
      <c r="N797" s="363"/>
      <c r="O797" s="363"/>
      <c r="P797" s="363"/>
      <c r="Q797" s="362"/>
      <c r="R797" s="185"/>
      <c r="S797" s="185"/>
      <c r="T797" s="364"/>
      <c r="U797" s="185"/>
      <c r="V797" s="185"/>
      <c r="W797" s="185"/>
      <c r="X797" s="185"/>
      <c r="Y797" s="185"/>
      <c r="Z797" s="185"/>
      <c r="AA797" s="185"/>
    </row>
    <row r="798" spans="1:27" ht="15.75" customHeight="1">
      <c r="A798" s="185"/>
      <c r="B798" s="360"/>
      <c r="C798" s="361"/>
      <c r="D798" s="185"/>
      <c r="E798" s="185"/>
      <c r="F798" s="362"/>
      <c r="G798" s="360"/>
      <c r="H798" s="185"/>
      <c r="I798" s="362"/>
      <c r="J798" s="185"/>
      <c r="K798" s="363"/>
      <c r="L798" s="363"/>
      <c r="M798" s="363"/>
      <c r="N798" s="363"/>
      <c r="O798" s="363"/>
      <c r="P798" s="363"/>
      <c r="Q798" s="362"/>
      <c r="R798" s="185"/>
      <c r="S798" s="185"/>
      <c r="T798" s="364"/>
      <c r="U798" s="185"/>
      <c r="V798" s="185"/>
      <c r="W798" s="185"/>
      <c r="X798" s="185"/>
      <c r="Y798" s="185"/>
      <c r="Z798" s="185"/>
      <c r="AA798" s="185"/>
    </row>
    <row r="799" spans="1:27" ht="15.75" customHeight="1">
      <c r="A799" s="185"/>
      <c r="B799" s="360"/>
      <c r="C799" s="361"/>
      <c r="D799" s="185"/>
      <c r="E799" s="185"/>
      <c r="F799" s="362"/>
      <c r="G799" s="360"/>
      <c r="H799" s="185"/>
      <c r="I799" s="362"/>
      <c r="J799" s="185"/>
      <c r="K799" s="363"/>
      <c r="L799" s="363"/>
      <c r="M799" s="363"/>
      <c r="N799" s="363"/>
      <c r="O799" s="363"/>
      <c r="P799" s="363"/>
      <c r="Q799" s="362"/>
      <c r="R799" s="185"/>
      <c r="S799" s="185"/>
      <c r="T799" s="364"/>
      <c r="U799" s="185"/>
      <c r="V799" s="185"/>
      <c r="W799" s="185"/>
      <c r="X799" s="185"/>
      <c r="Y799" s="185"/>
      <c r="Z799" s="185"/>
      <c r="AA799" s="185"/>
    </row>
    <row r="800" spans="1:27" ht="15.75" customHeight="1">
      <c r="A800" s="185"/>
      <c r="B800" s="360"/>
      <c r="C800" s="361"/>
      <c r="D800" s="185"/>
      <c r="E800" s="185"/>
      <c r="F800" s="362"/>
      <c r="G800" s="360"/>
      <c r="H800" s="185"/>
      <c r="I800" s="362"/>
      <c r="J800" s="185"/>
      <c r="K800" s="363"/>
      <c r="L800" s="363"/>
      <c r="M800" s="363"/>
      <c r="N800" s="363"/>
      <c r="O800" s="363"/>
      <c r="P800" s="363"/>
      <c r="Q800" s="362"/>
      <c r="R800" s="185"/>
      <c r="S800" s="185"/>
      <c r="T800" s="364"/>
      <c r="U800" s="185"/>
      <c r="V800" s="185"/>
      <c r="W800" s="185"/>
      <c r="X800" s="185"/>
      <c r="Y800" s="185"/>
      <c r="Z800" s="185"/>
      <c r="AA800" s="185"/>
    </row>
    <row r="801" spans="1:27" ht="15.75" customHeight="1">
      <c r="A801" s="185"/>
      <c r="B801" s="360"/>
      <c r="C801" s="361"/>
      <c r="D801" s="185"/>
      <c r="E801" s="185"/>
      <c r="F801" s="362"/>
      <c r="G801" s="360"/>
      <c r="H801" s="185"/>
      <c r="I801" s="362"/>
      <c r="J801" s="185"/>
      <c r="K801" s="363"/>
      <c r="L801" s="363"/>
      <c r="M801" s="363"/>
      <c r="N801" s="363"/>
      <c r="O801" s="363"/>
      <c r="P801" s="363"/>
      <c r="Q801" s="362"/>
      <c r="R801" s="185"/>
      <c r="S801" s="185"/>
      <c r="T801" s="364"/>
      <c r="U801" s="185"/>
      <c r="V801" s="185"/>
      <c r="W801" s="185"/>
      <c r="X801" s="185"/>
      <c r="Y801" s="185"/>
      <c r="Z801" s="185"/>
      <c r="AA801" s="185"/>
    </row>
    <row r="802" spans="1:27" ht="15.75" customHeight="1">
      <c r="A802" s="185"/>
      <c r="B802" s="360"/>
      <c r="C802" s="361"/>
      <c r="D802" s="185"/>
      <c r="E802" s="185"/>
      <c r="F802" s="362"/>
      <c r="G802" s="360"/>
      <c r="H802" s="185"/>
      <c r="I802" s="362"/>
      <c r="J802" s="185"/>
      <c r="K802" s="363"/>
      <c r="L802" s="363"/>
      <c r="M802" s="363"/>
      <c r="N802" s="363"/>
      <c r="O802" s="363"/>
      <c r="P802" s="363"/>
      <c r="Q802" s="362"/>
      <c r="R802" s="185"/>
      <c r="S802" s="185"/>
      <c r="T802" s="364"/>
      <c r="U802" s="185"/>
      <c r="V802" s="185"/>
      <c r="W802" s="185"/>
      <c r="X802" s="185"/>
      <c r="Y802" s="185"/>
      <c r="Z802" s="185"/>
      <c r="AA802" s="185"/>
    </row>
    <row r="803" spans="1:27" ht="15.75" customHeight="1">
      <c r="A803" s="185"/>
      <c r="B803" s="360"/>
      <c r="C803" s="361"/>
      <c r="D803" s="185"/>
      <c r="E803" s="185"/>
      <c r="F803" s="362"/>
      <c r="G803" s="360"/>
      <c r="H803" s="185"/>
      <c r="I803" s="362"/>
      <c r="J803" s="185"/>
      <c r="K803" s="363"/>
      <c r="L803" s="363"/>
      <c r="M803" s="363"/>
      <c r="N803" s="363"/>
      <c r="O803" s="363"/>
      <c r="P803" s="363"/>
      <c r="Q803" s="362"/>
      <c r="R803" s="185"/>
      <c r="S803" s="185"/>
      <c r="T803" s="364"/>
      <c r="U803" s="185"/>
      <c r="V803" s="185"/>
      <c r="W803" s="185"/>
      <c r="X803" s="185"/>
      <c r="Y803" s="185"/>
      <c r="Z803" s="185"/>
      <c r="AA803" s="185"/>
    </row>
    <row r="804" spans="1:27" ht="15.75" customHeight="1">
      <c r="A804" s="185"/>
      <c r="B804" s="360"/>
      <c r="C804" s="361"/>
      <c r="D804" s="185"/>
      <c r="E804" s="185"/>
      <c r="F804" s="362"/>
      <c r="G804" s="360"/>
      <c r="H804" s="185"/>
      <c r="I804" s="362"/>
      <c r="J804" s="185"/>
      <c r="K804" s="363"/>
      <c r="L804" s="363"/>
      <c r="M804" s="363"/>
      <c r="N804" s="363"/>
      <c r="O804" s="363"/>
      <c r="P804" s="363"/>
      <c r="Q804" s="362"/>
      <c r="R804" s="185"/>
      <c r="S804" s="185"/>
      <c r="T804" s="364"/>
      <c r="U804" s="185"/>
      <c r="V804" s="185"/>
      <c r="W804" s="185"/>
      <c r="X804" s="185"/>
      <c r="Y804" s="185"/>
      <c r="Z804" s="185"/>
      <c r="AA804" s="185"/>
    </row>
    <row r="805" spans="1:27" ht="15.75" customHeight="1">
      <c r="A805" s="185"/>
      <c r="B805" s="360"/>
      <c r="C805" s="361"/>
      <c r="D805" s="185"/>
      <c r="E805" s="185"/>
      <c r="F805" s="362"/>
      <c r="G805" s="360"/>
      <c r="H805" s="185"/>
      <c r="I805" s="362"/>
      <c r="J805" s="185"/>
      <c r="K805" s="363"/>
      <c r="L805" s="363"/>
      <c r="M805" s="363"/>
      <c r="N805" s="363"/>
      <c r="O805" s="363"/>
      <c r="P805" s="363"/>
      <c r="Q805" s="362"/>
      <c r="R805" s="185"/>
      <c r="S805" s="185"/>
      <c r="T805" s="364"/>
      <c r="U805" s="185"/>
      <c r="V805" s="185"/>
      <c r="W805" s="185"/>
      <c r="X805" s="185"/>
      <c r="Y805" s="185"/>
      <c r="Z805" s="185"/>
      <c r="AA805" s="185"/>
    </row>
    <row r="806" spans="1:27" ht="15.75" customHeight="1">
      <c r="A806" s="185"/>
      <c r="B806" s="360"/>
      <c r="C806" s="361"/>
      <c r="D806" s="185"/>
      <c r="E806" s="185"/>
      <c r="F806" s="362"/>
      <c r="G806" s="360"/>
      <c r="H806" s="185"/>
      <c r="I806" s="362"/>
      <c r="J806" s="185"/>
      <c r="K806" s="363"/>
      <c r="L806" s="363"/>
      <c r="M806" s="363"/>
      <c r="N806" s="363"/>
      <c r="O806" s="363"/>
      <c r="P806" s="363"/>
      <c r="Q806" s="362"/>
      <c r="R806" s="185"/>
      <c r="S806" s="185"/>
      <c r="T806" s="364"/>
      <c r="U806" s="185"/>
      <c r="V806" s="185"/>
      <c r="W806" s="185"/>
      <c r="X806" s="185"/>
      <c r="Y806" s="185"/>
      <c r="Z806" s="185"/>
      <c r="AA806" s="185"/>
    </row>
    <row r="807" spans="1:27" ht="15.75" customHeight="1">
      <c r="A807" s="185"/>
      <c r="B807" s="360"/>
      <c r="C807" s="361"/>
      <c r="D807" s="185"/>
      <c r="E807" s="185"/>
      <c r="F807" s="362"/>
      <c r="G807" s="360"/>
      <c r="H807" s="185"/>
      <c r="I807" s="362"/>
      <c r="J807" s="185"/>
      <c r="K807" s="363"/>
      <c r="L807" s="363"/>
      <c r="M807" s="363"/>
      <c r="N807" s="363"/>
      <c r="O807" s="363"/>
      <c r="P807" s="363"/>
      <c r="Q807" s="362"/>
      <c r="R807" s="185"/>
      <c r="S807" s="185"/>
      <c r="T807" s="364"/>
      <c r="U807" s="185"/>
      <c r="V807" s="185"/>
      <c r="W807" s="185"/>
      <c r="X807" s="185"/>
      <c r="Y807" s="185"/>
      <c r="Z807" s="185"/>
      <c r="AA807" s="185"/>
    </row>
    <row r="808" spans="1:27" ht="15.75" customHeight="1">
      <c r="A808" s="185"/>
      <c r="B808" s="360"/>
      <c r="C808" s="361"/>
      <c r="D808" s="185"/>
      <c r="E808" s="185"/>
      <c r="F808" s="362"/>
      <c r="G808" s="360"/>
      <c r="H808" s="185"/>
      <c r="I808" s="362"/>
      <c r="J808" s="185"/>
      <c r="K808" s="363"/>
      <c r="L808" s="363"/>
      <c r="M808" s="363"/>
      <c r="N808" s="363"/>
      <c r="O808" s="363"/>
      <c r="P808" s="363"/>
      <c r="Q808" s="362"/>
      <c r="R808" s="185"/>
      <c r="S808" s="185"/>
      <c r="T808" s="364"/>
      <c r="U808" s="185"/>
      <c r="V808" s="185"/>
      <c r="W808" s="185"/>
      <c r="X808" s="185"/>
      <c r="Y808" s="185"/>
      <c r="Z808" s="185"/>
      <c r="AA808" s="185"/>
    </row>
    <row r="809" spans="1:27" ht="15.75" customHeight="1">
      <c r="A809" s="185"/>
      <c r="B809" s="360"/>
      <c r="C809" s="361"/>
      <c r="D809" s="185"/>
      <c r="E809" s="185"/>
      <c r="F809" s="362"/>
      <c r="G809" s="360"/>
      <c r="H809" s="185"/>
      <c r="I809" s="362"/>
      <c r="J809" s="185"/>
      <c r="K809" s="363"/>
      <c r="L809" s="363"/>
      <c r="M809" s="363"/>
      <c r="N809" s="363"/>
      <c r="O809" s="363"/>
      <c r="P809" s="363"/>
      <c r="Q809" s="362"/>
      <c r="R809" s="185"/>
      <c r="S809" s="185"/>
      <c r="T809" s="364"/>
      <c r="U809" s="185"/>
      <c r="V809" s="185"/>
      <c r="W809" s="185"/>
      <c r="X809" s="185"/>
      <c r="Y809" s="185"/>
      <c r="Z809" s="185"/>
      <c r="AA809" s="185"/>
    </row>
    <row r="810" spans="1:27" ht="15.75" customHeight="1">
      <c r="A810" s="185"/>
      <c r="B810" s="360"/>
      <c r="C810" s="361"/>
      <c r="D810" s="185"/>
      <c r="E810" s="185"/>
      <c r="F810" s="362"/>
      <c r="G810" s="360"/>
      <c r="H810" s="185"/>
      <c r="I810" s="362"/>
      <c r="J810" s="185"/>
      <c r="K810" s="363"/>
      <c r="L810" s="363"/>
      <c r="M810" s="363"/>
      <c r="N810" s="363"/>
      <c r="O810" s="363"/>
      <c r="P810" s="363"/>
      <c r="Q810" s="362"/>
      <c r="R810" s="185"/>
      <c r="S810" s="185"/>
      <c r="T810" s="364"/>
      <c r="U810" s="185"/>
      <c r="V810" s="185"/>
      <c r="W810" s="185"/>
      <c r="X810" s="185"/>
      <c r="Y810" s="185"/>
      <c r="Z810" s="185"/>
      <c r="AA810" s="185"/>
    </row>
    <row r="811" spans="1:27" ht="15.75" customHeight="1">
      <c r="A811" s="185"/>
      <c r="B811" s="360"/>
      <c r="C811" s="361"/>
      <c r="D811" s="185"/>
      <c r="E811" s="185"/>
      <c r="F811" s="362"/>
      <c r="G811" s="360"/>
      <c r="H811" s="185"/>
      <c r="I811" s="362"/>
      <c r="J811" s="185"/>
      <c r="K811" s="363"/>
      <c r="L811" s="363"/>
      <c r="M811" s="363"/>
      <c r="N811" s="363"/>
      <c r="O811" s="363"/>
      <c r="P811" s="363"/>
      <c r="Q811" s="362"/>
      <c r="R811" s="185"/>
      <c r="S811" s="185"/>
      <c r="T811" s="364"/>
      <c r="U811" s="185"/>
      <c r="V811" s="185"/>
      <c r="W811" s="185"/>
      <c r="X811" s="185"/>
      <c r="Y811" s="185"/>
      <c r="Z811" s="185"/>
      <c r="AA811" s="185"/>
    </row>
    <row r="812" spans="1:27" ht="15.75" customHeight="1">
      <c r="A812" s="185"/>
      <c r="B812" s="360"/>
      <c r="C812" s="361"/>
      <c r="D812" s="185"/>
      <c r="E812" s="185"/>
      <c r="F812" s="362"/>
      <c r="G812" s="360"/>
      <c r="H812" s="185"/>
      <c r="I812" s="362"/>
      <c r="J812" s="185"/>
      <c r="K812" s="363"/>
      <c r="L812" s="363"/>
      <c r="M812" s="363"/>
      <c r="N812" s="363"/>
      <c r="O812" s="363"/>
      <c r="P812" s="363"/>
      <c r="Q812" s="362"/>
      <c r="R812" s="185"/>
      <c r="S812" s="185"/>
      <c r="T812" s="364"/>
      <c r="U812" s="185"/>
      <c r="V812" s="185"/>
      <c r="W812" s="185"/>
      <c r="X812" s="185"/>
      <c r="Y812" s="185"/>
      <c r="Z812" s="185"/>
      <c r="AA812" s="185"/>
    </row>
    <row r="813" spans="1:27" ht="15.75" customHeight="1">
      <c r="A813" s="185"/>
      <c r="B813" s="360"/>
      <c r="C813" s="361"/>
      <c r="D813" s="185"/>
      <c r="E813" s="185"/>
      <c r="F813" s="362"/>
      <c r="G813" s="360"/>
      <c r="H813" s="185"/>
      <c r="I813" s="362"/>
      <c r="J813" s="185"/>
      <c r="K813" s="363"/>
      <c r="L813" s="363"/>
      <c r="M813" s="363"/>
      <c r="N813" s="363"/>
      <c r="O813" s="363"/>
      <c r="P813" s="363"/>
      <c r="Q813" s="362"/>
      <c r="R813" s="185"/>
      <c r="S813" s="185"/>
      <c r="T813" s="364"/>
      <c r="U813" s="185"/>
      <c r="V813" s="185"/>
      <c r="W813" s="185"/>
      <c r="X813" s="185"/>
      <c r="Y813" s="185"/>
      <c r="Z813" s="185"/>
      <c r="AA813" s="185"/>
    </row>
    <row r="814" spans="1:27" ht="15.75" customHeight="1">
      <c r="A814" s="185"/>
      <c r="B814" s="360"/>
      <c r="C814" s="361"/>
      <c r="D814" s="185"/>
      <c r="E814" s="185"/>
      <c r="F814" s="362"/>
      <c r="G814" s="360"/>
      <c r="H814" s="185"/>
      <c r="I814" s="362"/>
      <c r="J814" s="185"/>
      <c r="K814" s="363"/>
      <c r="L814" s="363"/>
      <c r="M814" s="363"/>
      <c r="N814" s="363"/>
      <c r="O814" s="363"/>
      <c r="P814" s="363"/>
      <c r="Q814" s="362"/>
      <c r="R814" s="185"/>
      <c r="S814" s="185"/>
      <c r="T814" s="364"/>
      <c r="U814" s="185"/>
      <c r="V814" s="185"/>
      <c r="W814" s="185"/>
      <c r="X814" s="185"/>
      <c r="Y814" s="185"/>
      <c r="Z814" s="185"/>
      <c r="AA814" s="185"/>
    </row>
    <row r="815" spans="1:27" ht="15.75" customHeight="1">
      <c r="A815" s="185"/>
      <c r="B815" s="360"/>
      <c r="C815" s="361"/>
      <c r="D815" s="185"/>
      <c r="E815" s="185"/>
      <c r="F815" s="362"/>
      <c r="G815" s="360"/>
      <c r="H815" s="185"/>
      <c r="I815" s="362"/>
      <c r="J815" s="185"/>
      <c r="K815" s="363"/>
      <c r="L815" s="363"/>
      <c r="M815" s="363"/>
      <c r="N815" s="363"/>
      <c r="O815" s="363"/>
      <c r="P815" s="363"/>
      <c r="Q815" s="362"/>
      <c r="R815" s="185"/>
      <c r="S815" s="185"/>
      <c r="T815" s="364"/>
      <c r="U815" s="185"/>
      <c r="V815" s="185"/>
      <c r="W815" s="185"/>
      <c r="X815" s="185"/>
      <c r="Y815" s="185"/>
      <c r="Z815" s="185"/>
      <c r="AA815" s="185"/>
    </row>
    <row r="816" spans="1:27" ht="15.75" customHeight="1">
      <c r="A816" s="185"/>
      <c r="B816" s="360"/>
      <c r="C816" s="361"/>
      <c r="D816" s="185"/>
      <c r="E816" s="185"/>
      <c r="F816" s="362"/>
      <c r="G816" s="360"/>
      <c r="H816" s="185"/>
      <c r="I816" s="362"/>
      <c r="J816" s="185"/>
      <c r="K816" s="363"/>
      <c r="L816" s="363"/>
      <c r="M816" s="363"/>
      <c r="N816" s="363"/>
      <c r="O816" s="363"/>
      <c r="P816" s="363"/>
      <c r="Q816" s="362"/>
      <c r="R816" s="185"/>
      <c r="S816" s="185"/>
      <c r="T816" s="364"/>
      <c r="U816" s="185"/>
      <c r="V816" s="185"/>
      <c r="W816" s="185"/>
      <c r="X816" s="185"/>
      <c r="Y816" s="185"/>
      <c r="Z816" s="185"/>
      <c r="AA816" s="185"/>
    </row>
    <row r="817" spans="1:27" ht="15.75" customHeight="1">
      <c r="A817" s="185"/>
      <c r="B817" s="360"/>
      <c r="C817" s="361"/>
      <c r="D817" s="185"/>
      <c r="E817" s="185"/>
      <c r="F817" s="362"/>
      <c r="G817" s="360"/>
      <c r="H817" s="185"/>
      <c r="I817" s="362"/>
      <c r="J817" s="185"/>
      <c r="K817" s="363"/>
      <c r="L817" s="363"/>
      <c r="M817" s="363"/>
      <c r="N817" s="363"/>
      <c r="O817" s="363"/>
      <c r="P817" s="363"/>
      <c r="Q817" s="362"/>
      <c r="R817" s="185"/>
      <c r="S817" s="185"/>
      <c r="T817" s="364"/>
      <c r="U817" s="185"/>
      <c r="V817" s="185"/>
      <c r="W817" s="185"/>
      <c r="X817" s="185"/>
      <c r="Y817" s="185"/>
      <c r="Z817" s="185"/>
      <c r="AA817" s="185"/>
    </row>
    <row r="818" spans="1:27" ht="15.75" customHeight="1">
      <c r="A818" s="185"/>
      <c r="B818" s="360"/>
      <c r="C818" s="361"/>
      <c r="D818" s="185"/>
      <c r="E818" s="185"/>
      <c r="F818" s="362"/>
      <c r="G818" s="360"/>
      <c r="H818" s="185"/>
      <c r="I818" s="362"/>
      <c r="J818" s="185"/>
      <c r="K818" s="363"/>
      <c r="L818" s="363"/>
      <c r="M818" s="363"/>
      <c r="N818" s="363"/>
      <c r="O818" s="363"/>
      <c r="P818" s="363"/>
      <c r="Q818" s="362"/>
      <c r="R818" s="185"/>
      <c r="S818" s="185"/>
      <c r="T818" s="364"/>
      <c r="U818" s="185"/>
      <c r="V818" s="185"/>
      <c r="W818" s="185"/>
      <c r="X818" s="185"/>
      <c r="Y818" s="185"/>
      <c r="Z818" s="185"/>
      <c r="AA818" s="185"/>
    </row>
    <row r="819" spans="1:27" ht="15.75" customHeight="1">
      <c r="A819" s="185"/>
      <c r="B819" s="360"/>
      <c r="C819" s="361"/>
      <c r="D819" s="185"/>
      <c r="E819" s="185"/>
      <c r="F819" s="362"/>
      <c r="G819" s="360"/>
      <c r="H819" s="185"/>
      <c r="I819" s="362"/>
      <c r="J819" s="185"/>
      <c r="K819" s="363"/>
      <c r="L819" s="363"/>
      <c r="M819" s="363"/>
      <c r="N819" s="363"/>
      <c r="O819" s="363"/>
      <c r="P819" s="363"/>
      <c r="Q819" s="362"/>
      <c r="R819" s="185"/>
      <c r="S819" s="185"/>
      <c r="T819" s="364"/>
      <c r="U819" s="185"/>
      <c r="V819" s="185"/>
      <c r="W819" s="185"/>
      <c r="X819" s="185"/>
      <c r="Y819" s="185"/>
      <c r="Z819" s="185"/>
      <c r="AA819" s="185"/>
    </row>
    <row r="820" spans="1:27" ht="15.75" customHeight="1">
      <c r="A820" s="185"/>
      <c r="B820" s="360"/>
      <c r="C820" s="361"/>
      <c r="D820" s="185"/>
      <c r="E820" s="185"/>
      <c r="F820" s="362"/>
      <c r="G820" s="360"/>
      <c r="H820" s="185"/>
      <c r="I820" s="362"/>
      <c r="J820" s="185"/>
      <c r="K820" s="363"/>
      <c r="L820" s="363"/>
      <c r="M820" s="363"/>
      <c r="N820" s="363"/>
      <c r="O820" s="363"/>
      <c r="P820" s="363"/>
      <c r="Q820" s="362"/>
      <c r="R820" s="185"/>
      <c r="S820" s="185"/>
      <c r="T820" s="364"/>
      <c r="U820" s="185"/>
      <c r="V820" s="185"/>
      <c r="W820" s="185"/>
      <c r="X820" s="185"/>
      <c r="Y820" s="185"/>
      <c r="Z820" s="185"/>
      <c r="AA820" s="185"/>
    </row>
    <row r="821" spans="1:27" ht="15.75" customHeight="1">
      <c r="A821" s="185"/>
      <c r="B821" s="360"/>
      <c r="C821" s="361"/>
      <c r="D821" s="185"/>
      <c r="E821" s="185"/>
      <c r="F821" s="362"/>
      <c r="G821" s="360"/>
      <c r="H821" s="185"/>
      <c r="I821" s="362"/>
      <c r="J821" s="185"/>
      <c r="K821" s="363"/>
      <c r="L821" s="363"/>
      <c r="M821" s="363"/>
      <c r="N821" s="363"/>
      <c r="O821" s="363"/>
      <c r="P821" s="363"/>
      <c r="Q821" s="362"/>
      <c r="R821" s="185"/>
      <c r="S821" s="185"/>
      <c r="T821" s="364"/>
      <c r="U821" s="185"/>
      <c r="V821" s="185"/>
      <c r="W821" s="185"/>
      <c r="X821" s="185"/>
      <c r="Y821" s="185"/>
      <c r="Z821" s="185"/>
      <c r="AA821" s="185"/>
    </row>
    <row r="822" spans="1:27" ht="15.75" customHeight="1">
      <c r="A822" s="185"/>
      <c r="B822" s="360"/>
      <c r="C822" s="361"/>
      <c r="D822" s="185"/>
      <c r="E822" s="185"/>
      <c r="F822" s="362"/>
      <c r="G822" s="360"/>
      <c r="H822" s="185"/>
      <c r="I822" s="362"/>
      <c r="J822" s="185"/>
      <c r="K822" s="363"/>
      <c r="L822" s="363"/>
      <c r="M822" s="363"/>
      <c r="N822" s="363"/>
      <c r="O822" s="363"/>
      <c r="P822" s="363"/>
      <c r="Q822" s="362"/>
      <c r="R822" s="185"/>
      <c r="S822" s="185"/>
      <c r="T822" s="364"/>
      <c r="U822" s="185"/>
      <c r="V822" s="185"/>
      <c r="W822" s="185"/>
      <c r="X822" s="185"/>
      <c r="Y822" s="185"/>
      <c r="Z822" s="185"/>
      <c r="AA822" s="185"/>
    </row>
    <row r="823" spans="1:27" ht="15.75" customHeight="1">
      <c r="A823" s="185"/>
      <c r="B823" s="360"/>
      <c r="C823" s="361"/>
      <c r="D823" s="185"/>
      <c r="E823" s="185"/>
      <c r="F823" s="362"/>
      <c r="G823" s="360"/>
      <c r="H823" s="185"/>
      <c r="I823" s="362"/>
      <c r="J823" s="185"/>
      <c r="K823" s="363"/>
      <c r="L823" s="363"/>
      <c r="M823" s="363"/>
      <c r="N823" s="363"/>
      <c r="O823" s="363"/>
      <c r="P823" s="363"/>
      <c r="Q823" s="362"/>
      <c r="R823" s="185"/>
      <c r="S823" s="185"/>
      <c r="T823" s="364"/>
      <c r="U823" s="185"/>
      <c r="V823" s="185"/>
      <c r="W823" s="185"/>
      <c r="X823" s="185"/>
      <c r="Y823" s="185"/>
      <c r="Z823" s="185"/>
      <c r="AA823" s="185"/>
    </row>
    <row r="824" spans="1:27" ht="15.75" customHeight="1">
      <c r="A824" s="185"/>
      <c r="B824" s="360"/>
      <c r="C824" s="361"/>
      <c r="D824" s="185"/>
      <c r="E824" s="185"/>
      <c r="F824" s="362"/>
      <c r="G824" s="360"/>
      <c r="H824" s="185"/>
      <c r="I824" s="362"/>
      <c r="J824" s="185"/>
      <c r="K824" s="363"/>
      <c r="L824" s="363"/>
      <c r="M824" s="363"/>
      <c r="N824" s="363"/>
      <c r="O824" s="363"/>
      <c r="P824" s="363"/>
      <c r="Q824" s="362"/>
      <c r="R824" s="185"/>
      <c r="S824" s="185"/>
      <c r="T824" s="364"/>
      <c r="U824" s="185"/>
      <c r="V824" s="185"/>
      <c r="W824" s="185"/>
      <c r="X824" s="185"/>
      <c r="Y824" s="185"/>
      <c r="Z824" s="185"/>
      <c r="AA824" s="185"/>
    </row>
    <row r="825" spans="1:27" ht="15.75" customHeight="1">
      <c r="A825" s="185"/>
      <c r="B825" s="360"/>
      <c r="C825" s="361"/>
      <c r="D825" s="185"/>
      <c r="E825" s="185"/>
      <c r="F825" s="362"/>
      <c r="G825" s="360"/>
      <c r="H825" s="185"/>
      <c r="I825" s="362"/>
      <c r="J825" s="185"/>
      <c r="K825" s="363"/>
      <c r="L825" s="363"/>
      <c r="M825" s="363"/>
      <c r="N825" s="363"/>
      <c r="O825" s="363"/>
      <c r="P825" s="363"/>
      <c r="Q825" s="362"/>
      <c r="R825" s="185"/>
      <c r="S825" s="185"/>
      <c r="T825" s="364"/>
      <c r="U825" s="185"/>
      <c r="V825" s="185"/>
      <c r="W825" s="185"/>
      <c r="X825" s="185"/>
      <c r="Y825" s="185"/>
      <c r="Z825" s="185"/>
      <c r="AA825" s="185"/>
    </row>
    <row r="826" spans="1:27" ht="15.75" customHeight="1">
      <c r="A826" s="185"/>
      <c r="B826" s="360"/>
      <c r="C826" s="361"/>
      <c r="D826" s="185"/>
      <c r="E826" s="185"/>
      <c r="F826" s="362"/>
      <c r="G826" s="360"/>
      <c r="H826" s="185"/>
      <c r="I826" s="362"/>
      <c r="J826" s="185"/>
      <c r="K826" s="363"/>
      <c r="L826" s="363"/>
      <c r="M826" s="363"/>
      <c r="N826" s="363"/>
      <c r="O826" s="363"/>
      <c r="P826" s="363"/>
      <c r="Q826" s="362"/>
      <c r="R826" s="185"/>
      <c r="S826" s="185"/>
      <c r="T826" s="364"/>
      <c r="U826" s="185"/>
      <c r="V826" s="185"/>
      <c r="W826" s="185"/>
      <c r="X826" s="185"/>
      <c r="Y826" s="185"/>
      <c r="Z826" s="185"/>
      <c r="AA826" s="185"/>
    </row>
    <row r="827" spans="1:27" ht="15.75" customHeight="1">
      <c r="A827" s="185"/>
      <c r="B827" s="360"/>
      <c r="C827" s="361"/>
      <c r="D827" s="185"/>
      <c r="E827" s="185"/>
      <c r="F827" s="362"/>
      <c r="G827" s="360"/>
      <c r="H827" s="185"/>
      <c r="I827" s="362"/>
      <c r="J827" s="185"/>
      <c r="K827" s="363"/>
      <c r="L827" s="363"/>
      <c r="M827" s="363"/>
      <c r="N827" s="363"/>
      <c r="O827" s="363"/>
      <c r="P827" s="363"/>
      <c r="Q827" s="362"/>
      <c r="R827" s="185"/>
      <c r="S827" s="185"/>
      <c r="T827" s="364"/>
      <c r="U827" s="185"/>
      <c r="V827" s="185"/>
      <c r="W827" s="185"/>
      <c r="X827" s="185"/>
      <c r="Y827" s="185"/>
      <c r="Z827" s="185"/>
      <c r="AA827" s="185"/>
    </row>
    <row r="828" spans="1:27" ht="15.75" customHeight="1">
      <c r="A828" s="185"/>
      <c r="B828" s="360"/>
      <c r="C828" s="361"/>
      <c r="D828" s="185"/>
      <c r="E828" s="185"/>
      <c r="F828" s="362"/>
      <c r="G828" s="360"/>
      <c r="H828" s="185"/>
      <c r="I828" s="362"/>
      <c r="J828" s="185"/>
      <c r="K828" s="363"/>
      <c r="L828" s="363"/>
      <c r="M828" s="363"/>
      <c r="N828" s="363"/>
      <c r="O828" s="363"/>
      <c r="P828" s="363"/>
      <c r="Q828" s="362"/>
      <c r="R828" s="185"/>
      <c r="S828" s="185"/>
      <c r="T828" s="364"/>
      <c r="U828" s="185"/>
      <c r="V828" s="185"/>
      <c r="W828" s="185"/>
      <c r="X828" s="185"/>
      <c r="Y828" s="185"/>
      <c r="Z828" s="185"/>
      <c r="AA828" s="185"/>
    </row>
    <row r="829" spans="1:27" ht="15.75" customHeight="1">
      <c r="A829" s="185"/>
      <c r="B829" s="360"/>
      <c r="C829" s="361"/>
      <c r="D829" s="185"/>
      <c r="E829" s="185"/>
      <c r="F829" s="362"/>
      <c r="G829" s="360"/>
      <c r="H829" s="185"/>
      <c r="I829" s="362"/>
      <c r="J829" s="185"/>
      <c r="K829" s="363"/>
      <c r="L829" s="363"/>
      <c r="M829" s="363"/>
      <c r="N829" s="363"/>
      <c r="O829" s="363"/>
      <c r="P829" s="363"/>
      <c r="Q829" s="362"/>
      <c r="R829" s="185"/>
      <c r="S829" s="185"/>
      <c r="T829" s="364"/>
      <c r="U829" s="185"/>
      <c r="V829" s="185"/>
      <c r="W829" s="185"/>
      <c r="X829" s="185"/>
      <c r="Y829" s="185"/>
      <c r="Z829" s="185"/>
      <c r="AA829" s="185"/>
    </row>
    <row r="830" spans="1:27" ht="15.75" customHeight="1">
      <c r="A830" s="185"/>
      <c r="B830" s="360"/>
      <c r="C830" s="361"/>
      <c r="D830" s="185"/>
      <c r="E830" s="185"/>
      <c r="F830" s="362"/>
      <c r="G830" s="360"/>
      <c r="H830" s="185"/>
      <c r="I830" s="362"/>
      <c r="J830" s="185"/>
      <c r="K830" s="363"/>
      <c r="L830" s="363"/>
      <c r="M830" s="363"/>
      <c r="N830" s="363"/>
      <c r="O830" s="363"/>
      <c r="P830" s="363"/>
      <c r="Q830" s="362"/>
      <c r="R830" s="185"/>
      <c r="S830" s="185"/>
      <c r="T830" s="364"/>
      <c r="U830" s="185"/>
      <c r="V830" s="185"/>
      <c r="W830" s="185"/>
      <c r="X830" s="185"/>
      <c r="Y830" s="185"/>
      <c r="Z830" s="185"/>
      <c r="AA830" s="185"/>
    </row>
    <row r="831" spans="1:27" ht="15.75" customHeight="1">
      <c r="A831" s="185"/>
      <c r="B831" s="360"/>
      <c r="C831" s="361"/>
      <c r="D831" s="185"/>
      <c r="E831" s="185"/>
      <c r="F831" s="362"/>
      <c r="G831" s="360"/>
      <c r="H831" s="185"/>
      <c r="I831" s="362"/>
      <c r="J831" s="185"/>
      <c r="K831" s="363"/>
      <c r="L831" s="363"/>
      <c r="M831" s="363"/>
      <c r="N831" s="363"/>
      <c r="O831" s="363"/>
      <c r="P831" s="363"/>
      <c r="Q831" s="362"/>
      <c r="R831" s="185"/>
      <c r="S831" s="185"/>
      <c r="T831" s="364"/>
      <c r="U831" s="185"/>
      <c r="V831" s="185"/>
      <c r="W831" s="185"/>
      <c r="X831" s="185"/>
      <c r="Y831" s="185"/>
      <c r="Z831" s="185"/>
      <c r="AA831" s="185"/>
    </row>
    <row r="832" spans="1:27" ht="15.75" customHeight="1">
      <c r="A832" s="185"/>
      <c r="B832" s="360"/>
      <c r="C832" s="361"/>
      <c r="D832" s="185"/>
      <c r="E832" s="185"/>
      <c r="F832" s="362"/>
      <c r="G832" s="360"/>
      <c r="H832" s="185"/>
      <c r="I832" s="362"/>
      <c r="J832" s="185"/>
      <c r="K832" s="363"/>
      <c r="L832" s="363"/>
      <c r="M832" s="363"/>
      <c r="N832" s="363"/>
      <c r="O832" s="363"/>
      <c r="P832" s="363"/>
      <c r="Q832" s="362"/>
      <c r="R832" s="185"/>
      <c r="S832" s="185"/>
      <c r="T832" s="364"/>
      <c r="U832" s="185"/>
      <c r="V832" s="185"/>
      <c r="W832" s="185"/>
      <c r="X832" s="185"/>
      <c r="Y832" s="185"/>
      <c r="Z832" s="185"/>
      <c r="AA832" s="185"/>
    </row>
    <row r="833" spans="1:27" ht="15.75" customHeight="1">
      <c r="A833" s="185"/>
      <c r="B833" s="360"/>
      <c r="C833" s="361"/>
      <c r="D833" s="185"/>
      <c r="E833" s="185"/>
      <c r="F833" s="362"/>
      <c r="G833" s="360"/>
      <c r="H833" s="185"/>
      <c r="I833" s="362"/>
      <c r="J833" s="185"/>
      <c r="K833" s="363"/>
      <c r="L833" s="363"/>
      <c r="M833" s="363"/>
      <c r="N833" s="363"/>
      <c r="O833" s="363"/>
      <c r="P833" s="363"/>
      <c r="Q833" s="362"/>
      <c r="R833" s="185"/>
      <c r="S833" s="185"/>
      <c r="T833" s="364"/>
      <c r="U833" s="185"/>
      <c r="V833" s="185"/>
      <c r="W833" s="185"/>
      <c r="X833" s="185"/>
      <c r="Y833" s="185"/>
      <c r="Z833" s="185"/>
      <c r="AA833" s="185"/>
    </row>
    <row r="834" spans="1:27" ht="15.75" customHeight="1">
      <c r="A834" s="185"/>
      <c r="B834" s="360"/>
      <c r="C834" s="361"/>
      <c r="D834" s="185"/>
      <c r="E834" s="185"/>
      <c r="F834" s="362"/>
      <c r="G834" s="360"/>
      <c r="H834" s="185"/>
      <c r="I834" s="362"/>
      <c r="J834" s="185"/>
      <c r="K834" s="363"/>
      <c r="L834" s="363"/>
      <c r="M834" s="363"/>
      <c r="N834" s="363"/>
      <c r="O834" s="363"/>
      <c r="P834" s="363"/>
      <c r="Q834" s="362"/>
      <c r="R834" s="185"/>
      <c r="S834" s="185"/>
      <c r="T834" s="364"/>
      <c r="U834" s="185"/>
      <c r="V834" s="185"/>
      <c r="W834" s="185"/>
      <c r="X834" s="185"/>
      <c r="Y834" s="185"/>
      <c r="Z834" s="185"/>
      <c r="AA834" s="185"/>
    </row>
    <row r="835" spans="1:27" ht="15.75" customHeight="1">
      <c r="A835" s="185"/>
      <c r="B835" s="360"/>
      <c r="C835" s="361"/>
      <c r="D835" s="185"/>
      <c r="E835" s="185"/>
      <c r="F835" s="362"/>
      <c r="G835" s="360"/>
      <c r="H835" s="185"/>
      <c r="I835" s="362"/>
      <c r="J835" s="185"/>
      <c r="K835" s="363"/>
      <c r="L835" s="363"/>
      <c r="M835" s="363"/>
      <c r="N835" s="363"/>
      <c r="O835" s="363"/>
      <c r="P835" s="363"/>
      <c r="Q835" s="362"/>
      <c r="R835" s="185"/>
      <c r="S835" s="185"/>
      <c r="T835" s="364"/>
      <c r="U835" s="185"/>
      <c r="V835" s="185"/>
      <c r="W835" s="185"/>
      <c r="X835" s="185"/>
      <c r="Y835" s="185"/>
      <c r="Z835" s="185"/>
      <c r="AA835" s="185"/>
    </row>
    <row r="836" spans="1:27" ht="15.75" customHeight="1">
      <c r="A836" s="185"/>
      <c r="B836" s="360"/>
      <c r="C836" s="361"/>
      <c r="D836" s="185"/>
      <c r="E836" s="185"/>
      <c r="F836" s="362"/>
      <c r="G836" s="360"/>
      <c r="H836" s="185"/>
      <c r="I836" s="362"/>
      <c r="J836" s="185"/>
      <c r="K836" s="363"/>
      <c r="L836" s="363"/>
      <c r="M836" s="363"/>
      <c r="N836" s="363"/>
      <c r="O836" s="363"/>
      <c r="P836" s="363"/>
      <c r="Q836" s="362"/>
      <c r="R836" s="185"/>
      <c r="S836" s="185"/>
      <c r="T836" s="364"/>
      <c r="U836" s="185"/>
      <c r="V836" s="185"/>
      <c r="W836" s="185"/>
      <c r="X836" s="185"/>
      <c r="Y836" s="185"/>
      <c r="Z836" s="185"/>
      <c r="AA836" s="185"/>
    </row>
    <row r="837" spans="1:27" ht="15.75" customHeight="1">
      <c r="A837" s="185"/>
      <c r="B837" s="360"/>
      <c r="C837" s="361"/>
      <c r="D837" s="185"/>
      <c r="E837" s="185"/>
      <c r="F837" s="362"/>
      <c r="G837" s="360"/>
      <c r="H837" s="185"/>
      <c r="I837" s="362"/>
      <c r="J837" s="185"/>
      <c r="K837" s="363"/>
      <c r="L837" s="363"/>
      <c r="M837" s="363"/>
      <c r="N837" s="363"/>
      <c r="O837" s="363"/>
      <c r="P837" s="363"/>
      <c r="Q837" s="362"/>
      <c r="R837" s="185"/>
      <c r="S837" s="185"/>
      <c r="T837" s="364"/>
      <c r="U837" s="185"/>
      <c r="V837" s="185"/>
      <c r="W837" s="185"/>
      <c r="X837" s="185"/>
      <c r="Y837" s="185"/>
      <c r="Z837" s="185"/>
      <c r="AA837" s="185"/>
    </row>
    <row r="838" spans="1:27" ht="15.75" customHeight="1">
      <c r="A838" s="185"/>
      <c r="B838" s="360"/>
      <c r="C838" s="361"/>
      <c r="D838" s="185"/>
      <c r="E838" s="185"/>
      <c r="F838" s="362"/>
      <c r="G838" s="360"/>
      <c r="H838" s="185"/>
      <c r="I838" s="362"/>
      <c r="J838" s="185"/>
      <c r="K838" s="363"/>
      <c r="L838" s="363"/>
      <c r="M838" s="363"/>
      <c r="N838" s="363"/>
      <c r="O838" s="363"/>
      <c r="P838" s="363"/>
      <c r="Q838" s="362"/>
      <c r="R838" s="185"/>
      <c r="S838" s="185"/>
      <c r="T838" s="364"/>
      <c r="U838" s="185"/>
      <c r="V838" s="185"/>
      <c r="W838" s="185"/>
      <c r="X838" s="185"/>
      <c r="Y838" s="185"/>
      <c r="Z838" s="185"/>
      <c r="AA838" s="185"/>
    </row>
    <row r="839" spans="1:27" ht="15.75" customHeight="1">
      <c r="A839" s="185"/>
      <c r="B839" s="360"/>
      <c r="C839" s="361"/>
      <c r="D839" s="185"/>
      <c r="E839" s="185"/>
      <c r="F839" s="362"/>
      <c r="G839" s="360"/>
      <c r="H839" s="185"/>
      <c r="I839" s="362"/>
      <c r="J839" s="185"/>
      <c r="K839" s="363"/>
      <c r="L839" s="363"/>
      <c r="M839" s="363"/>
      <c r="N839" s="363"/>
      <c r="O839" s="363"/>
      <c r="P839" s="363"/>
      <c r="Q839" s="362"/>
      <c r="R839" s="185"/>
      <c r="S839" s="185"/>
      <c r="T839" s="364"/>
      <c r="U839" s="185"/>
      <c r="V839" s="185"/>
      <c r="W839" s="185"/>
      <c r="X839" s="185"/>
      <c r="Y839" s="185"/>
      <c r="Z839" s="185"/>
      <c r="AA839" s="185"/>
    </row>
    <row r="840" spans="1:27" ht="15.75" customHeight="1">
      <c r="A840" s="185"/>
      <c r="B840" s="360"/>
      <c r="C840" s="361"/>
      <c r="D840" s="185"/>
      <c r="E840" s="185"/>
      <c r="F840" s="362"/>
      <c r="G840" s="360"/>
      <c r="H840" s="185"/>
      <c r="I840" s="362"/>
      <c r="J840" s="185"/>
      <c r="K840" s="363"/>
      <c r="L840" s="363"/>
      <c r="M840" s="363"/>
      <c r="N840" s="363"/>
      <c r="O840" s="363"/>
      <c r="P840" s="363"/>
      <c r="Q840" s="362"/>
      <c r="R840" s="185"/>
      <c r="S840" s="185"/>
      <c r="T840" s="364"/>
      <c r="U840" s="185"/>
      <c r="V840" s="185"/>
      <c r="W840" s="185"/>
      <c r="X840" s="185"/>
      <c r="Y840" s="185"/>
      <c r="Z840" s="185"/>
      <c r="AA840" s="185"/>
    </row>
    <row r="841" spans="1:27" ht="15.75" customHeight="1">
      <c r="A841" s="185"/>
      <c r="B841" s="360"/>
      <c r="C841" s="361"/>
      <c r="D841" s="185"/>
      <c r="E841" s="185"/>
      <c r="F841" s="362"/>
      <c r="G841" s="360"/>
      <c r="H841" s="185"/>
      <c r="I841" s="362"/>
      <c r="J841" s="185"/>
      <c r="K841" s="363"/>
      <c r="L841" s="363"/>
      <c r="M841" s="363"/>
      <c r="N841" s="363"/>
      <c r="O841" s="363"/>
      <c r="P841" s="363"/>
      <c r="Q841" s="362"/>
      <c r="R841" s="185"/>
      <c r="S841" s="185"/>
      <c r="T841" s="364"/>
      <c r="U841" s="185"/>
      <c r="V841" s="185"/>
      <c r="W841" s="185"/>
      <c r="X841" s="185"/>
      <c r="Y841" s="185"/>
      <c r="Z841" s="185"/>
      <c r="AA841" s="185"/>
    </row>
    <row r="842" spans="1:27" ht="15.75" customHeight="1">
      <c r="A842" s="185"/>
      <c r="B842" s="360"/>
      <c r="C842" s="361"/>
      <c r="D842" s="185"/>
      <c r="E842" s="185"/>
      <c r="F842" s="362"/>
      <c r="G842" s="360"/>
      <c r="H842" s="185"/>
      <c r="I842" s="362"/>
      <c r="J842" s="185"/>
      <c r="K842" s="363"/>
      <c r="L842" s="363"/>
      <c r="M842" s="363"/>
      <c r="N842" s="363"/>
      <c r="O842" s="363"/>
      <c r="P842" s="363"/>
      <c r="Q842" s="362"/>
      <c r="R842" s="185"/>
      <c r="S842" s="185"/>
      <c r="T842" s="364"/>
      <c r="U842" s="185"/>
      <c r="V842" s="185"/>
      <c r="W842" s="185"/>
      <c r="X842" s="185"/>
      <c r="Y842" s="185"/>
      <c r="Z842" s="185"/>
      <c r="AA842" s="185"/>
    </row>
    <row r="843" spans="1:27" ht="15.75" customHeight="1">
      <c r="A843" s="185"/>
      <c r="B843" s="360"/>
      <c r="C843" s="361"/>
      <c r="D843" s="185"/>
      <c r="E843" s="185"/>
      <c r="F843" s="362"/>
      <c r="G843" s="360"/>
      <c r="H843" s="185"/>
      <c r="I843" s="362"/>
      <c r="J843" s="185"/>
      <c r="K843" s="363"/>
      <c r="L843" s="363"/>
      <c r="M843" s="363"/>
      <c r="N843" s="363"/>
      <c r="O843" s="363"/>
      <c r="P843" s="363"/>
      <c r="Q843" s="362"/>
      <c r="R843" s="185"/>
      <c r="S843" s="185"/>
      <c r="T843" s="364"/>
      <c r="U843" s="185"/>
      <c r="V843" s="185"/>
      <c r="W843" s="185"/>
      <c r="X843" s="185"/>
      <c r="Y843" s="185"/>
      <c r="Z843" s="185"/>
      <c r="AA843" s="185"/>
    </row>
    <row r="844" spans="1:27" ht="15.75" customHeight="1">
      <c r="A844" s="185"/>
      <c r="B844" s="360"/>
      <c r="C844" s="361"/>
      <c r="D844" s="185"/>
      <c r="E844" s="185"/>
      <c r="F844" s="362"/>
      <c r="G844" s="360"/>
      <c r="H844" s="185"/>
      <c r="I844" s="362"/>
      <c r="J844" s="185"/>
      <c r="K844" s="363"/>
      <c r="L844" s="363"/>
      <c r="M844" s="363"/>
      <c r="N844" s="363"/>
      <c r="O844" s="363"/>
      <c r="P844" s="363"/>
      <c r="Q844" s="362"/>
      <c r="R844" s="185"/>
      <c r="S844" s="185"/>
      <c r="T844" s="364"/>
      <c r="U844" s="185"/>
      <c r="V844" s="185"/>
      <c r="W844" s="185"/>
      <c r="X844" s="185"/>
      <c r="Y844" s="185"/>
      <c r="Z844" s="185"/>
      <c r="AA844" s="185"/>
    </row>
    <row r="845" spans="1:27" ht="15.75" customHeight="1">
      <c r="A845" s="185"/>
      <c r="B845" s="360"/>
      <c r="C845" s="361"/>
      <c r="D845" s="185"/>
      <c r="E845" s="185"/>
      <c r="F845" s="362"/>
      <c r="G845" s="360"/>
      <c r="H845" s="185"/>
      <c r="I845" s="362"/>
      <c r="J845" s="185"/>
      <c r="K845" s="363"/>
      <c r="L845" s="363"/>
      <c r="M845" s="363"/>
      <c r="N845" s="363"/>
      <c r="O845" s="363"/>
      <c r="P845" s="363"/>
      <c r="Q845" s="362"/>
      <c r="R845" s="185"/>
      <c r="S845" s="185"/>
      <c r="T845" s="364"/>
      <c r="U845" s="185"/>
      <c r="V845" s="185"/>
      <c r="W845" s="185"/>
      <c r="X845" s="185"/>
      <c r="Y845" s="185"/>
      <c r="Z845" s="185"/>
      <c r="AA845" s="185"/>
    </row>
    <row r="846" spans="1:27" ht="15.75" customHeight="1">
      <c r="A846" s="185"/>
      <c r="B846" s="360"/>
      <c r="C846" s="361"/>
      <c r="D846" s="185"/>
      <c r="E846" s="185"/>
      <c r="F846" s="362"/>
      <c r="G846" s="360"/>
      <c r="H846" s="185"/>
      <c r="I846" s="362"/>
      <c r="J846" s="185"/>
      <c r="K846" s="363"/>
      <c r="L846" s="363"/>
      <c r="M846" s="363"/>
      <c r="N846" s="363"/>
      <c r="O846" s="363"/>
      <c r="P846" s="363"/>
      <c r="Q846" s="362"/>
      <c r="R846" s="185"/>
      <c r="S846" s="185"/>
      <c r="T846" s="364"/>
      <c r="U846" s="185"/>
      <c r="V846" s="185"/>
      <c r="W846" s="185"/>
      <c r="X846" s="185"/>
      <c r="Y846" s="185"/>
      <c r="Z846" s="185"/>
      <c r="AA846" s="185"/>
    </row>
    <row r="847" spans="1:27" ht="15.75" customHeight="1">
      <c r="A847" s="185"/>
      <c r="B847" s="360"/>
      <c r="C847" s="361"/>
      <c r="D847" s="185"/>
      <c r="E847" s="185"/>
      <c r="F847" s="362"/>
      <c r="G847" s="360"/>
      <c r="H847" s="185"/>
      <c r="I847" s="362"/>
      <c r="J847" s="185"/>
      <c r="K847" s="363"/>
      <c r="L847" s="363"/>
      <c r="M847" s="363"/>
      <c r="N847" s="363"/>
      <c r="O847" s="363"/>
      <c r="P847" s="363"/>
      <c r="Q847" s="362"/>
      <c r="R847" s="185"/>
      <c r="S847" s="185"/>
      <c r="T847" s="364"/>
      <c r="U847" s="185"/>
      <c r="V847" s="185"/>
      <c r="W847" s="185"/>
      <c r="X847" s="185"/>
      <c r="Y847" s="185"/>
      <c r="Z847" s="185"/>
      <c r="AA847" s="185"/>
    </row>
    <row r="848" spans="1:27" ht="15.75" customHeight="1">
      <c r="A848" s="185"/>
      <c r="B848" s="360"/>
      <c r="C848" s="361"/>
      <c r="D848" s="185"/>
      <c r="E848" s="185"/>
      <c r="F848" s="362"/>
      <c r="G848" s="360"/>
      <c r="H848" s="185"/>
      <c r="I848" s="362"/>
      <c r="J848" s="185"/>
      <c r="K848" s="363"/>
      <c r="L848" s="363"/>
      <c r="M848" s="363"/>
      <c r="N848" s="363"/>
      <c r="O848" s="363"/>
      <c r="P848" s="363"/>
      <c r="Q848" s="362"/>
      <c r="R848" s="185"/>
      <c r="S848" s="185"/>
      <c r="T848" s="364"/>
      <c r="U848" s="185"/>
      <c r="V848" s="185"/>
      <c r="W848" s="185"/>
      <c r="X848" s="185"/>
      <c r="Y848" s="185"/>
      <c r="Z848" s="185"/>
      <c r="AA848" s="185"/>
    </row>
    <row r="849" spans="1:27" ht="15.75" customHeight="1">
      <c r="A849" s="185"/>
      <c r="B849" s="360"/>
      <c r="C849" s="361"/>
      <c r="D849" s="185"/>
      <c r="E849" s="185"/>
      <c r="F849" s="362"/>
      <c r="G849" s="360"/>
      <c r="H849" s="185"/>
      <c r="I849" s="362"/>
      <c r="J849" s="185"/>
      <c r="K849" s="363"/>
      <c r="L849" s="363"/>
      <c r="M849" s="363"/>
      <c r="N849" s="363"/>
      <c r="O849" s="363"/>
      <c r="P849" s="363"/>
      <c r="Q849" s="362"/>
      <c r="R849" s="185"/>
      <c r="S849" s="185"/>
      <c r="T849" s="364"/>
      <c r="U849" s="185"/>
      <c r="V849" s="185"/>
      <c r="W849" s="185"/>
      <c r="X849" s="185"/>
      <c r="Y849" s="185"/>
      <c r="Z849" s="185"/>
      <c r="AA849" s="185"/>
    </row>
    <row r="850" spans="1:27" ht="15.75" customHeight="1">
      <c r="A850" s="185"/>
      <c r="B850" s="360"/>
      <c r="C850" s="361"/>
      <c r="D850" s="185"/>
      <c r="E850" s="185"/>
      <c r="F850" s="362"/>
      <c r="G850" s="360"/>
      <c r="H850" s="185"/>
      <c r="I850" s="362"/>
      <c r="J850" s="185"/>
      <c r="K850" s="363"/>
      <c r="L850" s="363"/>
      <c r="M850" s="363"/>
      <c r="N850" s="363"/>
      <c r="O850" s="363"/>
      <c r="P850" s="363"/>
      <c r="Q850" s="362"/>
      <c r="R850" s="185"/>
      <c r="S850" s="185"/>
      <c r="T850" s="364"/>
      <c r="U850" s="185"/>
      <c r="V850" s="185"/>
      <c r="W850" s="185"/>
      <c r="X850" s="185"/>
      <c r="Y850" s="185"/>
      <c r="Z850" s="185"/>
      <c r="AA850" s="185"/>
    </row>
    <row r="851" spans="1:27" ht="15.75" customHeight="1">
      <c r="A851" s="185"/>
      <c r="B851" s="360"/>
      <c r="C851" s="361"/>
      <c r="D851" s="185"/>
      <c r="E851" s="185"/>
      <c r="F851" s="362"/>
      <c r="G851" s="360"/>
      <c r="H851" s="185"/>
      <c r="I851" s="362"/>
      <c r="J851" s="185"/>
      <c r="K851" s="363"/>
      <c r="L851" s="363"/>
      <c r="M851" s="363"/>
      <c r="N851" s="363"/>
      <c r="O851" s="363"/>
      <c r="P851" s="363"/>
      <c r="Q851" s="362"/>
      <c r="R851" s="185"/>
      <c r="S851" s="185"/>
      <c r="T851" s="364"/>
      <c r="U851" s="185"/>
      <c r="V851" s="185"/>
      <c r="W851" s="185"/>
      <c r="X851" s="185"/>
      <c r="Y851" s="185"/>
      <c r="Z851" s="185"/>
      <c r="AA851" s="185"/>
    </row>
    <row r="852" spans="1:27" ht="15.75" customHeight="1">
      <c r="A852" s="185"/>
      <c r="B852" s="360"/>
      <c r="C852" s="361"/>
      <c r="D852" s="185"/>
      <c r="E852" s="185"/>
      <c r="F852" s="362"/>
      <c r="G852" s="360"/>
      <c r="H852" s="185"/>
      <c r="I852" s="362"/>
      <c r="J852" s="185"/>
      <c r="K852" s="363"/>
      <c r="L852" s="363"/>
      <c r="M852" s="363"/>
      <c r="N852" s="363"/>
      <c r="O852" s="363"/>
      <c r="P852" s="363"/>
      <c r="Q852" s="362"/>
      <c r="R852" s="185"/>
      <c r="S852" s="185"/>
      <c r="T852" s="364"/>
      <c r="U852" s="185"/>
      <c r="V852" s="185"/>
      <c r="W852" s="185"/>
      <c r="X852" s="185"/>
      <c r="Y852" s="185"/>
      <c r="Z852" s="185"/>
      <c r="AA852" s="185"/>
    </row>
    <row r="853" spans="1:27" ht="15.75" customHeight="1">
      <c r="A853" s="185"/>
      <c r="B853" s="360"/>
      <c r="C853" s="361"/>
      <c r="D853" s="185"/>
      <c r="E853" s="185"/>
      <c r="F853" s="362"/>
      <c r="G853" s="360"/>
      <c r="H853" s="185"/>
      <c r="I853" s="362"/>
      <c r="J853" s="185"/>
      <c r="K853" s="363"/>
      <c r="L853" s="363"/>
      <c r="M853" s="363"/>
      <c r="N853" s="363"/>
      <c r="O853" s="363"/>
      <c r="P853" s="363"/>
      <c r="Q853" s="362"/>
      <c r="R853" s="185"/>
      <c r="S853" s="185"/>
      <c r="T853" s="364"/>
      <c r="U853" s="185"/>
      <c r="V853" s="185"/>
      <c r="W853" s="185"/>
      <c r="X853" s="185"/>
      <c r="Y853" s="185"/>
      <c r="Z853" s="185"/>
      <c r="AA853" s="185"/>
    </row>
    <row r="854" spans="1:27" ht="15.75" customHeight="1">
      <c r="A854" s="185"/>
      <c r="B854" s="360"/>
      <c r="C854" s="361"/>
      <c r="D854" s="185"/>
      <c r="E854" s="185"/>
      <c r="F854" s="362"/>
      <c r="G854" s="360"/>
      <c r="H854" s="185"/>
      <c r="I854" s="362"/>
      <c r="J854" s="185"/>
      <c r="K854" s="363"/>
      <c r="L854" s="363"/>
      <c r="M854" s="363"/>
      <c r="N854" s="363"/>
      <c r="O854" s="363"/>
      <c r="P854" s="363"/>
      <c r="Q854" s="362"/>
      <c r="R854" s="185"/>
      <c r="S854" s="185"/>
      <c r="T854" s="364"/>
      <c r="U854" s="185"/>
      <c r="V854" s="185"/>
      <c r="W854" s="185"/>
      <c r="X854" s="185"/>
      <c r="Y854" s="185"/>
      <c r="Z854" s="185"/>
      <c r="AA854" s="185"/>
    </row>
    <row r="855" spans="1:27" ht="15.75" customHeight="1">
      <c r="A855" s="185"/>
      <c r="B855" s="360"/>
      <c r="C855" s="361"/>
      <c r="D855" s="185"/>
      <c r="E855" s="185"/>
      <c r="F855" s="362"/>
      <c r="G855" s="360"/>
      <c r="H855" s="185"/>
      <c r="I855" s="362"/>
      <c r="J855" s="185"/>
      <c r="K855" s="363"/>
      <c r="L855" s="363"/>
      <c r="M855" s="363"/>
      <c r="N855" s="363"/>
      <c r="O855" s="363"/>
      <c r="P855" s="363"/>
      <c r="Q855" s="362"/>
      <c r="R855" s="185"/>
      <c r="S855" s="185"/>
      <c r="T855" s="364"/>
      <c r="U855" s="185"/>
      <c r="V855" s="185"/>
      <c r="W855" s="185"/>
      <c r="X855" s="185"/>
      <c r="Y855" s="185"/>
      <c r="Z855" s="185"/>
      <c r="AA855" s="185"/>
    </row>
    <row r="856" spans="1:27" ht="15.75" customHeight="1">
      <c r="A856" s="185"/>
      <c r="B856" s="360"/>
      <c r="C856" s="361"/>
      <c r="D856" s="185"/>
      <c r="E856" s="185"/>
      <c r="F856" s="362"/>
      <c r="G856" s="360"/>
      <c r="H856" s="185"/>
      <c r="I856" s="362"/>
      <c r="J856" s="185"/>
      <c r="K856" s="363"/>
      <c r="L856" s="363"/>
      <c r="M856" s="363"/>
      <c r="N856" s="363"/>
      <c r="O856" s="363"/>
      <c r="P856" s="363"/>
      <c r="Q856" s="362"/>
      <c r="R856" s="185"/>
      <c r="S856" s="185"/>
      <c r="T856" s="364"/>
      <c r="U856" s="185"/>
      <c r="V856" s="185"/>
      <c r="W856" s="185"/>
      <c r="X856" s="185"/>
      <c r="Y856" s="185"/>
      <c r="Z856" s="185"/>
      <c r="AA856" s="185"/>
    </row>
    <row r="857" spans="1:27" ht="15.75" customHeight="1">
      <c r="A857" s="185"/>
      <c r="B857" s="360"/>
      <c r="C857" s="361"/>
      <c r="D857" s="185"/>
      <c r="E857" s="185"/>
      <c r="F857" s="362"/>
      <c r="G857" s="360"/>
      <c r="H857" s="185"/>
      <c r="I857" s="362"/>
      <c r="J857" s="185"/>
      <c r="K857" s="363"/>
      <c r="L857" s="363"/>
      <c r="M857" s="363"/>
      <c r="N857" s="363"/>
      <c r="O857" s="363"/>
      <c r="P857" s="363"/>
      <c r="Q857" s="362"/>
      <c r="R857" s="185"/>
      <c r="S857" s="185"/>
      <c r="T857" s="364"/>
      <c r="U857" s="185"/>
      <c r="V857" s="185"/>
      <c r="W857" s="185"/>
      <c r="X857" s="185"/>
      <c r="Y857" s="185"/>
      <c r="Z857" s="185"/>
      <c r="AA857" s="185"/>
    </row>
    <row r="858" spans="1:27" ht="15.75" customHeight="1">
      <c r="A858" s="185"/>
      <c r="B858" s="360"/>
      <c r="C858" s="361"/>
      <c r="D858" s="185"/>
      <c r="E858" s="185"/>
      <c r="F858" s="362"/>
      <c r="G858" s="360"/>
      <c r="H858" s="185"/>
      <c r="I858" s="362"/>
      <c r="J858" s="185"/>
      <c r="K858" s="363"/>
      <c r="L858" s="363"/>
      <c r="M858" s="363"/>
      <c r="N858" s="363"/>
      <c r="O858" s="363"/>
      <c r="P858" s="363"/>
      <c r="Q858" s="362"/>
      <c r="R858" s="185"/>
      <c r="S858" s="185"/>
      <c r="T858" s="364"/>
      <c r="U858" s="185"/>
      <c r="V858" s="185"/>
      <c r="W858" s="185"/>
      <c r="X858" s="185"/>
      <c r="Y858" s="185"/>
      <c r="Z858" s="185"/>
      <c r="AA858" s="185"/>
    </row>
    <row r="859" spans="1:27" ht="15.75" customHeight="1">
      <c r="A859" s="185"/>
      <c r="B859" s="360"/>
      <c r="C859" s="361"/>
      <c r="D859" s="185"/>
      <c r="E859" s="185"/>
      <c r="F859" s="362"/>
      <c r="G859" s="360"/>
      <c r="H859" s="185"/>
      <c r="I859" s="362"/>
      <c r="J859" s="185"/>
      <c r="K859" s="363"/>
      <c r="L859" s="363"/>
      <c r="M859" s="363"/>
      <c r="N859" s="363"/>
      <c r="O859" s="363"/>
      <c r="P859" s="363"/>
      <c r="Q859" s="362"/>
      <c r="R859" s="185"/>
      <c r="S859" s="185"/>
      <c r="T859" s="364"/>
      <c r="U859" s="185"/>
      <c r="V859" s="185"/>
      <c r="W859" s="185"/>
      <c r="X859" s="185"/>
      <c r="Y859" s="185"/>
      <c r="Z859" s="185"/>
      <c r="AA859" s="185"/>
    </row>
    <row r="860" spans="1:27" ht="15.75" customHeight="1">
      <c r="A860" s="185"/>
      <c r="B860" s="360"/>
      <c r="C860" s="361"/>
      <c r="D860" s="185"/>
      <c r="E860" s="185"/>
      <c r="F860" s="362"/>
      <c r="G860" s="360"/>
      <c r="H860" s="185"/>
      <c r="I860" s="362"/>
      <c r="J860" s="185"/>
      <c r="K860" s="363"/>
      <c r="L860" s="363"/>
      <c r="M860" s="363"/>
      <c r="N860" s="363"/>
      <c r="O860" s="363"/>
      <c r="P860" s="363"/>
      <c r="Q860" s="362"/>
      <c r="R860" s="185"/>
      <c r="S860" s="185"/>
      <c r="T860" s="364"/>
      <c r="U860" s="185"/>
      <c r="V860" s="185"/>
      <c r="W860" s="185"/>
      <c r="X860" s="185"/>
      <c r="Y860" s="185"/>
      <c r="Z860" s="185"/>
      <c r="AA860" s="185"/>
    </row>
    <row r="861" spans="1:27" ht="15.75" customHeight="1">
      <c r="A861" s="185"/>
      <c r="B861" s="360"/>
      <c r="C861" s="361"/>
      <c r="D861" s="185"/>
      <c r="E861" s="185"/>
      <c r="F861" s="362"/>
      <c r="G861" s="360"/>
      <c r="H861" s="185"/>
      <c r="I861" s="362"/>
      <c r="J861" s="185"/>
      <c r="K861" s="363"/>
      <c r="L861" s="363"/>
      <c r="M861" s="363"/>
      <c r="N861" s="363"/>
      <c r="O861" s="363"/>
      <c r="P861" s="363"/>
      <c r="Q861" s="362"/>
      <c r="R861" s="185"/>
      <c r="S861" s="185"/>
      <c r="T861" s="364"/>
      <c r="U861" s="185"/>
      <c r="V861" s="185"/>
      <c r="W861" s="185"/>
      <c r="X861" s="185"/>
      <c r="Y861" s="185"/>
      <c r="Z861" s="185"/>
      <c r="AA861" s="185"/>
    </row>
    <row r="862" spans="1:27" ht="15.75" customHeight="1">
      <c r="A862" s="185"/>
      <c r="B862" s="360"/>
      <c r="C862" s="361"/>
      <c r="D862" s="185"/>
      <c r="E862" s="185"/>
      <c r="F862" s="362"/>
      <c r="G862" s="360"/>
      <c r="H862" s="185"/>
      <c r="I862" s="362"/>
      <c r="J862" s="185"/>
      <c r="K862" s="363"/>
      <c r="L862" s="363"/>
      <c r="M862" s="363"/>
      <c r="N862" s="363"/>
      <c r="O862" s="363"/>
      <c r="P862" s="363"/>
      <c r="Q862" s="362"/>
      <c r="R862" s="185"/>
      <c r="S862" s="185"/>
      <c r="T862" s="364"/>
      <c r="U862" s="185"/>
      <c r="V862" s="185"/>
      <c r="W862" s="185"/>
      <c r="X862" s="185"/>
      <c r="Y862" s="185"/>
      <c r="Z862" s="185"/>
      <c r="AA862" s="185"/>
    </row>
    <row r="863" spans="1:27" ht="15.75" customHeight="1">
      <c r="A863" s="185"/>
      <c r="B863" s="360"/>
      <c r="C863" s="361"/>
      <c r="D863" s="185"/>
      <c r="E863" s="185"/>
      <c r="F863" s="362"/>
      <c r="G863" s="360"/>
      <c r="H863" s="185"/>
      <c r="I863" s="362"/>
      <c r="J863" s="185"/>
      <c r="K863" s="363"/>
      <c r="L863" s="363"/>
      <c r="M863" s="363"/>
      <c r="N863" s="363"/>
      <c r="O863" s="363"/>
      <c r="P863" s="363"/>
      <c r="Q863" s="362"/>
      <c r="R863" s="185"/>
      <c r="S863" s="185"/>
      <c r="T863" s="364"/>
      <c r="U863" s="185"/>
      <c r="V863" s="185"/>
      <c r="W863" s="185"/>
      <c r="X863" s="185"/>
      <c r="Y863" s="185"/>
      <c r="Z863" s="185"/>
      <c r="AA863" s="185"/>
    </row>
    <row r="864" spans="1:27" ht="15.75" customHeight="1">
      <c r="A864" s="185"/>
      <c r="B864" s="360"/>
      <c r="C864" s="361"/>
      <c r="D864" s="185"/>
      <c r="E864" s="185"/>
      <c r="F864" s="362"/>
      <c r="G864" s="360"/>
      <c r="H864" s="185"/>
      <c r="I864" s="362"/>
      <c r="J864" s="185"/>
      <c r="K864" s="363"/>
      <c r="L864" s="363"/>
      <c r="M864" s="363"/>
      <c r="N864" s="363"/>
      <c r="O864" s="363"/>
      <c r="P864" s="363"/>
      <c r="Q864" s="362"/>
      <c r="R864" s="185"/>
      <c r="S864" s="185"/>
      <c r="T864" s="364"/>
      <c r="U864" s="185"/>
      <c r="V864" s="185"/>
      <c r="W864" s="185"/>
      <c r="X864" s="185"/>
      <c r="Y864" s="185"/>
      <c r="Z864" s="185"/>
      <c r="AA864" s="185"/>
    </row>
    <row r="865" spans="1:27" ht="15.75" customHeight="1">
      <c r="A865" s="185"/>
      <c r="B865" s="360"/>
      <c r="C865" s="361"/>
      <c r="D865" s="185"/>
      <c r="E865" s="185"/>
      <c r="F865" s="362"/>
      <c r="G865" s="360"/>
      <c r="H865" s="185"/>
      <c r="I865" s="362"/>
      <c r="J865" s="185"/>
      <c r="K865" s="363"/>
      <c r="L865" s="363"/>
      <c r="M865" s="363"/>
      <c r="N865" s="363"/>
      <c r="O865" s="363"/>
      <c r="P865" s="363"/>
      <c r="Q865" s="362"/>
      <c r="R865" s="185"/>
      <c r="S865" s="185"/>
      <c r="T865" s="364"/>
      <c r="U865" s="185"/>
      <c r="V865" s="185"/>
      <c r="W865" s="185"/>
      <c r="X865" s="185"/>
      <c r="Y865" s="185"/>
      <c r="Z865" s="185"/>
      <c r="AA865" s="185"/>
    </row>
    <row r="866" spans="1:27" ht="15.75" customHeight="1">
      <c r="A866" s="185"/>
      <c r="B866" s="360"/>
      <c r="C866" s="361"/>
      <c r="D866" s="185"/>
      <c r="E866" s="185"/>
      <c r="F866" s="362"/>
      <c r="G866" s="360"/>
      <c r="H866" s="185"/>
      <c r="I866" s="362"/>
      <c r="J866" s="185"/>
      <c r="K866" s="363"/>
      <c r="L866" s="363"/>
      <c r="M866" s="363"/>
      <c r="N866" s="363"/>
      <c r="O866" s="363"/>
      <c r="P866" s="363"/>
      <c r="Q866" s="362"/>
      <c r="R866" s="185"/>
      <c r="S866" s="185"/>
      <c r="T866" s="364"/>
      <c r="U866" s="185"/>
      <c r="V866" s="185"/>
      <c r="W866" s="185"/>
      <c r="X866" s="185"/>
      <c r="Y866" s="185"/>
      <c r="Z866" s="185"/>
      <c r="AA866" s="185"/>
    </row>
    <row r="867" spans="1:27" ht="15.75" customHeight="1">
      <c r="A867" s="185"/>
      <c r="B867" s="360"/>
      <c r="C867" s="361"/>
      <c r="D867" s="185"/>
      <c r="E867" s="185"/>
      <c r="F867" s="362"/>
      <c r="G867" s="360"/>
      <c r="H867" s="185"/>
      <c r="I867" s="362"/>
      <c r="J867" s="185"/>
      <c r="K867" s="363"/>
      <c r="L867" s="363"/>
      <c r="M867" s="363"/>
      <c r="N867" s="363"/>
      <c r="O867" s="363"/>
      <c r="P867" s="363"/>
      <c r="Q867" s="362"/>
      <c r="R867" s="185"/>
      <c r="S867" s="185"/>
      <c r="T867" s="364"/>
      <c r="U867" s="185"/>
      <c r="V867" s="185"/>
      <c r="W867" s="185"/>
      <c r="X867" s="185"/>
      <c r="Y867" s="185"/>
      <c r="Z867" s="185"/>
      <c r="AA867" s="185"/>
    </row>
    <row r="868" spans="1:27" ht="15.75" customHeight="1">
      <c r="A868" s="185"/>
      <c r="B868" s="360"/>
      <c r="C868" s="361"/>
      <c r="D868" s="185"/>
      <c r="E868" s="185"/>
      <c r="F868" s="362"/>
      <c r="G868" s="360"/>
      <c r="H868" s="185"/>
      <c r="I868" s="362"/>
      <c r="J868" s="185"/>
      <c r="K868" s="363"/>
      <c r="L868" s="363"/>
      <c r="M868" s="363"/>
      <c r="N868" s="363"/>
      <c r="O868" s="363"/>
      <c r="P868" s="363"/>
      <c r="Q868" s="362"/>
      <c r="R868" s="185"/>
      <c r="S868" s="185"/>
      <c r="T868" s="364"/>
      <c r="U868" s="185"/>
      <c r="V868" s="185"/>
      <c r="W868" s="185"/>
      <c r="X868" s="185"/>
      <c r="Y868" s="185"/>
      <c r="Z868" s="185"/>
      <c r="AA868" s="185"/>
    </row>
    <row r="869" spans="1:27" ht="15.75" customHeight="1">
      <c r="A869" s="185"/>
      <c r="B869" s="360"/>
      <c r="C869" s="361"/>
      <c r="D869" s="185"/>
      <c r="E869" s="185"/>
      <c r="F869" s="362"/>
      <c r="G869" s="360"/>
      <c r="H869" s="185"/>
      <c r="I869" s="362"/>
      <c r="J869" s="185"/>
      <c r="K869" s="363"/>
      <c r="L869" s="363"/>
      <c r="M869" s="363"/>
      <c r="N869" s="363"/>
      <c r="O869" s="363"/>
      <c r="P869" s="363"/>
      <c r="Q869" s="362"/>
      <c r="R869" s="185"/>
      <c r="S869" s="185"/>
      <c r="T869" s="364"/>
      <c r="U869" s="185"/>
      <c r="V869" s="185"/>
      <c r="W869" s="185"/>
      <c r="X869" s="185"/>
      <c r="Y869" s="185"/>
      <c r="Z869" s="185"/>
      <c r="AA869" s="185"/>
    </row>
    <row r="870" spans="1:27" ht="15.75" customHeight="1">
      <c r="A870" s="185"/>
      <c r="B870" s="360"/>
      <c r="C870" s="361"/>
      <c r="D870" s="185"/>
      <c r="E870" s="185"/>
      <c r="F870" s="362"/>
      <c r="G870" s="360"/>
      <c r="H870" s="185"/>
      <c r="I870" s="362"/>
      <c r="J870" s="185"/>
      <c r="K870" s="363"/>
      <c r="L870" s="363"/>
      <c r="M870" s="363"/>
      <c r="N870" s="363"/>
      <c r="O870" s="363"/>
      <c r="P870" s="363"/>
      <c r="Q870" s="362"/>
      <c r="R870" s="185"/>
      <c r="S870" s="185"/>
      <c r="T870" s="364"/>
      <c r="U870" s="185"/>
      <c r="V870" s="185"/>
      <c r="W870" s="185"/>
      <c r="X870" s="185"/>
      <c r="Y870" s="185"/>
      <c r="Z870" s="185"/>
      <c r="AA870" s="185"/>
    </row>
    <row r="871" spans="1:27" ht="15.75" customHeight="1">
      <c r="A871" s="185"/>
      <c r="B871" s="360"/>
      <c r="C871" s="361"/>
      <c r="D871" s="185"/>
      <c r="E871" s="185"/>
      <c r="F871" s="362"/>
      <c r="G871" s="360"/>
      <c r="H871" s="185"/>
      <c r="I871" s="362"/>
      <c r="J871" s="185"/>
      <c r="K871" s="363"/>
      <c r="L871" s="363"/>
      <c r="M871" s="363"/>
      <c r="N871" s="363"/>
      <c r="O871" s="363"/>
      <c r="P871" s="363"/>
      <c r="Q871" s="362"/>
      <c r="R871" s="185"/>
      <c r="S871" s="185"/>
      <c r="T871" s="364"/>
      <c r="U871" s="185"/>
      <c r="V871" s="185"/>
      <c r="W871" s="185"/>
      <c r="X871" s="185"/>
      <c r="Y871" s="185"/>
      <c r="Z871" s="185"/>
      <c r="AA871" s="185"/>
    </row>
    <row r="872" spans="1:27" ht="15.75" customHeight="1">
      <c r="A872" s="185"/>
      <c r="B872" s="360"/>
      <c r="C872" s="361"/>
      <c r="D872" s="185"/>
      <c r="E872" s="185"/>
      <c r="F872" s="362"/>
      <c r="G872" s="360"/>
      <c r="H872" s="185"/>
      <c r="I872" s="362"/>
      <c r="J872" s="185"/>
      <c r="K872" s="363"/>
      <c r="L872" s="363"/>
      <c r="M872" s="363"/>
      <c r="N872" s="363"/>
      <c r="O872" s="363"/>
      <c r="P872" s="363"/>
      <c r="Q872" s="362"/>
      <c r="R872" s="185"/>
      <c r="S872" s="185"/>
      <c r="T872" s="364"/>
      <c r="U872" s="185"/>
      <c r="V872" s="185"/>
      <c r="W872" s="185"/>
      <c r="X872" s="185"/>
      <c r="Y872" s="185"/>
      <c r="Z872" s="185"/>
      <c r="AA872" s="185"/>
    </row>
    <row r="873" spans="1:27" ht="15.75" customHeight="1">
      <c r="A873" s="185"/>
      <c r="B873" s="360"/>
      <c r="C873" s="361"/>
      <c r="D873" s="185"/>
      <c r="E873" s="185"/>
      <c r="F873" s="362"/>
      <c r="G873" s="360"/>
      <c r="H873" s="185"/>
      <c r="I873" s="362"/>
      <c r="J873" s="185"/>
      <c r="K873" s="363"/>
      <c r="L873" s="363"/>
      <c r="M873" s="363"/>
      <c r="N873" s="363"/>
      <c r="O873" s="363"/>
      <c r="P873" s="363"/>
      <c r="Q873" s="362"/>
      <c r="R873" s="185"/>
      <c r="S873" s="185"/>
      <c r="T873" s="364"/>
      <c r="U873" s="185"/>
      <c r="V873" s="185"/>
      <c r="W873" s="185"/>
      <c r="X873" s="185"/>
      <c r="Y873" s="185"/>
      <c r="Z873" s="185"/>
      <c r="AA873" s="185"/>
    </row>
    <row r="874" spans="1:27" ht="15.75" customHeight="1">
      <c r="A874" s="185"/>
      <c r="B874" s="360"/>
      <c r="C874" s="361"/>
      <c r="D874" s="185"/>
      <c r="E874" s="185"/>
      <c r="F874" s="362"/>
      <c r="G874" s="360"/>
      <c r="H874" s="185"/>
      <c r="I874" s="362"/>
      <c r="J874" s="185"/>
      <c r="K874" s="363"/>
      <c r="L874" s="363"/>
      <c r="M874" s="363"/>
      <c r="N874" s="363"/>
      <c r="O874" s="363"/>
      <c r="P874" s="363"/>
      <c r="Q874" s="362"/>
      <c r="R874" s="185"/>
      <c r="S874" s="185"/>
      <c r="T874" s="364"/>
      <c r="U874" s="185"/>
      <c r="V874" s="185"/>
      <c r="W874" s="185"/>
      <c r="X874" s="185"/>
      <c r="Y874" s="185"/>
      <c r="Z874" s="185"/>
      <c r="AA874" s="185"/>
    </row>
    <row r="875" spans="1:27" ht="15.75" customHeight="1">
      <c r="A875" s="185"/>
      <c r="B875" s="360"/>
      <c r="C875" s="361"/>
      <c r="D875" s="185"/>
      <c r="E875" s="185"/>
      <c r="F875" s="362"/>
      <c r="G875" s="360"/>
      <c r="H875" s="185"/>
      <c r="I875" s="362"/>
      <c r="J875" s="185"/>
      <c r="K875" s="363"/>
      <c r="L875" s="363"/>
      <c r="M875" s="363"/>
      <c r="N875" s="363"/>
      <c r="O875" s="363"/>
      <c r="P875" s="363"/>
      <c r="Q875" s="362"/>
      <c r="R875" s="185"/>
      <c r="S875" s="185"/>
      <c r="T875" s="364"/>
      <c r="U875" s="185"/>
      <c r="V875" s="185"/>
      <c r="W875" s="185"/>
      <c r="X875" s="185"/>
      <c r="Y875" s="185"/>
      <c r="Z875" s="185"/>
      <c r="AA875" s="185"/>
    </row>
    <row r="876" spans="1:27" ht="15.75" customHeight="1">
      <c r="A876" s="185"/>
      <c r="B876" s="360"/>
      <c r="C876" s="361"/>
      <c r="D876" s="185"/>
      <c r="E876" s="185"/>
      <c r="F876" s="362"/>
      <c r="G876" s="360"/>
      <c r="H876" s="185"/>
      <c r="I876" s="362"/>
      <c r="J876" s="185"/>
      <c r="K876" s="363"/>
      <c r="L876" s="363"/>
      <c r="M876" s="363"/>
      <c r="N876" s="363"/>
      <c r="O876" s="363"/>
      <c r="P876" s="363"/>
      <c r="Q876" s="362"/>
      <c r="R876" s="185"/>
      <c r="S876" s="185"/>
      <c r="T876" s="364"/>
      <c r="U876" s="185"/>
      <c r="V876" s="185"/>
      <c r="W876" s="185"/>
      <c r="X876" s="185"/>
      <c r="Y876" s="185"/>
      <c r="Z876" s="185"/>
      <c r="AA876" s="185"/>
    </row>
    <row r="877" spans="1:27" ht="15.75" customHeight="1">
      <c r="A877" s="185"/>
      <c r="B877" s="360"/>
      <c r="C877" s="361"/>
      <c r="D877" s="185"/>
      <c r="E877" s="185"/>
      <c r="F877" s="362"/>
      <c r="G877" s="360"/>
      <c r="H877" s="185"/>
      <c r="I877" s="362"/>
      <c r="J877" s="185"/>
      <c r="K877" s="363"/>
      <c r="L877" s="363"/>
      <c r="M877" s="363"/>
      <c r="N877" s="363"/>
      <c r="O877" s="363"/>
      <c r="P877" s="363"/>
      <c r="Q877" s="362"/>
      <c r="R877" s="185"/>
      <c r="S877" s="185"/>
      <c r="T877" s="364"/>
      <c r="U877" s="185"/>
      <c r="V877" s="185"/>
      <c r="W877" s="185"/>
      <c r="X877" s="185"/>
      <c r="Y877" s="185"/>
      <c r="Z877" s="185"/>
      <c r="AA877" s="185"/>
    </row>
    <row r="878" spans="1:27" ht="15.75" customHeight="1">
      <c r="A878" s="185"/>
      <c r="B878" s="360"/>
      <c r="C878" s="361"/>
      <c r="D878" s="185"/>
      <c r="E878" s="185"/>
      <c r="F878" s="362"/>
      <c r="G878" s="360"/>
      <c r="H878" s="185"/>
      <c r="I878" s="362"/>
      <c r="J878" s="185"/>
      <c r="K878" s="363"/>
      <c r="L878" s="363"/>
      <c r="M878" s="363"/>
      <c r="N878" s="363"/>
      <c r="O878" s="363"/>
      <c r="P878" s="363"/>
      <c r="Q878" s="362"/>
      <c r="R878" s="185"/>
      <c r="S878" s="185"/>
      <c r="T878" s="364"/>
      <c r="U878" s="185"/>
      <c r="V878" s="185"/>
      <c r="W878" s="185"/>
      <c r="X878" s="185"/>
      <c r="Y878" s="185"/>
      <c r="Z878" s="185"/>
      <c r="AA878" s="185"/>
    </row>
    <row r="879" spans="1:27" ht="15.75" customHeight="1">
      <c r="A879" s="185"/>
      <c r="B879" s="360"/>
      <c r="C879" s="361"/>
      <c r="D879" s="185"/>
      <c r="E879" s="185"/>
      <c r="F879" s="362"/>
      <c r="G879" s="360"/>
      <c r="H879" s="185"/>
      <c r="I879" s="362"/>
      <c r="J879" s="185"/>
      <c r="K879" s="363"/>
      <c r="L879" s="363"/>
      <c r="M879" s="363"/>
      <c r="N879" s="363"/>
      <c r="O879" s="363"/>
      <c r="P879" s="363"/>
      <c r="Q879" s="362"/>
      <c r="R879" s="185"/>
      <c r="S879" s="185"/>
      <c r="T879" s="364"/>
      <c r="U879" s="185"/>
      <c r="V879" s="185"/>
      <c r="W879" s="185"/>
      <c r="X879" s="185"/>
      <c r="Y879" s="185"/>
      <c r="Z879" s="185"/>
      <c r="AA879" s="185"/>
    </row>
    <row r="880" spans="1:27" ht="15.75" customHeight="1">
      <c r="A880" s="185"/>
      <c r="B880" s="360"/>
      <c r="C880" s="361"/>
      <c r="D880" s="185"/>
      <c r="E880" s="185"/>
      <c r="F880" s="362"/>
      <c r="G880" s="360"/>
      <c r="H880" s="185"/>
      <c r="I880" s="362"/>
      <c r="J880" s="185"/>
      <c r="K880" s="363"/>
      <c r="L880" s="363"/>
      <c r="M880" s="363"/>
      <c r="N880" s="363"/>
      <c r="O880" s="363"/>
      <c r="P880" s="363"/>
      <c r="Q880" s="362"/>
      <c r="R880" s="185"/>
      <c r="S880" s="185"/>
      <c r="T880" s="364"/>
      <c r="U880" s="185"/>
      <c r="V880" s="185"/>
      <c r="W880" s="185"/>
      <c r="X880" s="185"/>
      <c r="Y880" s="185"/>
      <c r="Z880" s="185"/>
      <c r="AA880" s="185"/>
    </row>
    <row r="881" spans="1:27" ht="15.75" customHeight="1">
      <c r="A881" s="185"/>
      <c r="B881" s="360"/>
      <c r="C881" s="361"/>
      <c r="D881" s="185"/>
      <c r="E881" s="185"/>
      <c r="F881" s="362"/>
      <c r="G881" s="360"/>
      <c r="H881" s="185"/>
      <c r="I881" s="362"/>
      <c r="J881" s="185"/>
      <c r="K881" s="363"/>
      <c r="L881" s="363"/>
      <c r="M881" s="363"/>
      <c r="N881" s="363"/>
      <c r="O881" s="363"/>
      <c r="P881" s="363"/>
      <c r="Q881" s="362"/>
      <c r="R881" s="185"/>
      <c r="S881" s="185"/>
      <c r="T881" s="364"/>
      <c r="U881" s="185"/>
      <c r="V881" s="185"/>
      <c r="W881" s="185"/>
      <c r="X881" s="185"/>
      <c r="Y881" s="185"/>
      <c r="Z881" s="185"/>
      <c r="AA881" s="185"/>
    </row>
    <row r="882" spans="1:27" ht="15.75" customHeight="1">
      <c r="A882" s="185"/>
      <c r="B882" s="360"/>
      <c r="C882" s="361"/>
      <c r="D882" s="185"/>
      <c r="E882" s="185"/>
      <c r="F882" s="362"/>
      <c r="G882" s="360"/>
      <c r="H882" s="185"/>
      <c r="I882" s="362"/>
      <c r="J882" s="185"/>
      <c r="K882" s="363"/>
      <c r="L882" s="363"/>
      <c r="M882" s="363"/>
      <c r="N882" s="363"/>
      <c r="O882" s="363"/>
      <c r="P882" s="363"/>
      <c r="Q882" s="362"/>
      <c r="R882" s="185"/>
      <c r="S882" s="185"/>
      <c r="T882" s="364"/>
      <c r="U882" s="185"/>
      <c r="V882" s="185"/>
      <c r="W882" s="185"/>
      <c r="X882" s="185"/>
      <c r="Y882" s="185"/>
      <c r="Z882" s="185"/>
      <c r="AA882" s="185"/>
    </row>
    <row r="883" spans="1:27" ht="15.75" customHeight="1">
      <c r="A883" s="185"/>
      <c r="B883" s="360"/>
      <c r="C883" s="361"/>
      <c r="D883" s="185"/>
      <c r="E883" s="185"/>
      <c r="F883" s="362"/>
      <c r="G883" s="360"/>
      <c r="H883" s="185"/>
      <c r="I883" s="362"/>
      <c r="J883" s="185"/>
      <c r="K883" s="363"/>
      <c r="L883" s="363"/>
      <c r="M883" s="363"/>
      <c r="N883" s="363"/>
      <c r="O883" s="363"/>
      <c r="P883" s="363"/>
      <c r="Q883" s="362"/>
      <c r="R883" s="185"/>
      <c r="S883" s="185"/>
      <c r="T883" s="364"/>
      <c r="U883" s="185"/>
      <c r="V883" s="185"/>
      <c r="W883" s="185"/>
      <c r="X883" s="185"/>
      <c r="Y883" s="185"/>
      <c r="Z883" s="185"/>
      <c r="AA883" s="185"/>
    </row>
    <row r="884" spans="1:27" ht="15.75" customHeight="1">
      <c r="A884" s="185"/>
      <c r="B884" s="360"/>
      <c r="C884" s="361"/>
      <c r="D884" s="185"/>
      <c r="E884" s="185"/>
      <c r="F884" s="362"/>
      <c r="G884" s="360"/>
      <c r="H884" s="185"/>
      <c r="I884" s="362"/>
      <c r="J884" s="185"/>
      <c r="K884" s="363"/>
      <c r="L884" s="363"/>
      <c r="M884" s="363"/>
      <c r="N884" s="363"/>
      <c r="O884" s="363"/>
      <c r="P884" s="363"/>
      <c r="Q884" s="362"/>
      <c r="R884" s="185"/>
      <c r="S884" s="185"/>
      <c r="T884" s="364"/>
      <c r="U884" s="185"/>
      <c r="V884" s="185"/>
      <c r="W884" s="185"/>
      <c r="X884" s="185"/>
      <c r="Y884" s="185"/>
      <c r="Z884" s="185"/>
      <c r="AA884" s="185"/>
    </row>
    <row r="885" spans="1:27" ht="15.75" customHeight="1">
      <c r="A885" s="185"/>
      <c r="B885" s="360"/>
      <c r="C885" s="361"/>
      <c r="D885" s="185"/>
      <c r="E885" s="185"/>
      <c r="F885" s="362"/>
      <c r="G885" s="360"/>
      <c r="H885" s="185"/>
      <c r="I885" s="362"/>
      <c r="J885" s="185"/>
      <c r="K885" s="363"/>
      <c r="L885" s="363"/>
      <c r="M885" s="363"/>
      <c r="N885" s="363"/>
      <c r="O885" s="363"/>
      <c r="P885" s="363"/>
      <c r="Q885" s="362"/>
      <c r="R885" s="185"/>
      <c r="S885" s="185"/>
      <c r="T885" s="364"/>
      <c r="U885" s="185"/>
      <c r="V885" s="185"/>
      <c r="W885" s="185"/>
      <c r="X885" s="185"/>
      <c r="Y885" s="185"/>
      <c r="Z885" s="185"/>
      <c r="AA885" s="185"/>
    </row>
    <row r="886" spans="1:27" ht="15.75" customHeight="1">
      <c r="A886" s="185"/>
      <c r="B886" s="360"/>
      <c r="C886" s="361"/>
      <c r="D886" s="185"/>
      <c r="E886" s="185"/>
      <c r="F886" s="362"/>
      <c r="G886" s="360"/>
      <c r="H886" s="185"/>
      <c r="I886" s="362"/>
      <c r="J886" s="185"/>
      <c r="K886" s="363"/>
      <c r="L886" s="363"/>
      <c r="M886" s="363"/>
      <c r="N886" s="363"/>
      <c r="O886" s="363"/>
      <c r="P886" s="363"/>
      <c r="Q886" s="362"/>
      <c r="R886" s="185"/>
      <c r="S886" s="185"/>
      <c r="T886" s="364"/>
      <c r="U886" s="185"/>
      <c r="V886" s="185"/>
      <c r="W886" s="185"/>
      <c r="X886" s="185"/>
      <c r="Y886" s="185"/>
      <c r="Z886" s="185"/>
      <c r="AA886" s="185"/>
    </row>
    <row r="887" spans="1:27" ht="15.75" customHeight="1">
      <c r="A887" s="185"/>
      <c r="B887" s="360"/>
      <c r="C887" s="361"/>
      <c r="D887" s="185"/>
      <c r="E887" s="185"/>
      <c r="F887" s="362"/>
      <c r="G887" s="360"/>
      <c r="H887" s="185"/>
      <c r="I887" s="362"/>
      <c r="J887" s="185"/>
      <c r="K887" s="363"/>
      <c r="L887" s="363"/>
      <c r="M887" s="363"/>
      <c r="N887" s="363"/>
      <c r="O887" s="363"/>
      <c r="P887" s="363"/>
      <c r="Q887" s="362"/>
      <c r="R887" s="185"/>
      <c r="S887" s="185"/>
      <c r="T887" s="364"/>
      <c r="U887" s="185"/>
      <c r="V887" s="185"/>
      <c r="W887" s="185"/>
      <c r="X887" s="185"/>
      <c r="Y887" s="185"/>
      <c r="Z887" s="185"/>
      <c r="AA887" s="185"/>
    </row>
    <row r="888" spans="1:27" ht="15.75" customHeight="1">
      <c r="A888" s="185"/>
      <c r="B888" s="360"/>
      <c r="C888" s="361"/>
      <c r="D888" s="185"/>
      <c r="E888" s="185"/>
      <c r="F888" s="362"/>
      <c r="G888" s="360"/>
      <c r="H888" s="185"/>
      <c r="I888" s="362"/>
      <c r="J888" s="185"/>
      <c r="K888" s="363"/>
      <c r="L888" s="363"/>
      <c r="M888" s="363"/>
      <c r="N888" s="363"/>
      <c r="O888" s="363"/>
      <c r="P888" s="363"/>
      <c r="Q888" s="362"/>
      <c r="R888" s="185"/>
      <c r="S888" s="185"/>
      <c r="T888" s="364"/>
      <c r="U888" s="185"/>
      <c r="V888" s="185"/>
      <c r="W888" s="185"/>
      <c r="X888" s="185"/>
      <c r="Y888" s="185"/>
      <c r="Z888" s="185"/>
      <c r="AA888" s="185"/>
    </row>
    <row r="889" spans="1:27" ht="15.75" customHeight="1">
      <c r="A889" s="185"/>
      <c r="B889" s="360"/>
      <c r="C889" s="361"/>
      <c r="D889" s="185"/>
      <c r="E889" s="185"/>
      <c r="F889" s="362"/>
      <c r="G889" s="360"/>
      <c r="H889" s="185"/>
      <c r="I889" s="362"/>
      <c r="J889" s="185"/>
      <c r="K889" s="363"/>
      <c r="L889" s="363"/>
      <c r="M889" s="363"/>
      <c r="N889" s="363"/>
      <c r="O889" s="363"/>
      <c r="P889" s="363"/>
      <c r="Q889" s="362"/>
      <c r="R889" s="185"/>
      <c r="S889" s="185"/>
      <c r="T889" s="364"/>
      <c r="U889" s="185"/>
      <c r="V889" s="185"/>
      <c r="W889" s="185"/>
      <c r="X889" s="185"/>
      <c r="Y889" s="185"/>
      <c r="Z889" s="185"/>
      <c r="AA889" s="185"/>
    </row>
    <row r="890" spans="1:27" ht="15.75" customHeight="1">
      <c r="A890" s="185"/>
      <c r="B890" s="360"/>
      <c r="C890" s="361"/>
      <c r="D890" s="185"/>
      <c r="E890" s="185"/>
      <c r="F890" s="362"/>
      <c r="G890" s="360"/>
      <c r="H890" s="185"/>
      <c r="I890" s="362"/>
      <c r="J890" s="185"/>
      <c r="K890" s="363"/>
      <c r="L890" s="363"/>
      <c r="M890" s="363"/>
      <c r="N890" s="363"/>
      <c r="O890" s="363"/>
      <c r="P890" s="363"/>
      <c r="Q890" s="362"/>
      <c r="R890" s="185"/>
      <c r="S890" s="185"/>
      <c r="T890" s="364"/>
      <c r="U890" s="185"/>
      <c r="V890" s="185"/>
      <c r="W890" s="185"/>
      <c r="X890" s="185"/>
      <c r="Y890" s="185"/>
      <c r="Z890" s="185"/>
      <c r="AA890" s="185"/>
    </row>
    <row r="891" spans="1:27" ht="15.75" customHeight="1">
      <c r="A891" s="185"/>
      <c r="B891" s="360"/>
      <c r="C891" s="361"/>
      <c r="D891" s="185"/>
      <c r="E891" s="185"/>
      <c r="F891" s="362"/>
      <c r="G891" s="360"/>
      <c r="H891" s="185"/>
      <c r="I891" s="362"/>
      <c r="J891" s="185"/>
      <c r="K891" s="363"/>
      <c r="L891" s="363"/>
      <c r="M891" s="363"/>
      <c r="N891" s="363"/>
      <c r="O891" s="363"/>
      <c r="P891" s="363"/>
      <c r="Q891" s="362"/>
      <c r="R891" s="185"/>
      <c r="S891" s="185"/>
      <c r="T891" s="364"/>
      <c r="U891" s="185"/>
      <c r="V891" s="185"/>
      <c r="W891" s="185"/>
      <c r="X891" s="185"/>
      <c r="Y891" s="185"/>
      <c r="Z891" s="185"/>
      <c r="AA891" s="185"/>
    </row>
    <row r="892" spans="1:27" ht="15.75" customHeight="1">
      <c r="A892" s="185"/>
      <c r="B892" s="360"/>
      <c r="C892" s="361"/>
      <c r="D892" s="185"/>
      <c r="E892" s="185"/>
      <c r="F892" s="362"/>
      <c r="G892" s="360"/>
      <c r="H892" s="185"/>
      <c r="I892" s="362"/>
      <c r="J892" s="185"/>
      <c r="K892" s="363"/>
      <c r="L892" s="363"/>
      <c r="M892" s="363"/>
      <c r="N892" s="363"/>
      <c r="O892" s="363"/>
      <c r="P892" s="363"/>
      <c r="Q892" s="362"/>
      <c r="R892" s="185"/>
      <c r="S892" s="185"/>
      <c r="T892" s="364"/>
      <c r="U892" s="185"/>
      <c r="V892" s="185"/>
      <c r="W892" s="185"/>
      <c r="X892" s="185"/>
      <c r="Y892" s="185"/>
      <c r="Z892" s="185"/>
      <c r="AA892" s="185"/>
    </row>
    <row r="893" spans="1:27" ht="15.75" customHeight="1">
      <c r="A893" s="185"/>
      <c r="B893" s="360"/>
      <c r="C893" s="361"/>
      <c r="D893" s="185"/>
      <c r="E893" s="185"/>
      <c r="F893" s="362"/>
      <c r="G893" s="360"/>
      <c r="H893" s="185"/>
      <c r="I893" s="362"/>
      <c r="J893" s="185"/>
      <c r="K893" s="363"/>
      <c r="L893" s="363"/>
      <c r="M893" s="363"/>
      <c r="N893" s="363"/>
      <c r="O893" s="363"/>
      <c r="P893" s="363"/>
      <c r="Q893" s="362"/>
      <c r="R893" s="185"/>
      <c r="S893" s="185"/>
      <c r="T893" s="364"/>
      <c r="U893" s="185"/>
      <c r="V893" s="185"/>
      <c r="W893" s="185"/>
      <c r="X893" s="185"/>
      <c r="Y893" s="185"/>
      <c r="Z893" s="185"/>
      <c r="AA893" s="185"/>
    </row>
    <row r="894" spans="1:27" ht="15.75" customHeight="1">
      <c r="A894" s="185"/>
      <c r="B894" s="360"/>
      <c r="C894" s="361"/>
      <c r="D894" s="185"/>
      <c r="E894" s="185"/>
      <c r="F894" s="362"/>
      <c r="G894" s="360"/>
      <c r="H894" s="185"/>
      <c r="I894" s="362"/>
      <c r="J894" s="185"/>
      <c r="K894" s="363"/>
      <c r="L894" s="363"/>
      <c r="M894" s="363"/>
      <c r="N894" s="363"/>
      <c r="O894" s="363"/>
      <c r="P894" s="363"/>
      <c r="Q894" s="362"/>
      <c r="R894" s="185"/>
      <c r="S894" s="185"/>
      <c r="T894" s="364"/>
      <c r="U894" s="185"/>
      <c r="V894" s="185"/>
      <c r="W894" s="185"/>
      <c r="X894" s="185"/>
      <c r="Y894" s="185"/>
      <c r="Z894" s="185"/>
      <c r="AA894" s="185"/>
    </row>
    <row r="895" spans="1:27" ht="15.75" customHeight="1">
      <c r="A895" s="185"/>
      <c r="B895" s="360"/>
      <c r="C895" s="361"/>
      <c r="D895" s="185"/>
      <c r="E895" s="185"/>
      <c r="F895" s="362"/>
      <c r="G895" s="360"/>
      <c r="H895" s="185"/>
      <c r="I895" s="362"/>
      <c r="J895" s="185"/>
      <c r="K895" s="363"/>
      <c r="L895" s="363"/>
      <c r="M895" s="363"/>
      <c r="N895" s="363"/>
      <c r="O895" s="363"/>
      <c r="P895" s="363"/>
      <c r="Q895" s="362"/>
      <c r="R895" s="185"/>
      <c r="S895" s="185"/>
      <c r="T895" s="364"/>
      <c r="U895" s="185"/>
      <c r="V895" s="185"/>
      <c r="W895" s="185"/>
      <c r="X895" s="185"/>
      <c r="Y895" s="185"/>
      <c r="Z895" s="185"/>
      <c r="AA895" s="185"/>
    </row>
    <row r="896" spans="1:27" ht="15.75" customHeight="1">
      <c r="A896" s="185"/>
      <c r="B896" s="360"/>
      <c r="C896" s="361"/>
      <c r="D896" s="185"/>
      <c r="E896" s="185"/>
      <c r="F896" s="362"/>
      <c r="G896" s="360"/>
      <c r="H896" s="185"/>
      <c r="I896" s="362"/>
      <c r="J896" s="185"/>
      <c r="K896" s="363"/>
      <c r="L896" s="363"/>
      <c r="M896" s="363"/>
      <c r="N896" s="363"/>
      <c r="O896" s="363"/>
      <c r="P896" s="363"/>
      <c r="Q896" s="362"/>
      <c r="R896" s="185"/>
      <c r="S896" s="185"/>
      <c r="T896" s="364"/>
      <c r="U896" s="185"/>
      <c r="V896" s="185"/>
      <c r="W896" s="185"/>
      <c r="X896" s="185"/>
      <c r="Y896" s="185"/>
      <c r="Z896" s="185"/>
      <c r="AA896" s="185"/>
    </row>
    <row r="897" spans="1:27" ht="15.75" customHeight="1">
      <c r="A897" s="185"/>
      <c r="B897" s="360"/>
      <c r="C897" s="361"/>
      <c r="D897" s="185"/>
      <c r="E897" s="185"/>
      <c r="F897" s="362"/>
      <c r="G897" s="360"/>
      <c r="H897" s="185"/>
      <c r="I897" s="362"/>
      <c r="J897" s="185"/>
      <c r="K897" s="363"/>
      <c r="L897" s="363"/>
      <c r="M897" s="363"/>
      <c r="N897" s="363"/>
      <c r="O897" s="363"/>
      <c r="P897" s="363"/>
      <c r="Q897" s="362"/>
      <c r="R897" s="185"/>
      <c r="S897" s="185"/>
      <c r="T897" s="364"/>
      <c r="U897" s="185"/>
      <c r="V897" s="185"/>
      <c r="W897" s="185"/>
      <c r="X897" s="185"/>
      <c r="Y897" s="185"/>
      <c r="Z897" s="185"/>
      <c r="AA897" s="185"/>
    </row>
    <row r="898" spans="1:27" ht="15.75" customHeight="1">
      <c r="A898" s="185"/>
      <c r="B898" s="360"/>
      <c r="C898" s="361"/>
      <c r="D898" s="185"/>
      <c r="E898" s="185"/>
      <c r="F898" s="362"/>
      <c r="G898" s="360"/>
      <c r="H898" s="185"/>
      <c r="I898" s="362"/>
      <c r="J898" s="185"/>
      <c r="K898" s="363"/>
      <c r="L898" s="363"/>
      <c r="M898" s="363"/>
      <c r="N898" s="363"/>
      <c r="O898" s="363"/>
      <c r="P898" s="363"/>
      <c r="Q898" s="362"/>
      <c r="R898" s="185"/>
      <c r="S898" s="185"/>
      <c r="T898" s="364"/>
      <c r="U898" s="185"/>
      <c r="V898" s="185"/>
      <c r="W898" s="185"/>
      <c r="X898" s="185"/>
      <c r="Y898" s="185"/>
      <c r="Z898" s="185"/>
      <c r="AA898" s="185"/>
    </row>
    <row r="899" spans="1:27" ht="15.75" customHeight="1">
      <c r="A899" s="185"/>
      <c r="B899" s="360"/>
      <c r="C899" s="361"/>
      <c r="D899" s="185"/>
      <c r="E899" s="185"/>
      <c r="F899" s="362"/>
      <c r="G899" s="360"/>
      <c r="H899" s="185"/>
      <c r="I899" s="362"/>
      <c r="J899" s="185"/>
      <c r="K899" s="363"/>
      <c r="L899" s="363"/>
      <c r="M899" s="363"/>
      <c r="N899" s="363"/>
      <c r="O899" s="363"/>
      <c r="P899" s="363"/>
      <c r="Q899" s="362"/>
      <c r="R899" s="185"/>
      <c r="S899" s="185"/>
      <c r="T899" s="364"/>
      <c r="U899" s="185"/>
      <c r="V899" s="185"/>
      <c r="W899" s="185"/>
      <c r="X899" s="185"/>
      <c r="Y899" s="185"/>
      <c r="Z899" s="185"/>
      <c r="AA899" s="185"/>
    </row>
    <row r="900" spans="1:27" ht="15.75" customHeight="1">
      <c r="A900" s="185"/>
      <c r="B900" s="360"/>
      <c r="C900" s="361"/>
      <c r="D900" s="185"/>
      <c r="E900" s="185"/>
      <c r="F900" s="362"/>
      <c r="G900" s="360"/>
      <c r="H900" s="185"/>
      <c r="I900" s="362"/>
      <c r="J900" s="185"/>
      <c r="K900" s="363"/>
      <c r="L900" s="363"/>
      <c r="M900" s="363"/>
      <c r="N900" s="363"/>
      <c r="O900" s="363"/>
      <c r="P900" s="363"/>
      <c r="Q900" s="362"/>
      <c r="R900" s="185"/>
      <c r="S900" s="185"/>
      <c r="T900" s="364"/>
      <c r="U900" s="185"/>
      <c r="V900" s="185"/>
      <c r="W900" s="185"/>
      <c r="X900" s="185"/>
      <c r="Y900" s="185"/>
      <c r="Z900" s="185"/>
      <c r="AA900" s="185"/>
    </row>
    <row r="901" spans="1:27" ht="15.75" customHeight="1">
      <c r="A901" s="185"/>
      <c r="B901" s="360"/>
      <c r="C901" s="361"/>
      <c r="D901" s="185"/>
      <c r="E901" s="185"/>
      <c r="F901" s="362"/>
      <c r="G901" s="360"/>
      <c r="H901" s="185"/>
      <c r="I901" s="362"/>
      <c r="J901" s="185"/>
      <c r="K901" s="363"/>
      <c r="L901" s="363"/>
      <c r="M901" s="363"/>
      <c r="N901" s="363"/>
      <c r="O901" s="363"/>
      <c r="P901" s="363"/>
      <c r="Q901" s="362"/>
      <c r="R901" s="185"/>
      <c r="S901" s="185"/>
      <c r="T901" s="364"/>
      <c r="U901" s="185"/>
      <c r="V901" s="185"/>
      <c r="W901" s="185"/>
      <c r="X901" s="185"/>
      <c r="Y901" s="185"/>
      <c r="Z901" s="185"/>
      <c r="AA901" s="185"/>
    </row>
    <row r="902" spans="1:27" ht="15.75" customHeight="1">
      <c r="A902" s="185"/>
      <c r="B902" s="360"/>
      <c r="C902" s="361"/>
      <c r="D902" s="185"/>
      <c r="E902" s="185"/>
      <c r="F902" s="362"/>
      <c r="G902" s="360"/>
      <c r="H902" s="185"/>
      <c r="I902" s="362"/>
      <c r="J902" s="185"/>
      <c r="K902" s="363"/>
      <c r="L902" s="363"/>
      <c r="M902" s="363"/>
      <c r="N902" s="363"/>
      <c r="O902" s="363"/>
      <c r="P902" s="363"/>
      <c r="Q902" s="362"/>
      <c r="R902" s="185"/>
      <c r="S902" s="185"/>
      <c r="T902" s="364"/>
      <c r="U902" s="185"/>
      <c r="V902" s="185"/>
      <c r="W902" s="185"/>
      <c r="X902" s="185"/>
      <c r="Y902" s="185"/>
      <c r="Z902" s="185"/>
      <c r="AA902" s="185"/>
    </row>
    <row r="903" spans="1:27" ht="15.75" customHeight="1">
      <c r="A903" s="185"/>
      <c r="B903" s="360"/>
      <c r="C903" s="361"/>
      <c r="D903" s="185"/>
      <c r="E903" s="185"/>
      <c r="F903" s="362"/>
      <c r="G903" s="360"/>
      <c r="H903" s="185"/>
      <c r="I903" s="362"/>
      <c r="J903" s="185"/>
      <c r="K903" s="363"/>
      <c r="L903" s="363"/>
      <c r="M903" s="363"/>
      <c r="N903" s="363"/>
      <c r="O903" s="363"/>
      <c r="P903" s="363"/>
      <c r="Q903" s="362"/>
      <c r="R903" s="185"/>
      <c r="S903" s="185"/>
      <c r="T903" s="364"/>
      <c r="U903" s="185"/>
      <c r="V903" s="185"/>
      <c r="W903" s="185"/>
      <c r="X903" s="185"/>
      <c r="Y903" s="185"/>
      <c r="Z903" s="185"/>
      <c r="AA903" s="185"/>
    </row>
    <row r="904" spans="1:27" ht="15.75" customHeight="1">
      <c r="A904" s="185"/>
      <c r="B904" s="360"/>
      <c r="C904" s="361"/>
      <c r="D904" s="185"/>
      <c r="E904" s="185"/>
      <c r="F904" s="362"/>
      <c r="G904" s="360"/>
      <c r="H904" s="185"/>
      <c r="I904" s="362"/>
      <c r="J904" s="185"/>
      <c r="K904" s="363"/>
      <c r="L904" s="363"/>
      <c r="M904" s="363"/>
      <c r="N904" s="363"/>
      <c r="O904" s="363"/>
      <c r="P904" s="363"/>
      <c r="Q904" s="362"/>
      <c r="R904" s="185"/>
      <c r="S904" s="185"/>
      <c r="T904" s="364"/>
      <c r="U904" s="185"/>
      <c r="V904" s="185"/>
      <c r="W904" s="185"/>
      <c r="X904" s="185"/>
      <c r="Y904" s="185"/>
      <c r="Z904" s="185"/>
      <c r="AA904" s="185"/>
    </row>
    <row r="905" spans="1:27" ht="15.75" customHeight="1">
      <c r="A905" s="185"/>
      <c r="B905" s="360"/>
      <c r="C905" s="361"/>
      <c r="D905" s="185"/>
      <c r="E905" s="185"/>
      <c r="F905" s="362"/>
      <c r="G905" s="360"/>
      <c r="H905" s="185"/>
      <c r="I905" s="362"/>
      <c r="J905" s="185"/>
      <c r="K905" s="363"/>
      <c r="L905" s="363"/>
      <c r="M905" s="363"/>
      <c r="N905" s="363"/>
      <c r="O905" s="363"/>
      <c r="P905" s="363"/>
      <c r="Q905" s="362"/>
      <c r="R905" s="185"/>
      <c r="S905" s="185"/>
      <c r="T905" s="364"/>
      <c r="U905" s="185"/>
      <c r="V905" s="185"/>
      <c r="W905" s="185"/>
      <c r="X905" s="185"/>
      <c r="Y905" s="185"/>
      <c r="Z905" s="185"/>
      <c r="AA905" s="185"/>
    </row>
    <row r="906" spans="1:27" ht="15.75" customHeight="1">
      <c r="A906" s="185"/>
      <c r="B906" s="360"/>
      <c r="C906" s="361"/>
      <c r="D906" s="185"/>
      <c r="E906" s="185"/>
      <c r="F906" s="362"/>
      <c r="G906" s="360"/>
      <c r="H906" s="185"/>
      <c r="I906" s="362"/>
      <c r="J906" s="185"/>
      <c r="K906" s="363"/>
      <c r="L906" s="363"/>
      <c r="M906" s="363"/>
      <c r="N906" s="363"/>
      <c r="O906" s="363"/>
      <c r="P906" s="363"/>
      <c r="Q906" s="362"/>
      <c r="R906" s="185"/>
      <c r="S906" s="185"/>
      <c r="T906" s="364"/>
      <c r="U906" s="185"/>
      <c r="V906" s="185"/>
      <c r="W906" s="185"/>
      <c r="X906" s="185"/>
      <c r="Y906" s="185"/>
      <c r="Z906" s="185"/>
      <c r="AA906" s="185"/>
    </row>
    <row r="907" spans="1:27" ht="15.75" customHeight="1">
      <c r="A907" s="185"/>
      <c r="B907" s="360"/>
      <c r="C907" s="361"/>
      <c r="D907" s="185"/>
      <c r="E907" s="185"/>
      <c r="F907" s="362"/>
      <c r="G907" s="360"/>
      <c r="H907" s="185"/>
      <c r="I907" s="362"/>
      <c r="J907" s="185"/>
      <c r="K907" s="363"/>
      <c r="L907" s="363"/>
      <c r="M907" s="363"/>
      <c r="N907" s="363"/>
      <c r="O907" s="363"/>
      <c r="P907" s="363"/>
      <c r="Q907" s="362"/>
      <c r="R907" s="185"/>
      <c r="S907" s="185"/>
      <c r="T907" s="364"/>
      <c r="U907" s="185"/>
      <c r="V907" s="185"/>
      <c r="W907" s="185"/>
      <c r="X907" s="185"/>
      <c r="Y907" s="185"/>
      <c r="Z907" s="185"/>
      <c r="AA907" s="185"/>
    </row>
    <row r="908" spans="1:27" ht="15.75" customHeight="1">
      <c r="A908" s="185"/>
      <c r="B908" s="360"/>
      <c r="C908" s="361"/>
      <c r="D908" s="185"/>
      <c r="E908" s="185"/>
      <c r="F908" s="362"/>
      <c r="G908" s="360"/>
      <c r="H908" s="185"/>
      <c r="I908" s="362"/>
      <c r="J908" s="185"/>
      <c r="K908" s="363"/>
      <c r="L908" s="363"/>
      <c r="M908" s="363"/>
      <c r="N908" s="363"/>
      <c r="O908" s="363"/>
      <c r="P908" s="363"/>
      <c r="Q908" s="362"/>
      <c r="R908" s="185"/>
      <c r="S908" s="185"/>
      <c r="T908" s="364"/>
      <c r="U908" s="185"/>
      <c r="V908" s="185"/>
      <c r="W908" s="185"/>
      <c r="X908" s="185"/>
      <c r="Y908" s="185"/>
      <c r="Z908" s="185"/>
      <c r="AA908" s="185"/>
    </row>
    <row r="909" spans="1:27" ht="15.75" customHeight="1">
      <c r="A909" s="185"/>
      <c r="B909" s="360"/>
      <c r="C909" s="361"/>
      <c r="D909" s="185"/>
      <c r="E909" s="185"/>
      <c r="F909" s="362"/>
      <c r="G909" s="360"/>
      <c r="H909" s="185"/>
      <c r="I909" s="362"/>
      <c r="J909" s="185"/>
      <c r="K909" s="363"/>
      <c r="L909" s="363"/>
      <c r="M909" s="363"/>
      <c r="N909" s="363"/>
      <c r="O909" s="363"/>
      <c r="P909" s="363"/>
      <c r="Q909" s="362"/>
      <c r="R909" s="185"/>
      <c r="S909" s="185"/>
      <c r="T909" s="364"/>
      <c r="U909" s="185"/>
      <c r="V909" s="185"/>
      <c r="W909" s="185"/>
      <c r="X909" s="185"/>
      <c r="Y909" s="185"/>
      <c r="Z909" s="185"/>
      <c r="AA909" s="185"/>
    </row>
    <row r="910" spans="1:27" ht="15.75" customHeight="1">
      <c r="A910" s="185"/>
      <c r="B910" s="360"/>
      <c r="C910" s="361"/>
      <c r="D910" s="185"/>
      <c r="E910" s="185"/>
      <c r="F910" s="362"/>
      <c r="G910" s="360"/>
      <c r="H910" s="185"/>
      <c r="I910" s="362"/>
      <c r="J910" s="185"/>
      <c r="K910" s="363"/>
      <c r="L910" s="363"/>
      <c r="M910" s="363"/>
      <c r="N910" s="363"/>
      <c r="O910" s="363"/>
      <c r="P910" s="363"/>
      <c r="Q910" s="362"/>
      <c r="R910" s="185"/>
      <c r="S910" s="185"/>
      <c r="T910" s="364"/>
      <c r="U910" s="185"/>
      <c r="V910" s="185"/>
      <c r="W910" s="185"/>
      <c r="X910" s="185"/>
      <c r="Y910" s="185"/>
      <c r="Z910" s="185"/>
      <c r="AA910" s="185"/>
    </row>
    <row r="911" spans="1:27" ht="15.75" customHeight="1">
      <c r="A911" s="185"/>
      <c r="B911" s="360"/>
      <c r="C911" s="361"/>
      <c r="D911" s="185"/>
      <c r="E911" s="185"/>
      <c r="F911" s="362"/>
      <c r="G911" s="360"/>
      <c r="H911" s="185"/>
      <c r="I911" s="362"/>
      <c r="J911" s="185"/>
      <c r="K911" s="363"/>
      <c r="L911" s="363"/>
      <c r="M911" s="363"/>
      <c r="N911" s="363"/>
      <c r="O911" s="363"/>
      <c r="P911" s="363"/>
      <c r="Q911" s="362"/>
      <c r="R911" s="185"/>
      <c r="S911" s="185"/>
      <c r="T911" s="364"/>
      <c r="U911" s="185"/>
      <c r="V911" s="185"/>
      <c r="W911" s="185"/>
      <c r="X911" s="185"/>
      <c r="Y911" s="185"/>
      <c r="Z911" s="185"/>
      <c r="AA911" s="185"/>
    </row>
    <row r="912" spans="1:27" ht="15.75" customHeight="1">
      <c r="A912" s="185"/>
      <c r="B912" s="360"/>
      <c r="C912" s="361"/>
      <c r="D912" s="185"/>
      <c r="E912" s="185"/>
      <c r="F912" s="362"/>
      <c r="G912" s="360"/>
      <c r="H912" s="185"/>
      <c r="I912" s="362"/>
      <c r="J912" s="185"/>
      <c r="K912" s="363"/>
      <c r="L912" s="363"/>
      <c r="M912" s="363"/>
      <c r="N912" s="363"/>
      <c r="O912" s="363"/>
      <c r="P912" s="363"/>
      <c r="Q912" s="362"/>
      <c r="R912" s="185"/>
      <c r="S912" s="185"/>
      <c r="T912" s="364"/>
      <c r="U912" s="185"/>
      <c r="V912" s="185"/>
      <c r="W912" s="185"/>
      <c r="X912" s="185"/>
      <c r="Y912" s="185"/>
      <c r="Z912" s="185"/>
      <c r="AA912" s="185"/>
    </row>
    <row r="913" spans="1:27" ht="15.75" customHeight="1">
      <c r="A913" s="185"/>
      <c r="B913" s="360"/>
      <c r="C913" s="361"/>
      <c r="D913" s="185"/>
      <c r="E913" s="185"/>
      <c r="F913" s="362"/>
      <c r="G913" s="360"/>
      <c r="H913" s="185"/>
      <c r="I913" s="362"/>
      <c r="J913" s="185"/>
      <c r="K913" s="363"/>
      <c r="L913" s="363"/>
      <c r="M913" s="363"/>
      <c r="N913" s="363"/>
      <c r="O913" s="363"/>
      <c r="P913" s="363"/>
      <c r="Q913" s="362"/>
      <c r="R913" s="185"/>
      <c r="S913" s="185"/>
      <c r="T913" s="364"/>
      <c r="U913" s="185"/>
      <c r="V913" s="185"/>
      <c r="W913" s="185"/>
      <c r="X913" s="185"/>
      <c r="Y913" s="185"/>
      <c r="Z913" s="185"/>
      <c r="AA913" s="185"/>
    </row>
    <row r="914" spans="1:27" ht="15.75" customHeight="1">
      <c r="A914" s="185"/>
      <c r="B914" s="360"/>
      <c r="C914" s="361"/>
      <c r="D914" s="185"/>
      <c r="E914" s="185"/>
      <c r="F914" s="362"/>
      <c r="G914" s="360"/>
      <c r="H914" s="185"/>
      <c r="I914" s="362"/>
      <c r="J914" s="185"/>
      <c r="K914" s="363"/>
      <c r="L914" s="363"/>
      <c r="M914" s="363"/>
      <c r="N914" s="363"/>
      <c r="O914" s="363"/>
      <c r="P914" s="363"/>
      <c r="Q914" s="362"/>
      <c r="R914" s="185"/>
      <c r="S914" s="185"/>
      <c r="T914" s="364"/>
      <c r="U914" s="185"/>
      <c r="V914" s="185"/>
      <c r="W914" s="185"/>
      <c r="X914" s="185"/>
      <c r="Y914" s="185"/>
      <c r="Z914" s="185"/>
      <c r="AA914" s="185"/>
    </row>
    <row r="915" spans="1:27" ht="15.75" customHeight="1">
      <c r="A915" s="185"/>
      <c r="B915" s="360"/>
      <c r="C915" s="361"/>
      <c r="D915" s="185"/>
      <c r="E915" s="185"/>
      <c r="F915" s="362"/>
      <c r="G915" s="360"/>
      <c r="H915" s="185"/>
      <c r="I915" s="362"/>
      <c r="J915" s="185"/>
      <c r="K915" s="363"/>
      <c r="L915" s="363"/>
      <c r="M915" s="363"/>
      <c r="N915" s="363"/>
      <c r="O915" s="363"/>
      <c r="P915" s="363"/>
      <c r="Q915" s="362"/>
      <c r="R915" s="185"/>
      <c r="S915" s="185"/>
      <c r="T915" s="364"/>
      <c r="U915" s="185"/>
      <c r="V915" s="185"/>
      <c r="W915" s="185"/>
      <c r="X915" s="185"/>
      <c r="Y915" s="185"/>
      <c r="Z915" s="185"/>
      <c r="AA915" s="185"/>
    </row>
    <row r="916" spans="1:27" ht="15.75" customHeight="1">
      <c r="A916" s="185"/>
      <c r="B916" s="360"/>
      <c r="C916" s="361"/>
      <c r="D916" s="185"/>
      <c r="E916" s="185"/>
      <c r="F916" s="362"/>
      <c r="G916" s="360"/>
      <c r="H916" s="185"/>
      <c r="I916" s="362"/>
      <c r="J916" s="185"/>
      <c r="K916" s="363"/>
      <c r="L916" s="363"/>
      <c r="M916" s="363"/>
      <c r="N916" s="363"/>
      <c r="O916" s="363"/>
      <c r="P916" s="363"/>
      <c r="Q916" s="362"/>
      <c r="R916" s="185"/>
      <c r="S916" s="185"/>
      <c r="T916" s="364"/>
      <c r="U916" s="185"/>
      <c r="V916" s="185"/>
      <c r="W916" s="185"/>
      <c r="X916" s="185"/>
      <c r="Y916" s="185"/>
      <c r="Z916" s="185"/>
      <c r="AA916" s="185"/>
    </row>
    <row r="917" spans="1:27" ht="15.75" customHeight="1">
      <c r="A917" s="185"/>
      <c r="B917" s="360"/>
      <c r="C917" s="361"/>
      <c r="D917" s="185"/>
      <c r="E917" s="185"/>
      <c r="F917" s="362"/>
      <c r="G917" s="360"/>
      <c r="H917" s="185"/>
      <c r="I917" s="362"/>
      <c r="J917" s="185"/>
      <c r="K917" s="363"/>
      <c r="L917" s="363"/>
      <c r="M917" s="363"/>
      <c r="N917" s="363"/>
      <c r="O917" s="363"/>
      <c r="P917" s="363"/>
      <c r="Q917" s="362"/>
      <c r="R917" s="185"/>
      <c r="S917" s="185"/>
      <c r="T917" s="364"/>
      <c r="U917" s="185"/>
      <c r="V917" s="185"/>
      <c r="W917" s="185"/>
      <c r="X917" s="185"/>
      <c r="Y917" s="185"/>
      <c r="Z917" s="185"/>
      <c r="AA917" s="185"/>
    </row>
    <row r="918" spans="1:27" ht="15.75" customHeight="1">
      <c r="A918" s="185"/>
      <c r="B918" s="360"/>
      <c r="C918" s="361"/>
      <c r="D918" s="185"/>
      <c r="E918" s="185"/>
      <c r="F918" s="362"/>
      <c r="G918" s="360"/>
      <c r="H918" s="185"/>
      <c r="I918" s="362"/>
      <c r="J918" s="185"/>
      <c r="K918" s="363"/>
      <c r="L918" s="363"/>
      <c r="M918" s="363"/>
      <c r="N918" s="363"/>
      <c r="O918" s="363"/>
      <c r="P918" s="363"/>
      <c r="Q918" s="362"/>
      <c r="R918" s="185"/>
      <c r="S918" s="185"/>
      <c r="T918" s="364"/>
      <c r="U918" s="185"/>
      <c r="V918" s="185"/>
      <c r="W918" s="185"/>
      <c r="X918" s="185"/>
      <c r="Y918" s="185"/>
      <c r="Z918" s="185"/>
      <c r="AA918" s="185"/>
    </row>
    <row r="919" spans="1:27" ht="15.75" customHeight="1">
      <c r="A919" s="185"/>
      <c r="B919" s="360"/>
      <c r="C919" s="361"/>
      <c r="D919" s="185"/>
      <c r="E919" s="185"/>
      <c r="F919" s="362"/>
      <c r="G919" s="360"/>
      <c r="H919" s="185"/>
      <c r="I919" s="362"/>
      <c r="J919" s="185"/>
      <c r="K919" s="363"/>
      <c r="L919" s="363"/>
      <c r="M919" s="363"/>
      <c r="N919" s="363"/>
      <c r="O919" s="363"/>
      <c r="P919" s="363"/>
      <c r="Q919" s="362"/>
      <c r="R919" s="185"/>
      <c r="S919" s="185"/>
      <c r="T919" s="364"/>
      <c r="U919" s="185"/>
      <c r="V919" s="185"/>
      <c r="W919" s="185"/>
      <c r="X919" s="185"/>
      <c r="Y919" s="185"/>
      <c r="Z919" s="185"/>
      <c r="AA919" s="185"/>
    </row>
    <row r="920" spans="1:27" ht="15.75" customHeight="1">
      <c r="A920" s="185"/>
      <c r="B920" s="360"/>
      <c r="C920" s="361"/>
      <c r="D920" s="185"/>
      <c r="E920" s="185"/>
      <c r="F920" s="362"/>
      <c r="G920" s="360"/>
      <c r="H920" s="185"/>
      <c r="I920" s="362"/>
      <c r="J920" s="185"/>
      <c r="K920" s="363"/>
      <c r="L920" s="363"/>
      <c r="M920" s="363"/>
      <c r="N920" s="363"/>
      <c r="O920" s="363"/>
      <c r="P920" s="363"/>
      <c r="Q920" s="362"/>
      <c r="R920" s="185"/>
      <c r="S920" s="185"/>
      <c r="T920" s="364"/>
      <c r="U920" s="185"/>
      <c r="V920" s="185"/>
      <c r="W920" s="185"/>
      <c r="X920" s="185"/>
      <c r="Y920" s="185"/>
      <c r="Z920" s="185"/>
      <c r="AA920" s="185"/>
    </row>
    <row r="921" spans="1:27" ht="15.75" customHeight="1">
      <c r="A921" s="185"/>
      <c r="B921" s="360"/>
      <c r="C921" s="361"/>
      <c r="D921" s="185"/>
      <c r="E921" s="185"/>
      <c r="F921" s="362"/>
      <c r="G921" s="360"/>
      <c r="H921" s="185"/>
      <c r="I921" s="362"/>
      <c r="J921" s="185"/>
      <c r="K921" s="363"/>
      <c r="L921" s="363"/>
      <c r="M921" s="363"/>
      <c r="N921" s="363"/>
      <c r="O921" s="363"/>
      <c r="P921" s="363"/>
      <c r="Q921" s="362"/>
      <c r="R921" s="185"/>
      <c r="S921" s="185"/>
      <c r="T921" s="364"/>
      <c r="U921" s="185"/>
      <c r="V921" s="185"/>
      <c r="W921" s="185"/>
      <c r="X921" s="185"/>
      <c r="Y921" s="185"/>
      <c r="Z921" s="185"/>
      <c r="AA921" s="185"/>
    </row>
    <row r="922" spans="1:27" ht="15.75" customHeight="1">
      <c r="A922" s="185"/>
      <c r="B922" s="360"/>
      <c r="C922" s="361"/>
      <c r="D922" s="185"/>
      <c r="E922" s="185"/>
      <c r="F922" s="362"/>
      <c r="G922" s="360"/>
      <c r="H922" s="185"/>
      <c r="I922" s="362"/>
      <c r="J922" s="185"/>
      <c r="K922" s="363"/>
      <c r="L922" s="363"/>
      <c r="M922" s="363"/>
      <c r="N922" s="363"/>
      <c r="O922" s="363"/>
      <c r="P922" s="363"/>
      <c r="Q922" s="362"/>
      <c r="R922" s="185"/>
      <c r="S922" s="185"/>
      <c r="T922" s="364"/>
      <c r="U922" s="185"/>
      <c r="V922" s="185"/>
      <c r="W922" s="185"/>
      <c r="X922" s="185"/>
      <c r="Y922" s="185"/>
      <c r="Z922" s="185"/>
      <c r="AA922" s="185"/>
    </row>
    <row r="923" spans="1:27" ht="15.75" customHeight="1">
      <c r="A923" s="185"/>
      <c r="B923" s="360"/>
      <c r="C923" s="361"/>
      <c r="D923" s="185"/>
      <c r="E923" s="185"/>
      <c r="F923" s="362"/>
      <c r="G923" s="360"/>
      <c r="H923" s="185"/>
      <c r="I923" s="362"/>
      <c r="J923" s="185"/>
      <c r="K923" s="363"/>
      <c r="L923" s="363"/>
      <c r="M923" s="363"/>
      <c r="N923" s="363"/>
      <c r="O923" s="363"/>
      <c r="P923" s="363"/>
      <c r="Q923" s="362"/>
      <c r="R923" s="185"/>
      <c r="S923" s="185"/>
      <c r="T923" s="364"/>
      <c r="U923" s="185"/>
      <c r="V923" s="185"/>
      <c r="W923" s="185"/>
      <c r="X923" s="185"/>
      <c r="Y923" s="185"/>
      <c r="Z923" s="185"/>
      <c r="AA923" s="185"/>
    </row>
    <row r="924" spans="1:27" ht="15.75" customHeight="1">
      <c r="A924" s="185"/>
      <c r="B924" s="360"/>
      <c r="C924" s="361"/>
      <c r="D924" s="185"/>
      <c r="E924" s="185"/>
      <c r="F924" s="362"/>
      <c r="G924" s="360"/>
      <c r="H924" s="185"/>
      <c r="I924" s="362"/>
      <c r="J924" s="185"/>
      <c r="K924" s="363"/>
      <c r="L924" s="363"/>
      <c r="M924" s="363"/>
      <c r="N924" s="363"/>
      <c r="O924" s="363"/>
      <c r="P924" s="363"/>
      <c r="Q924" s="362"/>
      <c r="R924" s="185"/>
      <c r="S924" s="185"/>
      <c r="T924" s="364"/>
      <c r="U924" s="185"/>
      <c r="V924" s="185"/>
      <c r="W924" s="185"/>
      <c r="X924" s="185"/>
      <c r="Y924" s="185"/>
      <c r="Z924" s="185"/>
      <c r="AA924" s="185"/>
    </row>
    <row r="925" spans="1:27" ht="15.75" customHeight="1">
      <c r="A925" s="185"/>
      <c r="B925" s="360"/>
      <c r="C925" s="361"/>
      <c r="D925" s="185"/>
      <c r="E925" s="185"/>
      <c r="F925" s="362"/>
      <c r="G925" s="360"/>
      <c r="H925" s="185"/>
      <c r="I925" s="362"/>
      <c r="J925" s="185"/>
      <c r="K925" s="363"/>
      <c r="L925" s="363"/>
      <c r="M925" s="363"/>
      <c r="N925" s="363"/>
      <c r="O925" s="363"/>
      <c r="P925" s="363"/>
      <c r="Q925" s="362"/>
      <c r="R925" s="185"/>
      <c r="S925" s="185"/>
      <c r="T925" s="364"/>
      <c r="U925" s="185"/>
      <c r="V925" s="185"/>
      <c r="W925" s="185"/>
      <c r="X925" s="185"/>
      <c r="Y925" s="185"/>
      <c r="Z925" s="185"/>
      <c r="AA925" s="185"/>
    </row>
    <row r="926" spans="1:27" ht="15.75" customHeight="1">
      <c r="A926" s="185"/>
      <c r="B926" s="360"/>
      <c r="C926" s="361"/>
      <c r="D926" s="185"/>
      <c r="E926" s="185"/>
      <c r="F926" s="362"/>
      <c r="G926" s="360"/>
      <c r="H926" s="185"/>
      <c r="I926" s="362"/>
      <c r="J926" s="185"/>
      <c r="K926" s="363"/>
      <c r="L926" s="363"/>
      <c r="M926" s="363"/>
      <c r="N926" s="363"/>
      <c r="O926" s="363"/>
      <c r="P926" s="363"/>
      <c r="Q926" s="362"/>
      <c r="R926" s="185"/>
      <c r="S926" s="185"/>
      <c r="T926" s="364"/>
      <c r="U926" s="185"/>
      <c r="V926" s="185"/>
      <c r="W926" s="185"/>
      <c r="X926" s="185"/>
      <c r="Y926" s="185"/>
      <c r="Z926" s="185"/>
      <c r="AA926" s="185"/>
    </row>
    <row r="927" spans="1:27" ht="15.75" customHeight="1">
      <c r="A927" s="185"/>
      <c r="B927" s="360"/>
      <c r="C927" s="361"/>
      <c r="D927" s="185"/>
      <c r="E927" s="185"/>
      <c r="F927" s="362"/>
      <c r="G927" s="360"/>
      <c r="H927" s="185"/>
      <c r="I927" s="362"/>
      <c r="J927" s="185"/>
      <c r="K927" s="363"/>
      <c r="L927" s="363"/>
      <c r="M927" s="363"/>
      <c r="N927" s="363"/>
      <c r="O927" s="363"/>
      <c r="P927" s="363"/>
      <c r="Q927" s="362"/>
      <c r="R927" s="185"/>
      <c r="S927" s="185"/>
      <c r="T927" s="364"/>
      <c r="U927" s="185"/>
      <c r="V927" s="185"/>
      <c r="W927" s="185"/>
      <c r="X927" s="185"/>
      <c r="Y927" s="185"/>
      <c r="Z927" s="185"/>
      <c r="AA927" s="185"/>
    </row>
    <row r="928" spans="1:27" ht="15.75" customHeight="1">
      <c r="A928" s="185"/>
      <c r="B928" s="360"/>
      <c r="C928" s="361"/>
      <c r="D928" s="185"/>
      <c r="E928" s="185"/>
      <c r="F928" s="362"/>
      <c r="G928" s="360"/>
      <c r="H928" s="185"/>
      <c r="I928" s="362"/>
      <c r="J928" s="185"/>
      <c r="K928" s="363"/>
      <c r="L928" s="363"/>
      <c r="M928" s="363"/>
      <c r="N928" s="363"/>
      <c r="O928" s="363"/>
      <c r="P928" s="363"/>
      <c r="Q928" s="362"/>
      <c r="R928" s="185"/>
      <c r="S928" s="185"/>
      <c r="T928" s="364"/>
      <c r="U928" s="185"/>
      <c r="V928" s="185"/>
      <c r="W928" s="185"/>
      <c r="X928" s="185"/>
      <c r="Y928" s="185"/>
      <c r="Z928" s="185"/>
      <c r="AA928" s="185"/>
    </row>
    <row r="929" spans="1:27" ht="15.75" customHeight="1">
      <c r="A929" s="185"/>
      <c r="B929" s="360"/>
      <c r="C929" s="361"/>
      <c r="D929" s="185"/>
      <c r="E929" s="185"/>
      <c r="F929" s="362"/>
      <c r="G929" s="360"/>
      <c r="H929" s="185"/>
      <c r="I929" s="362"/>
      <c r="J929" s="185"/>
      <c r="K929" s="363"/>
      <c r="L929" s="363"/>
      <c r="M929" s="363"/>
      <c r="N929" s="363"/>
      <c r="O929" s="363"/>
      <c r="P929" s="363"/>
      <c r="Q929" s="362"/>
      <c r="R929" s="185"/>
      <c r="S929" s="185"/>
      <c r="T929" s="364"/>
      <c r="U929" s="185"/>
      <c r="V929" s="185"/>
      <c r="W929" s="185"/>
      <c r="X929" s="185"/>
      <c r="Y929" s="185"/>
      <c r="Z929" s="185"/>
      <c r="AA929" s="185"/>
    </row>
    <row r="930" spans="1:27" ht="15.75" customHeight="1">
      <c r="A930" s="185"/>
      <c r="B930" s="360"/>
      <c r="C930" s="361"/>
      <c r="D930" s="185"/>
      <c r="E930" s="185"/>
      <c r="F930" s="362"/>
      <c r="G930" s="360"/>
      <c r="H930" s="185"/>
      <c r="I930" s="362"/>
      <c r="J930" s="185"/>
      <c r="K930" s="363"/>
      <c r="L930" s="363"/>
      <c r="M930" s="363"/>
      <c r="N930" s="363"/>
      <c r="O930" s="363"/>
      <c r="P930" s="363"/>
      <c r="Q930" s="362"/>
      <c r="R930" s="185"/>
      <c r="S930" s="185"/>
      <c r="T930" s="364"/>
      <c r="U930" s="185"/>
      <c r="V930" s="185"/>
      <c r="W930" s="185"/>
      <c r="X930" s="185"/>
      <c r="Y930" s="185"/>
      <c r="Z930" s="185"/>
      <c r="AA930" s="185"/>
    </row>
    <row r="931" spans="1:27" ht="15.75" customHeight="1">
      <c r="A931" s="185"/>
      <c r="B931" s="360"/>
      <c r="C931" s="361"/>
      <c r="D931" s="185"/>
      <c r="E931" s="185"/>
      <c r="F931" s="362"/>
      <c r="G931" s="360"/>
      <c r="H931" s="185"/>
      <c r="I931" s="362"/>
      <c r="J931" s="185"/>
      <c r="K931" s="363"/>
      <c r="L931" s="363"/>
      <c r="M931" s="363"/>
      <c r="N931" s="363"/>
      <c r="O931" s="363"/>
      <c r="P931" s="363"/>
      <c r="Q931" s="362"/>
      <c r="R931" s="185"/>
      <c r="S931" s="185"/>
      <c r="T931" s="364"/>
      <c r="U931" s="185"/>
      <c r="V931" s="185"/>
      <c r="W931" s="185"/>
      <c r="X931" s="185"/>
      <c r="Y931" s="185"/>
      <c r="Z931" s="185"/>
      <c r="AA931" s="185"/>
    </row>
    <row r="932" spans="1:27" ht="15.75" customHeight="1">
      <c r="A932" s="185"/>
      <c r="B932" s="360"/>
      <c r="C932" s="361"/>
      <c r="D932" s="185"/>
      <c r="E932" s="185"/>
      <c r="F932" s="362"/>
      <c r="G932" s="360"/>
      <c r="H932" s="185"/>
      <c r="I932" s="362"/>
      <c r="J932" s="185"/>
      <c r="K932" s="363"/>
      <c r="L932" s="363"/>
      <c r="M932" s="363"/>
      <c r="N932" s="363"/>
      <c r="O932" s="363"/>
      <c r="P932" s="363"/>
      <c r="Q932" s="362"/>
      <c r="R932" s="185"/>
      <c r="S932" s="185"/>
      <c r="T932" s="364"/>
      <c r="U932" s="185"/>
      <c r="V932" s="185"/>
      <c r="W932" s="185"/>
      <c r="X932" s="185"/>
      <c r="Y932" s="185"/>
      <c r="Z932" s="185"/>
      <c r="AA932" s="185"/>
    </row>
    <row r="933" spans="1:27" ht="15.75" customHeight="1">
      <c r="A933" s="185"/>
      <c r="B933" s="360"/>
      <c r="C933" s="361"/>
      <c r="D933" s="185"/>
      <c r="E933" s="185"/>
      <c r="F933" s="362"/>
      <c r="G933" s="360"/>
      <c r="H933" s="185"/>
      <c r="I933" s="362"/>
      <c r="J933" s="185"/>
      <c r="K933" s="363"/>
      <c r="L933" s="363"/>
      <c r="M933" s="363"/>
      <c r="N933" s="363"/>
      <c r="O933" s="363"/>
      <c r="P933" s="363"/>
      <c r="Q933" s="362"/>
      <c r="R933" s="185"/>
      <c r="S933" s="185"/>
      <c r="T933" s="364"/>
      <c r="U933" s="185"/>
      <c r="V933" s="185"/>
      <c r="W933" s="185"/>
      <c r="X933" s="185"/>
      <c r="Y933" s="185"/>
      <c r="Z933" s="185"/>
      <c r="AA933" s="185"/>
    </row>
    <row r="934" spans="1:27" ht="15.75" customHeight="1">
      <c r="A934" s="185"/>
      <c r="B934" s="360"/>
      <c r="C934" s="361"/>
      <c r="D934" s="185"/>
      <c r="E934" s="185"/>
      <c r="F934" s="362"/>
      <c r="G934" s="360"/>
      <c r="H934" s="185"/>
      <c r="I934" s="362"/>
      <c r="J934" s="185"/>
      <c r="K934" s="363"/>
      <c r="L934" s="363"/>
      <c r="M934" s="363"/>
      <c r="N934" s="363"/>
      <c r="O934" s="363"/>
      <c r="P934" s="363"/>
      <c r="Q934" s="362"/>
      <c r="R934" s="185"/>
      <c r="S934" s="185"/>
      <c r="T934" s="364"/>
      <c r="U934" s="185"/>
      <c r="V934" s="185"/>
      <c r="W934" s="185"/>
      <c r="X934" s="185"/>
      <c r="Y934" s="185"/>
      <c r="Z934" s="185"/>
      <c r="AA934" s="185"/>
    </row>
    <row r="935" spans="1:27" ht="15.75" customHeight="1">
      <c r="A935" s="185"/>
      <c r="B935" s="360"/>
      <c r="C935" s="361"/>
      <c r="D935" s="185"/>
      <c r="E935" s="185"/>
      <c r="F935" s="362"/>
      <c r="G935" s="360"/>
      <c r="H935" s="185"/>
      <c r="I935" s="362"/>
      <c r="J935" s="185"/>
      <c r="K935" s="363"/>
      <c r="L935" s="363"/>
      <c r="M935" s="363"/>
      <c r="N935" s="363"/>
      <c r="O935" s="363"/>
      <c r="P935" s="363"/>
      <c r="Q935" s="362"/>
      <c r="R935" s="185"/>
      <c r="S935" s="185"/>
      <c r="T935" s="364"/>
      <c r="U935" s="185"/>
      <c r="V935" s="185"/>
      <c r="W935" s="185"/>
      <c r="X935" s="185"/>
      <c r="Y935" s="185"/>
      <c r="Z935" s="185"/>
      <c r="AA935" s="185"/>
    </row>
    <row r="936" spans="1:27" ht="15.75" customHeight="1">
      <c r="A936" s="185"/>
      <c r="B936" s="360"/>
      <c r="C936" s="361"/>
      <c r="D936" s="185"/>
      <c r="E936" s="185"/>
      <c r="F936" s="362"/>
      <c r="G936" s="360"/>
      <c r="H936" s="185"/>
      <c r="I936" s="362"/>
      <c r="J936" s="185"/>
      <c r="K936" s="363"/>
      <c r="L936" s="363"/>
      <c r="M936" s="363"/>
      <c r="N936" s="363"/>
      <c r="O936" s="363"/>
      <c r="P936" s="363"/>
      <c r="Q936" s="362"/>
      <c r="R936" s="185"/>
      <c r="S936" s="185"/>
      <c r="T936" s="364"/>
      <c r="U936" s="185"/>
      <c r="V936" s="185"/>
      <c r="W936" s="185"/>
      <c r="X936" s="185"/>
      <c r="Y936" s="185"/>
      <c r="Z936" s="185"/>
      <c r="AA936" s="185"/>
    </row>
    <row r="937" spans="1:27" ht="15.75" customHeight="1">
      <c r="A937" s="185"/>
      <c r="B937" s="360"/>
      <c r="C937" s="361"/>
      <c r="D937" s="185"/>
      <c r="E937" s="185"/>
      <c r="F937" s="362"/>
      <c r="G937" s="360"/>
      <c r="H937" s="185"/>
      <c r="I937" s="362"/>
      <c r="J937" s="185"/>
      <c r="K937" s="363"/>
      <c r="L937" s="363"/>
      <c r="M937" s="363"/>
      <c r="N937" s="363"/>
      <c r="O937" s="363"/>
      <c r="P937" s="363"/>
      <c r="Q937" s="362"/>
      <c r="R937" s="185"/>
      <c r="S937" s="185"/>
      <c r="T937" s="364"/>
      <c r="U937" s="185"/>
      <c r="V937" s="185"/>
      <c r="W937" s="185"/>
      <c r="X937" s="185"/>
      <c r="Y937" s="185"/>
      <c r="Z937" s="185"/>
      <c r="AA937" s="185"/>
    </row>
    <row r="938" spans="1:27" ht="15.75" customHeight="1">
      <c r="A938" s="185"/>
      <c r="B938" s="360"/>
      <c r="C938" s="361"/>
      <c r="D938" s="185"/>
      <c r="E938" s="185"/>
      <c r="F938" s="362"/>
      <c r="G938" s="360"/>
      <c r="H938" s="185"/>
      <c r="I938" s="362"/>
      <c r="J938" s="185"/>
      <c r="K938" s="363"/>
      <c r="L938" s="363"/>
      <c r="M938" s="363"/>
      <c r="N938" s="363"/>
      <c r="O938" s="363"/>
      <c r="P938" s="363"/>
      <c r="Q938" s="362"/>
      <c r="R938" s="185"/>
      <c r="S938" s="185"/>
      <c r="T938" s="364"/>
      <c r="U938" s="185"/>
      <c r="V938" s="185"/>
      <c r="W938" s="185"/>
      <c r="X938" s="185"/>
      <c r="Y938" s="185"/>
      <c r="Z938" s="185"/>
      <c r="AA938" s="185"/>
    </row>
    <row r="939" spans="1:27" ht="15.75" customHeight="1">
      <c r="A939" s="185"/>
      <c r="B939" s="360"/>
      <c r="C939" s="361"/>
      <c r="D939" s="185"/>
      <c r="E939" s="185"/>
      <c r="F939" s="362"/>
      <c r="G939" s="360"/>
      <c r="H939" s="185"/>
      <c r="I939" s="362"/>
      <c r="J939" s="185"/>
      <c r="K939" s="363"/>
      <c r="L939" s="363"/>
      <c r="M939" s="363"/>
      <c r="N939" s="363"/>
      <c r="O939" s="363"/>
      <c r="P939" s="363"/>
      <c r="Q939" s="362"/>
      <c r="R939" s="185"/>
      <c r="S939" s="185"/>
      <c r="T939" s="364"/>
      <c r="U939" s="185"/>
      <c r="V939" s="185"/>
      <c r="W939" s="185"/>
      <c r="X939" s="185"/>
      <c r="Y939" s="185"/>
      <c r="Z939" s="185"/>
      <c r="AA939" s="185"/>
    </row>
    <row r="940" spans="1:27" ht="15.75" customHeight="1">
      <c r="A940" s="185"/>
      <c r="B940" s="360"/>
      <c r="C940" s="361"/>
      <c r="D940" s="185"/>
      <c r="E940" s="185"/>
      <c r="F940" s="362"/>
      <c r="G940" s="360"/>
      <c r="H940" s="185"/>
      <c r="I940" s="362"/>
      <c r="J940" s="185"/>
      <c r="K940" s="363"/>
      <c r="L940" s="363"/>
      <c r="M940" s="363"/>
      <c r="N940" s="363"/>
      <c r="O940" s="363"/>
      <c r="P940" s="363"/>
      <c r="Q940" s="362"/>
      <c r="R940" s="185"/>
      <c r="S940" s="185"/>
      <c r="T940" s="364"/>
      <c r="U940" s="185"/>
      <c r="V940" s="185"/>
      <c r="W940" s="185"/>
      <c r="X940" s="185"/>
      <c r="Y940" s="185"/>
      <c r="Z940" s="185"/>
      <c r="AA940" s="185"/>
    </row>
    <row r="941" spans="1:27" ht="15.75" customHeight="1">
      <c r="A941" s="185"/>
      <c r="B941" s="360"/>
      <c r="C941" s="361"/>
      <c r="D941" s="185"/>
      <c r="E941" s="185"/>
      <c r="F941" s="362"/>
      <c r="G941" s="360"/>
      <c r="H941" s="185"/>
      <c r="I941" s="362"/>
      <c r="J941" s="185"/>
      <c r="K941" s="363"/>
      <c r="L941" s="363"/>
      <c r="M941" s="363"/>
      <c r="N941" s="363"/>
      <c r="O941" s="363"/>
      <c r="P941" s="363"/>
      <c r="Q941" s="362"/>
      <c r="R941" s="185"/>
      <c r="S941" s="185"/>
      <c r="T941" s="364"/>
      <c r="U941" s="185"/>
      <c r="V941" s="185"/>
      <c r="W941" s="185"/>
      <c r="X941" s="185"/>
      <c r="Y941" s="185"/>
      <c r="Z941" s="185"/>
      <c r="AA941" s="185"/>
    </row>
    <row r="942" spans="1:27" ht="15.75" customHeight="1">
      <c r="A942" s="185"/>
      <c r="B942" s="360"/>
      <c r="C942" s="361"/>
      <c r="D942" s="185"/>
      <c r="E942" s="185"/>
      <c r="F942" s="362"/>
      <c r="G942" s="360"/>
      <c r="H942" s="185"/>
      <c r="I942" s="362"/>
      <c r="J942" s="185"/>
      <c r="K942" s="363"/>
      <c r="L942" s="363"/>
      <c r="M942" s="363"/>
      <c r="N942" s="363"/>
      <c r="O942" s="363"/>
      <c r="P942" s="363"/>
      <c r="Q942" s="362"/>
      <c r="R942" s="185"/>
      <c r="S942" s="185"/>
      <c r="T942" s="364"/>
      <c r="U942" s="185"/>
      <c r="V942" s="185"/>
      <c r="W942" s="185"/>
      <c r="X942" s="185"/>
      <c r="Y942" s="185"/>
      <c r="Z942" s="185"/>
      <c r="AA942" s="185"/>
    </row>
    <row r="943" spans="1:27" ht="15.75" customHeight="1">
      <c r="A943" s="185"/>
      <c r="B943" s="360"/>
      <c r="C943" s="361"/>
      <c r="D943" s="185"/>
      <c r="E943" s="185"/>
      <c r="F943" s="362"/>
      <c r="G943" s="360"/>
      <c r="H943" s="185"/>
      <c r="I943" s="362"/>
      <c r="J943" s="185"/>
      <c r="K943" s="363"/>
      <c r="L943" s="363"/>
      <c r="M943" s="363"/>
      <c r="N943" s="363"/>
      <c r="O943" s="363"/>
      <c r="P943" s="363"/>
      <c r="Q943" s="362"/>
      <c r="R943" s="185"/>
      <c r="S943" s="185"/>
      <c r="T943" s="364"/>
      <c r="U943" s="185"/>
      <c r="V943" s="185"/>
      <c r="W943" s="185"/>
      <c r="X943" s="185"/>
      <c r="Y943" s="185"/>
      <c r="Z943" s="185"/>
      <c r="AA943" s="185"/>
    </row>
    <row r="944" spans="1:27" ht="15.75" customHeight="1">
      <c r="A944" s="185"/>
      <c r="B944" s="360"/>
      <c r="C944" s="361"/>
      <c r="D944" s="185"/>
      <c r="E944" s="185"/>
      <c r="F944" s="362"/>
      <c r="G944" s="360"/>
      <c r="H944" s="185"/>
      <c r="I944" s="362"/>
      <c r="J944" s="185"/>
      <c r="K944" s="363"/>
      <c r="L944" s="363"/>
      <c r="M944" s="363"/>
      <c r="N944" s="363"/>
      <c r="O944" s="363"/>
      <c r="P944" s="363"/>
      <c r="Q944" s="362"/>
      <c r="R944" s="185"/>
      <c r="S944" s="185"/>
      <c r="T944" s="364"/>
      <c r="U944" s="185"/>
      <c r="V944" s="185"/>
      <c r="W944" s="185"/>
      <c r="X944" s="185"/>
      <c r="Y944" s="185"/>
      <c r="Z944" s="185"/>
      <c r="AA944" s="185"/>
    </row>
    <row r="945" spans="1:27" ht="15.75" customHeight="1">
      <c r="A945" s="185"/>
      <c r="B945" s="360"/>
      <c r="C945" s="361"/>
      <c r="D945" s="185"/>
      <c r="E945" s="185"/>
      <c r="F945" s="362"/>
      <c r="G945" s="360"/>
      <c r="H945" s="185"/>
      <c r="I945" s="362"/>
      <c r="J945" s="185"/>
      <c r="K945" s="363"/>
      <c r="L945" s="363"/>
      <c r="M945" s="363"/>
      <c r="N945" s="363"/>
      <c r="O945" s="363"/>
      <c r="P945" s="363"/>
      <c r="Q945" s="362"/>
      <c r="R945" s="185"/>
      <c r="S945" s="185"/>
      <c r="T945" s="364"/>
      <c r="U945" s="185"/>
      <c r="V945" s="185"/>
      <c r="W945" s="185"/>
      <c r="X945" s="185"/>
      <c r="Y945" s="185"/>
      <c r="Z945" s="185"/>
      <c r="AA945" s="185"/>
    </row>
    <row r="946" spans="1:27" ht="15.75" customHeight="1">
      <c r="A946" s="185"/>
      <c r="B946" s="360"/>
      <c r="C946" s="361"/>
      <c r="D946" s="185"/>
      <c r="E946" s="185"/>
      <c r="F946" s="362"/>
      <c r="G946" s="360"/>
      <c r="H946" s="185"/>
      <c r="I946" s="362"/>
      <c r="J946" s="185"/>
      <c r="K946" s="363"/>
      <c r="L946" s="363"/>
      <c r="M946" s="363"/>
      <c r="N946" s="363"/>
      <c r="O946" s="363"/>
      <c r="P946" s="363"/>
      <c r="Q946" s="362"/>
      <c r="R946" s="185"/>
      <c r="S946" s="185"/>
      <c r="T946" s="364"/>
      <c r="U946" s="185"/>
      <c r="V946" s="185"/>
      <c r="W946" s="185"/>
      <c r="X946" s="185"/>
      <c r="Y946" s="185"/>
      <c r="Z946" s="185"/>
      <c r="AA946" s="185"/>
    </row>
    <row r="947" spans="1:27" ht="15.75" customHeight="1">
      <c r="A947" s="185"/>
      <c r="B947" s="360"/>
      <c r="C947" s="361"/>
      <c r="D947" s="185"/>
      <c r="E947" s="185"/>
      <c r="F947" s="362"/>
      <c r="G947" s="360"/>
      <c r="H947" s="185"/>
      <c r="I947" s="362"/>
      <c r="J947" s="185"/>
      <c r="K947" s="363"/>
      <c r="L947" s="363"/>
      <c r="M947" s="363"/>
      <c r="N947" s="363"/>
      <c r="O947" s="363"/>
      <c r="P947" s="363"/>
      <c r="Q947" s="362"/>
      <c r="R947" s="185"/>
      <c r="S947" s="185"/>
      <c r="T947" s="364"/>
      <c r="U947" s="185"/>
      <c r="V947" s="185"/>
      <c r="W947" s="185"/>
      <c r="X947" s="185"/>
      <c r="Y947" s="185"/>
      <c r="Z947" s="185"/>
      <c r="AA947" s="185"/>
    </row>
    <row r="948" spans="1:27" ht="15.75" customHeight="1">
      <c r="A948" s="185"/>
      <c r="B948" s="360"/>
      <c r="C948" s="361"/>
      <c r="D948" s="185"/>
      <c r="E948" s="185"/>
      <c r="F948" s="362"/>
      <c r="G948" s="360"/>
      <c r="H948" s="185"/>
      <c r="I948" s="362"/>
      <c r="J948" s="185"/>
      <c r="K948" s="363"/>
      <c r="L948" s="363"/>
      <c r="M948" s="363"/>
      <c r="N948" s="363"/>
      <c r="O948" s="363"/>
      <c r="P948" s="363"/>
      <c r="Q948" s="362"/>
      <c r="R948" s="185"/>
      <c r="S948" s="185"/>
      <c r="T948" s="364"/>
      <c r="U948" s="185"/>
      <c r="V948" s="185"/>
      <c r="W948" s="185"/>
      <c r="X948" s="185"/>
      <c r="Y948" s="185"/>
      <c r="Z948" s="185"/>
      <c r="AA948" s="185"/>
    </row>
    <row r="949" spans="1:27" ht="15.75" customHeight="1">
      <c r="A949" s="185"/>
      <c r="B949" s="360"/>
      <c r="C949" s="361"/>
      <c r="D949" s="185"/>
      <c r="E949" s="185"/>
      <c r="F949" s="362"/>
      <c r="G949" s="360"/>
      <c r="H949" s="185"/>
      <c r="I949" s="362"/>
      <c r="J949" s="185"/>
      <c r="K949" s="363"/>
      <c r="L949" s="363"/>
      <c r="M949" s="363"/>
      <c r="N949" s="363"/>
      <c r="O949" s="363"/>
      <c r="P949" s="363"/>
      <c r="Q949" s="362"/>
      <c r="R949" s="185"/>
      <c r="S949" s="185"/>
      <c r="T949" s="364"/>
      <c r="U949" s="185"/>
      <c r="V949" s="185"/>
      <c r="W949" s="185"/>
      <c r="X949" s="185"/>
      <c r="Y949" s="185"/>
      <c r="Z949" s="185"/>
      <c r="AA949" s="185"/>
    </row>
    <row r="950" spans="1:27" ht="15.75" customHeight="1">
      <c r="A950" s="185"/>
      <c r="B950" s="360"/>
      <c r="C950" s="361"/>
      <c r="D950" s="185"/>
      <c r="E950" s="185"/>
      <c r="F950" s="362"/>
      <c r="G950" s="360"/>
      <c r="H950" s="185"/>
      <c r="I950" s="362"/>
      <c r="J950" s="185"/>
      <c r="K950" s="363"/>
      <c r="L950" s="363"/>
      <c r="M950" s="363"/>
      <c r="N950" s="363"/>
      <c r="O950" s="363"/>
      <c r="P950" s="363"/>
      <c r="Q950" s="362"/>
      <c r="R950" s="185"/>
      <c r="S950" s="185"/>
      <c r="T950" s="364"/>
      <c r="U950" s="185"/>
      <c r="V950" s="185"/>
      <c r="W950" s="185"/>
      <c r="X950" s="185"/>
      <c r="Y950" s="185"/>
      <c r="Z950" s="185"/>
      <c r="AA950" s="185"/>
    </row>
    <row r="951" spans="1:27" ht="15.75" customHeight="1">
      <c r="A951" s="185"/>
      <c r="B951" s="360"/>
      <c r="C951" s="361"/>
      <c r="D951" s="185"/>
      <c r="E951" s="185"/>
      <c r="F951" s="362"/>
      <c r="G951" s="360"/>
      <c r="H951" s="185"/>
      <c r="I951" s="362"/>
      <c r="J951" s="185"/>
      <c r="K951" s="363"/>
      <c r="L951" s="363"/>
      <c r="M951" s="363"/>
      <c r="N951" s="363"/>
      <c r="O951" s="363"/>
      <c r="P951" s="363"/>
      <c r="Q951" s="362"/>
      <c r="R951" s="185"/>
      <c r="S951" s="185"/>
      <c r="T951" s="364"/>
      <c r="U951" s="185"/>
      <c r="V951" s="185"/>
      <c r="W951" s="185"/>
      <c r="X951" s="185"/>
      <c r="Y951" s="185"/>
      <c r="Z951" s="185"/>
      <c r="AA951" s="185"/>
    </row>
    <row r="952" spans="1:27" ht="15.75" customHeight="1">
      <c r="A952" s="185"/>
      <c r="B952" s="360"/>
      <c r="C952" s="361"/>
      <c r="D952" s="185"/>
      <c r="E952" s="185"/>
      <c r="F952" s="362"/>
      <c r="G952" s="360"/>
      <c r="H952" s="185"/>
      <c r="I952" s="362"/>
      <c r="J952" s="185"/>
      <c r="K952" s="363"/>
      <c r="L952" s="363"/>
      <c r="M952" s="363"/>
      <c r="N952" s="363"/>
      <c r="O952" s="363"/>
      <c r="P952" s="363"/>
      <c r="Q952" s="362"/>
      <c r="R952" s="185"/>
      <c r="S952" s="185"/>
      <c r="T952" s="364"/>
      <c r="U952" s="185"/>
      <c r="V952" s="185"/>
      <c r="W952" s="185"/>
      <c r="X952" s="185"/>
      <c r="Y952" s="185"/>
      <c r="Z952" s="185"/>
      <c r="AA952" s="185"/>
    </row>
    <row r="953" spans="1:27" ht="15.75" customHeight="1">
      <c r="A953" s="185"/>
      <c r="B953" s="360"/>
      <c r="C953" s="361"/>
      <c r="D953" s="185"/>
      <c r="E953" s="185"/>
      <c r="F953" s="362"/>
      <c r="G953" s="360"/>
      <c r="H953" s="185"/>
      <c r="I953" s="362"/>
      <c r="J953" s="185"/>
      <c r="K953" s="363"/>
      <c r="L953" s="363"/>
      <c r="M953" s="363"/>
      <c r="N953" s="363"/>
      <c r="O953" s="363"/>
      <c r="P953" s="363"/>
      <c r="Q953" s="362"/>
      <c r="R953" s="185"/>
      <c r="S953" s="185"/>
      <c r="T953" s="364"/>
      <c r="U953" s="185"/>
      <c r="V953" s="185"/>
      <c r="W953" s="185"/>
      <c r="X953" s="185"/>
      <c r="Y953" s="185"/>
      <c r="Z953" s="185"/>
      <c r="AA953" s="185"/>
    </row>
    <row r="954" spans="1:27" ht="15.75" customHeight="1">
      <c r="A954" s="185"/>
      <c r="B954" s="360"/>
      <c r="C954" s="361"/>
      <c r="D954" s="185"/>
      <c r="E954" s="185"/>
      <c r="F954" s="362"/>
      <c r="G954" s="360"/>
      <c r="H954" s="185"/>
      <c r="I954" s="362"/>
      <c r="J954" s="185"/>
      <c r="K954" s="363"/>
      <c r="L954" s="363"/>
      <c r="M954" s="363"/>
      <c r="N954" s="363"/>
      <c r="O954" s="363"/>
      <c r="P954" s="363"/>
      <c r="Q954" s="362"/>
      <c r="R954" s="185"/>
      <c r="S954" s="185"/>
      <c r="T954" s="364"/>
      <c r="U954" s="185"/>
      <c r="V954" s="185"/>
      <c r="W954" s="185"/>
      <c r="X954" s="185"/>
      <c r="Y954" s="185"/>
      <c r="Z954" s="185"/>
      <c r="AA954" s="185"/>
    </row>
    <row r="955" spans="1:27" ht="15.75" customHeight="1">
      <c r="A955" s="185"/>
      <c r="B955" s="360"/>
      <c r="C955" s="361"/>
      <c r="D955" s="185"/>
      <c r="E955" s="185"/>
      <c r="F955" s="362"/>
      <c r="G955" s="360"/>
      <c r="H955" s="185"/>
      <c r="I955" s="362"/>
      <c r="J955" s="185"/>
      <c r="K955" s="363"/>
      <c r="L955" s="363"/>
      <c r="M955" s="363"/>
      <c r="N955" s="363"/>
      <c r="O955" s="363"/>
      <c r="P955" s="363"/>
      <c r="Q955" s="362"/>
      <c r="R955" s="185"/>
      <c r="S955" s="185"/>
      <c r="T955" s="364"/>
      <c r="U955" s="185"/>
      <c r="V955" s="185"/>
      <c r="W955" s="185"/>
      <c r="X955" s="185"/>
      <c r="Y955" s="185"/>
      <c r="Z955" s="185"/>
      <c r="AA955" s="185"/>
    </row>
    <row r="956" spans="1:27" ht="15.75" customHeight="1">
      <c r="A956" s="185"/>
      <c r="B956" s="360"/>
      <c r="C956" s="361"/>
      <c r="D956" s="185"/>
      <c r="E956" s="185"/>
      <c r="F956" s="362"/>
      <c r="G956" s="360"/>
      <c r="H956" s="185"/>
      <c r="I956" s="362"/>
      <c r="J956" s="185"/>
      <c r="K956" s="363"/>
      <c r="L956" s="363"/>
      <c r="M956" s="363"/>
      <c r="N956" s="363"/>
      <c r="O956" s="363"/>
      <c r="P956" s="363"/>
      <c r="Q956" s="362"/>
      <c r="R956" s="185"/>
      <c r="S956" s="185"/>
      <c r="T956" s="364"/>
      <c r="U956" s="185"/>
      <c r="V956" s="185"/>
      <c r="W956" s="185"/>
      <c r="X956" s="185"/>
      <c r="Y956" s="185"/>
      <c r="Z956" s="185"/>
      <c r="AA956" s="185"/>
    </row>
    <row r="957" spans="1:27" ht="15.75" customHeight="1">
      <c r="A957" s="185"/>
      <c r="B957" s="360"/>
      <c r="C957" s="361"/>
      <c r="D957" s="185"/>
      <c r="E957" s="185"/>
      <c r="F957" s="362"/>
      <c r="G957" s="360"/>
      <c r="H957" s="185"/>
      <c r="I957" s="362"/>
      <c r="J957" s="185"/>
      <c r="K957" s="363"/>
      <c r="L957" s="363"/>
      <c r="M957" s="363"/>
      <c r="N957" s="363"/>
      <c r="O957" s="363"/>
      <c r="P957" s="363"/>
      <c r="Q957" s="362"/>
      <c r="R957" s="185"/>
      <c r="S957" s="185"/>
      <c r="T957" s="364"/>
      <c r="U957" s="185"/>
      <c r="V957" s="185"/>
      <c r="W957" s="185"/>
      <c r="X957" s="185"/>
      <c r="Y957" s="185"/>
      <c r="Z957" s="185"/>
      <c r="AA957" s="185"/>
    </row>
    <row r="958" spans="1:27" ht="15.75" customHeight="1">
      <c r="A958" s="185"/>
      <c r="B958" s="360"/>
      <c r="C958" s="361"/>
      <c r="D958" s="185"/>
      <c r="E958" s="185"/>
      <c r="F958" s="362"/>
      <c r="G958" s="360"/>
      <c r="H958" s="185"/>
      <c r="I958" s="362"/>
      <c r="J958" s="185"/>
      <c r="K958" s="363"/>
      <c r="L958" s="363"/>
      <c r="M958" s="363"/>
      <c r="N958" s="363"/>
      <c r="O958" s="363"/>
      <c r="P958" s="363"/>
      <c r="Q958" s="362"/>
      <c r="R958" s="185"/>
      <c r="S958" s="185"/>
      <c r="T958" s="364"/>
      <c r="U958" s="185"/>
      <c r="V958" s="185"/>
      <c r="W958" s="185"/>
      <c r="X958" s="185"/>
      <c r="Y958" s="185"/>
      <c r="Z958" s="185"/>
      <c r="AA958" s="185"/>
    </row>
    <row r="959" spans="1:27" ht="15.75" customHeight="1">
      <c r="A959" s="185"/>
      <c r="B959" s="360"/>
      <c r="C959" s="361"/>
      <c r="D959" s="185"/>
      <c r="E959" s="185"/>
      <c r="F959" s="362"/>
      <c r="G959" s="360"/>
      <c r="H959" s="185"/>
      <c r="I959" s="362"/>
      <c r="J959" s="185"/>
      <c r="K959" s="363"/>
      <c r="L959" s="363"/>
      <c r="M959" s="363"/>
      <c r="N959" s="363"/>
      <c r="O959" s="363"/>
      <c r="P959" s="363"/>
      <c r="Q959" s="362"/>
      <c r="R959" s="185"/>
      <c r="S959" s="185"/>
      <c r="T959" s="364"/>
      <c r="U959" s="185"/>
      <c r="V959" s="185"/>
      <c r="W959" s="185"/>
      <c r="X959" s="185"/>
      <c r="Y959" s="185"/>
      <c r="Z959" s="185"/>
      <c r="AA959" s="185"/>
    </row>
    <row r="960" spans="1:27" ht="15.75" customHeight="1">
      <c r="A960" s="185"/>
      <c r="B960" s="360"/>
      <c r="C960" s="361"/>
      <c r="D960" s="185"/>
      <c r="E960" s="185"/>
      <c r="F960" s="362"/>
      <c r="G960" s="360"/>
      <c r="H960" s="185"/>
      <c r="I960" s="362"/>
      <c r="J960" s="185"/>
      <c r="K960" s="363"/>
      <c r="L960" s="363"/>
      <c r="M960" s="363"/>
      <c r="N960" s="363"/>
      <c r="O960" s="363"/>
      <c r="P960" s="363"/>
      <c r="Q960" s="362"/>
      <c r="R960" s="185"/>
      <c r="S960" s="185"/>
      <c r="T960" s="364"/>
      <c r="U960" s="185"/>
      <c r="V960" s="185"/>
      <c r="W960" s="185"/>
      <c r="X960" s="185"/>
      <c r="Y960" s="185"/>
      <c r="Z960" s="185"/>
      <c r="AA960" s="185"/>
    </row>
    <row r="961" spans="1:27" ht="15.75" customHeight="1">
      <c r="A961" s="185"/>
      <c r="B961" s="360"/>
      <c r="C961" s="361"/>
      <c r="D961" s="185"/>
      <c r="E961" s="185"/>
      <c r="F961" s="362"/>
      <c r="G961" s="360"/>
      <c r="H961" s="185"/>
      <c r="I961" s="362"/>
      <c r="J961" s="185"/>
      <c r="K961" s="363"/>
      <c r="L961" s="363"/>
      <c r="M961" s="363"/>
      <c r="N961" s="363"/>
      <c r="O961" s="363"/>
      <c r="P961" s="363"/>
      <c r="Q961" s="362"/>
      <c r="R961" s="185"/>
      <c r="S961" s="185"/>
      <c r="T961" s="364"/>
      <c r="U961" s="185"/>
      <c r="V961" s="185"/>
      <c r="W961" s="185"/>
      <c r="X961" s="185"/>
      <c r="Y961" s="185"/>
      <c r="Z961" s="185"/>
      <c r="AA961" s="185"/>
    </row>
    <row r="962" spans="1:27" ht="15.75" customHeight="1">
      <c r="A962" s="185"/>
      <c r="B962" s="360"/>
      <c r="C962" s="361"/>
      <c r="D962" s="185"/>
      <c r="E962" s="185"/>
      <c r="F962" s="362"/>
      <c r="G962" s="360"/>
      <c r="H962" s="185"/>
      <c r="I962" s="362"/>
      <c r="J962" s="185"/>
      <c r="K962" s="363"/>
      <c r="L962" s="363"/>
      <c r="M962" s="363"/>
      <c r="N962" s="363"/>
      <c r="O962" s="363"/>
      <c r="P962" s="363"/>
      <c r="Q962" s="362"/>
      <c r="R962" s="185"/>
      <c r="S962" s="185"/>
      <c r="T962" s="364"/>
      <c r="U962" s="185"/>
      <c r="V962" s="185"/>
      <c r="W962" s="185"/>
      <c r="X962" s="185"/>
      <c r="Y962" s="185"/>
      <c r="Z962" s="185"/>
      <c r="AA962" s="185"/>
    </row>
    <row r="963" spans="1:27" ht="15.75" customHeight="1">
      <c r="A963" s="185"/>
      <c r="B963" s="360"/>
      <c r="C963" s="361"/>
      <c r="D963" s="185"/>
      <c r="E963" s="185"/>
      <c r="F963" s="362"/>
      <c r="G963" s="360"/>
      <c r="H963" s="185"/>
      <c r="I963" s="362"/>
      <c r="J963" s="185"/>
      <c r="K963" s="363"/>
      <c r="L963" s="363"/>
      <c r="M963" s="363"/>
      <c r="N963" s="363"/>
      <c r="O963" s="363"/>
      <c r="P963" s="363"/>
      <c r="Q963" s="362"/>
      <c r="R963" s="185"/>
      <c r="S963" s="185"/>
      <c r="T963" s="364"/>
      <c r="U963" s="185"/>
      <c r="V963" s="185"/>
      <c r="W963" s="185"/>
      <c r="X963" s="185"/>
      <c r="Y963" s="185"/>
      <c r="Z963" s="185"/>
      <c r="AA963" s="185"/>
    </row>
    <row r="964" spans="1:27" ht="15.75" customHeight="1">
      <c r="A964" s="185"/>
      <c r="B964" s="360"/>
      <c r="C964" s="361"/>
      <c r="D964" s="185"/>
      <c r="E964" s="185"/>
      <c r="F964" s="362"/>
      <c r="G964" s="360"/>
      <c r="H964" s="185"/>
      <c r="I964" s="362"/>
      <c r="J964" s="185"/>
      <c r="K964" s="363"/>
      <c r="L964" s="363"/>
      <c r="M964" s="363"/>
      <c r="N964" s="363"/>
      <c r="O964" s="363"/>
      <c r="P964" s="363"/>
      <c r="Q964" s="362"/>
      <c r="R964" s="185"/>
      <c r="S964" s="185"/>
      <c r="T964" s="364"/>
      <c r="U964" s="185"/>
      <c r="V964" s="185"/>
      <c r="W964" s="185"/>
      <c r="X964" s="185"/>
      <c r="Y964" s="185"/>
      <c r="Z964" s="185"/>
      <c r="AA964" s="185"/>
    </row>
    <row r="965" spans="1:27" ht="15.75" customHeight="1">
      <c r="A965" s="185"/>
      <c r="B965" s="360"/>
      <c r="C965" s="361"/>
      <c r="D965" s="185"/>
      <c r="E965" s="185"/>
      <c r="F965" s="362"/>
      <c r="G965" s="360"/>
      <c r="H965" s="185"/>
      <c r="I965" s="362"/>
      <c r="J965" s="185"/>
      <c r="K965" s="363"/>
      <c r="L965" s="363"/>
      <c r="M965" s="363"/>
      <c r="N965" s="363"/>
      <c r="O965" s="363"/>
      <c r="P965" s="363"/>
      <c r="Q965" s="362"/>
      <c r="R965" s="185"/>
      <c r="S965" s="185"/>
      <c r="T965" s="364"/>
      <c r="U965" s="185"/>
      <c r="V965" s="185"/>
      <c r="W965" s="185"/>
      <c r="X965" s="185"/>
      <c r="Y965" s="185"/>
      <c r="Z965" s="185"/>
      <c r="AA965" s="185"/>
    </row>
    <row r="966" spans="1:27" ht="15.75" customHeight="1">
      <c r="A966" s="185"/>
      <c r="B966" s="360"/>
      <c r="C966" s="361"/>
      <c r="D966" s="185"/>
      <c r="E966" s="185"/>
      <c r="F966" s="362"/>
      <c r="G966" s="360"/>
      <c r="H966" s="185"/>
      <c r="I966" s="362"/>
      <c r="J966" s="185"/>
      <c r="K966" s="363"/>
      <c r="L966" s="363"/>
      <c r="M966" s="363"/>
      <c r="N966" s="363"/>
      <c r="O966" s="363"/>
      <c r="P966" s="363"/>
      <c r="Q966" s="362"/>
      <c r="R966" s="185"/>
      <c r="S966" s="185"/>
      <c r="T966" s="364"/>
      <c r="U966" s="185"/>
      <c r="V966" s="185"/>
      <c r="W966" s="185"/>
      <c r="X966" s="185"/>
      <c r="Y966" s="185"/>
      <c r="Z966" s="185"/>
      <c r="AA966" s="185"/>
    </row>
    <row r="967" spans="1:27" ht="15.75" customHeight="1">
      <c r="A967" s="185"/>
      <c r="B967" s="360"/>
      <c r="C967" s="361"/>
      <c r="D967" s="185"/>
      <c r="E967" s="185"/>
      <c r="F967" s="362"/>
      <c r="G967" s="360"/>
      <c r="H967" s="185"/>
      <c r="I967" s="362"/>
      <c r="J967" s="185"/>
      <c r="K967" s="363"/>
      <c r="L967" s="363"/>
      <c r="M967" s="363"/>
      <c r="N967" s="363"/>
      <c r="O967" s="363"/>
      <c r="P967" s="363"/>
      <c r="Q967" s="362"/>
      <c r="R967" s="185"/>
      <c r="S967" s="185"/>
      <c r="T967" s="364"/>
      <c r="U967" s="185"/>
      <c r="V967" s="185"/>
      <c r="W967" s="185"/>
      <c r="X967" s="185"/>
      <c r="Y967" s="185"/>
      <c r="Z967" s="185"/>
      <c r="AA967" s="185"/>
    </row>
    <row r="968" spans="1:27" ht="15.75" customHeight="1">
      <c r="A968" s="185"/>
      <c r="B968" s="360"/>
      <c r="C968" s="361"/>
      <c r="D968" s="185"/>
      <c r="E968" s="185"/>
      <c r="F968" s="362"/>
      <c r="G968" s="360"/>
      <c r="H968" s="185"/>
      <c r="I968" s="362"/>
      <c r="J968" s="185"/>
      <c r="K968" s="363"/>
      <c r="L968" s="363"/>
      <c r="M968" s="363"/>
      <c r="N968" s="363"/>
      <c r="O968" s="363"/>
      <c r="P968" s="363"/>
      <c r="Q968" s="362"/>
      <c r="R968" s="185"/>
      <c r="S968" s="185"/>
      <c r="T968" s="364"/>
      <c r="U968" s="185"/>
      <c r="V968" s="185"/>
      <c r="W968" s="185"/>
      <c r="X968" s="185"/>
      <c r="Y968" s="185"/>
      <c r="Z968" s="185"/>
      <c r="AA968" s="185"/>
    </row>
    <row r="969" spans="1:27" ht="15.75" customHeight="1">
      <c r="A969" s="185"/>
      <c r="B969" s="360"/>
      <c r="C969" s="361"/>
      <c r="D969" s="185"/>
      <c r="E969" s="185"/>
      <c r="F969" s="362"/>
      <c r="G969" s="360"/>
      <c r="H969" s="185"/>
      <c r="I969" s="362"/>
      <c r="J969" s="185"/>
      <c r="K969" s="363"/>
      <c r="L969" s="363"/>
      <c r="M969" s="363"/>
      <c r="N969" s="363"/>
      <c r="O969" s="363"/>
      <c r="P969" s="363"/>
      <c r="Q969" s="362"/>
      <c r="R969" s="185"/>
      <c r="S969" s="185"/>
      <c r="T969" s="364"/>
      <c r="U969" s="185"/>
      <c r="V969" s="185"/>
      <c r="W969" s="185"/>
      <c r="X969" s="185"/>
      <c r="Y969" s="185"/>
      <c r="Z969" s="185"/>
      <c r="AA969" s="185"/>
    </row>
    <row r="970" spans="1:27" ht="15.75" customHeight="1">
      <c r="A970" s="185"/>
      <c r="B970" s="360"/>
      <c r="C970" s="361"/>
      <c r="D970" s="185"/>
      <c r="E970" s="185"/>
      <c r="F970" s="362"/>
      <c r="G970" s="360"/>
      <c r="H970" s="185"/>
      <c r="I970" s="362"/>
      <c r="J970" s="185"/>
      <c r="K970" s="363"/>
      <c r="L970" s="363"/>
      <c r="M970" s="363"/>
      <c r="N970" s="363"/>
      <c r="O970" s="363"/>
      <c r="P970" s="363"/>
      <c r="Q970" s="362"/>
      <c r="R970" s="185"/>
      <c r="S970" s="185"/>
      <c r="T970" s="364"/>
      <c r="U970" s="185"/>
      <c r="V970" s="185"/>
      <c r="W970" s="185"/>
      <c r="X970" s="185"/>
      <c r="Y970" s="185"/>
      <c r="Z970" s="185"/>
      <c r="AA970" s="185"/>
    </row>
    <row r="971" spans="1:27" ht="15.75" customHeight="1">
      <c r="A971" s="185"/>
      <c r="B971" s="360"/>
      <c r="C971" s="361"/>
      <c r="D971" s="185"/>
      <c r="E971" s="185"/>
      <c r="F971" s="362"/>
      <c r="G971" s="360"/>
      <c r="H971" s="185"/>
      <c r="I971" s="362"/>
      <c r="J971" s="185"/>
      <c r="K971" s="363"/>
      <c r="L971" s="363"/>
      <c r="M971" s="363"/>
      <c r="N971" s="363"/>
      <c r="O971" s="363"/>
      <c r="P971" s="363"/>
      <c r="Q971" s="362"/>
      <c r="R971" s="185"/>
      <c r="S971" s="185"/>
      <c r="T971" s="364"/>
      <c r="U971" s="185"/>
      <c r="V971" s="185"/>
      <c r="W971" s="185"/>
      <c r="X971" s="185"/>
      <c r="Y971" s="185"/>
      <c r="Z971" s="185"/>
      <c r="AA971" s="185"/>
    </row>
    <row r="972" spans="1:27" ht="15.75" customHeight="1">
      <c r="A972" s="185"/>
      <c r="B972" s="360"/>
      <c r="C972" s="361"/>
      <c r="D972" s="185"/>
      <c r="E972" s="185"/>
      <c r="F972" s="362"/>
      <c r="G972" s="360"/>
      <c r="H972" s="185"/>
      <c r="I972" s="362"/>
      <c r="J972" s="185"/>
      <c r="K972" s="363"/>
      <c r="L972" s="363"/>
      <c r="M972" s="363"/>
      <c r="N972" s="363"/>
      <c r="O972" s="363"/>
      <c r="P972" s="363"/>
      <c r="Q972" s="362"/>
      <c r="R972" s="185"/>
      <c r="S972" s="185"/>
      <c r="T972" s="364"/>
      <c r="U972" s="185"/>
      <c r="V972" s="185"/>
      <c r="W972" s="185"/>
      <c r="X972" s="185"/>
      <c r="Y972" s="185"/>
      <c r="Z972" s="185"/>
      <c r="AA972" s="185"/>
    </row>
    <row r="973" spans="1:27" ht="15.75" customHeight="1">
      <c r="A973" s="185"/>
      <c r="B973" s="360"/>
      <c r="C973" s="361"/>
      <c r="D973" s="185"/>
      <c r="E973" s="185"/>
      <c r="F973" s="362"/>
      <c r="G973" s="360"/>
      <c r="H973" s="185"/>
      <c r="I973" s="362"/>
      <c r="J973" s="185"/>
      <c r="K973" s="363"/>
      <c r="L973" s="363"/>
      <c r="M973" s="363"/>
      <c r="N973" s="363"/>
      <c r="O973" s="363"/>
      <c r="P973" s="363"/>
      <c r="Q973" s="362"/>
      <c r="R973" s="185"/>
      <c r="S973" s="185"/>
      <c r="T973" s="364"/>
      <c r="U973" s="185"/>
      <c r="V973" s="185"/>
      <c r="W973" s="185"/>
      <c r="X973" s="185"/>
      <c r="Y973" s="185"/>
      <c r="Z973" s="185"/>
      <c r="AA973" s="185"/>
    </row>
    <row r="974" spans="1:27" ht="15.75" customHeight="1">
      <c r="A974" s="185"/>
      <c r="B974" s="360"/>
      <c r="C974" s="361"/>
      <c r="D974" s="185"/>
      <c r="E974" s="185"/>
      <c r="F974" s="362"/>
      <c r="G974" s="360"/>
      <c r="H974" s="185"/>
      <c r="I974" s="362"/>
      <c r="J974" s="185"/>
      <c r="K974" s="363"/>
      <c r="L974" s="363"/>
      <c r="M974" s="363"/>
      <c r="N974" s="363"/>
      <c r="O974" s="363"/>
      <c r="P974" s="363"/>
      <c r="Q974" s="362"/>
      <c r="R974" s="185"/>
      <c r="S974" s="185"/>
      <c r="T974" s="364"/>
      <c r="U974" s="185"/>
      <c r="V974" s="185"/>
      <c r="W974" s="185"/>
      <c r="X974" s="185"/>
      <c r="Y974" s="185"/>
      <c r="Z974" s="185"/>
      <c r="AA974" s="185"/>
    </row>
    <row r="975" spans="1:27" ht="15.75" customHeight="1">
      <c r="A975" s="185"/>
      <c r="B975" s="360"/>
      <c r="C975" s="361"/>
      <c r="D975" s="185"/>
      <c r="E975" s="185"/>
      <c r="F975" s="362"/>
      <c r="G975" s="360"/>
      <c r="H975" s="185"/>
      <c r="I975" s="362"/>
      <c r="J975" s="185"/>
      <c r="K975" s="363"/>
      <c r="L975" s="363"/>
      <c r="M975" s="363"/>
      <c r="N975" s="363"/>
      <c r="O975" s="363"/>
      <c r="P975" s="363"/>
      <c r="Q975" s="362"/>
      <c r="R975" s="185"/>
      <c r="S975" s="185"/>
      <c r="T975" s="364"/>
      <c r="U975" s="185"/>
      <c r="V975" s="185"/>
      <c r="W975" s="185"/>
      <c r="X975" s="185"/>
      <c r="Y975" s="185"/>
      <c r="Z975" s="185"/>
      <c r="AA975" s="185"/>
    </row>
    <row r="976" spans="1:27" ht="15.75" customHeight="1">
      <c r="A976" s="185"/>
      <c r="B976" s="360"/>
      <c r="C976" s="361"/>
      <c r="D976" s="185"/>
      <c r="E976" s="185"/>
      <c r="F976" s="362"/>
      <c r="G976" s="360"/>
      <c r="H976" s="185"/>
      <c r="I976" s="362"/>
      <c r="J976" s="185"/>
      <c r="K976" s="363"/>
      <c r="L976" s="363"/>
      <c r="M976" s="363"/>
      <c r="N976" s="363"/>
      <c r="O976" s="363"/>
      <c r="P976" s="363"/>
      <c r="Q976" s="362"/>
      <c r="R976" s="185"/>
      <c r="S976" s="185"/>
      <c r="T976" s="364"/>
      <c r="U976" s="185"/>
      <c r="V976" s="185"/>
      <c r="W976" s="185"/>
      <c r="X976" s="185"/>
      <c r="Y976" s="185"/>
      <c r="Z976" s="185"/>
      <c r="AA976" s="185"/>
    </row>
    <row r="977" spans="1:27" ht="15.75" customHeight="1">
      <c r="A977" s="185"/>
      <c r="B977" s="360"/>
      <c r="C977" s="361"/>
      <c r="D977" s="185"/>
      <c r="E977" s="185"/>
      <c r="F977" s="362"/>
      <c r="G977" s="360"/>
      <c r="H977" s="185"/>
      <c r="I977" s="362"/>
      <c r="J977" s="185"/>
      <c r="K977" s="363"/>
      <c r="L977" s="363"/>
      <c r="M977" s="363"/>
      <c r="N977" s="363"/>
      <c r="O977" s="363"/>
      <c r="P977" s="363"/>
      <c r="Q977" s="362"/>
      <c r="R977" s="185"/>
      <c r="S977" s="185"/>
      <c r="T977" s="364"/>
      <c r="U977" s="185"/>
      <c r="V977" s="185"/>
      <c r="W977" s="185"/>
      <c r="X977" s="185"/>
      <c r="Y977" s="185"/>
      <c r="Z977" s="185"/>
      <c r="AA977" s="185"/>
    </row>
    <row r="978" spans="1:27" ht="15.75" customHeight="1">
      <c r="A978" s="185"/>
      <c r="B978" s="360"/>
      <c r="C978" s="361"/>
      <c r="D978" s="185"/>
      <c r="E978" s="185"/>
      <c r="F978" s="362"/>
      <c r="G978" s="360"/>
      <c r="H978" s="185"/>
      <c r="I978" s="362"/>
      <c r="J978" s="185"/>
      <c r="K978" s="363"/>
      <c r="L978" s="363"/>
      <c r="M978" s="363"/>
      <c r="N978" s="363"/>
      <c r="O978" s="363"/>
      <c r="P978" s="363"/>
      <c r="Q978" s="362"/>
      <c r="R978" s="185"/>
      <c r="S978" s="185"/>
      <c r="T978" s="364"/>
      <c r="U978" s="185"/>
      <c r="V978" s="185"/>
      <c r="W978" s="185"/>
      <c r="X978" s="185"/>
      <c r="Y978" s="185"/>
      <c r="Z978" s="185"/>
      <c r="AA978" s="185"/>
    </row>
    <row r="979" spans="1:27" ht="15.75" customHeight="1">
      <c r="A979" s="185"/>
      <c r="B979" s="360"/>
      <c r="C979" s="361"/>
      <c r="D979" s="185"/>
      <c r="E979" s="185"/>
      <c r="F979" s="362"/>
      <c r="G979" s="360"/>
      <c r="H979" s="185"/>
      <c r="I979" s="362"/>
      <c r="J979" s="185"/>
      <c r="K979" s="363"/>
      <c r="L979" s="363"/>
      <c r="M979" s="363"/>
      <c r="N979" s="363"/>
      <c r="O979" s="363"/>
      <c r="P979" s="363"/>
      <c r="Q979" s="362"/>
      <c r="R979" s="185"/>
      <c r="S979" s="185"/>
      <c r="T979" s="364"/>
      <c r="U979" s="185"/>
      <c r="V979" s="185"/>
      <c r="W979" s="185"/>
      <c r="X979" s="185"/>
      <c r="Y979" s="185"/>
      <c r="Z979" s="185"/>
      <c r="AA979" s="185"/>
    </row>
    <row r="980" spans="1:27" ht="15.75" customHeight="1">
      <c r="A980" s="185"/>
      <c r="B980" s="360"/>
      <c r="C980" s="361"/>
      <c r="D980" s="185"/>
      <c r="E980" s="185"/>
      <c r="F980" s="362"/>
      <c r="G980" s="360"/>
      <c r="H980" s="185"/>
      <c r="I980" s="362"/>
      <c r="J980" s="185"/>
      <c r="K980" s="363"/>
      <c r="L980" s="363"/>
      <c r="M980" s="363"/>
      <c r="N980" s="363"/>
      <c r="O980" s="363"/>
      <c r="P980" s="363"/>
      <c r="Q980" s="362"/>
      <c r="R980" s="185"/>
      <c r="S980" s="185"/>
      <c r="T980" s="364"/>
      <c r="U980" s="185"/>
      <c r="V980" s="185"/>
      <c r="W980" s="185"/>
      <c r="X980" s="185"/>
      <c r="Y980" s="185"/>
      <c r="Z980" s="185"/>
      <c r="AA980" s="185"/>
    </row>
    <row r="981" spans="1:27" ht="15.75" customHeight="1">
      <c r="A981" s="185"/>
      <c r="B981" s="360"/>
      <c r="C981" s="361"/>
      <c r="D981" s="185"/>
      <c r="E981" s="185"/>
      <c r="F981" s="362"/>
      <c r="G981" s="360"/>
      <c r="H981" s="185"/>
      <c r="I981" s="362"/>
      <c r="J981" s="185"/>
      <c r="K981" s="363"/>
      <c r="L981" s="363"/>
      <c r="M981" s="363"/>
      <c r="N981" s="363"/>
      <c r="O981" s="363"/>
      <c r="P981" s="363"/>
      <c r="Q981" s="362"/>
      <c r="R981" s="185"/>
      <c r="S981" s="185"/>
      <c r="T981" s="364"/>
      <c r="U981" s="185"/>
      <c r="V981" s="185"/>
      <c r="W981" s="185"/>
      <c r="X981" s="185"/>
      <c r="Y981" s="185"/>
      <c r="Z981" s="185"/>
      <c r="AA981" s="185"/>
    </row>
    <row r="982" spans="1:27" ht="15.75" customHeight="1">
      <c r="A982" s="185"/>
      <c r="B982" s="360"/>
      <c r="C982" s="361"/>
      <c r="D982" s="185"/>
      <c r="E982" s="185"/>
      <c r="F982" s="362"/>
      <c r="G982" s="360"/>
      <c r="H982" s="185"/>
      <c r="I982" s="362"/>
      <c r="J982" s="185"/>
      <c r="K982" s="363"/>
      <c r="L982" s="363"/>
      <c r="M982" s="363"/>
      <c r="N982" s="363"/>
      <c r="O982" s="363"/>
      <c r="P982" s="363"/>
      <c r="Q982" s="362"/>
      <c r="R982" s="185"/>
      <c r="S982" s="185"/>
      <c r="T982" s="364"/>
      <c r="U982" s="185"/>
      <c r="V982" s="185"/>
      <c r="W982" s="185"/>
      <c r="X982" s="185"/>
      <c r="Y982" s="185"/>
      <c r="Z982" s="185"/>
      <c r="AA982" s="185"/>
    </row>
    <row r="983" spans="1:27" ht="15.75" customHeight="1">
      <c r="A983" s="185"/>
      <c r="B983" s="360"/>
      <c r="C983" s="361"/>
      <c r="D983" s="185"/>
      <c r="E983" s="185"/>
      <c r="F983" s="362"/>
      <c r="G983" s="360"/>
      <c r="H983" s="185"/>
      <c r="I983" s="362"/>
      <c r="J983" s="185"/>
      <c r="K983" s="363"/>
      <c r="L983" s="363"/>
      <c r="M983" s="363"/>
      <c r="N983" s="363"/>
      <c r="O983" s="363"/>
      <c r="P983" s="363"/>
      <c r="Q983" s="362"/>
      <c r="R983" s="185"/>
      <c r="S983" s="185"/>
      <c r="T983" s="364"/>
      <c r="U983" s="185"/>
      <c r="V983" s="185"/>
      <c r="W983" s="185"/>
      <c r="X983" s="185"/>
      <c r="Y983" s="185"/>
      <c r="Z983" s="185"/>
      <c r="AA983" s="185"/>
    </row>
    <row r="984" spans="1:27" ht="15.75" customHeight="1">
      <c r="A984" s="185"/>
      <c r="B984" s="360"/>
      <c r="C984" s="361"/>
      <c r="D984" s="185"/>
      <c r="E984" s="185"/>
      <c r="F984" s="362"/>
      <c r="G984" s="360"/>
      <c r="H984" s="185"/>
      <c r="I984" s="362"/>
      <c r="J984" s="185"/>
      <c r="K984" s="363"/>
      <c r="L984" s="363"/>
      <c r="M984" s="363"/>
      <c r="N984" s="363"/>
      <c r="O984" s="363"/>
      <c r="P984" s="363"/>
      <c r="Q984" s="362"/>
      <c r="R984" s="185"/>
      <c r="S984" s="185"/>
      <c r="T984" s="364"/>
      <c r="U984" s="185"/>
      <c r="V984" s="185"/>
      <c r="W984" s="185"/>
      <c r="X984" s="185"/>
      <c r="Y984" s="185"/>
      <c r="Z984" s="185"/>
      <c r="AA984" s="185"/>
    </row>
    <row r="985" spans="1:27" ht="15.75" customHeight="1">
      <c r="A985" s="185"/>
      <c r="B985" s="360"/>
      <c r="C985" s="361"/>
      <c r="D985" s="185"/>
      <c r="E985" s="185"/>
      <c r="F985" s="362"/>
      <c r="G985" s="360"/>
      <c r="H985" s="185"/>
      <c r="I985" s="362"/>
      <c r="J985" s="185"/>
      <c r="K985" s="363"/>
      <c r="L985" s="363"/>
      <c r="M985" s="363"/>
      <c r="N985" s="363"/>
      <c r="O985" s="363"/>
      <c r="P985" s="363"/>
      <c r="Q985" s="362"/>
      <c r="R985" s="185"/>
      <c r="S985" s="185"/>
      <c r="T985" s="364"/>
      <c r="U985" s="185"/>
      <c r="V985" s="185"/>
      <c r="W985" s="185"/>
      <c r="X985" s="185"/>
      <c r="Y985" s="185"/>
      <c r="Z985" s="185"/>
      <c r="AA985" s="185"/>
    </row>
    <row r="986" spans="1:27" ht="15.75" customHeight="1">
      <c r="A986" s="185"/>
      <c r="B986" s="360"/>
      <c r="C986" s="361"/>
      <c r="D986" s="185"/>
      <c r="E986" s="185"/>
      <c r="F986" s="362"/>
      <c r="G986" s="360"/>
      <c r="H986" s="185"/>
      <c r="I986" s="362"/>
      <c r="J986" s="185"/>
      <c r="K986" s="363"/>
      <c r="L986" s="363"/>
      <c r="M986" s="363"/>
      <c r="N986" s="363"/>
      <c r="O986" s="363"/>
      <c r="P986" s="363"/>
      <c r="Q986" s="362"/>
      <c r="R986" s="185"/>
      <c r="S986" s="185"/>
      <c r="T986" s="364"/>
      <c r="U986" s="185"/>
      <c r="V986" s="185"/>
      <c r="W986" s="185"/>
      <c r="X986" s="185"/>
      <c r="Y986" s="185"/>
      <c r="Z986" s="185"/>
      <c r="AA986" s="185"/>
    </row>
    <row r="987" spans="1:27" ht="15.75" customHeight="1">
      <c r="A987" s="185"/>
      <c r="B987" s="360"/>
      <c r="C987" s="361"/>
      <c r="D987" s="185"/>
      <c r="E987" s="185"/>
      <c r="F987" s="362"/>
      <c r="G987" s="360"/>
      <c r="H987" s="185"/>
      <c r="I987" s="362"/>
      <c r="J987" s="185"/>
      <c r="K987" s="363"/>
      <c r="L987" s="363"/>
      <c r="M987" s="363"/>
      <c r="N987" s="363"/>
      <c r="O987" s="363"/>
      <c r="P987" s="363"/>
      <c r="Q987" s="362"/>
      <c r="R987" s="185"/>
      <c r="S987" s="185"/>
      <c r="T987" s="364"/>
      <c r="U987" s="185"/>
      <c r="V987" s="185"/>
      <c r="W987" s="185"/>
      <c r="X987" s="185"/>
      <c r="Y987" s="185"/>
      <c r="Z987" s="185"/>
      <c r="AA987" s="185"/>
    </row>
    <row r="988" spans="1:27" ht="15.75" customHeight="1">
      <c r="A988" s="185"/>
      <c r="B988" s="360"/>
      <c r="C988" s="361"/>
      <c r="D988" s="185"/>
      <c r="E988" s="185"/>
      <c r="F988" s="362"/>
      <c r="G988" s="360"/>
      <c r="H988" s="185"/>
      <c r="I988" s="362"/>
      <c r="J988" s="185"/>
      <c r="K988" s="363"/>
      <c r="L988" s="363"/>
      <c r="M988" s="363"/>
      <c r="N988" s="363"/>
      <c r="O988" s="363"/>
      <c r="P988" s="363"/>
      <c r="Q988" s="362"/>
      <c r="R988" s="185"/>
      <c r="S988" s="185"/>
      <c r="T988" s="364"/>
      <c r="U988" s="185"/>
      <c r="V988" s="185"/>
      <c r="W988" s="185"/>
      <c r="X988" s="185"/>
      <c r="Y988" s="185"/>
      <c r="Z988" s="185"/>
      <c r="AA988" s="185"/>
    </row>
    <row r="989" spans="1:27" ht="15.75" customHeight="1">
      <c r="A989" s="185"/>
      <c r="B989" s="360"/>
      <c r="C989" s="361"/>
      <c r="D989" s="185"/>
      <c r="E989" s="185"/>
      <c r="F989" s="362"/>
      <c r="G989" s="360"/>
      <c r="H989" s="185"/>
      <c r="I989" s="362"/>
      <c r="J989" s="185"/>
      <c r="K989" s="363"/>
      <c r="L989" s="363"/>
      <c r="M989" s="363"/>
      <c r="N989" s="363"/>
      <c r="O989" s="363"/>
      <c r="P989" s="363"/>
      <c r="Q989" s="362"/>
      <c r="R989" s="185"/>
      <c r="S989" s="185"/>
      <c r="T989" s="364"/>
      <c r="U989" s="185"/>
      <c r="V989" s="185"/>
      <c r="W989" s="185"/>
      <c r="X989" s="185"/>
      <c r="Y989" s="185"/>
      <c r="Z989" s="185"/>
      <c r="AA989" s="185"/>
    </row>
    <row r="990" spans="1:27" ht="15.75" customHeight="1">
      <c r="A990" s="185"/>
      <c r="B990" s="360"/>
      <c r="C990" s="361"/>
      <c r="D990" s="185"/>
      <c r="E990" s="185"/>
      <c r="F990" s="362"/>
      <c r="G990" s="360"/>
      <c r="H990" s="185"/>
      <c r="I990" s="362"/>
      <c r="J990" s="185"/>
      <c r="K990" s="363"/>
      <c r="L990" s="363"/>
      <c r="M990" s="363"/>
      <c r="N990" s="363"/>
      <c r="O990" s="363"/>
      <c r="P990" s="363"/>
      <c r="Q990" s="362"/>
      <c r="R990" s="185"/>
      <c r="S990" s="185"/>
      <c r="T990" s="364"/>
      <c r="U990" s="185"/>
      <c r="V990" s="185"/>
      <c r="W990" s="185"/>
      <c r="X990" s="185"/>
      <c r="Y990" s="185"/>
      <c r="Z990" s="185"/>
      <c r="AA990" s="185"/>
    </row>
    <row r="991" spans="1:27" ht="15.75" customHeight="1">
      <c r="A991" s="185"/>
      <c r="B991" s="360"/>
      <c r="C991" s="361"/>
      <c r="D991" s="185"/>
      <c r="E991" s="185"/>
      <c r="F991" s="362"/>
      <c r="G991" s="360"/>
      <c r="H991" s="185"/>
      <c r="I991" s="362"/>
      <c r="J991" s="185"/>
      <c r="K991" s="363"/>
      <c r="L991" s="363"/>
      <c r="M991" s="363"/>
      <c r="N991" s="363"/>
      <c r="O991" s="363"/>
      <c r="P991" s="363"/>
      <c r="Q991" s="362"/>
      <c r="R991" s="185"/>
      <c r="S991" s="185"/>
      <c r="T991" s="364"/>
      <c r="U991" s="185"/>
      <c r="V991" s="185"/>
      <c r="W991" s="185"/>
      <c r="X991" s="185"/>
      <c r="Y991" s="185"/>
      <c r="Z991" s="185"/>
      <c r="AA991" s="185"/>
    </row>
    <row r="992" spans="1:27" ht="15.75" customHeight="1">
      <c r="A992" s="185"/>
      <c r="B992" s="360"/>
      <c r="C992" s="361"/>
      <c r="D992" s="185"/>
      <c r="E992" s="185"/>
      <c r="F992" s="362"/>
      <c r="G992" s="360"/>
      <c r="H992" s="185"/>
      <c r="I992" s="362"/>
      <c r="J992" s="185"/>
      <c r="K992" s="363"/>
      <c r="L992" s="363"/>
      <c r="M992" s="363"/>
      <c r="N992" s="363"/>
      <c r="O992" s="363"/>
      <c r="P992" s="363"/>
      <c r="Q992" s="362"/>
      <c r="R992" s="185"/>
      <c r="S992" s="185"/>
      <c r="T992" s="364"/>
      <c r="U992" s="185"/>
      <c r="V992" s="185"/>
      <c r="W992" s="185"/>
      <c r="X992" s="185"/>
      <c r="Y992" s="185"/>
      <c r="Z992" s="185"/>
      <c r="AA992" s="185"/>
    </row>
    <row r="993" spans="1:27" ht="15.75" customHeight="1">
      <c r="A993" s="185"/>
      <c r="B993" s="360"/>
      <c r="C993" s="361"/>
      <c r="D993" s="185"/>
      <c r="E993" s="185"/>
      <c r="F993" s="362"/>
      <c r="G993" s="360"/>
      <c r="H993" s="185"/>
      <c r="I993" s="362"/>
      <c r="J993" s="185"/>
      <c r="K993" s="363"/>
      <c r="L993" s="363"/>
      <c r="M993" s="363"/>
      <c r="N993" s="363"/>
      <c r="O993" s="363"/>
      <c r="P993" s="363"/>
      <c r="Q993" s="362"/>
      <c r="R993" s="185"/>
      <c r="S993" s="185"/>
      <c r="T993" s="364"/>
      <c r="U993" s="185"/>
      <c r="V993" s="185"/>
      <c r="W993" s="185"/>
      <c r="X993" s="185"/>
      <c r="Y993" s="185"/>
      <c r="Z993" s="185"/>
      <c r="AA993" s="185"/>
    </row>
  </sheetData>
  <mergeCells count="5">
    <mergeCell ref="T11:T13"/>
    <mergeCell ref="T14:T15"/>
    <mergeCell ref="T16:T17"/>
    <mergeCell ref="T29:T31"/>
    <mergeCell ref="T41:T42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T983"/>
  <sheetViews>
    <sheetView workbookViewId="0"/>
  </sheetViews>
  <sheetFormatPr defaultColWidth="11.25" defaultRowHeight="15" customHeight="1"/>
  <cols>
    <col min="1" max="5" width="11.125" customWidth="1"/>
    <col min="6" max="6" width="8.75" customWidth="1"/>
    <col min="7" max="8" width="7.125" customWidth="1"/>
    <col min="9" max="9" width="11.5" customWidth="1"/>
    <col min="10" max="20" width="11.125" customWidth="1"/>
  </cols>
  <sheetData>
    <row r="1" spans="1:9" ht="20.25" customHeight="1">
      <c r="A1" s="365" t="s">
        <v>0</v>
      </c>
      <c r="B1" s="365" t="s">
        <v>445</v>
      </c>
      <c r="C1" s="365" t="s">
        <v>446</v>
      </c>
      <c r="D1" s="365" t="s">
        <v>447</v>
      </c>
      <c r="E1" s="365" t="s">
        <v>448</v>
      </c>
      <c r="F1" s="366" t="s">
        <v>449</v>
      </c>
      <c r="G1" s="367" t="s">
        <v>14</v>
      </c>
      <c r="H1" s="367" t="s">
        <v>12</v>
      </c>
      <c r="I1" s="368" t="s">
        <v>198</v>
      </c>
    </row>
    <row r="2" spans="1:9" ht="15.75">
      <c r="A2" s="369" t="s">
        <v>450</v>
      </c>
      <c r="B2" s="353">
        <v>45313</v>
      </c>
      <c r="C2" s="13">
        <v>0.40625</v>
      </c>
      <c r="D2" s="353">
        <v>45313</v>
      </c>
      <c r="E2" s="370">
        <v>0.58750000000000002</v>
      </c>
      <c r="F2" s="321">
        <v>0.35</v>
      </c>
      <c r="G2" s="371" t="s">
        <v>21</v>
      </c>
      <c r="H2" s="371" t="s">
        <v>20</v>
      </c>
      <c r="I2" s="372"/>
    </row>
    <row r="3" spans="1:9" ht="15.75">
      <c r="A3" s="369" t="s">
        <v>451</v>
      </c>
      <c r="B3" s="353">
        <v>45313</v>
      </c>
      <c r="C3" s="13">
        <v>0.4513888888888889</v>
      </c>
      <c r="D3" s="353">
        <v>45313</v>
      </c>
      <c r="E3" s="370">
        <v>0.58819444444444446</v>
      </c>
      <c r="F3" s="321">
        <v>0.14000000000000001</v>
      </c>
      <c r="G3" s="371" t="s">
        <v>21</v>
      </c>
      <c r="H3" s="371" t="s">
        <v>20</v>
      </c>
      <c r="I3" s="372"/>
    </row>
    <row r="4" spans="1:9" ht="15.75">
      <c r="A4" s="369" t="s">
        <v>452</v>
      </c>
      <c r="B4" s="353">
        <v>45314</v>
      </c>
      <c r="C4" s="13">
        <v>0.3347222222222222</v>
      </c>
      <c r="D4" s="353">
        <v>45314</v>
      </c>
      <c r="E4" s="370">
        <v>0.64166666666666672</v>
      </c>
      <c r="F4" s="321">
        <v>0.08</v>
      </c>
      <c r="G4" s="371" t="s">
        <v>21</v>
      </c>
      <c r="H4" s="371" t="s">
        <v>20</v>
      </c>
      <c r="I4" s="372"/>
    </row>
    <row r="5" spans="1:9" ht="15.75">
      <c r="A5" s="369" t="s">
        <v>453</v>
      </c>
      <c r="B5" s="353">
        <v>45314</v>
      </c>
      <c r="C5" s="13">
        <v>0.37777777777777777</v>
      </c>
      <c r="D5" s="353">
        <v>45314</v>
      </c>
      <c r="E5" s="370">
        <v>0.6430555555555556</v>
      </c>
      <c r="F5" s="321">
        <v>0.04</v>
      </c>
      <c r="G5" s="371" t="s">
        <v>21</v>
      </c>
      <c r="H5" s="371" t="s">
        <v>20</v>
      </c>
      <c r="I5" s="372"/>
    </row>
    <row r="6" spans="1:9" ht="15.75">
      <c r="A6" s="369" t="s">
        <v>454</v>
      </c>
      <c r="B6" s="353">
        <v>45314</v>
      </c>
      <c r="C6" s="13">
        <v>0.40902777777777777</v>
      </c>
      <c r="D6" s="353">
        <v>45314</v>
      </c>
      <c r="E6" s="370">
        <v>0.64444444444444449</v>
      </c>
      <c r="F6" s="321">
        <v>0.31</v>
      </c>
      <c r="G6" s="371" t="s">
        <v>21</v>
      </c>
      <c r="H6" s="371" t="s">
        <v>20</v>
      </c>
      <c r="I6" s="372"/>
    </row>
    <row r="7" spans="1:9" ht="15.75">
      <c r="A7" s="369" t="s">
        <v>455</v>
      </c>
      <c r="B7" s="353">
        <v>45314</v>
      </c>
      <c r="C7" s="13">
        <v>0.44722222222222224</v>
      </c>
      <c r="D7" s="353">
        <v>45314</v>
      </c>
      <c r="E7" s="121">
        <v>0.64583333333333337</v>
      </c>
      <c r="F7" s="321">
        <v>0.47</v>
      </c>
      <c r="G7" s="371" t="s">
        <v>21</v>
      </c>
      <c r="H7" s="371" t="s">
        <v>20</v>
      </c>
      <c r="I7" s="372"/>
    </row>
    <row r="8" spans="1:9" ht="15.75">
      <c r="A8" s="369" t="s">
        <v>456</v>
      </c>
      <c r="B8" s="353">
        <v>45314</v>
      </c>
      <c r="C8" s="13">
        <v>0.47291666666666665</v>
      </c>
      <c r="D8" s="353">
        <v>45314</v>
      </c>
      <c r="E8" s="121">
        <v>0.64722222222222225</v>
      </c>
      <c r="F8" s="321">
        <v>0.25</v>
      </c>
      <c r="G8" s="371" t="s">
        <v>21</v>
      </c>
      <c r="H8" s="371" t="s">
        <v>20</v>
      </c>
      <c r="I8" s="372"/>
    </row>
    <row r="9" spans="1:9" ht="15.75">
      <c r="A9" s="369" t="s">
        <v>457</v>
      </c>
      <c r="B9" s="353">
        <v>45316</v>
      </c>
      <c r="C9" s="13">
        <v>0.33333333333333331</v>
      </c>
      <c r="D9" s="353">
        <v>45316</v>
      </c>
      <c r="E9" s="370">
        <v>0.58819444444444446</v>
      </c>
      <c r="F9" s="321">
        <v>0.15</v>
      </c>
      <c r="G9" s="371" t="s">
        <v>21</v>
      </c>
      <c r="H9" s="371" t="s">
        <v>20</v>
      </c>
      <c r="I9" s="372"/>
    </row>
    <row r="10" spans="1:9" ht="15.75">
      <c r="A10" s="369" t="s">
        <v>458</v>
      </c>
      <c r="B10" s="353">
        <v>45316</v>
      </c>
      <c r="C10" s="13">
        <v>0.35833333333333334</v>
      </c>
      <c r="D10" s="353">
        <v>45316</v>
      </c>
      <c r="E10" s="370">
        <v>0.58958333333333335</v>
      </c>
      <c r="F10" s="373">
        <v>0.22</v>
      </c>
      <c r="G10" s="371" t="s">
        <v>21</v>
      </c>
      <c r="H10" s="371" t="s">
        <v>20</v>
      </c>
      <c r="I10" s="372"/>
    </row>
    <row r="11" spans="1:9" ht="15.75">
      <c r="A11" s="369" t="s">
        <v>459</v>
      </c>
      <c r="B11" s="353">
        <v>45316</v>
      </c>
      <c r="C11" s="13">
        <v>0.38194444444444442</v>
      </c>
      <c r="D11" s="353">
        <v>45316</v>
      </c>
      <c r="E11" s="370">
        <v>0.59097222222222223</v>
      </c>
      <c r="F11" s="321">
        <v>0.27</v>
      </c>
      <c r="G11" s="371" t="s">
        <v>21</v>
      </c>
      <c r="H11" s="371" t="s">
        <v>20</v>
      </c>
      <c r="I11" s="372"/>
    </row>
    <row r="12" spans="1:9" ht="15.75">
      <c r="A12" s="369" t="s">
        <v>460</v>
      </c>
      <c r="B12" s="353">
        <v>45316</v>
      </c>
      <c r="C12" s="13">
        <v>0.40625</v>
      </c>
      <c r="D12" s="353">
        <v>45316</v>
      </c>
      <c r="E12" s="99">
        <v>0.59166666666666667</v>
      </c>
      <c r="F12" s="321">
        <v>0.37</v>
      </c>
      <c r="G12" s="371" t="s">
        <v>21</v>
      </c>
      <c r="H12" s="371" t="s">
        <v>20</v>
      </c>
      <c r="I12" s="372"/>
    </row>
    <row r="13" spans="1:9" ht="15.75">
      <c r="A13" s="39" t="s">
        <v>461</v>
      </c>
      <c r="B13" s="353">
        <v>45320</v>
      </c>
      <c r="C13" s="26">
        <v>0.31597222222222221</v>
      </c>
      <c r="D13" s="353">
        <v>45320</v>
      </c>
      <c r="E13" s="374">
        <v>0.55277777777777781</v>
      </c>
      <c r="F13" s="321">
        <v>0</v>
      </c>
      <c r="G13" s="371" t="s">
        <v>21</v>
      </c>
      <c r="H13" s="371" t="s">
        <v>20</v>
      </c>
      <c r="I13" s="372"/>
    </row>
    <row r="14" spans="1:9" ht="15.75">
      <c r="A14" s="39" t="s">
        <v>462</v>
      </c>
      <c r="B14" s="353">
        <v>45320</v>
      </c>
      <c r="C14" s="13">
        <v>0.36180555555555555</v>
      </c>
      <c r="D14" s="353">
        <v>45320</v>
      </c>
      <c r="E14" s="374">
        <v>0.55347222222222225</v>
      </c>
      <c r="F14" s="321">
        <v>0</v>
      </c>
      <c r="G14" s="371" t="s">
        <v>21</v>
      </c>
      <c r="H14" s="371" t="s">
        <v>20</v>
      </c>
      <c r="I14" s="372"/>
    </row>
    <row r="15" spans="1:9" ht="15.75">
      <c r="A15" s="39" t="s">
        <v>463</v>
      </c>
      <c r="B15" s="353">
        <v>45320</v>
      </c>
      <c r="C15" s="13">
        <v>0.39374999999999999</v>
      </c>
      <c r="D15" s="353">
        <v>45320</v>
      </c>
      <c r="E15" s="374">
        <v>0.55138888888888893</v>
      </c>
      <c r="F15" s="375">
        <v>0.23</v>
      </c>
      <c r="G15" s="371" t="s">
        <v>21</v>
      </c>
      <c r="H15" s="371" t="s">
        <v>20</v>
      </c>
      <c r="I15" s="372"/>
    </row>
    <row r="16" spans="1:9" ht="15.75">
      <c r="A16" s="369" t="s">
        <v>464</v>
      </c>
      <c r="B16" s="353">
        <v>45320</v>
      </c>
      <c r="C16" s="13">
        <v>0.4201388888888889</v>
      </c>
      <c r="D16" s="353">
        <v>45320</v>
      </c>
      <c r="E16" s="374">
        <v>0.55208333333333337</v>
      </c>
      <c r="F16" s="375">
        <v>0.38</v>
      </c>
      <c r="G16" s="371" t="s">
        <v>21</v>
      </c>
      <c r="H16" s="371" t="s">
        <v>20</v>
      </c>
      <c r="I16" s="372"/>
    </row>
    <row r="17" spans="1:20" ht="15.75">
      <c r="A17" s="369" t="s">
        <v>465</v>
      </c>
      <c r="B17" s="353">
        <v>45321</v>
      </c>
      <c r="C17" s="30">
        <v>0.3215277777777778</v>
      </c>
      <c r="D17" s="353">
        <v>45321</v>
      </c>
      <c r="E17" s="99">
        <v>0.69236111111111109</v>
      </c>
      <c r="F17" s="375">
        <v>0</v>
      </c>
      <c r="G17" s="371" t="s">
        <v>21</v>
      </c>
      <c r="H17" s="371" t="s">
        <v>20</v>
      </c>
      <c r="I17" s="372"/>
    </row>
    <row r="18" spans="1:20" ht="15.75">
      <c r="A18" s="369" t="s">
        <v>466</v>
      </c>
      <c r="B18" s="353">
        <v>45321</v>
      </c>
      <c r="C18" s="30">
        <v>0.39444444444444443</v>
      </c>
      <c r="D18" s="353">
        <v>45321</v>
      </c>
      <c r="E18" s="99">
        <v>0.69305555555555554</v>
      </c>
      <c r="F18" s="375">
        <v>0.02</v>
      </c>
      <c r="G18" s="371" t="s">
        <v>21</v>
      </c>
      <c r="H18" s="371" t="s">
        <v>20</v>
      </c>
      <c r="I18" s="372"/>
    </row>
    <row r="19" spans="1:20" ht="15.75">
      <c r="A19" s="369" t="s">
        <v>467</v>
      </c>
      <c r="B19" s="353">
        <v>45321</v>
      </c>
      <c r="C19" s="30">
        <v>0.41388888888888886</v>
      </c>
      <c r="D19" s="353">
        <v>45321</v>
      </c>
      <c r="E19" s="99">
        <v>0.69444444444444442</v>
      </c>
      <c r="F19" s="375">
        <v>0.03</v>
      </c>
      <c r="G19" s="371" t="s">
        <v>21</v>
      </c>
      <c r="H19" s="371" t="s">
        <v>20</v>
      </c>
      <c r="I19" s="372"/>
    </row>
    <row r="20" spans="1:20" ht="15.75">
      <c r="A20" s="369" t="s">
        <v>468</v>
      </c>
      <c r="B20" s="353">
        <v>45321</v>
      </c>
      <c r="C20" s="30">
        <v>0.45208333333333334</v>
      </c>
      <c r="D20" s="353">
        <v>45321</v>
      </c>
      <c r="E20" s="99">
        <v>0.6958333333333333</v>
      </c>
      <c r="F20" s="375">
        <v>0.04</v>
      </c>
      <c r="G20" s="371" t="s">
        <v>21</v>
      </c>
      <c r="H20" s="371" t="s">
        <v>20</v>
      </c>
      <c r="I20" s="372"/>
    </row>
    <row r="21" spans="1:20" ht="15.75">
      <c r="A21" s="59" t="s">
        <v>469</v>
      </c>
      <c r="B21" s="14">
        <v>45322</v>
      </c>
      <c r="C21" s="36">
        <v>0.2951388888888889</v>
      </c>
      <c r="D21" s="35">
        <v>45323</v>
      </c>
      <c r="E21" s="99">
        <v>0.6958333333333333</v>
      </c>
      <c r="F21" s="375">
        <v>0.13</v>
      </c>
      <c r="G21" s="371" t="s">
        <v>21</v>
      </c>
      <c r="H21" s="371" t="s">
        <v>20</v>
      </c>
      <c r="I21" s="372"/>
    </row>
    <row r="22" spans="1:20" ht="15.75">
      <c r="A22" s="59" t="s">
        <v>470</v>
      </c>
      <c r="B22" s="14">
        <v>45322</v>
      </c>
      <c r="C22" s="13">
        <v>0.34305555555555556</v>
      </c>
      <c r="D22" s="35">
        <v>45323</v>
      </c>
      <c r="E22" s="99">
        <v>0.69791666666666663</v>
      </c>
      <c r="F22" s="375">
        <v>0.19</v>
      </c>
      <c r="G22" s="371" t="s">
        <v>21</v>
      </c>
      <c r="H22" s="371" t="s">
        <v>20</v>
      </c>
      <c r="I22" s="372"/>
    </row>
    <row r="23" spans="1:20" ht="15.75">
      <c r="A23" s="59" t="s">
        <v>471</v>
      </c>
      <c r="B23" s="14">
        <v>45322</v>
      </c>
      <c r="C23" s="26">
        <v>0.38611111111111113</v>
      </c>
      <c r="D23" s="35">
        <v>45323</v>
      </c>
      <c r="E23" s="99">
        <v>0.69861111111111107</v>
      </c>
      <c r="F23" s="375">
        <v>0.19</v>
      </c>
      <c r="G23" s="371" t="s">
        <v>21</v>
      </c>
      <c r="H23" s="371" t="s">
        <v>20</v>
      </c>
      <c r="I23" s="372"/>
    </row>
    <row r="24" spans="1:20" ht="15.75">
      <c r="A24" s="59" t="s">
        <v>472</v>
      </c>
      <c r="B24" s="14">
        <v>45322</v>
      </c>
      <c r="C24" s="30">
        <v>0.42499999999999999</v>
      </c>
      <c r="D24" s="35">
        <v>45323</v>
      </c>
      <c r="E24" s="99">
        <v>0.7</v>
      </c>
      <c r="F24" s="375">
        <v>0.23</v>
      </c>
      <c r="G24" s="371" t="s">
        <v>21</v>
      </c>
      <c r="H24" s="371" t="s">
        <v>20</v>
      </c>
      <c r="I24" s="372"/>
    </row>
    <row r="25" spans="1:20" ht="15.75">
      <c r="A25" s="59" t="s">
        <v>473</v>
      </c>
      <c r="B25" s="35">
        <v>45323</v>
      </c>
      <c r="C25" s="13">
        <v>0.30763888888888891</v>
      </c>
      <c r="D25" s="35">
        <v>45324</v>
      </c>
      <c r="E25" s="99">
        <v>0.59513888888888888</v>
      </c>
      <c r="F25" s="375">
        <v>0.02</v>
      </c>
      <c r="G25" s="371" t="s">
        <v>21</v>
      </c>
      <c r="H25" s="371" t="s">
        <v>20</v>
      </c>
      <c r="I25" s="372"/>
    </row>
    <row r="26" spans="1:20" ht="15.75">
      <c r="A26" s="59" t="s">
        <v>474</v>
      </c>
      <c r="B26" s="35">
        <v>45323</v>
      </c>
      <c r="C26" s="30">
        <v>0.35347222222222224</v>
      </c>
      <c r="D26" s="35">
        <v>45324</v>
      </c>
      <c r="E26" s="99">
        <v>0.59652777777777777</v>
      </c>
      <c r="F26" s="375">
        <v>0.01</v>
      </c>
      <c r="G26" s="371" t="s">
        <v>21</v>
      </c>
      <c r="H26" s="371" t="s">
        <v>20</v>
      </c>
      <c r="I26" s="372"/>
    </row>
    <row r="27" spans="1:20" ht="15.75">
      <c r="A27" s="59" t="s">
        <v>475</v>
      </c>
      <c r="B27" s="35">
        <v>45323</v>
      </c>
      <c r="C27" s="30">
        <v>0.3840277777777778</v>
      </c>
      <c r="D27" s="35">
        <v>45324</v>
      </c>
      <c r="E27" s="376">
        <v>0.59791666666666665</v>
      </c>
      <c r="F27" s="373">
        <v>0.21</v>
      </c>
      <c r="G27" s="371" t="s">
        <v>21</v>
      </c>
      <c r="H27" s="371" t="s">
        <v>20</v>
      </c>
      <c r="I27" s="372"/>
    </row>
    <row r="28" spans="1:20" ht="15.75">
      <c r="A28" s="59" t="s">
        <v>476</v>
      </c>
      <c r="B28" s="35">
        <v>45324</v>
      </c>
      <c r="C28" s="30">
        <v>0.37013888888888891</v>
      </c>
      <c r="D28" s="35">
        <v>45324</v>
      </c>
      <c r="E28" s="376">
        <v>0.62986111111111109</v>
      </c>
      <c r="F28" s="373">
        <v>0.09</v>
      </c>
      <c r="G28" s="371" t="s">
        <v>21</v>
      </c>
      <c r="H28" s="371" t="s">
        <v>20</v>
      </c>
      <c r="I28" s="372"/>
    </row>
    <row r="29" spans="1:20" ht="15.75">
      <c r="A29" s="59" t="s">
        <v>477</v>
      </c>
      <c r="B29" s="35">
        <v>45324</v>
      </c>
      <c r="C29" s="30">
        <v>0.40208333333333335</v>
      </c>
      <c r="D29" s="35">
        <v>45324</v>
      </c>
      <c r="E29" s="376">
        <v>0.63124999999999998</v>
      </c>
      <c r="F29" s="373">
        <v>0.18</v>
      </c>
      <c r="G29" s="371" t="s">
        <v>21</v>
      </c>
      <c r="H29" s="371" t="s">
        <v>20</v>
      </c>
      <c r="I29" s="372"/>
    </row>
    <row r="30" spans="1:20" ht="15.75">
      <c r="A30" s="59" t="s">
        <v>478</v>
      </c>
      <c r="B30" s="35">
        <v>45324</v>
      </c>
      <c r="C30" s="30">
        <v>0.43888888888888888</v>
      </c>
      <c r="D30" s="35">
        <v>45324</v>
      </c>
      <c r="E30" s="376">
        <v>0.6333333333333333</v>
      </c>
      <c r="F30" s="373">
        <v>0.05</v>
      </c>
      <c r="G30" s="371" t="s">
        <v>21</v>
      </c>
      <c r="H30" s="371" t="s">
        <v>20</v>
      </c>
      <c r="I30" s="372"/>
    </row>
    <row r="31" spans="1:20" ht="15.75">
      <c r="A31" s="59" t="s">
        <v>479</v>
      </c>
      <c r="B31" s="35">
        <v>45324</v>
      </c>
      <c r="C31" s="30">
        <v>0.46944444444444444</v>
      </c>
      <c r="D31" s="35">
        <v>45324</v>
      </c>
      <c r="E31" s="376">
        <v>0.63263888888888886</v>
      </c>
      <c r="F31" s="373">
        <v>0.02</v>
      </c>
      <c r="G31" s="371" t="s">
        <v>21</v>
      </c>
      <c r="H31" s="371" t="s">
        <v>20</v>
      </c>
      <c r="I31" s="372"/>
    </row>
    <row r="32" spans="1:20" ht="15.75">
      <c r="A32" s="377" t="s">
        <v>480</v>
      </c>
      <c r="B32" s="378">
        <v>45336</v>
      </c>
      <c r="C32" s="379">
        <v>0.3298611111111111</v>
      </c>
      <c r="D32" s="378">
        <v>41684</v>
      </c>
      <c r="E32" s="380">
        <v>0.69444444444444442</v>
      </c>
      <c r="F32" s="347">
        <v>0.01</v>
      </c>
      <c r="G32" s="371" t="s">
        <v>21</v>
      </c>
      <c r="H32" s="59" t="s">
        <v>110</v>
      </c>
      <c r="I32" s="381"/>
      <c r="J32" s="382"/>
      <c r="K32" s="382"/>
      <c r="L32" s="382"/>
      <c r="M32" s="382"/>
      <c r="N32" s="382"/>
      <c r="O32" s="382"/>
      <c r="P32" s="382"/>
      <c r="Q32" s="382"/>
      <c r="R32" s="382"/>
      <c r="S32" s="382"/>
      <c r="T32" s="382"/>
    </row>
    <row r="33" spans="1:9" ht="15.75">
      <c r="A33" s="377" t="s">
        <v>481</v>
      </c>
      <c r="B33" s="378">
        <v>45336</v>
      </c>
      <c r="C33" s="379">
        <v>0.35138888888888886</v>
      </c>
      <c r="D33" s="378">
        <v>41684</v>
      </c>
      <c r="E33" s="380">
        <v>0.69513888888888886</v>
      </c>
      <c r="F33" s="347">
        <v>0</v>
      </c>
      <c r="G33" s="371" t="s">
        <v>21</v>
      </c>
      <c r="H33" s="59" t="s">
        <v>110</v>
      </c>
      <c r="I33" s="381"/>
    </row>
    <row r="34" spans="1:9" ht="15.75">
      <c r="A34" s="377" t="s">
        <v>482</v>
      </c>
      <c r="B34" s="378">
        <v>45336</v>
      </c>
      <c r="C34" s="379">
        <v>0.40625</v>
      </c>
      <c r="D34" s="378">
        <v>41684</v>
      </c>
      <c r="E34" s="380">
        <v>0.69652777777777775</v>
      </c>
      <c r="F34" s="347">
        <v>0.46</v>
      </c>
      <c r="G34" s="371" t="s">
        <v>21</v>
      </c>
      <c r="H34" s="59" t="s">
        <v>110</v>
      </c>
      <c r="I34" s="381"/>
    </row>
    <row r="35" spans="1:9" ht="15.75">
      <c r="A35" s="348" t="s">
        <v>483</v>
      </c>
      <c r="B35" s="378">
        <v>45336</v>
      </c>
      <c r="C35" s="379">
        <v>0.4548611111111111</v>
      </c>
      <c r="D35" s="378">
        <v>41684</v>
      </c>
      <c r="E35" s="380">
        <v>0.69722222222222219</v>
      </c>
      <c r="F35" s="347">
        <v>0.61</v>
      </c>
      <c r="G35" s="371" t="s">
        <v>21</v>
      </c>
      <c r="H35" s="59" t="s">
        <v>110</v>
      </c>
      <c r="I35" s="381"/>
    </row>
    <row r="36" spans="1:9" ht="15.75">
      <c r="A36" s="59" t="s">
        <v>484</v>
      </c>
      <c r="B36" s="383">
        <v>45337</v>
      </c>
      <c r="C36" s="384">
        <v>0.29305555555555557</v>
      </c>
      <c r="D36" s="383">
        <v>45338</v>
      </c>
      <c r="E36" s="376">
        <v>0.63402777777777775</v>
      </c>
      <c r="F36" s="347">
        <v>7.0000000000000007E-2</v>
      </c>
      <c r="G36" s="371" t="s">
        <v>21</v>
      </c>
      <c r="H36" s="59" t="s">
        <v>20</v>
      </c>
      <c r="I36" s="381"/>
    </row>
    <row r="37" spans="1:9" ht="15.75">
      <c r="A37" s="59" t="s">
        <v>485</v>
      </c>
      <c r="B37" s="383">
        <v>45337</v>
      </c>
      <c r="C37" s="384">
        <v>0.3972222222222222</v>
      </c>
      <c r="D37" s="383">
        <v>45338</v>
      </c>
      <c r="E37" s="376">
        <v>0.63472222222222219</v>
      </c>
      <c r="F37" s="347">
        <v>0.04</v>
      </c>
      <c r="G37" s="371" t="s">
        <v>21</v>
      </c>
      <c r="H37" s="59" t="s">
        <v>20</v>
      </c>
      <c r="I37" s="381"/>
    </row>
    <row r="38" spans="1:9" ht="15.75">
      <c r="A38" s="59" t="s">
        <v>486</v>
      </c>
      <c r="B38" s="383">
        <v>45337</v>
      </c>
      <c r="C38" s="384">
        <v>0.4152777777777778</v>
      </c>
      <c r="D38" s="383">
        <v>45338</v>
      </c>
      <c r="E38" s="376">
        <v>0.63541666666666663</v>
      </c>
      <c r="F38" s="347">
        <v>0.09</v>
      </c>
      <c r="G38" s="371" t="s">
        <v>21</v>
      </c>
      <c r="H38" s="59" t="s">
        <v>20</v>
      </c>
      <c r="I38" s="381"/>
    </row>
    <row r="39" spans="1:9" ht="15.75">
      <c r="A39" s="59" t="s">
        <v>487</v>
      </c>
      <c r="B39" s="14">
        <v>45338</v>
      </c>
      <c r="C39" s="99">
        <v>0.33055555555555555</v>
      </c>
      <c r="D39" s="383">
        <v>45338</v>
      </c>
      <c r="E39" s="376">
        <v>0.63541666666666663</v>
      </c>
      <c r="F39" s="347">
        <v>0.05</v>
      </c>
      <c r="G39" s="371" t="s">
        <v>21</v>
      </c>
      <c r="H39" s="59" t="s">
        <v>20</v>
      </c>
      <c r="I39" s="385"/>
    </row>
    <row r="40" spans="1:9" ht="15.75">
      <c r="A40" s="59" t="s">
        <v>488</v>
      </c>
      <c r="B40" s="14">
        <v>45338</v>
      </c>
      <c r="C40" s="99">
        <v>0.36458333333333331</v>
      </c>
      <c r="D40" s="383">
        <v>45338</v>
      </c>
      <c r="E40" s="376">
        <v>0.63611111111111107</v>
      </c>
      <c r="F40" s="347">
        <v>0</v>
      </c>
      <c r="G40" s="371" t="s">
        <v>21</v>
      </c>
      <c r="H40" s="59" t="s">
        <v>20</v>
      </c>
      <c r="I40" s="381"/>
    </row>
    <row r="41" spans="1:9" ht="15.75">
      <c r="A41" s="59" t="s">
        <v>489</v>
      </c>
      <c r="B41" s="14">
        <v>45338</v>
      </c>
      <c r="C41" s="99">
        <v>0.39583333333333331</v>
      </c>
      <c r="D41" s="383">
        <v>45338</v>
      </c>
      <c r="E41" s="376">
        <v>0.63611111111111107</v>
      </c>
      <c r="F41" s="347">
        <v>0.02</v>
      </c>
      <c r="G41" s="371" t="s">
        <v>21</v>
      </c>
      <c r="H41" s="59" t="s">
        <v>20</v>
      </c>
      <c r="I41" s="381"/>
    </row>
    <row r="42" spans="1:9" ht="15.75">
      <c r="A42" s="59" t="s">
        <v>490</v>
      </c>
      <c r="B42" s="14">
        <v>45338</v>
      </c>
      <c r="C42" s="121">
        <v>0.41805555555555557</v>
      </c>
      <c r="D42" s="383">
        <v>45338</v>
      </c>
      <c r="E42" s="376">
        <v>0.63680555555555551</v>
      </c>
      <c r="F42" s="347">
        <v>0</v>
      </c>
      <c r="G42" s="371" t="s">
        <v>21</v>
      </c>
      <c r="H42" s="59" t="s">
        <v>20</v>
      </c>
      <c r="I42" s="385"/>
    </row>
    <row r="43" spans="1:9" ht="17.25">
      <c r="A43" s="59" t="s">
        <v>491</v>
      </c>
      <c r="B43" s="122">
        <v>45343</v>
      </c>
      <c r="C43" s="74">
        <v>0.38055555555555554</v>
      </c>
      <c r="D43" s="122">
        <v>45344</v>
      </c>
      <c r="E43" s="376">
        <v>0.46180555555555558</v>
      </c>
      <c r="F43" s="347">
        <v>0</v>
      </c>
      <c r="G43" s="371" t="s">
        <v>21</v>
      </c>
      <c r="H43" s="59" t="s">
        <v>121</v>
      </c>
      <c r="I43" s="381"/>
    </row>
    <row r="44" spans="1:9" ht="17.25">
      <c r="A44" s="59" t="s">
        <v>492</v>
      </c>
      <c r="B44" s="122">
        <v>45343</v>
      </c>
      <c r="C44" s="74">
        <v>0.40138888888888891</v>
      </c>
      <c r="D44" s="122">
        <v>45344</v>
      </c>
      <c r="E44" s="376">
        <v>0.52083333333333337</v>
      </c>
      <c r="F44" s="373">
        <v>7.0000000000000007E-2</v>
      </c>
      <c r="G44" s="371" t="s">
        <v>21</v>
      </c>
      <c r="H44" s="59" t="s">
        <v>121</v>
      </c>
      <c r="I44" s="372"/>
    </row>
    <row r="45" spans="1:9" ht="17.25">
      <c r="A45" s="59" t="s">
        <v>493</v>
      </c>
      <c r="B45" s="122">
        <v>45343</v>
      </c>
      <c r="C45" s="74">
        <v>0.42708333333333331</v>
      </c>
      <c r="D45" s="122">
        <v>45344</v>
      </c>
      <c r="E45" s="376">
        <v>0.46736111111111112</v>
      </c>
      <c r="F45" s="373">
        <v>0</v>
      </c>
      <c r="G45" s="371" t="s">
        <v>21</v>
      </c>
      <c r="H45" s="59" t="s">
        <v>121</v>
      </c>
      <c r="I45" s="372"/>
    </row>
    <row r="46" spans="1:9" ht="17.25">
      <c r="A46" s="59" t="s">
        <v>494</v>
      </c>
      <c r="B46" s="122">
        <v>45343</v>
      </c>
      <c r="C46" s="74">
        <v>0.4909722222222222</v>
      </c>
      <c r="D46" s="122">
        <v>45344</v>
      </c>
      <c r="E46" s="376">
        <v>0.47013888888888888</v>
      </c>
      <c r="F46" s="373">
        <v>0.05</v>
      </c>
      <c r="G46" s="371" t="s">
        <v>21</v>
      </c>
      <c r="H46" s="59" t="s">
        <v>121</v>
      </c>
      <c r="I46" s="372"/>
    </row>
    <row r="47" spans="1:9" ht="17.25">
      <c r="A47" s="59" t="s">
        <v>495</v>
      </c>
      <c r="B47" s="122">
        <v>45343</v>
      </c>
      <c r="C47" s="76">
        <v>0.51180555555555551</v>
      </c>
      <c r="D47" s="122">
        <v>45344</v>
      </c>
      <c r="E47" s="376">
        <v>0.48333333333333334</v>
      </c>
      <c r="F47" s="373">
        <v>0.02</v>
      </c>
      <c r="G47" s="371" t="s">
        <v>21</v>
      </c>
      <c r="H47" s="59" t="s">
        <v>121</v>
      </c>
      <c r="I47" s="372"/>
    </row>
    <row r="48" spans="1:9" ht="17.25">
      <c r="A48" s="59" t="s">
        <v>496</v>
      </c>
      <c r="B48" s="122">
        <v>45343</v>
      </c>
      <c r="C48" s="77">
        <v>0.53402777777777777</v>
      </c>
      <c r="D48" s="122">
        <v>45344</v>
      </c>
      <c r="E48" s="376">
        <v>0.46388888888888891</v>
      </c>
      <c r="F48" s="373">
        <v>0.3</v>
      </c>
      <c r="G48" s="371" t="s">
        <v>21</v>
      </c>
      <c r="H48" s="59" t="s">
        <v>121</v>
      </c>
      <c r="I48" s="372"/>
    </row>
    <row r="49" spans="1:9" ht="15.75">
      <c r="A49" s="59"/>
      <c r="B49" s="386"/>
      <c r="C49" s="380"/>
      <c r="D49" s="386"/>
      <c r="E49" s="376"/>
      <c r="F49" s="373"/>
      <c r="G49" s="371"/>
      <c r="H49" s="181"/>
      <c r="I49" s="372"/>
    </row>
    <row r="50" spans="1:9" ht="15.75">
      <c r="A50" s="59"/>
      <c r="B50" s="386"/>
      <c r="C50" s="380"/>
      <c r="D50" s="386"/>
      <c r="E50" s="376"/>
      <c r="F50" s="373"/>
      <c r="G50" s="371"/>
      <c r="H50" s="181"/>
      <c r="I50" s="372"/>
    </row>
    <row r="51" spans="1:9" ht="15.75">
      <c r="A51" s="59"/>
      <c r="B51" s="386"/>
      <c r="C51" s="380"/>
      <c r="D51" s="386"/>
      <c r="E51" s="376"/>
      <c r="F51" s="373"/>
      <c r="G51" s="371"/>
      <c r="H51" s="181"/>
      <c r="I51" s="372"/>
    </row>
    <row r="52" spans="1:9" ht="15.75">
      <c r="B52" s="387"/>
      <c r="F52" s="20"/>
      <c r="I52" s="388"/>
    </row>
    <row r="53" spans="1:9" ht="15.75">
      <c r="B53" s="387"/>
      <c r="F53" s="20"/>
      <c r="I53" s="388"/>
    </row>
    <row r="54" spans="1:9" ht="15.75">
      <c r="B54" s="387"/>
      <c r="F54" s="20"/>
      <c r="I54" s="388"/>
    </row>
    <row r="55" spans="1:9" ht="15.75">
      <c r="B55" s="387"/>
      <c r="F55" s="20"/>
      <c r="I55" s="388"/>
    </row>
    <row r="56" spans="1:9" ht="15.75">
      <c r="B56" s="387"/>
      <c r="F56" s="20"/>
      <c r="I56" s="388"/>
    </row>
    <row r="57" spans="1:9" ht="15.75">
      <c r="B57" s="387"/>
      <c r="F57" s="20"/>
      <c r="I57" s="388"/>
    </row>
    <row r="58" spans="1:9" ht="15.75">
      <c r="B58" s="387"/>
      <c r="F58" s="20"/>
      <c r="I58" s="388"/>
    </row>
    <row r="59" spans="1:9" ht="15.75">
      <c r="B59" s="387"/>
      <c r="F59" s="20"/>
      <c r="I59" s="388"/>
    </row>
    <row r="60" spans="1:9" ht="15.75">
      <c r="B60" s="387"/>
      <c r="F60" s="20"/>
      <c r="I60" s="388"/>
    </row>
    <row r="61" spans="1:9" ht="15.75">
      <c r="B61" s="387"/>
      <c r="F61" s="20"/>
      <c r="I61" s="388"/>
    </row>
    <row r="62" spans="1:9" ht="15.75">
      <c r="B62" s="387"/>
      <c r="F62" s="20"/>
      <c r="I62" s="388"/>
    </row>
    <row r="63" spans="1:9" ht="15.75">
      <c r="B63" s="387"/>
      <c r="F63" s="20"/>
      <c r="I63" s="388"/>
    </row>
    <row r="64" spans="1:9" ht="15.75">
      <c r="B64" s="387"/>
      <c r="F64" s="20"/>
      <c r="I64" s="388"/>
    </row>
    <row r="65" spans="2:9" ht="15.75">
      <c r="B65" s="387"/>
      <c r="F65" s="20"/>
      <c r="I65" s="388"/>
    </row>
    <row r="66" spans="2:9" ht="15.75">
      <c r="B66" s="387"/>
      <c r="F66" s="20"/>
      <c r="I66" s="388"/>
    </row>
    <row r="67" spans="2:9" ht="15.75">
      <c r="B67" s="387"/>
      <c r="F67" s="20"/>
      <c r="I67" s="388"/>
    </row>
    <row r="68" spans="2:9" ht="15.75">
      <c r="B68" s="387"/>
      <c r="F68" s="20"/>
      <c r="I68" s="388"/>
    </row>
    <row r="69" spans="2:9" ht="15.75">
      <c r="B69" s="387"/>
      <c r="F69" s="20"/>
      <c r="I69" s="388"/>
    </row>
    <row r="70" spans="2:9" ht="15.75">
      <c r="B70" s="387"/>
      <c r="F70" s="20"/>
      <c r="I70" s="388"/>
    </row>
    <row r="71" spans="2:9" ht="15.75">
      <c r="B71" s="387"/>
      <c r="F71" s="20"/>
      <c r="I71" s="388"/>
    </row>
    <row r="72" spans="2:9" ht="15.75">
      <c r="B72" s="387"/>
      <c r="F72" s="20"/>
      <c r="I72" s="388"/>
    </row>
    <row r="73" spans="2:9" ht="15.75">
      <c r="B73" s="387"/>
      <c r="F73" s="20"/>
      <c r="I73" s="388"/>
    </row>
    <row r="74" spans="2:9" ht="15.75">
      <c r="B74" s="387"/>
      <c r="F74" s="20"/>
      <c r="I74" s="388"/>
    </row>
    <row r="75" spans="2:9" ht="15.75">
      <c r="B75" s="387"/>
      <c r="F75" s="20"/>
      <c r="I75" s="388"/>
    </row>
    <row r="76" spans="2:9" ht="15.75">
      <c r="B76" s="387"/>
      <c r="F76" s="20"/>
      <c r="I76" s="388"/>
    </row>
    <row r="77" spans="2:9" ht="15.75">
      <c r="B77" s="387"/>
      <c r="F77" s="20"/>
      <c r="I77" s="388"/>
    </row>
    <row r="78" spans="2:9" ht="15.75">
      <c r="B78" s="387"/>
      <c r="F78" s="20"/>
      <c r="I78" s="388"/>
    </row>
    <row r="79" spans="2:9" ht="15.75">
      <c r="B79" s="387"/>
      <c r="F79" s="20"/>
      <c r="I79" s="388"/>
    </row>
    <row r="80" spans="2:9" ht="15.75">
      <c r="B80" s="387"/>
      <c r="F80" s="20"/>
      <c r="I80" s="388"/>
    </row>
    <row r="81" spans="2:9" ht="15.75">
      <c r="B81" s="387"/>
      <c r="F81" s="20"/>
      <c r="I81" s="388"/>
    </row>
    <row r="82" spans="2:9" ht="15.75">
      <c r="B82" s="387"/>
      <c r="F82" s="20"/>
      <c r="I82" s="388"/>
    </row>
    <row r="83" spans="2:9" ht="15.75">
      <c r="B83" s="387"/>
      <c r="F83" s="20"/>
      <c r="I83" s="388"/>
    </row>
    <row r="84" spans="2:9" ht="15.75">
      <c r="B84" s="387"/>
      <c r="F84" s="20"/>
      <c r="I84" s="388"/>
    </row>
    <row r="85" spans="2:9" ht="15.75">
      <c r="B85" s="387"/>
      <c r="F85" s="20"/>
      <c r="I85" s="388"/>
    </row>
    <row r="86" spans="2:9" ht="15.75">
      <c r="B86" s="387"/>
      <c r="F86" s="20"/>
      <c r="I86" s="388"/>
    </row>
    <row r="87" spans="2:9" ht="15.75">
      <c r="B87" s="387"/>
      <c r="F87" s="20"/>
      <c r="I87" s="388"/>
    </row>
    <row r="88" spans="2:9" ht="15.75">
      <c r="B88" s="387"/>
      <c r="F88" s="20"/>
      <c r="I88" s="388"/>
    </row>
    <row r="89" spans="2:9" ht="15.75">
      <c r="B89" s="387"/>
      <c r="F89" s="20"/>
      <c r="I89" s="388"/>
    </row>
    <row r="90" spans="2:9" ht="15.75">
      <c r="B90" s="387"/>
      <c r="F90" s="20"/>
      <c r="I90" s="388"/>
    </row>
    <row r="91" spans="2:9" ht="15.75">
      <c r="B91" s="387"/>
      <c r="F91" s="20"/>
      <c r="I91" s="388"/>
    </row>
    <row r="92" spans="2:9" ht="15.75">
      <c r="B92" s="387"/>
      <c r="F92" s="20"/>
      <c r="I92" s="388"/>
    </row>
    <row r="93" spans="2:9" ht="15.75">
      <c r="B93" s="387"/>
      <c r="F93" s="20"/>
      <c r="I93" s="388"/>
    </row>
    <row r="94" spans="2:9" ht="15.75">
      <c r="B94" s="387"/>
      <c r="F94" s="20"/>
      <c r="I94" s="388"/>
    </row>
    <row r="95" spans="2:9" ht="15.75">
      <c r="B95" s="387"/>
      <c r="F95" s="20"/>
      <c r="I95" s="388"/>
    </row>
    <row r="96" spans="2:9" ht="15.75">
      <c r="B96" s="387"/>
      <c r="F96" s="20"/>
      <c r="I96" s="388"/>
    </row>
    <row r="97" spans="2:9" ht="15.75">
      <c r="B97" s="387"/>
      <c r="F97" s="20"/>
      <c r="I97" s="388"/>
    </row>
    <row r="98" spans="2:9" ht="15.75">
      <c r="B98" s="387"/>
      <c r="F98" s="20"/>
      <c r="I98" s="388"/>
    </row>
    <row r="99" spans="2:9" ht="15.75">
      <c r="B99" s="387"/>
      <c r="F99" s="20"/>
      <c r="I99" s="388"/>
    </row>
    <row r="100" spans="2:9" ht="15.75">
      <c r="B100" s="387"/>
      <c r="F100" s="20"/>
      <c r="I100" s="388"/>
    </row>
    <row r="101" spans="2:9" ht="15.75">
      <c r="B101" s="387"/>
      <c r="F101" s="20"/>
      <c r="I101" s="388"/>
    </row>
    <row r="102" spans="2:9" ht="15.75">
      <c r="B102" s="387"/>
      <c r="F102" s="20"/>
      <c r="I102" s="388"/>
    </row>
    <row r="103" spans="2:9" ht="15.75">
      <c r="B103" s="387"/>
      <c r="F103" s="20"/>
      <c r="I103" s="388"/>
    </row>
    <row r="104" spans="2:9" ht="15.75">
      <c r="B104" s="387"/>
      <c r="F104" s="20"/>
      <c r="I104" s="388"/>
    </row>
    <row r="105" spans="2:9" ht="15.75">
      <c r="B105" s="387"/>
      <c r="F105" s="20"/>
      <c r="I105" s="388"/>
    </row>
    <row r="106" spans="2:9" ht="15.75">
      <c r="B106" s="387"/>
      <c r="F106" s="20"/>
      <c r="I106" s="388"/>
    </row>
    <row r="107" spans="2:9" ht="15.75">
      <c r="B107" s="387"/>
      <c r="F107" s="20"/>
      <c r="I107" s="388"/>
    </row>
    <row r="108" spans="2:9" ht="15.75">
      <c r="B108" s="387"/>
      <c r="F108" s="20"/>
      <c r="I108" s="388"/>
    </row>
    <row r="109" spans="2:9" ht="15.75">
      <c r="B109" s="387"/>
      <c r="F109" s="20"/>
      <c r="I109" s="388"/>
    </row>
    <row r="110" spans="2:9" ht="15.75">
      <c r="B110" s="387"/>
      <c r="F110" s="20"/>
      <c r="I110" s="388"/>
    </row>
    <row r="111" spans="2:9" ht="15.75">
      <c r="B111" s="387"/>
      <c r="F111" s="20"/>
      <c r="I111" s="388"/>
    </row>
    <row r="112" spans="2:9" ht="15.75">
      <c r="B112" s="387"/>
      <c r="F112" s="20"/>
      <c r="I112" s="388"/>
    </row>
    <row r="113" spans="2:9" ht="15.75">
      <c r="B113" s="387"/>
      <c r="F113" s="20"/>
      <c r="I113" s="388"/>
    </row>
    <row r="114" spans="2:9" ht="15.75">
      <c r="B114" s="387"/>
      <c r="F114" s="20"/>
      <c r="I114" s="388"/>
    </row>
    <row r="115" spans="2:9" ht="15.75">
      <c r="B115" s="387"/>
      <c r="F115" s="20"/>
      <c r="I115" s="388"/>
    </row>
    <row r="116" spans="2:9" ht="15.75">
      <c r="B116" s="387"/>
      <c r="F116" s="20"/>
      <c r="I116" s="388"/>
    </row>
    <row r="117" spans="2:9" ht="15.75">
      <c r="B117" s="387"/>
      <c r="F117" s="20"/>
      <c r="I117" s="388"/>
    </row>
    <row r="118" spans="2:9" ht="15.75">
      <c r="B118" s="387"/>
      <c r="F118" s="20"/>
      <c r="I118" s="388"/>
    </row>
    <row r="119" spans="2:9" ht="15.75">
      <c r="B119" s="387"/>
      <c r="F119" s="20"/>
      <c r="I119" s="388"/>
    </row>
    <row r="120" spans="2:9" ht="15.75">
      <c r="B120" s="387"/>
      <c r="F120" s="20"/>
      <c r="I120" s="388"/>
    </row>
    <row r="121" spans="2:9" ht="15.75">
      <c r="B121" s="387"/>
      <c r="F121" s="20"/>
      <c r="I121" s="388"/>
    </row>
    <row r="122" spans="2:9" ht="15.75">
      <c r="B122" s="387"/>
      <c r="F122" s="20"/>
      <c r="I122" s="388"/>
    </row>
    <row r="123" spans="2:9" ht="15.75">
      <c r="B123" s="387"/>
      <c r="F123" s="20"/>
      <c r="I123" s="388"/>
    </row>
    <row r="124" spans="2:9" ht="15.75">
      <c r="B124" s="387"/>
      <c r="F124" s="20"/>
      <c r="I124" s="388"/>
    </row>
    <row r="125" spans="2:9" ht="15.75">
      <c r="B125" s="387"/>
      <c r="F125" s="20"/>
      <c r="I125" s="388"/>
    </row>
    <row r="126" spans="2:9" ht="15.75">
      <c r="B126" s="387"/>
      <c r="F126" s="20"/>
      <c r="I126" s="388"/>
    </row>
    <row r="127" spans="2:9" ht="15.75">
      <c r="B127" s="387"/>
      <c r="F127" s="20"/>
      <c r="I127" s="388"/>
    </row>
    <row r="128" spans="2:9" ht="15.75">
      <c r="B128" s="387"/>
      <c r="F128" s="20"/>
      <c r="I128" s="388"/>
    </row>
    <row r="129" spans="2:9" ht="15.75">
      <c r="B129" s="387"/>
      <c r="F129" s="20"/>
      <c r="I129" s="388"/>
    </row>
    <row r="130" spans="2:9" ht="15.75">
      <c r="B130" s="387"/>
      <c r="F130" s="20"/>
      <c r="I130" s="388"/>
    </row>
    <row r="131" spans="2:9" ht="15.75">
      <c r="B131" s="387"/>
      <c r="F131" s="20"/>
      <c r="I131" s="388"/>
    </row>
    <row r="132" spans="2:9" ht="15.75">
      <c r="B132" s="387"/>
      <c r="F132" s="20"/>
      <c r="I132" s="388"/>
    </row>
    <row r="133" spans="2:9" ht="15.75">
      <c r="B133" s="387"/>
      <c r="F133" s="20"/>
      <c r="I133" s="388"/>
    </row>
    <row r="134" spans="2:9" ht="15.75">
      <c r="B134" s="387"/>
      <c r="F134" s="20"/>
      <c r="I134" s="388"/>
    </row>
    <row r="135" spans="2:9" ht="15.75">
      <c r="B135" s="387"/>
      <c r="F135" s="20"/>
      <c r="I135" s="388"/>
    </row>
    <row r="136" spans="2:9" ht="15.75">
      <c r="B136" s="387"/>
      <c r="F136" s="20"/>
      <c r="I136" s="388"/>
    </row>
    <row r="137" spans="2:9" ht="15.75">
      <c r="B137" s="387"/>
      <c r="F137" s="20"/>
      <c r="I137" s="388"/>
    </row>
    <row r="138" spans="2:9" ht="15.75">
      <c r="B138" s="387"/>
      <c r="F138" s="20"/>
      <c r="I138" s="388"/>
    </row>
    <row r="139" spans="2:9" ht="15.75">
      <c r="B139" s="387"/>
      <c r="F139" s="20"/>
      <c r="I139" s="388"/>
    </row>
    <row r="140" spans="2:9" ht="15.75">
      <c r="B140" s="387"/>
      <c r="F140" s="20"/>
      <c r="I140" s="388"/>
    </row>
    <row r="141" spans="2:9" ht="15.75">
      <c r="B141" s="387"/>
      <c r="F141" s="20"/>
      <c r="I141" s="388"/>
    </row>
    <row r="142" spans="2:9" ht="15.75">
      <c r="B142" s="387"/>
      <c r="F142" s="20"/>
      <c r="I142" s="388"/>
    </row>
    <row r="143" spans="2:9" ht="15.75">
      <c r="B143" s="387"/>
      <c r="F143" s="20"/>
      <c r="I143" s="388"/>
    </row>
    <row r="144" spans="2:9" ht="15.75">
      <c r="B144" s="387"/>
      <c r="F144" s="20"/>
      <c r="I144" s="388"/>
    </row>
    <row r="145" spans="2:9" ht="15.75">
      <c r="B145" s="387"/>
      <c r="F145" s="20"/>
      <c r="I145" s="388"/>
    </row>
    <row r="146" spans="2:9" ht="15.75">
      <c r="B146" s="387"/>
      <c r="F146" s="20"/>
      <c r="I146" s="388"/>
    </row>
    <row r="147" spans="2:9" ht="15.75">
      <c r="B147" s="387"/>
      <c r="F147" s="20"/>
      <c r="I147" s="388"/>
    </row>
    <row r="148" spans="2:9" ht="15.75">
      <c r="B148" s="387"/>
      <c r="F148" s="20"/>
      <c r="I148" s="388"/>
    </row>
    <row r="149" spans="2:9" ht="15.75">
      <c r="B149" s="387"/>
      <c r="F149" s="20"/>
      <c r="I149" s="388"/>
    </row>
    <row r="150" spans="2:9" ht="15.75">
      <c r="B150" s="387"/>
      <c r="F150" s="20"/>
      <c r="I150" s="388"/>
    </row>
    <row r="151" spans="2:9" ht="15.75">
      <c r="B151" s="387"/>
      <c r="F151" s="20"/>
      <c r="I151" s="388"/>
    </row>
    <row r="152" spans="2:9" ht="15.75">
      <c r="B152" s="387"/>
      <c r="F152" s="20"/>
      <c r="I152" s="388"/>
    </row>
    <row r="153" spans="2:9" ht="15.75">
      <c r="B153" s="387"/>
      <c r="F153" s="20"/>
      <c r="I153" s="388"/>
    </row>
    <row r="154" spans="2:9" ht="15.75">
      <c r="B154" s="387"/>
      <c r="F154" s="20"/>
      <c r="I154" s="388"/>
    </row>
    <row r="155" spans="2:9" ht="15.75">
      <c r="B155" s="387"/>
      <c r="F155" s="20"/>
      <c r="I155" s="388"/>
    </row>
    <row r="156" spans="2:9" ht="15.75">
      <c r="B156" s="387"/>
      <c r="F156" s="20"/>
      <c r="I156" s="388"/>
    </row>
    <row r="157" spans="2:9" ht="15.75">
      <c r="B157" s="387"/>
      <c r="F157" s="20"/>
      <c r="I157" s="388"/>
    </row>
    <row r="158" spans="2:9" ht="15.75">
      <c r="B158" s="387"/>
      <c r="F158" s="20"/>
      <c r="I158" s="388"/>
    </row>
    <row r="159" spans="2:9" ht="15.75">
      <c r="B159" s="387"/>
      <c r="F159" s="20"/>
      <c r="I159" s="388"/>
    </row>
    <row r="160" spans="2:9" ht="15.75">
      <c r="B160" s="387"/>
      <c r="F160" s="20"/>
      <c r="I160" s="388"/>
    </row>
    <row r="161" spans="2:9" ht="15.75">
      <c r="B161" s="387"/>
      <c r="F161" s="20"/>
      <c r="I161" s="388"/>
    </row>
    <row r="162" spans="2:9" ht="15.75">
      <c r="B162" s="387"/>
      <c r="F162" s="20"/>
      <c r="I162" s="388"/>
    </row>
    <row r="163" spans="2:9" ht="15.75">
      <c r="B163" s="387"/>
      <c r="F163" s="20"/>
      <c r="I163" s="388"/>
    </row>
    <row r="164" spans="2:9" ht="15.75">
      <c r="B164" s="387"/>
      <c r="F164" s="20"/>
      <c r="I164" s="388"/>
    </row>
    <row r="165" spans="2:9" ht="15.75">
      <c r="B165" s="387"/>
      <c r="F165" s="20"/>
      <c r="I165" s="388"/>
    </row>
    <row r="166" spans="2:9" ht="15.75">
      <c r="B166" s="387"/>
      <c r="F166" s="20"/>
      <c r="I166" s="388"/>
    </row>
    <row r="167" spans="2:9" ht="15.75">
      <c r="B167" s="387"/>
      <c r="F167" s="20"/>
      <c r="I167" s="388"/>
    </row>
    <row r="168" spans="2:9" ht="15.75">
      <c r="B168" s="387"/>
      <c r="F168" s="20"/>
      <c r="I168" s="388"/>
    </row>
    <row r="169" spans="2:9" ht="15.75">
      <c r="B169" s="387"/>
      <c r="F169" s="20"/>
      <c r="I169" s="388"/>
    </row>
    <row r="170" spans="2:9" ht="15.75">
      <c r="B170" s="387"/>
      <c r="F170" s="20"/>
      <c r="I170" s="388"/>
    </row>
    <row r="171" spans="2:9" ht="15.75">
      <c r="B171" s="387"/>
      <c r="F171" s="20"/>
      <c r="I171" s="388"/>
    </row>
    <row r="172" spans="2:9" ht="15.75">
      <c r="B172" s="387"/>
      <c r="F172" s="20"/>
      <c r="I172" s="388"/>
    </row>
    <row r="173" spans="2:9" ht="15.75">
      <c r="B173" s="387"/>
      <c r="F173" s="20"/>
      <c r="I173" s="388"/>
    </row>
    <row r="174" spans="2:9" ht="15.75">
      <c r="B174" s="387"/>
      <c r="F174" s="20"/>
      <c r="I174" s="388"/>
    </row>
    <row r="175" spans="2:9" ht="15.75">
      <c r="B175" s="387"/>
      <c r="F175" s="20"/>
      <c r="I175" s="388"/>
    </row>
    <row r="176" spans="2:9" ht="15.75">
      <c r="B176" s="387"/>
      <c r="F176" s="20"/>
      <c r="I176" s="388"/>
    </row>
    <row r="177" spans="2:9" ht="15.75">
      <c r="B177" s="387"/>
      <c r="F177" s="20"/>
      <c r="I177" s="388"/>
    </row>
    <row r="178" spans="2:9" ht="15.75">
      <c r="B178" s="387"/>
      <c r="F178" s="20"/>
      <c r="I178" s="388"/>
    </row>
    <row r="179" spans="2:9" ht="15.75">
      <c r="B179" s="387"/>
      <c r="F179" s="20"/>
      <c r="I179" s="388"/>
    </row>
    <row r="180" spans="2:9" ht="15.75">
      <c r="B180" s="387"/>
      <c r="F180" s="20"/>
      <c r="I180" s="388"/>
    </row>
    <row r="181" spans="2:9" ht="15.75">
      <c r="B181" s="387"/>
      <c r="F181" s="20"/>
      <c r="I181" s="388"/>
    </row>
    <row r="182" spans="2:9" ht="15.75">
      <c r="B182" s="387"/>
      <c r="F182" s="20"/>
      <c r="I182" s="388"/>
    </row>
    <row r="183" spans="2:9" ht="15.75">
      <c r="B183" s="387"/>
      <c r="F183" s="20"/>
      <c r="I183" s="388"/>
    </row>
    <row r="184" spans="2:9" ht="15.75">
      <c r="B184" s="387"/>
      <c r="F184" s="20"/>
      <c r="I184" s="388"/>
    </row>
    <row r="185" spans="2:9" ht="15.75">
      <c r="B185" s="387"/>
      <c r="F185" s="20"/>
      <c r="I185" s="388"/>
    </row>
    <row r="186" spans="2:9" ht="15.75">
      <c r="B186" s="387"/>
      <c r="F186" s="20"/>
      <c r="I186" s="388"/>
    </row>
    <row r="187" spans="2:9" ht="15.75">
      <c r="B187" s="387"/>
      <c r="F187" s="20"/>
      <c r="I187" s="388"/>
    </row>
    <row r="188" spans="2:9" ht="15.75">
      <c r="B188" s="387"/>
      <c r="F188" s="20"/>
      <c r="I188" s="388"/>
    </row>
    <row r="189" spans="2:9" ht="15.75">
      <c r="B189" s="387"/>
      <c r="F189" s="20"/>
      <c r="I189" s="388"/>
    </row>
    <row r="190" spans="2:9" ht="15.75">
      <c r="B190" s="387"/>
      <c r="F190" s="20"/>
      <c r="I190" s="388"/>
    </row>
    <row r="191" spans="2:9" ht="15.75">
      <c r="B191" s="387"/>
      <c r="F191" s="20"/>
      <c r="I191" s="388"/>
    </row>
    <row r="192" spans="2:9" ht="15.75">
      <c r="B192" s="387"/>
      <c r="F192" s="20"/>
      <c r="I192" s="388"/>
    </row>
    <row r="193" spans="2:9" ht="15.75">
      <c r="B193" s="387"/>
      <c r="F193" s="20"/>
      <c r="I193" s="388"/>
    </row>
    <row r="194" spans="2:9" ht="15.75">
      <c r="B194" s="387"/>
      <c r="F194" s="20"/>
      <c r="I194" s="388"/>
    </row>
    <row r="195" spans="2:9" ht="15.75">
      <c r="B195" s="387"/>
      <c r="F195" s="20"/>
      <c r="I195" s="388"/>
    </row>
    <row r="196" spans="2:9" ht="15.75">
      <c r="B196" s="387"/>
      <c r="F196" s="20"/>
      <c r="I196" s="388"/>
    </row>
    <row r="197" spans="2:9" ht="15.75">
      <c r="B197" s="387"/>
      <c r="F197" s="20"/>
      <c r="I197" s="388"/>
    </row>
    <row r="198" spans="2:9" ht="15.75">
      <c r="B198" s="387"/>
      <c r="F198" s="20"/>
      <c r="I198" s="388"/>
    </row>
    <row r="199" spans="2:9" ht="15.75">
      <c r="B199" s="387"/>
      <c r="F199" s="20"/>
      <c r="I199" s="388"/>
    </row>
    <row r="200" spans="2:9" ht="15.75">
      <c r="B200" s="387"/>
      <c r="F200" s="20"/>
      <c r="I200" s="388"/>
    </row>
    <row r="201" spans="2:9" ht="15.75">
      <c r="B201" s="387"/>
      <c r="F201" s="20"/>
      <c r="I201" s="388"/>
    </row>
    <row r="202" spans="2:9" ht="15.75">
      <c r="B202" s="387"/>
      <c r="F202" s="20"/>
      <c r="I202" s="388"/>
    </row>
    <row r="203" spans="2:9" ht="15.75">
      <c r="B203" s="387"/>
      <c r="F203" s="20"/>
      <c r="I203" s="388"/>
    </row>
    <row r="204" spans="2:9" ht="15.75">
      <c r="B204" s="387"/>
      <c r="F204" s="20"/>
      <c r="I204" s="388"/>
    </row>
    <row r="205" spans="2:9" ht="15.75">
      <c r="B205" s="387"/>
      <c r="F205" s="20"/>
      <c r="I205" s="388"/>
    </row>
    <row r="206" spans="2:9" ht="15.75">
      <c r="B206" s="387"/>
      <c r="F206" s="20"/>
      <c r="I206" s="388"/>
    </row>
    <row r="207" spans="2:9" ht="15.75">
      <c r="B207" s="387"/>
      <c r="F207" s="20"/>
      <c r="I207" s="388"/>
    </row>
    <row r="208" spans="2:9" ht="15.75">
      <c r="B208" s="387"/>
      <c r="F208" s="20"/>
      <c r="I208" s="388"/>
    </row>
    <row r="209" spans="2:9" ht="15.75">
      <c r="B209" s="387"/>
      <c r="F209" s="20"/>
      <c r="I209" s="388"/>
    </row>
    <row r="210" spans="2:9" ht="15.75">
      <c r="B210" s="387"/>
      <c r="F210" s="20"/>
      <c r="I210" s="388"/>
    </row>
    <row r="211" spans="2:9" ht="15.75">
      <c r="B211" s="387"/>
      <c r="F211" s="20"/>
      <c r="I211" s="388"/>
    </row>
    <row r="212" spans="2:9" ht="15.75">
      <c r="B212" s="387"/>
      <c r="F212" s="20"/>
      <c r="I212" s="388"/>
    </row>
    <row r="213" spans="2:9" ht="15.75">
      <c r="B213" s="387"/>
      <c r="F213" s="20"/>
      <c r="I213" s="388"/>
    </row>
    <row r="214" spans="2:9" ht="15.75">
      <c r="B214" s="387"/>
      <c r="F214" s="20"/>
      <c r="I214" s="388"/>
    </row>
    <row r="215" spans="2:9" ht="15.75">
      <c r="B215" s="387"/>
      <c r="F215" s="20"/>
      <c r="I215" s="388"/>
    </row>
    <row r="216" spans="2:9" ht="15.75">
      <c r="B216" s="387"/>
      <c r="F216" s="20"/>
      <c r="I216" s="388"/>
    </row>
    <row r="217" spans="2:9" ht="15.75">
      <c r="B217" s="387"/>
      <c r="F217" s="20"/>
      <c r="I217" s="388"/>
    </row>
    <row r="218" spans="2:9" ht="15.75">
      <c r="B218" s="387"/>
      <c r="F218" s="20"/>
      <c r="I218" s="388"/>
    </row>
    <row r="219" spans="2:9" ht="15.75">
      <c r="B219" s="387"/>
      <c r="F219" s="20"/>
      <c r="I219" s="388"/>
    </row>
    <row r="220" spans="2:9" ht="15.75">
      <c r="B220" s="387"/>
      <c r="F220" s="20"/>
      <c r="I220" s="388"/>
    </row>
    <row r="221" spans="2:9" ht="15.75">
      <c r="B221" s="387"/>
      <c r="F221" s="20"/>
      <c r="I221" s="388"/>
    </row>
    <row r="222" spans="2:9" ht="15.75">
      <c r="B222" s="387"/>
      <c r="F222" s="20"/>
      <c r="I222" s="388"/>
    </row>
    <row r="223" spans="2:9" ht="15.75">
      <c r="B223" s="387"/>
      <c r="F223" s="20"/>
      <c r="I223" s="388"/>
    </row>
    <row r="224" spans="2:9" ht="15.75">
      <c r="B224" s="387"/>
      <c r="F224" s="20"/>
      <c r="I224" s="388"/>
    </row>
    <row r="225" spans="2:9" ht="15.75">
      <c r="B225" s="387"/>
      <c r="F225" s="20"/>
      <c r="I225" s="388"/>
    </row>
    <row r="226" spans="2:9" ht="15.75">
      <c r="B226" s="387"/>
      <c r="F226" s="20"/>
      <c r="I226" s="388"/>
    </row>
    <row r="227" spans="2:9" ht="15.75">
      <c r="B227" s="387"/>
      <c r="F227" s="20"/>
      <c r="I227" s="388"/>
    </row>
    <row r="228" spans="2:9" ht="15.75">
      <c r="B228" s="387"/>
      <c r="F228" s="20"/>
      <c r="I228" s="388"/>
    </row>
    <row r="229" spans="2:9" ht="15.75">
      <c r="B229" s="387"/>
      <c r="F229" s="20"/>
      <c r="I229" s="388"/>
    </row>
    <row r="230" spans="2:9" ht="15.75">
      <c r="B230" s="387"/>
      <c r="F230" s="20"/>
      <c r="I230" s="388"/>
    </row>
    <row r="231" spans="2:9" ht="15.75">
      <c r="B231" s="387"/>
      <c r="F231" s="20"/>
      <c r="I231" s="388"/>
    </row>
    <row r="232" spans="2:9" ht="15.75">
      <c r="B232" s="387"/>
      <c r="F232" s="20"/>
      <c r="I232" s="388"/>
    </row>
    <row r="233" spans="2:9" ht="15.75">
      <c r="B233" s="387"/>
      <c r="F233" s="20"/>
      <c r="I233" s="388"/>
    </row>
    <row r="234" spans="2:9" ht="15.75">
      <c r="B234" s="387"/>
      <c r="F234" s="20"/>
      <c r="I234" s="388"/>
    </row>
    <row r="235" spans="2:9" ht="15.75">
      <c r="B235" s="387"/>
      <c r="F235" s="20"/>
      <c r="I235" s="388"/>
    </row>
    <row r="236" spans="2:9" ht="15.75">
      <c r="B236" s="387"/>
      <c r="F236" s="20"/>
      <c r="I236" s="388"/>
    </row>
    <row r="237" spans="2:9" ht="15.75">
      <c r="B237" s="387"/>
      <c r="F237" s="20"/>
      <c r="I237" s="388"/>
    </row>
    <row r="238" spans="2:9" ht="15.75">
      <c r="B238" s="387"/>
      <c r="F238" s="20"/>
      <c r="I238" s="388"/>
    </row>
    <row r="239" spans="2:9" ht="15.75">
      <c r="B239" s="387"/>
      <c r="F239" s="20"/>
      <c r="I239" s="388"/>
    </row>
    <row r="240" spans="2:9" ht="15.75">
      <c r="B240" s="387"/>
      <c r="F240" s="20"/>
      <c r="I240" s="388"/>
    </row>
    <row r="241" spans="2:9" ht="15.75">
      <c r="B241" s="387"/>
      <c r="F241" s="20"/>
      <c r="I241" s="388"/>
    </row>
    <row r="242" spans="2:9" ht="15.75">
      <c r="B242" s="387"/>
      <c r="F242" s="20"/>
      <c r="I242" s="388"/>
    </row>
    <row r="243" spans="2:9" ht="15.75">
      <c r="B243" s="387"/>
      <c r="F243" s="20"/>
      <c r="I243" s="388"/>
    </row>
    <row r="244" spans="2:9" ht="15.75">
      <c r="B244" s="387"/>
      <c r="F244" s="20"/>
      <c r="I244" s="388"/>
    </row>
    <row r="245" spans="2:9" ht="15.75">
      <c r="B245" s="387"/>
      <c r="F245" s="20"/>
      <c r="I245" s="388"/>
    </row>
    <row r="246" spans="2:9" ht="15.75">
      <c r="B246" s="387"/>
      <c r="F246" s="20"/>
      <c r="I246" s="388"/>
    </row>
    <row r="247" spans="2:9" ht="15.75">
      <c r="B247" s="387"/>
      <c r="F247" s="20"/>
      <c r="I247" s="388"/>
    </row>
    <row r="248" spans="2:9" ht="15.75">
      <c r="B248" s="387"/>
      <c r="F248" s="20"/>
      <c r="I248" s="388"/>
    </row>
    <row r="249" spans="2:9" ht="15.75">
      <c r="B249" s="387"/>
      <c r="F249" s="20"/>
      <c r="I249" s="388"/>
    </row>
    <row r="250" spans="2:9" ht="15.75">
      <c r="B250" s="387"/>
      <c r="F250" s="20"/>
      <c r="I250" s="388"/>
    </row>
    <row r="251" spans="2:9" ht="15.75">
      <c r="B251" s="387"/>
      <c r="F251" s="20"/>
      <c r="I251" s="388"/>
    </row>
    <row r="252" spans="2:9" ht="15.75">
      <c r="B252" s="387"/>
      <c r="F252" s="20"/>
      <c r="I252" s="388"/>
    </row>
    <row r="253" spans="2:9" ht="15.75">
      <c r="B253" s="387"/>
      <c r="F253" s="20"/>
      <c r="I253" s="388"/>
    </row>
    <row r="254" spans="2:9" ht="15.75">
      <c r="B254" s="387"/>
      <c r="F254" s="20"/>
      <c r="I254" s="388"/>
    </row>
    <row r="255" spans="2:9" ht="15.75">
      <c r="B255" s="387"/>
      <c r="F255" s="20"/>
      <c r="I255" s="388"/>
    </row>
    <row r="256" spans="2:9" ht="15.75">
      <c r="B256" s="387"/>
      <c r="F256" s="20"/>
      <c r="I256" s="388"/>
    </row>
    <row r="257" spans="2:9" ht="15.75">
      <c r="B257" s="387"/>
      <c r="F257" s="20"/>
      <c r="I257" s="388"/>
    </row>
    <row r="258" spans="2:9" ht="15.75">
      <c r="B258" s="387"/>
      <c r="F258" s="20"/>
      <c r="I258" s="388"/>
    </row>
    <row r="259" spans="2:9" ht="15.75">
      <c r="B259" s="387"/>
      <c r="F259" s="20"/>
      <c r="I259" s="388"/>
    </row>
    <row r="260" spans="2:9" ht="15.75">
      <c r="B260" s="387"/>
      <c r="F260" s="20"/>
      <c r="I260" s="388"/>
    </row>
    <row r="261" spans="2:9" ht="15.75">
      <c r="B261" s="387"/>
      <c r="F261" s="20"/>
      <c r="I261" s="388"/>
    </row>
    <row r="262" spans="2:9" ht="15.75">
      <c r="B262" s="387"/>
      <c r="F262" s="20"/>
      <c r="I262" s="388"/>
    </row>
    <row r="263" spans="2:9" ht="15.75">
      <c r="B263" s="387"/>
      <c r="F263" s="20"/>
      <c r="I263" s="388"/>
    </row>
    <row r="264" spans="2:9" ht="15.75">
      <c r="B264" s="387"/>
      <c r="F264" s="20"/>
      <c r="I264" s="388"/>
    </row>
    <row r="265" spans="2:9" ht="15.75">
      <c r="B265" s="387"/>
      <c r="F265" s="20"/>
      <c r="I265" s="388"/>
    </row>
    <row r="266" spans="2:9" ht="15.75">
      <c r="B266" s="387"/>
      <c r="F266" s="20"/>
      <c r="I266" s="388"/>
    </row>
    <row r="267" spans="2:9" ht="15.75">
      <c r="B267" s="387"/>
      <c r="F267" s="20"/>
      <c r="I267" s="388"/>
    </row>
    <row r="268" spans="2:9" ht="15.75">
      <c r="B268" s="387"/>
      <c r="F268" s="20"/>
      <c r="I268" s="388"/>
    </row>
    <row r="269" spans="2:9" ht="15.75">
      <c r="B269" s="387"/>
      <c r="F269" s="20"/>
      <c r="I269" s="388"/>
    </row>
    <row r="270" spans="2:9" ht="15.75">
      <c r="B270" s="387"/>
      <c r="F270" s="20"/>
      <c r="I270" s="388"/>
    </row>
    <row r="271" spans="2:9" ht="15.75">
      <c r="B271" s="387"/>
      <c r="F271" s="20"/>
      <c r="I271" s="388"/>
    </row>
    <row r="272" spans="2:9" ht="15.75">
      <c r="B272" s="387"/>
      <c r="F272" s="20"/>
      <c r="I272" s="388"/>
    </row>
    <row r="273" spans="2:9" ht="15.75">
      <c r="B273" s="387"/>
      <c r="F273" s="20"/>
      <c r="I273" s="388"/>
    </row>
    <row r="274" spans="2:9" ht="15.75">
      <c r="B274" s="387"/>
      <c r="F274" s="20"/>
      <c r="I274" s="388"/>
    </row>
    <row r="275" spans="2:9" ht="15.75">
      <c r="B275" s="387"/>
      <c r="F275" s="20"/>
      <c r="I275" s="388"/>
    </row>
    <row r="276" spans="2:9" ht="15.75">
      <c r="B276" s="387"/>
      <c r="F276" s="20"/>
      <c r="I276" s="388"/>
    </row>
    <row r="277" spans="2:9" ht="15.75">
      <c r="B277" s="387"/>
      <c r="F277" s="20"/>
      <c r="I277" s="388"/>
    </row>
    <row r="278" spans="2:9" ht="15.75">
      <c r="B278" s="387"/>
      <c r="F278" s="20"/>
      <c r="I278" s="388"/>
    </row>
    <row r="279" spans="2:9" ht="15.75">
      <c r="B279" s="387"/>
      <c r="F279" s="20"/>
      <c r="I279" s="388"/>
    </row>
    <row r="280" spans="2:9" ht="15.75">
      <c r="B280" s="387"/>
      <c r="F280" s="20"/>
      <c r="I280" s="388"/>
    </row>
    <row r="281" spans="2:9" ht="15.75">
      <c r="B281" s="387"/>
      <c r="F281" s="20"/>
      <c r="I281" s="388"/>
    </row>
    <row r="282" spans="2:9" ht="15.75">
      <c r="B282" s="387"/>
      <c r="F282" s="20"/>
      <c r="I282" s="388"/>
    </row>
    <row r="283" spans="2:9" ht="15.75">
      <c r="B283" s="387"/>
      <c r="F283" s="20"/>
      <c r="I283" s="388"/>
    </row>
    <row r="284" spans="2:9" ht="15.75">
      <c r="B284" s="387"/>
      <c r="F284" s="20"/>
      <c r="I284" s="388"/>
    </row>
    <row r="285" spans="2:9" ht="15.75">
      <c r="B285" s="387"/>
      <c r="F285" s="20"/>
      <c r="I285" s="388"/>
    </row>
    <row r="286" spans="2:9" ht="15.75">
      <c r="B286" s="387"/>
      <c r="F286" s="20"/>
      <c r="I286" s="388"/>
    </row>
    <row r="287" spans="2:9" ht="15.75">
      <c r="B287" s="387"/>
      <c r="F287" s="20"/>
      <c r="I287" s="388"/>
    </row>
    <row r="288" spans="2:9" ht="15.75">
      <c r="B288" s="387"/>
      <c r="F288" s="20"/>
      <c r="I288" s="388"/>
    </row>
    <row r="289" spans="2:9" ht="15.75">
      <c r="B289" s="387"/>
      <c r="F289" s="20"/>
      <c r="I289" s="388"/>
    </row>
    <row r="290" spans="2:9" ht="15.75">
      <c r="B290" s="387"/>
      <c r="F290" s="20"/>
      <c r="I290" s="388"/>
    </row>
    <row r="291" spans="2:9" ht="15.75">
      <c r="B291" s="387"/>
      <c r="F291" s="20"/>
      <c r="I291" s="388"/>
    </row>
    <row r="292" spans="2:9" ht="15.75">
      <c r="B292" s="387"/>
      <c r="F292" s="20"/>
      <c r="I292" s="388"/>
    </row>
    <row r="293" spans="2:9" ht="15.75">
      <c r="B293" s="387"/>
      <c r="F293" s="20"/>
      <c r="I293" s="388"/>
    </row>
    <row r="294" spans="2:9" ht="15.75">
      <c r="B294" s="387"/>
      <c r="F294" s="20"/>
      <c r="I294" s="388"/>
    </row>
    <row r="295" spans="2:9" ht="15.75">
      <c r="B295" s="387"/>
      <c r="F295" s="20"/>
      <c r="I295" s="388"/>
    </row>
    <row r="296" spans="2:9" ht="15.75">
      <c r="B296" s="387"/>
      <c r="F296" s="20"/>
      <c r="I296" s="388"/>
    </row>
    <row r="297" spans="2:9" ht="15.75">
      <c r="B297" s="387"/>
      <c r="F297" s="20"/>
      <c r="I297" s="388"/>
    </row>
    <row r="298" spans="2:9" ht="15.75">
      <c r="B298" s="387"/>
      <c r="F298" s="20"/>
      <c r="I298" s="388"/>
    </row>
    <row r="299" spans="2:9" ht="15.75">
      <c r="B299" s="387"/>
      <c r="F299" s="20"/>
      <c r="I299" s="388"/>
    </row>
    <row r="300" spans="2:9" ht="15.75">
      <c r="B300" s="387"/>
      <c r="F300" s="20"/>
      <c r="I300" s="388"/>
    </row>
    <row r="301" spans="2:9" ht="15.75">
      <c r="B301" s="387"/>
      <c r="F301" s="20"/>
      <c r="I301" s="388"/>
    </row>
    <row r="302" spans="2:9" ht="15.75">
      <c r="B302" s="387"/>
      <c r="F302" s="20"/>
      <c r="I302" s="388"/>
    </row>
    <row r="303" spans="2:9" ht="15.75">
      <c r="B303" s="387"/>
      <c r="F303" s="20"/>
      <c r="I303" s="388"/>
    </row>
    <row r="304" spans="2:9" ht="15.75">
      <c r="B304" s="387"/>
      <c r="F304" s="20"/>
      <c r="I304" s="388"/>
    </row>
    <row r="305" spans="2:9" ht="15.75">
      <c r="B305" s="387"/>
      <c r="F305" s="20"/>
      <c r="I305" s="388"/>
    </row>
    <row r="306" spans="2:9" ht="15.75">
      <c r="B306" s="387"/>
      <c r="F306" s="20"/>
      <c r="I306" s="388"/>
    </row>
    <row r="307" spans="2:9" ht="15.75">
      <c r="B307" s="387"/>
      <c r="F307" s="20"/>
      <c r="I307" s="388"/>
    </row>
    <row r="308" spans="2:9" ht="15.75">
      <c r="B308" s="387"/>
      <c r="F308" s="20"/>
      <c r="I308" s="388"/>
    </row>
    <row r="309" spans="2:9" ht="15.75">
      <c r="B309" s="387"/>
      <c r="F309" s="20"/>
      <c r="I309" s="388"/>
    </row>
    <row r="310" spans="2:9" ht="15.75">
      <c r="B310" s="387"/>
      <c r="F310" s="20"/>
      <c r="I310" s="388"/>
    </row>
    <row r="311" spans="2:9" ht="15.75">
      <c r="B311" s="387"/>
      <c r="F311" s="20"/>
      <c r="I311" s="388"/>
    </row>
    <row r="312" spans="2:9" ht="15.75">
      <c r="B312" s="387"/>
      <c r="F312" s="20"/>
      <c r="I312" s="388"/>
    </row>
    <row r="313" spans="2:9" ht="15.75">
      <c r="B313" s="387"/>
      <c r="F313" s="20"/>
      <c r="I313" s="388"/>
    </row>
    <row r="314" spans="2:9" ht="15.75">
      <c r="B314" s="387"/>
      <c r="F314" s="20"/>
      <c r="I314" s="388"/>
    </row>
    <row r="315" spans="2:9" ht="15.75">
      <c r="B315" s="387"/>
      <c r="F315" s="20"/>
      <c r="I315" s="388"/>
    </row>
    <row r="316" spans="2:9" ht="15.75">
      <c r="B316" s="387"/>
      <c r="F316" s="20"/>
      <c r="I316" s="388"/>
    </row>
    <row r="317" spans="2:9" ht="15.75">
      <c r="B317" s="387"/>
      <c r="F317" s="20"/>
      <c r="I317" s="388"/>
    </row>
    <row r="318" spans="2:9" ht="15.75">
      <c r="B318" s="387"/>
      <c r="F318" s="20"/>
      <c r="I318" s="388"/>
    </row>
    <row r="319" spans="2:9" ht="15.75">
      <c r="B319" s="387"/>
      <c r="F319" s="20"/>
      <c r="I319" s="388"/>
    </row>
    <row r="320" spans="2:9" ht="15.75">
      <c r="B320" s="387"/>
      <c r="F320" s="20"/>
      <c r="I320" s="388"/>
    </row>
    <row r="321" spans="2:9" ht="15.75">
      <c r="B321" s="387"/>
      <c r="F321" s="20"/>
      <c r="I321" s="388"/>
    </row>
    <row r="322" spans="2:9" ht="15.75">
      <c r="B322" s="387"/>
      <c r="F322" s="20"/>
      <c r="I322" s="388"/>
    </row>
    <row r="323" spans="2:9" ht="15.75">
      <c r="B323" s="387"/>
      <c r="F323" s="20"/>
      <c r="I323" s="388"/>
    </row>
    <row r="324" spans="2:9" ht="15.75">
      <c r="B324" s="387"/>
      <c r="F324" s="20"/>
      <c r="I324" s="388"/>
    </row>
    <row r="325" spans="2:9" ht="15.75">
      <c r="B325" s="387"/>
      <c r="F325" s="20"/>
      <c r="I325" s="388"/>
    </row>
    <row r="326" spans="2:9" ht="15.75">
      <c r="B326" s="387"/>
      <c r="F326" s="20"/>
      <c r="I326" s="388"/>
    </row>
    <row r="327" spans="2:9" ht="15.75">
      <c r="B327" s="387"/>
      <c r="F327" s="20"/>
      <c r="I327" s="388"/>
    </row>
    <row r="328" spans="2:9" ht="15.75">
      <c r="B328" s="387"/>
      <c r="F328" s="20"/>
      <c r="I328" s="388"/>
    </row>
    <row r="329" spans="2:9" ht="15.75">
      <c r="B329" s="387"/>
      <c r="F329" s="20"/>
      <c r="I329" s="388"/>
    </row>
    <row r="330" spans="2:9" ht="15.75">
      <c r="B330" s="387"/>
      <c r="F330" s="20"/>
      <c r="I330" s="388"/>
    </row>
    <row r="331" spans="2:9" ht="15.75">
      <c r="B331" s="387"/>
      <c r="F331" s="20"/>
      <c r="I331" s="388"/>
    </row>
    <row r="332" spans="2:9" ht="15.75">
      <c r="B332" s="387"/>
      <c r="F332" s="20"/>
      <c r="I332" s="388"/>
    </row>
    <row r="333" spans="2:9" ht="15.75">
      <c r="B333" s="387"/>
      <c r="F333" s="20"/>
      <c r="I333" s="388"/>
    </row>
    <row r="334" spans="2:9" ht="15.75">
      <c r="B334" s="387"/>
      <c r="F334" s="20"/>
      <c r="I334" s="388"/>
    </row>
    <row r="335" spans="2:9" ht="15.75">
      <c r="B335" s="387"/>
      <c r="F335" s="20"/>
      <c r="I335" s="388"/>
    </row>
    <row r="336" spans="2:9" ht="15.75">
      <c r="B336" s="387"/>
      <c r="F336" s="20"/>
      <c r="I336" s="388"/>
    </row>
    <row r="337" spans="2:9" ht="15.75">
      <c r="B337" s="387"/>
      <c r="F337" s="20"/>
      <c r="I337" s="388"/>
    </row>
    <row r="338" spans="2:9" ht="15.75">
      <c r="B338" s="387"/>
      <c r="F338" s="20"/>
      <c r="I338" s="388"/>
    </row>
    <row r="339" spans="2:9" ht="15.75">
      <c r="B339" s="387"/>
      <c r="F339" s="20"/>
      <c r="I339" s="388"/>
    </row>
    <row r="340" spans="2:9" ht="15.75">
      <c r="B340" s="387"/>
      <c r="F340" s="20"/>
      <c r="I340" s="388"/>
    </row>
    <row r="341" spans="2:9" ht="15.75">
      <c r="B341" s="387"/>
      <c r="F341" s="20"/>
      <c r="I341" s="388"/>
    </row>
    <row r="342" spans="2:9" ht="15.75">
      <c r="B342" s="387"/>
      <c r="F342" s="20"/>
      <c r="I342" s="388"/>
    </row>
    <row r="343" spans="2:9" ht="15.75">
      <c r="B343" s="387"/>
      <c r="F343" s="20"/>
      <c r="I343" s="388"/>
    </row>
    <row r="344" spans="2:9" ht="15.75">
      <c r="B344" s="387"/>
      <c r="F344" s="20"/>
      <c r="I344" s="388"/>
    </row>
    <row r="345" spans="2:9" ht="15.75">
      <c r="B345" s="387"/>
      <c r="F345" s="20"/>
      <c r="I345" s="388"/>
    </row>
    <row r="346" spans="2:9" ht="15.75">
      <c r="B346" s="387"/>
      <c r="F346" s="20"/>
      <c r="I346" s="388"/>
    </row>
    <row r="347" spans="2:9" ht="15.75">
      <c r="B347" s="387"/>
      <c r="F347" s="20"/>
      <c r="I347" s="388"/>
    </row>
    <row r="348" spans="2:9" ht="15.75">
      <c r="B348" s="387"/>
      <c r="F348" s="20"/>
      <c r="I348" s="388"/>
    </row>
    <row r="349" spans="2:9" ht="15.75">
      <c r="B349" s="387"/>
      <c r="F349" s="20"/>
      <c r="I349" s="388"/>
    </row>
    <row r="350" spans="2:9" ht="15.75">
      <c r="B350" s="387"/>
      <c r="F350" s="20"/>
      <c r="I350" s="388"/>
    </row>
    <row r="351" spans="2:9" ht="15.75">
      <c r="B351" s="387"/>
      <c r="F351" s="20"/>
      <c r="I351" s="388"/>
    </row>
    <row r="352" spans="2:9" ht="15.75">
      <c r="B352" s="387"/>
      <c r="F352" s="20"/>
      <c r="I352" s="388"/>
    </row>
    <row r="353" spans="2:9" ht="15.75">
      <c r="B353" s="387"/>
      <c r="F353" s="20"/>
      <c r="I353" s="388"/>
    </row>
    <row r="354" spans="2:9" ht="15.75">
      <c r="B354" s="387"/>
      <c r="F354" s="20"/>
      <c r="I354" s="388"/>
    </row>
    <row r="355" spans="2:9" ht="15.75">
      <c r="B355" s="387"/>
      <c r="F355" s="20"/>
      <c r="I355" s="388"/>
    </row>
    <row r="356" spans="2:9" ht="15.75">
      <c r="B356" s="387"/>
      <c r="F356" s="20"/>
      <c r="I356" s="388"/>
    </row>
    <row r="357" spans="2:9" ht="15.75">
      <c r="B357" s="387"/>
      <c r="F357" s="20"/>
      <c r="I357" s="388"/>
    </row>
    <row r="358" spans="2:9" ht="15.75">
      <c r="B358" s="387"/>
      <c r="F358" s="20"/>
      <c r="I358" s="388"/>
    </row>
    <row r="359" spans="2:9" ht="15.75">
      <c r="B359" s="387"/>
      <c r="F359" s="20"/>
      <c r="I359" s="388"/>
    </row>
    <row r="360" spans="2:9" ht="15.75">
      <c r="B360" s="387"/>
      <c r="F360" s="20"/>
      <c r="I360" s="388"/>
    </row>
    <row r="361" spans="2:9" ht="15.75">
      <c r="B361" s="387"/>
      <c r="F361" s="20"/>
      <c r="I361" s="388"/>
    </row>
    <row r="362" spans="2:9" ht="15.75">
      <c r="B362" s="387"/>
      <c r="F362" s="20"/>
      <c r="I362" s="388"/>
    </row>
    <row r="363" spans="2:9" ht="15.75">
      <c r="B363" s="387"/>
      <c r="F363" s="20"/>
      <c r="I363" s="388"/>
    </row>
    <row r="364" spans="2:9" ht="15.75">
      <c r="B364" s="387"/>
      <c r="F364" s="20"/>
      <c r="I364" s="388"/>
    </row>
    <row r="365" spans="2:9" ht="15.75">
      <c r="B365" s="387"/>
      <c r="F365" s="20"/>
      <c r="I365" s="388"/>
    </row>
    <row r="366" spans="2:9" ht="15.75">
      <c r="B366" s="387"/>
      <c r="F366" s="20"/>
      <c r="I366" s="388"/>
    </row>
    <row r="367" spans="2:9" ht="15.75">
      <c r="B367" s="387"/>
      <c r="F367" s="20"/>
      <c r="I367" s="388"/>
    </row>
    <row r="368" spans="2:9" ht="15.75">
      <c r="B368" s="387"/>
      <c r="F368" s="20"/>
      <c r="I368" s="388"/>
    </row>
    <row r="369" spans="2:9" ht="15.75">
      <c r="B369" s="387"/>
      <c r="F369" s="20"/>
      <c r="I369" s="388"/>
    </row>
    <row r="370" spans="2:9" ht="15.75">
      <c r="B370" s="387"/>
      <c r="F370" s="20"/>
      <c r="I370" s="388"/>
    </row>
    <row r="371" spans="2:9" ht="15.75">
      <c r="B371" s="387"/>
      <c r="F371" s="20"/>
      <c r="I371" s="388"/>
    </row>
    <row r="372" spans="2:9" ht="15.75">
      <c r="B372" s="387"/>
      <c r="F372" s="20"/>
      <c r="I372" s="388"/>
    </row>
    <row r="373" spans="2:9" ht="15.75">
      <c r="B373" s="387"/>
      <c r="F373" s="20"/>
      <c r="I373" s="388"/>
    </row>
    <row r="374" spans="2:9" ht="15.75">
      <c r="B374" s="387"/>
      <c r="F374" s="20"/>
      <c r="I374" s="388"/>
    </row>
    <row r="375" spans="2:9" ht="15.75">
      <c r="B375" s="387"/>
      <c r="F375" s="20"/>
      <c r="I375" s="388"/>
    </row>
    <row r="376" spans="2:9" ht="15.75">
      <c r="B376" s="387"/>
      <c r="F376" s="20"/>
      <c r="I376" s="388"/>
    </row>
    <row r="377" spans="2:9" ht="15.75">
      <c r="B377" s="387"/>
      <c r="F377" s="20"/>
      <c r="I377" s="388"/>
    </row>
    <row r="378" spans="2:9" ht="15.75">
      <c r="B378" s="387"/>
      <c r="F378" s="20"/>
      <c r="I378" s="388"/>
    </row>
    <row r="379" spans="2:9" ht="15.75">
      <c r="B379" s="387"/>
      <c r="F379" s="20"/>
      <c r="I379" s="388"/>
    </row>
    <row r="380" spans="2:9" ht="15.75">
      <c r="B380" s="387"/>
      <c r="F380" s="20"/>
      <c r="I380" s="388"/>
    </row>
    <row r="381" spans="2:9" ht="15.75">
      <c r="B381" s="387"/>
      <c r="F381" s="20"/>
      <c r="I381" s="388"/>
    </row>
    <row r="382" spans="2:9" ht="15.75">
      <c r="B382" s="387"/>
      <c r="F382" s="20"/>
      <c r="I382" s="388"/>
    </row>
    <row r="383" spans="2:9" ht="15.75">
      <c r="B383" s="387"/>
      <c r="F383" s="20"/>
      <c r="I383" s="388"/>
    </row>
    <row r="384" spans="2:9" ht="15.75">
      <c r="B384" s="387"/>
      <c r="F384" s="20"/>
      <c r="I384" s="388"/>
    </row>
    <row r="385" spans="2:9" ht="15.75">
      <c r="B385" s="387"/>
      <c r="F385" s="20"/>
      <c r="I385" s="388"/>
    </row>
    <row r="386" spans="2:9" ht="15.75">
      <c r="B386" s="387"/>
      <c r="F386" s="20"/>
      <c r="I386" s="388"/>
    </row>
    <row r="387" spans="2:9" ht="15.75">
      <c r="B387" s="387"/>
      <c r="F387" s="20"/>
      <c r="I387" s="388"/>
    </row>
    <row r="388" spans="2:9" ht="15.75">
      <c r="B388" s="387"/>
      <c r="F388" s="20"/>
      <c r="I388" s="388"/>
    </row>
    <row r="389" spans="2:9" ht="15.75">
      <c r="B389" s="387"/>
      <c r="F389" s="20"/>
      <c r="I389" s="388"/>
    </row>
    <row r="390" spans="2:9" ht="15.75">
      <c r="B390" s="387"/>
      <c r="F390" s="20"/>
      <c r="I390" s="388"/>
    </row>
    <row r="391" spans="2:9" ht="15.75">
      <c r="B391" s="387"/>
      <c r="F391" s="20"/>
      <c r="I391" s="388"/>
    </row>
    <row r="392" spans="2:9" ht="15.75">
      <c r="B392" s="387"/>
      <c r="F392" s="20"/>
      <c r="I392" s="388"/>
    </row>
    <row r="393" spans="2:9" ht="15.75">
      <c r="B393" s="387"/>
      <c r="F393" s="20"/>
      <c r="I393" s="388"/>
    </row>
    <row r="394" spans="2:9" ht="15.75">
      <c r="B394" s="387"/>
      <c r="F394" s="20"/>
      <c r="I394" s="388"/>
    </row>
    <row r="395" spans="2:9" ht="15.75">
      <c r="B395" s="387"/>
      <c r="F395" s="20"/>
      <c r="I395" s="388"/>
    </row>
    <row r="396" spans="2:9" ht="15.75">
      <c r="B396" s="387"/>
      <c r="F396" s="20"/>
      <c r="I396" s="388"/>
    </row>
    <row r="397" spans="2:9" ht="15.75">
      <c r="B397" s="387"/>
      <c r="F397" s="20"/>
      <c r="I397" s="388"/>
    </row>
    <row r="398" spans="2:9" ht="15.75">
      <c r="B398" s="387"/>
      <c r="F398" s="20"/>
      <c r="I398" s="388"/>
    </row>
    <row r="399" spans="2:9" ht="15.75">
      <c r="B399" s="387"/>
      <c r="F399" s="20"/>
      <c r="I399" s="388"/>
    </row>
    <row r="400" spans="2:9" ht="15.75">
      <c r="B400" s="387"/>
      <c r="F400" s="20"/>
      <c r="I400" s="388"/>
    </row>
    <row r="401" spans="2:9" ht="15.75">
      <c r="B401" s="387"/>
      <c r="F401" s="20"/>
      <c r="I401" s="388"/>
    </row>
    <row r="402" spans="2:9" ht="15.75">
      <c r="B402" s="387"/>
      <c r="F402" s="20"/>
      <c r="I402" s="388"/>
    </row>
    <row r="403" spans="2:9" ht="15.75">
      <c r="B403" s="387"/>
      <c r="F403" s="20"/>
      <c r="I403" s="388"/>
    </row>
    <row r="404" spans="2:9" ht="15.75">
      <c r="B404" s="387"/>
      <c r="F404" s="20"/>
      <c r="I404" s="388"/>
    </row>
    <row r="405" spans="2:9" ht="15.75">
      <c r="B405" s="387"/>
      <c r="F405" s="20"/>
      <c r="I405" s="388"/>
    </row>
    <row r="406" spans="2:9" ht="15.75">
      <c r="B406" s="387"/>
      <c r="F406" s="20"/>
      <c r="I406" s="388"/>
    </row>
    <row r="407" spans="2:9" ht="15.75">
      <c r="B407" s="387"/>
      <c r="F407" s="20"/>
      <c r="I407" s="388"/>
    </row>
    <row r="408" spans="2:9" ht="15.75">
      <c r="B408" s="387"/>
      <c r="F408" s="20"/>
      <c r="I408" s="388"/>
    </row>
    <row r="409" spans="2:9" ht="15.75">
      <c r="B409" s="387"/>
      <c r="F409" s="20"/>
      <c r="I409" s="388"/>
    </row>
    <row r="410" spans="2:9" ht="15.75">
      <c r="B410" s="387"/>
      <c r="F410" s="20"/>
      <c r="I410" s="388"/>
    </row>
    <row r="411" spans="2:9" ht="15.75">
      <c r="B411" s="387"/>
      <c r="F411" s="20"/>
      <c r="I411" s="388"/>
    </row>
    <row r="412" spans="2:9" ht="15.75">
      <c r="B412" s="387"/>
      <c r="F412" s="20"/>
      <c r="I412" s="388"/>
    </row>
    <row r="413" spans="2:9" ht="15.75">
      <c r="B413" s="387"/>
      <c r="F413" s="20"/>
      <c r="I413" s="388"/>
    </row>
    <row r="414" spans="2:9" ht="15.75">
      <c r="B414" s="387"/>
      <c r="F414" s="20"/>
      <c r="I414" s="388"/>
    </row>
    <row r="415" spans="2:9" ht="15.75">
      <c r="B415" s="387"/>
      <c r="F415" s="20"/>
      <c r="I415" s="388"/>
    </row>
    <row r="416" spans="2:9" ht="15.75">
      <c r="B416" s="387"/>
      <c r="F416" s="20"/>
      <c r="I416" s="388"/>
    </row>
    <row r="417" spans="2:9" ht="15.75">
      <c r="B417" s="387"/>
      <c r="F417" s="20"/>
      <c r="I417" s="388"/>
    </row>
    <row r="418" spans="2:9" ht="15.75">
      <c r="B418" s="387"/>
      <c r="F418" s="20"/>
      <c r="I418" s="388"/>
    </row>
    <row r="419" spans="2:9" ht="15.75">
      <c r="B419" s="387"/>
      <c r="F419" s="20"/>
      <c r="I419" s="388"/>
    </row>
    <row r="420" spans="2:9" ht="15.75">
      <c r="B420" s="387"/>
      <c r="F420" s="20"/>
      <c r="I420" s="388"/>
    </row>
    <row r="421" spans="2:9" ht="15.75">
      <c r="B421" s="387"/>
      <c r="F421" s="20"/>
      <c r="I421" s="388"/>
    </row>
    <row r="422" spans="2:9" ht="15.75">
      <c r="B422" s="387"/>
      <c r="F422" s="20"/>
      <c r="I422" s="388"/>
    </row>
    <row r="423" spans="2:9" ht="15.75">
      <c r="B423" s="387"/>
      <c r="F423" s="20"/>
      <c r="I423" s="388"/>
    </row>
    <row r="424" spans="2:9" ht="15.75">
      <c r="B424" s="387"/>
      <c r="F424" s="20"/>
      <c r="I424" s="388"/>
    </row>
    <row r="425" spans="2:9" ht="15.75">
      <c r="B425" s="387"/>
      <c r="F425" s="20"/>
      <c r="I425" s="388"/>
    </row>
    <row r="426" spans="2:9" ht="15.75">
      <c r="B426" s="387"/>
      <c r="F426" s="20"/>
      <c r="I426" s="388"/>
    </row>
    <row r="427" spans="2:9" ht="15.75">
      <c r="B427" s="387"/>
      <c r="F427" s="20"/>
      <c r="I427" s="388"/>
    </row>
    <row r="428" spans="2:9" ht="15.75">
      <c r="B428" s="387"/>
      <c r="F428" s="20"/>
      <c r="I428" s="388"/>
    </row>
    <row r="429" spans="2:9" ht="15.75">
      <c r="B429" s="387"/>
      <c r="F429" s="20"/>
      <c r="I429" s="388"/>
    </row>
    <row r="430" spans="2:9" ht="15.75">
      <c r="B430" s="387"/>
      <c r="F430" s="20"/>
      <c r="I430" s="388"/>
    </row>
    <row r="431" spans="2:9" ht="15.75">
      <c r="B431" s="387"/>
      <c r="F431" s="20"/>
      <c r="I431" s="388"/>
    </row>
    <row r="432" spans="2:9" ht="15.75">
      <c r="B432" s="387"/>
      <c r="F432" s="20"/>
      <c r="I432" s="388"/>
    </row>
    <row r="433" spans="2:9" ht="15.75">
      <c r="B433" s="387"/>
      <c r="F433" s="20"/>
      <c r="I433" s="388"/>
    </row>
    <row r="434" spans="2:9" ht="15.75">
      <c r="B434" s="387"/>
      <c r="F434" s="20"/>
      <c r="I434" s="388"/>
    </row>
    <row r="435" spans="2:9" ht="15.75">
      <c r="B435" s="387"/>
      <c r="F435" s="20"/>
      <c r="I435" s="388"/>
    </row>
    <row r="436" spans="2:9" ht="15.75">
      <c r="B436" s="387"/>
      <c r="F436" s="20"/>
      <c r="I436" s="388"/>
    </row>
    <row r="437" spans="2:9" ht="15.75">
      <c r="B437" s="387"/>
      <c r="F437" s="20"/>
      <c r="I437" s="388"/>
    </row>
    <row r="438" spans="2:9" ht="15.75">
      <c r="B438" s="387"/>
      <c r="F438" s="20"/>
      <c r="I438" s="388"/>
    </row>
    <row r="439" spans="2:9" ht="15.75">
      <c r="B439" s="387"/>
      <c r="F439" s="20"/>
      <c r="I439" s="388"/>
    </row>
    <row r="440" spans="2:9" ht="15.75">
      <c r="B440" s="387"/>
      <c r="F440" s="20"/>
      <c r="I440" s="388"/>
    </row>
    <row r="441" spans="2:9" ht="15.75">
      <c r="B441" s="387"/>
      <c r="F441" s="20"/>
      <c r="I441" s="388"/>
    </row>
    <row r="442" spans="2:9" ht="15.75">
      <c r="B442" s="387"/>
      <c r="F442" s="20"/>
      <c r="I442" s="388"/>
    </row>
    <row r="443" spans="2:9" ht="15.75">
      <c r="B443" s="387"/>
      <c r="F443" s="20"/>
      <c r="I443" s="388"/>
    </row>
    <row r="444" spans="2:9" ht="15.75">
      <c r="B444" s="387"/>
      <c r="F444" s="20"/>
      <c r="I444" s="388"/>
    </row>
    <row r="445" spans="2:9" ht="15.75">
      <c r="B445" s="387"/>
      <c r="F445" s="20"/>
      <c r="I445" s="388"/>
    </row>
    <row r="446" spans="2:9" ht="15.75">
      <c r="B446" s="387"/>
      <c r="F446" s="20"/>
      <c r="I446" s="388"/>
    </row>
    <row r="447" spans="2:9" ht="15.75">
      <c r="B447" s="387"/>
      <c r="F447" s="20"/>
      <c r="I447" s="388"/>
    </row>
    <row r="448" spans="2:9" ht="15.75">
      <c r="B448" s="387"/>
      <c r="F448" s="20"/>
      <c r="I448" s="388"/>
    </row>
    <row r="449" spans="2:9" ht="15.75">
      <c r="B449" s="387"/>
      <c r="F449" s="20"/>
      <c r="I449" s="388"/>
    </row>
    <row r="450" spans="2:9" ht="15.75">
      <c r="B450" s="387"/>
      <c r="F450" s="20"/>
      <c r="I450" s="388"/>
    </row>
    <row r="451" spans="2:9" ht="15.75">
      <c r="B451" s="387"/>
      <c r="F451" s="20"/>
      <c r="I451" s="388"/>
    </row>
    <row r="452" spans="2:9" ht="15.75">
      <c r="B452" s="387"/>
      <c r="F452" s="20"/>
      <c r="I452" s="388"/>
    </row>
    <row r="453" spans="2:9" ht="15.75">
      <c r="B453" s="387"/>
      <c r="F453" s="20"/>
      <c r="I453" s="388"/>
    </row>
    <row r="454" spans="2:9" ht="15.75">
      <c r="B454" s="387"/>
      <c r="F454" s="20"/>
      <c r="I454" s="388"/>
    </row>
    <row r="455" spans="2:9" ht="15.75">
      <c r="B455" s="387"/>
      <c r="F455" s="20"/>
      <c r="I455" s="388"/>
    </row>
    <row r="456" spans="2:9" ht="15.75">
      <c r="B456" s="387"/>
      <c r="F456" s="20"/>
      <c r="I456" s="388"/>
    </row>
    <row r="457" spans="2:9" ht="15.75">
      <c r="B457" s="387"/>
      <c r="F457" s="20"/>
      <c r="I457" s="388"/>
    </row>
    <row r="458" spans="2:9" ht="15.75">
      <c r="B458" s="387"/>
      <c r="F458" s="20"/>
      <c r="I458" s="388"/>
    </row>
    <row r="459" spans="2:9" ht="15.75">
      <c r="B459" s="387"/>
      <c r="F459" s="20"/>
      <c r="I459" s="388"/>
    </row>
    <row r="460" spans="2:9" ht="15.75">
      <c r="B460" s="387"/>
      <c r="F460" s="20"/>
      <c r="I460" s="388"/>
    </row>
    <row r="461" spans="2:9" ht="15.75">
      <c r="B461" s="387"/>
      <c r="F461" s="20"/>
      <c r="I461" s="388"/>
    </row>
    <row r="462" spans="2:9" ht="15.75">
      <c r="B462" s="387"/>
      <c r="F462" s="20"/>
      <c r="I462" s="388"/>
    </row>
    <row r="463" spans="2:9" ht="15.75">
      <c r="B463" s="387"/>
      <c r="F463" s="20"/>
      <c r="I463" s="388"/>
    </row>
    <row r="464" spans="2:9" ht="15.75">
      <c r="B464" s="387"/>
      <c r="F464" s="20"/>
      <c r="I464" s="388"/>
    </row>
    <row r="465" spans="2:9" ht="15.75">
      <c r="B465" s="387"/>
      <c r="F465" s="20"/>
      <c r="I465" s="388"/>
    </row>
    <row r="466" spans="2:9" ht="15.75">
      <c r="B466" s="387"/>
      <c r="F466" s="20"/>
      <c r="I466" s="388"/>
    </row>
    <row r="467" spans="2:9" ht="15.75">
      <c r="B467" s="387"/>
      <c r="F467" s="20"/>
      <c r="I467" s="388"/>
    </row>
    <row r="468" spans="2:9" ht="15.75">
      <c r="B468" s="387"/>
      <c r="F468" s="20"/>
      <c r="I468" s="388"/>
    </row>
    <row r="469" spans="2:9" ht="15.75">
      <c r="B469" s="387"/>
      <c r="F469" s="20"/>
      <c r="I469" s="388"/>
    </row>
    <row r="470" spans="2:9" ht="15.75">
      <c r="B470" s="387"/>
      <c r="F470" s="20"/>
      <c r="I470" s="388"/>
    </row>
    <row r="471" spans="2:9" ht="15.75">
      <c r="B471" s="387"/>
      <c r="F471" s="20"/>
      <c r="I471" s="388"/>
    </row>
    <row r="472" spans="2:9" ht="15.75">
      <c r="B472" s="387"/>
      <c r="F472" s="20"/>
      <c r="I472" s="388"/>
    </row>
    <row r="473" spans="2:9" ht="15.75">
      <c r="B473" s="387"/>
      <c r="F473" s="20"/>
      <c r="I473" s="388"/>
    </row>
    <row r="474" spans="2:9" ht="15.75">
      <c r="B474" s="387"/>
      <c r="F474" s="20"/>
      <c r="I474" s="388"/>
    </row>
    <row r="475" spans="2:9" ht="15.75">
      <c r="B475" s="387"/>
      <c r="F475" s="20"/>
      <c r="I475" s="388"/>
    </row>
    <row r="476" spans="2:9" ht="15.75">
      <c r="B476" s="387"/>
      <c r="F476" s="20"/>
      <c r="I476" s="388"/>
    </row>
    <row r="477" spans="2:9" ht="15.75">
      <c r="B477" s="387"/>
      <c r="F477" s="20"/>
      <c r="I477" s="388"/>
    </row>
    <row r="478" spans="2:9" ht="15.75">
      <c r="B478" s="387"/>
      <c r="F478" s="20"/>
      <c r="I478" s="388"/>
    </row>
    <row r="479" spans="2:9" ht="15.75">
      <c r="B479" s="387"/>
      <c r="F479" s="20"/>
      <c r="I479" s="388"/>
    </row>
    <row r="480" spans="2:9" ht="15.75">
      <c r="B480" s="387"/>
      <c r="F480" s="20"/>
      <c r="I480" s="388"/>
    </row>
    <row r="481" spans="2:9" ht="15.75">
      <c r="B481" s="387"/>
      <c r="F481" s="20"/>
      <c r="I481" s="388"/>
    </row>
    <row r="482" spans="2:9" ht="15.75">
      <c r="B482" s="387"/>
      <c r="F482" s="20"/>
      <c r="I482" s="388"/>
    </row>
    <row r="483" spans="2:9" ht="15.75">
      <c r="B483" s="387"/>
      <c r="F483" s="20"/>
      <c r="I483" s="388"/>
    </row>
    <row r="484" spans="2:9" ht="15.75">
      <c r="B484" s="387"/>
      <c r="F484" s="20"/>
      <c r="I484" s="388"/>
    </row>
    <row r="485" spans="2:9" ht="15.75">
      <c r="B485" s="387"/>
      <c r="F485" s="20"/>
      <c r="I485" s="388"/>
    </row>
    <row r="486" spans="2:9" ht="15.75">
      <c r="B486" s="387"/>
      <c r="F486" s="20"/>
      <c r="I486" s="388"/>
    </row>
    <row r="487" spans="2:9" ht="15.75">
      <c r="B487" s="387"/>
      <c r="F487" s="20"/>
      <c r="I487" s="388"/>
    </row>
    <row r="488" spans="2:9" ht="15.75">
      <c r="B488" s="387"/>
      <c r="F488" s="20"/>
      <c r="I488" s="388"/>
    </row>
    <row r="489" spans="2:9" ht="15.75">
      <c r="B489" s="387"/>
      <c r="F489" s="20"/>
      <c r="I489" s="388"/>
    </row>
    <row r="490" spans="2:9" ht="15.75">
      <c r="B490" s="387"/>
      <c r="F490" s="20"/>
      <c r="I490" s="388"/>
    </row>
    <row r="491" spans="2:9" ht="15.75">
      <c r="B491" s="387"/>
      <c r="F491" s="20"/>
      <c r="I491" s="388"/>
    </row>
    <row r="492" spans="2:9" ht="15.75">
      <c r="B492" s="387"/>
      <c r="F492" s="20"/>
      <c r="I492" s="388"/>
    </row>
    <row r="493" spans="2:9" ht="15.75">
      <c r="B493" s="387"/>
      <c r="F493" s="20"/>
      <c r="I493" s="388"/>
    </row>
    <row r="494" spans="2:9" ht="15.75">
      <c r="B494" s="387"/>
      <c r="F494" s="20"/>
      <c r="I494" s="388"/>
    </row>
    <row r="495" spans="2:9" ht="15.75">
      <c r="B495" s="387"/>
      <c r="F495" s="20"/>
      <c r="I495" s="388"/>
    </row>
    <row r="496" spans="2:9" ht="15.75">
      <c r="B496" s="387"/>
      <c r="F496" s="20"/>
      <c r="I496" s="388"/>
    </row>
    <row r="497" spans="2:9" ht="15.75">
      <c r="B497" s="387"/>
      <c r="F497" s="20"/>
      <c r="I497" s="388"/>
    </row>
    <row r="498" spans="2:9" ht="15.75">
      <c r="B498" s="387"/>
      <c r="F498" s="20"/>
      <c r="I498" s="388"/>
    </row>
    <row r="499" spans="2:9" ht="15.75">
      <c r="B499" s="387"/>
      <c r="F499" s="20"/>
      <c r="I499" s="388"/>
    </row>
    <row r="500" spans="2:9" ht="15.75">
      <c r="B500" s="387"/>
      <c r="F500" s="20"/>
      <c r="I500" s="388"/>
    </row>
    <row r="501" spans="2:9" ht="15.75">
      <c r="B501" s="387"/>
      <c r="F501" s="20"/>
      <c r="I501" s="388"/>
    </row>
    <row r="502" spans="2:9" ht="15.75">
      <c r="B502" s="387"/>
      <c r="F502" s="20"/>
      <c r="I502" s="388"/>
    </row>
    <row r="503" spans="2:9" ht="15.75">
      <c r="B503" s="387"/>
      <c r="F503" s="20"/>
      <c r="I503" s="388"/>
    </row>
    <row r="504" spans="2:9" ht="15.75">
      <c r="B504" s="387"/>
      <c r="F504" s="20"/>
      <c r="I504" s="388"/>
    </row>
    <row r="505" spans="2:9" ht="15.75">
      <c r="B505" s="387"/>
      <c r="F505" s="20"/>
      <c r="I505" s="388"/>
    </row>
    <row r="506" spans="2:9" ht="15.75">
      <c r="B506" s="387"/>
      <c r="F506" s="20"/>
      <c r="I506" s="388"/>
    </row>
    <row r="507" spans="2:9" ht="15.75">
      <c r="B507" s="387"/>
      <c r="F507" s="20"/>
      <c r="I507" s="388"/>
    </row>
    <row r="508" spans="2:9" ht="15.75">
      <c r="B508" s="387"/>
      <c r="F508" s="20"/>
      <c r="I508" s="388"/>
    </row>
    <row r="509" spans="2:9" ht="15.75">
      <c r="B509" s="387"/>
      <c r="F509" s="20"/>
      <c r="I509" s="388"/>
    </row>
    <row r="510" spans="2:9" ht="15.75">
      <c r="B510" s="387"/>
      <c r="F510" s="20"/>
      <c r="I510" s="388"/>
    </row>
    <row r="511" spans="2:9" ht="15.75">
      <c r="B511" s="387"/>
      <c r="F511" s="20"/>
      <c r="I511" s="388"/>
    </row>
    <row r="512" spans="2:9" ht="15.75">
      <c r="B512" s="387"/>
      <c r="F512" s="20"/>
      <c r="I512" s="388"/>
    </row>
    <row r="513" spans="2:9" ht="15.75">
      <c r="B513" s="387"/>
      <c r="F513" s="20"/>
      <c r="I513" s="388"/>
    </row>
    <row r="514" spans="2:9" ht="15.75">
      <c r="B514" s="387"/>
      <c r="F514" s="20"/>
      <c r="I514" s="388"/>
    </row>
    <row r="515" spans="2:9" ht="15.75">
      <c r="B515" s="387"/>
      <c r="F515" s="20"/>
      <c r="I515" s="388"/>
    </row>
    <row r="516" spans="2:9" ht="15.75">
      <c r="B516" s="387"/>
      <c r="F516" s="20"/>
      <c r="I516" s="388"/>
    </row>
    <row r="517" spans="2:9" ht="15.75">
      <c r="B517" s="387"/>
      <c r="F517" s="20"/>
      <c r="I517" s="388"/>
    </row>
    <row r="518" spans="2:9" ht="15.75">
      <c r="B518" s="387"/>
      <c r="F518" s="20"/>
      <c r="I518" s="388"/>
    </row>
    <row r="519" spans="2:9" ht="15.75">
      <c r="B519" s="387"/>
      <c r="F519" s="20"/>
      <c r="I519" s="388"/>
    </row>
    <row r="520" spans="2:9" ht="15.75">
      <c r="B520" s="387"/>
      <c r="F520" s="20"/>
      <c r="I520" s="388"/>
    </row>
    <row r="521" spans="2:9" ht="15.75">
      <c r="B521" s="387"/>
      <c r="F521" s="20"/>
      <c r="I521" s="388"/>
    </row>
    <row r="522" spans="2:9" ht="15.75">
      <c r="B522" s="387"/>
      <c r="F522" s="20"/>
      <c r="I522" s="388"/>
    </row>
    <row r="523" spans="2:9" ht="15.75">
      <c r="B523" s="387"/>
      <c r="F523" s="20"/>
      <c r="I523" s="388"/>
    </row>
    <row r="524" spans="2:9" ht="15.75">
      <c r="B524" s="387"/>
      <c r="F524" s="20"/>
      <c r="I524" s="388"/>
    </row>
    <row r="525" spans="2:9" ht="15.75">
      <c r="B525" s="387"/>
      <c r="F525" s="20"/>
      <c r="I525" s="388"/>
    </row>
    <row r="526" spans="2:9" ht="15.75">
      <c r="B526" s="387"/>
      <c r="F526" s="20"/>
      <c r="I526" s="388"/>
    </row>
    <row r="527" spans="2:9" ht="15.75">
      <c r="B527" s="387"/>
      <c r="F527" s="20"/>
      <c r="I527" s="388"/>
    </row>
    <row r="528" spans="2:9" ht="15.75">
      <c r="B528" s="387"/>
      <c r="F528" s="20"/>
      <c r="I528" s="388"/>
    </row>
    <row r="529" spans="2:9" ht="15.75">
      <c r="B529" s="387"/>
      <c r="F529" s="20"/>
      <c r="I529" s="388"/>
    </row>
    <row r="530" spans="2:9" ht="15.75">
      <c r="B530" s="387"/>
      <c r="F530" s="20"/>
      <c r="I530" s="388"/>
    </row>
    <row r="531" spans="2:9" ht="15.75">
      <c r="B531" s="387"/>
      <c r="F531" s="20"/>
      <c r="I531" s="388"/>
    </row>
    <row r="532" spans="2:9" ht="15.75">
      <c r="B532" s="387"/>
      <c r="F532" s="20"/>
      <c r="I532" s="388"/>
    </row>
    <row r="533" spans="2:9" ht="15.75">
      <c r="B533" s="387"/>
      <c r="F533" s="20"/>
      <c r="I533" s="388"/>
    </row>
    <row r="534" spans="2:9" ht="15.75">
      <c r="B534" s="387"/>
      <c r="F534" s="20"/>
      <c r="I534" s="388"/>
    </row>
    <row r="535" spans="2:9" ht="15.75">
      <c r="B535" s="387"/>
      <c r="F535" s="20"/>
      <c r="I535" s="388"/>
    </row>
    <row r="536" spans="2:9" ht="15.75">
      <c r="B536" s="387"/>
      <c r="F536" s="20"/>
      <c r="I536" s="388"/>
    </row>
    <row r="537" spans="2:9" ht="15.75">
      <c r="B537" s="387"/>
      <c r="F537" s="20"/>
      <c r="I537" s="388"/>
    </row>
    <row r="538" spans="2:9" ht="15.75">
      <c r="B538" s="387"/>
      <c r="F538" s="20"/>
      <c r="I538" s="388"/>
    </row>
    <row r="539" spans="2:9" ht="15.75">
      <c r="B539" s="387"/>
      <c r="F539" s="20"/>
      <c r="I539" s="388"/>
    </row>
    <row r="540" spans="2:9" ht="15.75">
      <c r="B540" s="387"/>
      <c r="F540" s="20"/>
      <c r="I540" s="388"/>
    </row>
    <row r="541" spans="2:9" ht="15.75">
      <c r="B541" s="387"/>
      <c r="F541" s="20"/>
      <c r="I541" s="388"/>
    </row>
    <row r="542" spans="2:9" ht="15.75">
      <c r="B542" s="387"/>
      <c r="F542" s="20"/>
      <c r="I542" s="388"/>
    </row>
    <row r="543" spans="2:9" ht="15.75">
      <c r="B543" s="387"/>
      <c r="F543" s="20"/>
      <c r="I543" s="388"/>
    </row>
    <row r="544" spans="2:9" ht="15.75">
      <c r="B544" s="387"/>
      <c r="F544" s="20"/>
      <c r="I544" s="388"/>
    </row>
    <row r="545" spans="2:9" ht="15.75">
      <c r="B545" s="387"/>
      <c r="F545" s="20"/>
      <c r="I545" s="388"/>
    </row>
    <row r="546" spans="2:9" ht="15.75">
      <c r="B546" s="387"/>
      <c r="F546" s="20"/>
      <c r="I546" s="388"/>
    </row>
    <row r="547" spans="2:9" ht="15.75">
      <c r="B547" s="387"/>
      <c r="F547" s="20"/>
      <c r="I547" s="388"/>
    </row>
    <row r="548" spans="2:9" ht="15.75">
      <c r="B548" s="387"/>
      <c r="F548" s="20"/>
      <c r="I548" s="388"/>
    </row>
    <row r="549" spans="2:9" ht="15.75">
      <c r="B549" s="387"/>
      <c r="F549" s="20"/>
      <c r="I549" s="388"/>
    </row>
    <row r="550" spans="2:9" ht="15.75">
      <c r="B550" s="387"/>
      <c r="F550" s="20"/>
      <c r="I550" s="388"/>
    </row>
    <row r="551" spans="2:9" ht="15.75">
      <c r="B551" s="387"/>
      <c r="F551" s="20"/>
      <c r="I551" s="388"/>
    </row>
    <row r="552" spans="2:9" ht="15.75">
      <c r="B552" s="387"/>
      <c r="F552" s="20"/>
      <c r="I552" s="388"/>
    </row>
    <row r="553" spans="2:9" ht="15.75">
      <c r="B553" s="387"/>
      <c r="F553" s="20"/>
      <c r="I553" s="388"/>
    </row>
    <row r="554" spans="2:9" ht="15.75">
      <c r="B554" s="387"/>
      <c r="F554" s="20"/>
      <c r="I554" s="388"/>
    </row>
    <row r="555" spans="2:9" ht="15.75">
      <c r="B555" s="387"/>
      <c r="F555" s="20"/>
      <c r="I555" s="388"/>
    </row>
    <row r="556" spans="2:9" ht="15.75">
      <c r="B556" s="387"/>
      <c r="F556" s="20"/>
      <c r="I556" s="388"/>
    </row>
    <row r="557" spans="2:9" ht="15.75">
      <c r="B557" s="387"/>
      <c r="F557" s="20"/>
      <c r="I557" s="388"/>
    </row>
    <row r="558" spans="2:9" ht="15.75">
      <c r="B558" s="387"/>
      <c r="F558" s="20"/>
      <c r="I558" s="388"/>
    </row>
    <row r="559" spans="2:9" ht="15.75">
      <c r="B559" s="387"/>
      <c r="F559" s="20"/>
      <c r="I559" s="388"/>
    </row>
    <row r="560" spans="2:9" ht="15.75">
      <c r="B560" s="387"/>
      <c r="F560" s="20"/>
      <c r="I560" s="388"/>
    </row>
    <row r="561" spans="2:9" ht="15.75">
      <c r="B561" s="387"/>
      <c r="F561" s="20"/>
      <c r="I561" s="388"/>
    </row>
    <row r="562" spans="2:9" ht="15.75">
      <c r="B562" s="387"/>
      <c r="F562" s="20"/>
      <c r="I562" s="388"/>
    </row>
    <row r="563" spans="2:9" ht="15.75">
      <c r="B563" s="387"/>
      <c r="F563" s="20"/>
      <c r="I563" s="388"/>
    </row>
    <row r="564" spans="2:9" ht="15.75">
      <c r="B564" s="387"/>
      <c r="F564" s="20"/>
      <c r="I564" s="388"/>
    </row>
    <row r="565" spans="2:9" ht="15.75">
      <c r="B565" s="387"/>
      <c r="F565" s="20"/>
      <c r="I565" s="388"/>
    </row>
    <row r="566" spans="2:9" ht="15.75">
      <c r="B566" s="387"/>
      <c r="F566" s="20"/>
      <c r="I566" s="388"/>
    </row>
    <row r="567" spans="2:9" ht="15.75">
      <c r="B567" s="387"/>
      <c r="F567" s="20"/>
      <c r="I567" s="388"/>
    </row>
    <row r="568" spans="2:9" ht="15.75">
      <c r="B568" s="387"/>
      <c r="F568" s="20"/>
      <c r="I568" s="388"/>
    </row>
    <row r="569" spans="2:9" ht="15.75">
      <c r="B569" s="387"/>
      <c r="F569" s="20"/>
      <c r="I569" s="388"/>
    </row>
    <row r="570" spans="2:9" ht="15.75">
      <c r="B570" s="387"/>
      <c r="F570" s="20"/>
      <c r="I570" s="388"/>
    </row>
    <row r="571" spans="2:9" ht="15.75">
      <c r="B571" s="387"/>
      <c r="F571" s="20"/>
      <c r="I571" s="388"/>
    </row>
    <row r="572" spans="2:9" ht="15.75">
      <c r="B572" s="387"/>
      <c r="F572" s="20"/>
      <c r="I572" s="388"/>
    </row>
    <row r="573" spans="2:9" ht="15.75">
      <c r="B573" s="387"/>
      <c r="F573" s="20"/>
      <c r="I573" s="388"/>
    </row>
    <row r="574" spans="2:9" ht="15.75">
      <c r="B574" s="387"/>
      <c r="F574" s="20"/>
      <c r="I574" s="388"/>
    </row>
    <row r="575" spans="2:9" ht="15.75">
      <c r="B575" s="387"/>
      <c r="F575" s="20"/>
      <c r="I575" s="388"/>
    </row>
    <row r="576" spans="2:9" ht="15.75">
      <c r="B576" s="387"/>
      <c r="F576" s="20"/>
      <c r="I576" s="388"/>
    </row>
    <row r="577" spans="2:9" ht="15.75">
      <c r="B577" s="387"/>
      <c r="F577" s="20"/>
      <c r="I577" s="388"/>
    </row>
    <row r="578" spans="2:9" ht="15.75">
      <c r="B578" s="387"/>
      <c r="F578" s="20"/>
      <c r="I578" s="388"/>
    </row>
    <row r="579" spans="2:9" ht="15.75">
      <c r="B579" s="387"/>
      <c r="F579" s="20"/>
      <c r="I579" s="388"/>
    </row>
    <row r="580" spans="2:9" ht="15.75">
      <c r="B580" s="387"/>
      <c r="F580" s="20"/>
      <c r="I580" s="388"/>
    </row>
    <row r="581" spans="2:9" ht="15.75">
      <c r="B581" s="387"/>
      <c r="F581" s="20"/>
      <c r="I581" s="388"/>
    </row>
    <row r="582" spans="2:9" ht="15.75">
      <c r="B582" s="387"/>
      <c r="F582" s="20"/>
      <c r="I582" s="388"/>
    </row>
    <row r="583" spans="2:9" ht="15.75">
      <c r="B583" s="387"/>
      <c r="F583" s="20"/>
      <c r="I583" s="388"/>
    </row>
    <row r="584" spans="2:9" ht="15.75">
      <c r="B584" s="387"/>
      <c r="F584" s="20"/>
      <c r="I584" s="388"/>
    </row>
    <row r="585" spans="2:9" ht="15.75">
      <c r="B585" s="387"/>
      <c r="F585" s="20"/>
      <c r="I585" s="388"/>
    </row>
    <row r="586" spans="2:9" ht="15.75">
      <c r="B586" s="387"/>
      <c r="F586" s="20"/>
      <c r="I586" s="388"/>
    </row>
    <row r="587" spans="2:9" ht="15.75">
      <c r="B587" s="387"/>
      <c r="F587" s="20"/>
      <c r="I587" s="388"/>
    </row>
    <row r="588" spans="2:9" ht="15.75">
      <c r="B588" s="387"/>
      <c r="F588" s="20"/>
      <c r="I588" s="388"/>
    </row>
    <row r="589" spans="2:9" ht="15.75">
      <c r="B589" s="387"/>
      <c r="F589" s="20"/>
      <c r="I589" s="388"/>
    </row>
    <row r="590" spans="2:9" ht="15.75">
      <c r="B590" s="387"/>
      <c r="F590" s="20"/>
      <c r="I590" s="388"/>
    </row>
    <row r="591" spans="2:9" ht="15.75">
      <c r="B591" s="387"/>
      <c r="F591" s="20"/>
      <c r="I591" s="388"/>
    </row>
    <row r="592" spans="2:9" ht="15.75">
      <c r="B592" s="387"/>
      <c r="F592" s="20"/>
      <c r="I592" s="388"/>
    </row>
    <row r="593" spans="2:9" ht="15.75">
      <c r="B593" s="387"/>
      <c r="F593" s="20"/>
      <c r="I593" s="388"/>
    </row>
    <row r="594" spans="2:9" ht="15.75">
      <c r="B594" s="387"/>
      <c r="F594" s="20"/>
      <c r="I594" s="388"/>
    </row>
    <row r="595" spans="2:9" ht="15.75">
      <c r="B595" s="387"/>
      <c r="F595" s="20"/>
      <c r="I595" s="388"/>
    </row>
    <row r="596" spans="2:9" ht="15.75">
      <c r="B596" s="387"/>
      <c r="F596" s="20"/>
      <c r="I596" s="388"/>
    </row>
    <row r="597" spans="2:9" ht="15.75">
      <c r="B597" s="387"/>
      <c r="F597" s="20"/>
      <c r="I597" s="388"/>
    </row>
    <row r="598" spans="2:9" ht="15.75">
      <c r="B598" s="387"/>
      <c r="F598" s="20"/>
      <c r="I598" s="388"/>
    </row>
    <row r="599" spans="2:9" ht="15.75">
      <c r="B599" s="387"/>
      <c r="F599" s="20"/>
      <c r="I599" s="388"/>
    </row>
    <row r="600" spans="2:9" ht="15.75">
      <c r="B600" s="387"/>
      <c r="F600" s="20"/>
      <c r="I600" s="388"/>
    </row>
    <row r="601" spans="2:9" ht="15.75">
      <c r="B601" s="387"/>
      <c r="F601" s="20"/>
      <c r="I601" s="388"/>
    </row>
    <row r="602" spans="2:9" ht="15.75">
      <c r="B602" s="387"/>
      <c r="F602" s="20"/>
      <c r="I602" s="388"/>
    </row>
    <row r="603" spans="2:9" ht="15.75">
      <c r="B603" s="387"/>
      <c r="F603" s="20"/>
      <c r="I603" s="388"/>
    </row>
    <row r="604" spans="2:9" ht="15.75">
      <c r="B604" s="387"/>
      <c r="F604" s="20"/>
      <c r="I604" s="388"/>
    </row>
    <row r="605" spans="2:9" ht="15.75">
      <c r="B605" s="387"/>
      <c r="F605" s="20"/>
      <c r="I605" s="388"/>
    </row>
    <row r="606" spans="2:9" ht="15.75">
      <c r="B606" s="387"/>
      <c r="F606" s="20"/>
      <c r="I606" s="388"/>
    </row>
    <row r="607" spans="2:9" ht="15.75">
      <c r="B607" s="387"/>
      <c r="F607" s="20"/>
      <c r="I607" s="388"/>
    </row>
    <row r="608" spans="2:9" ht="15.75">
      <c r="B608" s="387"/>
      <c r="F608" s="20"/>
      <c r="I608" s="388"/>
    </row>
    <row r="609" spans="2:9" ht="15.75">
      <c r="B609" s="387"/>
      <c r="F609" s="20"/>
      <c r="I609" s="388"/>
    </row>
    <row r="610" spans="2:9" ht="15.75">
      <c r="B610" s="387"/>
      <c r="F610" s="20"/>
      <c r="I610" s="388"/>
    </row>
    <row r="611" spans="2:9" ht="15.75">
      <c r="B611" s="387"/>
      <c r="F611" s="20"/>
      <c r="I611" s="388"/>
    </row>
    <row r="612" spans="2:9" ht="15.75">
      <c r="B612" s="387"/>
      <c r="F612" s="20"/>
      <c r="I612" s="388"/>
    </row>
    <row r="613" spans="2:9" ht="15.75">
      <c r="B613" s="387"/>
      <c r="F613" s="20"/>
      <c r="I613" s="388"/>
    </row>
    <row r="614" spans="2:9" ht="15.75">
      <c r="B614" s="387"/>
      <c r="F614" s="20"/>
      <c r="I614" s="388"/>
    </row>
    <row r="615" spans="2:9" ht="15.75">
      <c r="B615" s="387"/>
      <c r="F615" s="20"/>
      <c r="I615" s="388"/>
    </row>
    <row r="616" spans="2:9" ht="15.75">
      <c r="B616" s="387"/>
      <c r="F616" s="20"/>
      <c r="I616" s="388"/>
    </row>
    <row r="617" spans="2:9" ht="15.75">
      <c r="B617" s="387"/>
      <c r="F617" s="20"/>
      <c r="I617" s="388"/>
    </row>
    <row r="618" spans="2:9" ht="15.75">
      <c r="B618" s="387"/>
      <c r="F618" s="20"/>
      <c r="I618" s="388"/>
    </row>
    <row r="619" spans="2:9" ht="15.75">
      <c r="B619" s="387"/>
      <c r="F619" s="20"/>
      <c r="I619" s="388"/>
    </row>
    <row r="620" spans="2:9" ht="15.75">
      <c r="B620" s="387"/>
      <c r="F620" s="20"/>
      <c r="I620" s="388"/>
    </row>
    <row r="621" spans="2:9" ht="15.75">
      <c r="B621" s="387"/>
      <c r="F621" s="20"/>
      <c r="I621" s="388"/>
    </row>
    <row r="622" spans="2:9" ht="15.75">
      <c r="B622" s="387"/>
      <c r="F622" s="20"/>
      <c r="I622" s="388"/>
    </row>
    <row r="623" spans="2:9" ht="15.75">
      <c r="B623" s="387"/>
      <c r="F623" s="20"/>
      <c r="I623" s="388"/>
    </row>
    <row r="624" spans="2:9" ht="15.75">
      <c r="B624" s="387"/>
      <c r="F624" s="20"/>
      <c r="I624" s="388"/>
    </row>
    <row r="625" spans="2:9" ht="15.75">
      <c r="B625" s="387"/>
      <c r="F625" s="20"/>
      <c r="I625" s="388"/>
    </row>
    <row r="626" spans="2:9" ht="15.75">
      <c r="B626" s="387"/>
      <c r="F626" s="20"/>
      <c r="I626" s="388"/>
    </row>
    <row r="627" spans="2:9" ht="15.75">
      <c r="B627" s="387"/>
      <c r="F627" s="20"/>
      <c r="I627" s="388"/>
    </row>
    <row r="628" spans="2:9" ht="15.75">
      <c r="B628" s="387"/>
      <c r="F628" s="20"/>
      <c r="I628" s="388"/>
    </row>
    <row r="629" spans="2:9" ht="15.75">
      <c r="B629" s="387"/>
      <c r="F629" s="20"/>
      <c r="I629" s="388"/>
    </row>
    <row r="630" spans="2:9" ht="15.75">
      <c r="B630" s="387"/>
      <c r="F630" s="20"/>
      <c r="I630" s="388"/>
    </row>
    <row r="631" spans="2:9" ht="15.75">
      <c r="B631" s="387"/>
      <c r="F631" s="20"/>
      <c r="I631" s="388"/>
    </row>
    <row r="632" spans="2:9" ht="15.75">
      <c r="B632" s="387"/>
      <c r="F632" s="20"/>
      <c r="I632" s="388"/>
    </row>
    <row r="633" spans="2:9" ht="15.75">
      <c r="B633" s="387"/>
      <c r="F633" s="20"/>
      <c r="I633" s="388"/>
    </row>
    <row r="634" spans="2:9" ht="15.75">
      <c r="B634" s="387"/>
      <c r="F634" s="20"/>
      <c r="I634" s="388"/>
    </row>
    <row r="635" spans="2:9" ht="15.75">
      <c r="B635" s="387"/>
      <c r="F635" s="20"/>
      <c r="I635" s="388"/>
    </row>
    <row r="636" spans="2:9" ht="15.75">
      <c r="B636" s="387"/>
      <c r="F636" s="20"/>
      <c r="I636" s="388"/>
    </row>
    <row r="637" spans="2:9" ht="15.75">
      <c r="B637" s="387"/>
      <c r="F637" s="20"/>
      <c r="I637" s="388"/>
    </row>
    <row r="638" spans="2:9" ht="15.75">
      <c r="B638" s="387"/>
      <c r="F638" s="20"/>
      <c r="I638" s="388"/>
    </row>
    <row r="639" spans="2:9" ht="15.75">
      <c r="B639" s="387"/>
      <c r="F639" s="20"/>
      <c r="I639" s="388"/>
    </row>
    <row r="640" spans="2:9" ht="15.75">
      <c r="B640" s="387"/>
      <c r="F640" s="20"/>
      <c r="I640" s="388"/>
    </row>
    <row r="641" spans="2:9" ht="15.75">
      <c r="B641" s="387"/>
      <c r="F641" s="20"/>
      <c r="I641" s="388"/>
    </row>
    <row r="642" spans="2:9" ht="15.75">
      <c r="B642" s="387"/>
      <c r="F642" s="20"/>
      <c r="I642" s="388"/>
    </row>
    <row r="643" spans="2:9" ht="15.75">
      <c r="B643" s="387"/>
      <c r="F643" s="20"/>
      <c r="I643" s="388"/>
    </row>
    <row r="644" spans="2:9" ht="15.75">
      <c r="B644" s="387"/>
      <c r="F644" s="20"/>
      <c r="I644" s="388"/>
    </row>
    <row r="645" spans="2:9" ht="15.75">
      <c r="B645" s="387"/>
      <c r="F645" s="20"/>
      <c r="I645" s="388"/>
    </row>
    <row r="646" spans="2:9" ht="15.75">
      <c r="B646" s="387"/>
      <c r="F646" s="20"/>
      <c r="I646" s="388"/>
    </row>
    <row r="647" spans="2:9" ht="15.75">
      <c r="B647" s="387"/>
      <c r="F647" s="20"/>
      <c r="I647" s="388"/>
    </row>
    <row r="648" spans="2:9" ht="15.75">
      <c r="B648" s="387"/>
      <c r="F648" s="20"/>
      <c r="I648" s="388"/>
    </row>
    <row r="649" spans="2:9" ht="15.75">
      <c r="B649" s="387"/>
      <c r="F649" s="20"/>
      <c r="I649" s="388"/>
    </row>
    <row r="650" spans="2:9" ht="15.75">
      <c r="B650" s="387"/>
      <c r="F650" s="20"/>
      <c r="I650" s="388"/>
    </row>
    <row r="651" spans="2:9" ht="15.75">
      <c r="B651" s="387"/>
      <c r="F651" s="20"/>
      <c r="I651" s="388"/>
    </row>
    <row r="652" spans="2:9" ht="15.75">
      <c r="B652" s="387"/>
      <c r="F652" s="20"/>
      <c r="I652" s="388"/>
    </row>
    <row r="653" spans="2:9" ht="15.75">
      <c r="B653" s="387"/>
      <c r="F653" s="20"/>
      <c r="I653" s="388"/>
    </row>
    <row r="654" spans="2:9" ht="15.75">
      <c r="B654" s="387"/>
      <c r="F654" s="20"/>
      <c r="I654" s="388"/>
    </row>
    <row r="655" spans="2:9" ht="15.75">
      <c r="B655" s="387"/>
      <c r="F655" s="20"/>
      <c r="I655" s="388"/>
    </row>
    <row r="656" spans="2:9" ht="15.75">
      <c r="B656" s="387"/>
      <c r="F656" s="20"/>
      <c r="I656" s="388"/>
    </row>
    <row r="657" spans="2:9" ht="15.75">
      <c r="B657" s="387"/>
      <c r="F657" s="20"/>
      <c r="I657" s="388"/>
    </row>
    <row r="658" spans="2:9" ht="15.75">
      <c r="B658" s="387"/>
      <c r="F658" s="20"/>
      <c r="I658" s="388"/>
    </row>
    <row r="659" spans="2:9" ht="15.75">
      <c r="B659" s="387"/>
      <c r="F659" s="20"/>
      <c r="I659" s="388"/>
    </row>
    <row r="660" spans="2:9" ht="15.75">
      <c r="B660" s="387"/>
      <c r="F660" s="20"/>
      <c r="I660" s="388"/>
    </row>
    <row r="661" spans="2:9" ht="15.75">
      <c r="B661" s="387"/>
      <c r="F661" s="20"/>
      <c r="I661" s="388"/>
    </row>
    <row r="662" spans="2:9" ht="15.75">
      <c r="B662" s="387"/>
      <c r="F662" s="20"/>
      <c r="I662" s="388"/>
    </row>
    <row r="663" spans="2:9" ht="15.75">
      <c r="B663" s="387"/>
      <c r="F663" s="20"/>
      <c r="I663" s="388"/>
    </row>
    <row r="664" spans="2:9" ht="15.75">
      <c r="B664" s="387"/>
      <c r="F664" s="20"/>
      <c r="I664" s="388"/>
    </row>
    <row r="665" spans="2:9" ht="15.75">
      <c r="B665" s="387"/>
      <c r="F665" s="20"/>
      <c r="I665" s="388"/>
    </row>
    <row r="666" spans="2:9" ht="15.75">
      <c r="B666" s="387"/>
      <c r="F666" s="20"/>
      <c r="I666" s="388"/>
    </row>
    <row r="667" spans="2:9" ht="15.75">
      <c r="B667" s="387"/>
      <c r="F667" s="20"/>
      <c r="I667" s="388"/>
    </row>
    <row r="668" spans="2:9" ht="15.75">
      <c r="B668" s="387"/>
      <c r="F668" s="20"/>
      <c r="I668" s="388"/>
    </row>
    <row r="669" spans="2:9" ht="15.75">
      <c r="B669" s="387"/>
      <c r="F669" s="20"/>
      <c r="I669" s="388"/>
    </row>
    <row r="670" spans="2:9" ht="15.75">
      <c r="B670" s="387"/>
      <c r="F670" s="20"/>
      <c r="I670" s="388"/>
    </row>
    <row r="671" spans="2:9" ht="15.75">
      <c r="B671" s="387"/>
      <c r="F671" s="20"/>
      <c r="I671" s="388"/>
    </row>
    <row r="672" spans="2:9" ht="15.75">
      <c r="B672" s="387"/>
      <c r="F672" s="20"/>
      <c r="I672" s="388"/>
    </row>
    <row r="673" spans="2:9" ht="15.75">
      <c r="B673" s="387"/>
      <c r="F673" s="20"/>
      <c r="I673" s="388"/>
    </row>
    <row r="674" spans="2:9" ht="15.75">
      <c r="B674" s="387"/>
      <c r="F674" s="20"/>
      <c r="I674" s="388"/>
    </row>
    <row r="675" spans="2:9" ht="15.75">
      <c r="B675" s="387"/>
      <c r="F675" s="20"/>
      <c r="I675" s="388"/>
    </row>
    <row r="676" spans="2:9" ht="15.75">
      <c r="B676" s="387"/>
      <c r="F676" s="20"/>
      <c r="I676" s="388"/>
    </row>
    <row r="677" spans="2:9" ht="15.75">
      <c r="B677" s="387"/>
      <c r="F677" s="20"/>
      <c r="I677" s="388"/>
    </row>
    <row r="678" spans="2:9" ht="15.75">
      <c r="B678" s="387"/>
      <c r="F678" s="20"/>
      <c r="I678" s="388"/>
    </row>
    <row r="679" spans="2:9" ht="15.75">
      <c r="B679" s="387"/>
      <c r="F679" s="20"/>
      <c r="I679" s="388"/>
    </row>
    <row r="680" spans="2:9" ht="15.75">
      <c r="B680" s="387"/>
      <c r="F680" s="20"/>
      <c r="I680" s="388"/>
    </row>
    <row r="681" spans="2:9" ht="15.75">
      <c r="B681" s="387"/>
      <c r="F681" s="20"/>
      <c r="I681" s="388"/>
    </row>
    <row r="682" spans="2:9" ht="15.75">
      <c r="B682" s="387"/>
      <c r="F682" s="20"/>
      <c r="I682" s="388"/>
    </row>
    <row r="683" spans="2:9" ht="15.75">
      <c r="B683" s="387"/>
      <c r="F683" s="20"/>
      <c r="I683" s="388"/>
    </row>
    <row r="684" spans="2:9" ht="15.75">
      <c r="B684" s="387"/>
      <c r="F684" s="20"/>
      <c r="I684" s="388"/>
    </row>
    <row r="685" spans="2:9" ht="15.75">
      <c r="B685" s="387"/>
      <c r="F685" s="20"/>
      <c r="I685" s="388"/>
    </row>
    <row r="686" spans="2:9" ht="15.75">
      <c r="B686" s="387"/>
      <c r="F686" s="20"/>
      <c r="I686" s="388"/>
    </row>
    <row r="687" spans="2:9" ht="15.75">
      <c r="B687" s="387"/>
      <c r="F687" s="20"/>
      <c r="I687" s="388"/>
    </row>
    <row r="688" spans="2:9" ht="15.75">
      <c r="B688" s="387"/>
      <c r="F688" s="20"/>
      <c r="I688" s="388"/>
    </row>
    <row r="689" spans="2:9" ht="15.75">
      <c r="B689" s="387"/>
      <c r="F689" s="20"/>
      <c r="I689" s="388"/>
    </row>
    <row r="690" spans="2:9" ht="15.75">
      <c r="B690" s="387"/>
      <c r="F690" s="20"/>
      <c r="I690" s="388"/>
    </row>
    <row r="691" spans="2:9" ht="15.75">
      <c r="B691" s="387"/>
      <c r="F691" s="20"/>
      <c r="I691" s="388"/>
    </row>
    <row r="692" spans="2:9" ht="15.75">
      <c r="B692" s="387"/>
      <c r="F692" s="20"/>
      <c r="I692" s="388"/>
    </row>
    <row r="693" spans="2:9" ht="15.75">
      <c r="B693" s="387"/>
      <c r="F693" s="20"/>
      <c r="I693" s="388"/>
    </row>
    <row r="694" spans="2:9" ht="15.75">
      <c r="B694" s="387"/>
      <c r="F694" s="20"/>
      <c r="I694" s="388"/>
    </row>
    <row r="695" spans="2:9" ht="15.75">
      <c r="B695" s="387"/>
      <c r="F695" s="20"/>
      <c r="I695" s="388"/>
    </row>
    <row r="696" spans="2:9" ht="15.75">
      <c r="B696" s="387"/>
      <c r="F696" s="20"/>
      <c r="I696" s="388"/>
    </row>
    <row r="697" spans="2:9" ht="15.75">
      <c r="B697" s="387"/>
      <c r="F697" s="20"/>
      <c r="I697" s="388"/>
    </row>
    <row r="698" spans="2:9" ht="15.75">
      <c r="B698" s="387"/>
      <c r="F698" s="20"/>
      <c r="I698" s="388"/>
    </row>
    <row r="699" spans="2:9" ht="15.75">
      <c r="B699" s="387"/>
      <c r="F699" s="20"/>
      <c r="I699" s="388"/>
    </row>
    <row r="700" spans="2:9" ht="15.75">
      <c r="B700" s="387"/>
      <c r="F700" s="20"/>
      <c r="I700" s="388"/>
    </row>
    <row r="701" spans="2:9" ht="15.75">
      <c r="B701" s="387"/>
      <c r="F701" s="20"/>
      <c r="I701" s="388"/>
    </row>
    <row r="702" spans="2:9" ht="15.75">
      <c r="B702" s="387"/>
      <c r="F702" s="20"/>
      <c r="I702" s="388"/>
    </row>
    <row r="703" spans="2:9" ht="15.75">
      <c r="B703" s="387"/>
      <c r="F703" s="20"/>
      <c r="I703" s="388"/>
    </row>
    <row r="704" spans="2:9" ht="15.75">
      <c r="B704" s="387"/>
      <c r="F704" s="20"/>
      <c r="I704" s="388"/>
    </row>
    <row r="705" spans="2:9" ht="15.75">
      <c r="B705" s="387"/>
      <c r="F705" s="20"/>
      <c r="I705" s="388"/>
    </row>
    <row r="706" spans="2:9" ht="15.75">
      <c r="B706" s="387"/>
      <c r="F706" s="20"/>
      <c r="I706" s="388"/>
    </row>
    <row r="707" spans="2:9" ht="15.75">
      <c r="B707" s="387"/>
      <c r="F707" s="20"/>
      <c r="I707" s="388"/>
    </row>
    <row r="708" spans="2:9" ht="15.75">
      <c r="B708" s="387"/>
      <c r="F708" s="20"/>
      <c r="I708" s="388"/>
    </row>
    <row r="709" spans="2:9" ht="15.75">
      <c r="B709" s="387"/>
      <c r="F709" s="20"/>
      <c r="I709" s="388"/>
    </row>
    <row r="710" spans="2:9" ht="15.75">
      <c r="B710" s="387"/>
      <c r="F710" s="20"/>
      <c r="I710" s="388"/>
    </row>
    <row r="711" spans="2:9" ht="15.75">
      <c r="B711" s="387"/>
      <c r="F711" s="20"/>
      <c r="I711" s="388"/>
    </row>
    <row r="712" spans="2:9" ht="15.75">
      <c r="B712" s="387"/>
      <c r="F712" s="20"/>
      <c r="I712" s="388"/>
    </row>
    <row r="713" spans="2:9" ht="15.75">
      <c r="B713" s="387"/>
      <c r="F713" s="20"/>
      <c r="I713" s="388"/>
    </row>
    <row r="714" spans="2:9" ht="15.75">
      <c r="B714" s="387"/>
      <c r="F714" s="20"/>
      <c r="I714" s="388"/>
    </row>
    <row r="715" spans="2:9" ht="15.75">
      <c r="B715" s="387"/>
      <c r="F715" s="20"/>
      <c r="I715" s="388"/>
    </row>
    <row r="716" spans="2:9" ht="15.75">
      <c r="B716" s="387"/>
      <c r="F716" s="20"/>
      <c r="I716" s="388"/>
    </row>
    <row r="717" spans="2:9" ht="15.75">
      <c r="B717" s="387"/>
      <c r="F717" s="20"/>
      <c r="I717" s="388"/>
    </row>
    <row r="718" spans="2:9" ht="15.75">
      <c r="B718" s="387"/>
      <c r="F718" s="20"/>
      <c r="I718" s="388"/>
    </row>
    <row r="719" spans="2:9" ht="15.75">
      <c r="B719" s="387"/>
      <c r="F719" s="20"/>
      <c r="I719" s="388"/>
    </row>
    <row r="720" spans="2:9" ht="15.75">
      <c r="B720" s="387"/>
      <c r="F720" s="20"/>
      <c r="I720" s="388"/>
    </row>
    <row r="721" spans="2:9" ht="15.75">
      <c r="B721" s="387"/>
      <c r="F721" s="20"/>
      <c r="I721" s="388"/>
    </row>
    <row r="722" spans="2:9" ht="15.75">
      <c r="B722" s="387"/>
      <c r="F722" s="20"/>
      <c r="I722" s="388"/>
    </row>
    <row r="723" spans="2:9" ht="15.75">
      <c r="B723" s="387"/>
      <c r="F723" s="20"/>
      <c r="I723" s="388"/>
    </row>
    <row r="724" spans="2:9" ht="15.75">
      <c r="B724" s="387"/>
      <c r="F724" s="20"/>
      <c r="I724" s="388"/>
    </row>
    <row r="725" spans="2:9" ht="15.75">
      <c r="B725" s="387"/>
      <c r="F725" s="20"/>
      <c r="I725" s="388"/>
    </row>
    <row r="726" spans="2:9" ht="15.75">
      <c r="B726" s="387"/>
      <c r="F726" s="20"/>
      <c r="I726" s="388"/>
    </row>
    <row r="727" spans="2:9" ht="15.75">
      <c r="B727" s="387"/>
      <c r="F727" s="20"/>
      <c r="I727" s="388"/>
    </row>
    <row r="728" spans="2:9" ht="15.75">
      <c r="B728" s="387"/>
      <c r="F728" s="20"/>
      <c r="I728" s="388"/>
    </row>
    <row r="729" spans="2:9" ht="15.75">
      <c r="B729" s="387"/>
      <c r="F729" s="20"/>
      <c r="I729" s="388"/>
    </row>
    <row r="730" spans="2:9" ht="15.75">
      <c r="B730" s="387"/>
      <c r="F730" s="20"/>
      <c r="I730" s="388"/>
    </row>
    <row r="731" spans="2:9" ht="15.75">
      <c r="B731" s="387"/>
      <c r="F731" s="20"/>
      <c r="I731" s="388"/>
    </row>
    <row r="732" spans="2:9" ht="15.75">
      <c r="B732" s="387"/>
      <c r="F732" s="20"/>
      <c r="I732" s="388"/>
    </row>
    <row r="733" spans="2:9" ht="15.75">
      <c r="B733" s="387"/>
      <c r="F733" s="20"/>
      <c r="I733" s="388"/>
    </row>
    <row r="734" spans="2:9" ht="15.75">
      <c r="B734" s="387"/>
      <c r="F734" s="20"/>
      <c r="I734" s="388"/>
    </row>
    <row r="735" spans="2:9" ht="15.75">
      <c r="B735" s="387"/>
      <c r="F735" s="20"/>
      <c r="I735" s="388"/>
    </row>
    <row r="736" spans="2:9" ht="15.75">
      <c r="B736" s="387"/>
      <c r="F736" s="20"/>
      <c r="I736" s="388"/>
    </row>
    <row r="737" spans="2:9" ht="15.75">
      <c r="B737" s="387"/>
      <c r="F737" s="20"/>
      <c r="I737" s="388"/>
    </row>
    <row r="738" spans="2:9" ht="15.75">
      <c r="B738" s="387"/>
      <c r="F738" s="20"/>
      <c r="I738" s="388"/>
    </row>
    <row r="739" spans="2:9" ht="15.75">
      <c r="B739" s="387"/>
      <c r="F739" s="20"/>
      <c r="I739" s="388"/>
    </row>
    <row r="740" spans="2:9" ht="15.75">
      <c r="B740" s="387"/>
      <c r="F740" s="20"/>
      <c r="I740" s="388"/>
    </row>
    <row r="741" spans="2:9" ht="15.75">
      <c r="B741" s="387"/>
      <c r="F741" s="20"/>
      <c r="I741" s="388"/>
    </row>
    <row r="742" spans="2:9" ht="15.75">
      <c r="B742" s="387"/>
      <c r="F742" s="20"/>
      <c r="I742" s="388"/>
    </row>
    <row r="743" spans="2:9" ht="15.75">
      <c r="B743" s="387"/>
      <c r="F743" s="20"/>
      <c r="I743" s="388"/>
    </row>
    <row r="744" spans="2:9" ht="15.75">
      <c r="B744" s="387"/>
      <c r="F744" s="20"/>
      <c r="I744" s="388"/>
    </row>
    <row r="745" spans="2:9" ht="15.75">
      <c r="B745" s="387"/>
      <c r="F745" s="20"/>
      <c r="I745" s="388"/>
    </row>
    <row r="746" spans="2:9" ht="15.75">
      <c r="B746" s="387"/>
      <c r="F746" s="20"/>
      <c r="I746" s="388"/>
    </row>
    <row r="747" spans="2:9" ht="15.75">
      <c r="B747" s="387"/>
      <c r="F747" s="20"/>
      <c r="I747" s="388"/>
    </row>
    <row r="748" spans="2:9" ht="15.75">
      <c r="B748" s="387"/>
      <c r="F748" s="20"/>
      <c r="I748" s="388"/>
    </row>
    <row r="749" spans="2:9" ht="15.75">
      <c r="B749" s="387"/>
      <c r="F749" s="20"/>
      <c r="I749" s="388"/>
    </row>
    <row r="750" spans="2:9" ht="15.75">
      <c r="B750" s="387"/>
      <c r="F750" s="20"/>
      <c r="I750" s="388"/>
    </row>
    <row r="751" spans="2:9" ht="15.75">
      <c r="B751" s="387"/>
      <c r="F751" s="20"/>
      <c r="I751" s="388"/>
    </row>
    <row r="752" spans="2:9" ht="15.75">
      <c r="B752" s="387"/>
      <c r="F752" s="20"/>
      <c r="I752" s="388"/>
    </row>
    <row r="753" spans="2:9" ht="15.75">
      <c r="B753" s="387"/>
      <c r="F753" s="20"/>
      <c r="I753" s="388"/>
    </row>
    <row r="754" spans="2:9" ht="15.75">
      <c r="B754" s="387"/>
      <c r="F754" s="20"/>
      <c r="I754" s="388"/>
    </row>
    <row r="755" spans="2:9" ht="15.75">
      <c r="B755" s="387"/>
      <c r="F755" s="20"/>
      <c r="I755" s="388"/>
    </row>
    <row r="756" spans="2:9" ht="15.75">
      <c r="B756" s="387"/>
      <c r="F756" s="20"/>
      <c r="I756" s="388"/>
    </row>
    <row r="757" spans="2:9" ht="15.75">
      <c r="B757" s="387"/>
      <c r="F757" s="20"/>
      <c r="I757" s="388"/>
    </row>
    <row r="758" spans="2:9" ht="15.75">
      <c r="B758" s="387"/>
      <c r="F758" s="20"/>
      <c r="I758" s="388"/>
    </row>
    <row r="759" spans="2:9" ht="15.75">
      <c r="B759" s="387"/>
      <c r="F759" s="20"/>
      <c r="I759" s="388"/>
    </row>
    <row r="760" spans="2:9" ht="15.75">
      <c r="B760" s="387"/>
      <c r="F760" s="20"/>
      <c r="I760" s="388"/>
    </row>
    <row r="761" spans="2:9" ht="15.75">
      <c r="B761" s="387"/>
      <c r="F761" s="20"/>
      <c r="I761" s="388"/>
    </row>
    <row r="762" spans="2:9" ht="15.75">
      <c r="B762" s="387"/>
      <c r="F762" s="20"/>
      <c r="I762" s="388"/>
    </row>
    <row r="763" spans="2:9" ht="15.75">
      <c r="B763" s="387"/>
      <c r="F763" s="20"/>
      <c r="I763" s="388"/>
    </row>
    <row r="764" spans="2:9" ht="15.75">
      <c r="B764" s="387"/>
      <c r="F764" s="20"/>
      <c r="I764" s="388"/>
    </row>
    <row r="765" spans="2:9" ht="15.75">
      <c r="B765" s="387"/>
      <c r="F765" s="20"/>
      <c r="I765" s="388"/>
    </row>
    <row r="766" spans="2:9" ht="15.75">
      <c r="B766" s="387"/>
      <c r="F766" s="20"/>
      <c r="I766" s="388"/>
    </row>
    <row r="767" spans="2:9" ht="15.75">
      <c r="B767" s="387"/>
      <c r="F767" s="20"/>
      <c r="I767" s="388"/>
    </row>
    <row r="768" spans="2:9" ht="15.75">
      <c r="B768" s="387"/>
      <c r="F768" s="20"/>
      <c r="I768" s="388"/>
    </row>
    <row r="769" spans="2:9" ht="15.75">
      <c r="B769" s="387"/>
      <c r="F769" s="20"/>
      <c r="I769" s="388"/>
    </row>
    <row r="770" spans="2:9" ht="15.75">
      <c r="B770" s="387"/>
      <c r="F770" s="20"/>
      <c r="I770" s="388"/>
    </row>
    <row r="771" spans="2:9" ht="15.75">
      <c r="B771" s="387"/>
      <c r="F771" s="20"/>
      <c r="I771" s="388"/>
    </row>
    <row r="772" spans="2:9" ht="15.75">
      <c r="B772" s="387"/>
      <c r="F772" s="20"/>
      <c r="I772" s="388"/>
    </row>
    <row r="773" spans="2:9" ht="15.75">
      <c r="B773" s="387"/>
      <c r="F773" s="20"/>
      <c r="I773" s="388"/>
    </row>
    <row r="774" spans="2:9" ht="15.75">
      <c r="B774" s="387"/>
      <c r="F774" s="20"/>
      <c r="I774" s="388"/>
    </row>
    <row r="775" spans="2:9" ht="15.75">
      <c r="B775" s="387"/>
      <c r="F775" s="20"/>
      <c r="I775" s="388"/>
    </row>
    <row r="776" spans="2:9" ht="15.75">
      <c r="B776" s="387"/>
      <c r="F776" s="20"/>
      <c r="I776" s="388"/>
    </row>
    <row r="777" spans="2:9" ht="15.75">
      <c r="B777" s="387"/>
      <c r="F777" s="20"/>
      <c r="I777" s="388"/>
    </row>
    <row r="778" spans="2:9" ht="15.75">
      <c r="B778" s="387"/>
      <c r="F778" s="20"/>
      <c r="I778" s="388"/>
    </row>
    <row r="779" spans="2:9" ht="15.75">
      <c r="B779" s="387"/>
      <c r="F779" s="20"/>
      <c r="I779" s="388"/>
    </row>
    <row r="780" spans="2:9" ht="15.75">
      <c r="B780" s="387"/>
      <c r="F780" s="20"/>
      <c r="I780" s="388"/>
    </row>
    <row r="781" spans="2:9" ht="15.75">
      <c r="B781" s="387"/>
      <c r="F781" s="20"/>
      <c r="I781" s="388"/>
    </row>
    <row r="782" spans="2:9" ht="15.75">
      <c r="B782" s="387"/>
      <c r="F782" s="20"/>
      <c r="I782" s="388"/>
    </row>
    <row r="783" spans="2:9" ht="15.75">
      <c r="B783" s="387"/>
      <c r="F783" s="20"/>
      <c r="I783" s="388"/>
    </row>
    <row r="784" spans="2:9" ht="15.75">
      <c r="B784" s="387"/>
      <c r="F784" s="20"/>
      <c r="I784" s="388"/>
    </row>
    <row r="785" spans="2:9" ht="15.75">
      <c r="B785" s="387"/>
      <c r="F785" s="20"/>
      <c r="I785" s="388"/>
    </row>
    <row r="786" spans="2:9" ht="15.75">
      <c r="B786" s="387"/>
      <c r="F786" s="20"/>
      <c r="I786" s="388"/>
    </row>
    <row r="787" spans="2:9" ht="15.75">
      <c r="B787" s="387"/>
      <c r="F787" s="20"/>
      <c r="I787" s="388"/>
    </row>
    <row r="788" spans="2:9" ht="15.75">
      <c r="B788" s="387"/>
      <c r="F788" s="20"/>
      <c r="I788" s="388"/>
    </row>
    <row r="789" spans="2:9" ht="15.75">
      <c r="B789" s="387"/>
      <c r="F789" s="20"/>
      <c r="I789" s="388"/>
    </row>
    <row r="790" spans="2:9" ht="15.75">
      <c r="B790" s="387"/>
      <c r="F790" s="20"/>
      <c r="I790" s="388"/>
    </row>
    <row r="791" spans="2:9" ht="15.75">
      <c r="B791" s="387"/>
      <c r="F791" s="20"/>
      <c r="I791" s="388"/>
    </row>
    <row r="792" spans="2:9" ht="15.75">
      <c r="B792" s="387"/>
      <c r="F792" s="20"/>
      <c r="I792" s="388"/>
    </row>
    <row r="793" spans="2:9" ht="15.75">
      <c r="B793" s="387"/>
      <c r="F793" s="20"/>
      <c r="I793" s="388"/>
    </row>
    <row r="794" spans="2:9" ht="15.75">
      <c r="B794" s="387"/>
      <c r="F794" s="20"/>
      <c r="I794" s="388"/>
    </row>
    <row r="795" spans="2:9" ht="15.75">
      <c r="B795" s="387"/>
      <c r="F795" s="20"/>
      <c r="I795" s="388"/>
    </row>
    <row r="796" spans="2:9" ht="15.75">
      <c r="B796" s="387"/>
      <c r="F796" s="20"/>
      <c r="I796" s="388"/>
    </row>
    <row r="797" spans="2:9" ht="15.75">
      <c r="B797" s="387"/>
      <c r="F797" s="20"/>
      <c r="I797" s="388"/>
    </row>
    <row r="798" spans="2:9" ht="15.75">
      <c r="B798" s="387"/>
      <c r="F798" s="20"/>
      <c r="I798" s="388"/>
    </row>
    <row r="799" spans="2:9" ht="15.75">
      <c r="B799" s="387"/>
      <c r="F799" s="20"/>
      <c r="I799" s="388"/>
    </row>
    <row r="800" spans="2:9" ht="15.75">
      <c r="B800" s="387"/>
      <c r="F800" s="20"/>
      <c r="I800" s="388"/>
    </row>
    <row r="801" spans="2:9" ht="15.75">
      <c r="B801" s="387"/>
      <c r="F801" s="20"/>
      <c r="I801" s="388"/>
    </row>
    <row r="802" spans="2:9" ht="15.75">
      <c r="B802" s="387"/>
      <c r="F802" s="20"/>
      <c r="I802" s="388"/>
    </row>
    <row r="803" spans="2:9" ht="15.75">
      <c r="B803" s="387"/>
      <c r="F803" s="20"/>
      <c r="I803" s="388"/>
    </row>
    <row r="804" spans="2:9" ht="15.75">
      <c r="B804" s="387"/>
      <c r="F804" s="20"/>
      <c r="I804" s="388"/>
    </row>
    <row r="805" spans="2:9" ht="15.75">
      <c r="B805" s="387"/>
      <c r="F805" s="20"/>
      <c r="I805" s="388"/>
    </row>
    <row r="806" spans="2:9" ht="15.75">
      <c r="B806" s="387"/>
      <c r="F806" s="20"/>
      <c r="I806" s="388"/>
    </row>
    <row r="807" spans="2:9" ht="15.75">
      <c r="B807" s="387"/>
      <c r="F807" s="20"/>
      <c r="I807" s="388"/>
    </row>
    <row r="808" spans="2:9" ht="15.75">
      <c r="B808" s="387"/>
      <c r="F808" s="20"/>
      <c r="I808" s="388"/>
    </row>
    <row r="809" spans="2:9" ht="15.75">
      <c r="B809" s="387"/>
      <c r="F809" s="20"/>
      <c r="I809" s="388"/>
    </row>
    <row r="810" spans="2:9" ht="15.75">
      <c r="B810" s="387"/>
      <c r="F810" s="20"/>
      <c r="I810" s="388"/>
    </row>
    <row r="811" spans="2:9" ht="15.75">
      <c r="B811" s="387"/>
      <c r="F811" s="20"/>
      <c r="I811" s="388"/>
    </row>
    <row r="812" spans="2:9" ht="15.75">
      <c r="B812" s="387"/>
      <c r="F812" s="20"/>
      <c r="I812" s="388"/>
    </row>
    <row r="813" spans="2:9" ht="15.75">
      <c r="B813" s="387"/>
      <c r="F813" s="20"/>
      <c r="I813" s="388"/>
    </row>
    <row r="814" spans="2:9" ht="15.75">
      <c r="B814" s="387"/>
      <c r="F814" s="20"/>
      <c r="I814" s="388"/>
    </row>
    <row r="815" spans="2:9" ht="15.75">
      <c r="B815" s="387"/>
      <c r="F815" s="20"/>
      <c r="I815" s="388"/>
    </row>
    <row r="816" spans="2:9" ht="15.75">
      <c r="B816" s="387"/>
      <c r="F816" s="20"/>
      <c r="I816" s="388"/>
    </row>
    <row r="817" spans="2:9" ht="15.75">
      <c r="B817" s="387"/>
      <c r="F817" s="20"/>
      <c r="I817" s="388"/>
    </row>
    <row r="818" spans="2:9" ht="15.75">
      <c r="B818" s="387"/>
      <c r="F818" s="20"/>
      <c r="I818" s="388"/>
    </row>
    <row r="819" spans="2:9" ht="15.75">
      <c r="B819" s="387"/>
      <c r="F819" s="20"/>
      <c r="I819" s="388"/>
    </row>
    <row r="820" spans="2:9" ht="15.75">
      <c r="B820" s="387"/>
      <c r="F820" s="20"/>
      <c r="I820" s="388"/>
    </row>
    <row r="821" spans="2:9" ht="15.75">
      <c r="B821" s="387"/>
      <c r="F821" s="20"/>
      <c r="I821" s="388"/>
    </row>
    <row r="822" spans="2:9" ht="15.75">
      <c r="B822" s="387"/>
      <c r="F822" s="20"/>
      <c r="I822" s="388"/>
    </row>
    <row r="823" spans="2:9" ht="15.75">
      <c r="B823" s="387"/>
      <c r="F823" s="20"/>
      <c r="I823" s="388"/>
    </row>
    <row r="824" spans="2:9" ht="15.75">
      <c r="B824" s="387"/>
      <c r="F824" s="20"/>
      <c r="I824" s="388"/>
    </row>
    <row r="825" spans="2:9" ht="15.75">
      <c r="B825" s="387"/>
      <c r="F825" s="20"/>
      <c r="I825" s="388"/>
    </row>
    <row r="826" spans="2:9" ht="15.75">
      <c r="B826" s="387"/>
      <c r="F826" s="20"/>
      <c r="I826" s="388"/>
    </row>
    <row r="827" spans="2:9" ht="15.75">
      <c r="B827" s="387"/>
      <c r="F827" s="20"/>
      <c r="I827" s="388"/>
    </row>
    <row r="828" spans="2:9" ht="15.75">
      <c r="B828" s="387"/>
      <c r="F828" s="20"/>
      <c r="I828" s="388"/>
    </row>
    <row r="829" spans="2:9" ht="15.75">
      <c r="B829" s="387"/>
      <c r="F829" s="20"/>
      <c r="I829" s="388"/>
    </row>
    <row r="830" spans="2:9" ht="15.75">
      <c r="B830" s="387"/>
      <c r="F830" s="20"/>
      <c r="I830" s="388"/>
    </row>
    <row r="831" spans="2:9" ht="15.75">
      <c r="B831" s="387"/>
      <c r="F831" s="20"/>
      <c r="I831" s="388"/>
    </row>
    <row r="832" spans="2:9" ht="15.75">
      <c r="B832" s="387"/>
      <c r="F832" s="20"/>
      <c r="I832" s="388"/>
    </row>
    <row r="833" spans="2:9" ht="15.75">
      <c r="B833" s="387"/>
      <c r="F833" s="20"/>
      <c r="I833" s="388"/>
    </row>
    <row r="834" spans="2:9" ht="15.75">
      <c r="B834" s="387"/>
      <c r="F834" s="20"/>
      <c r="I834" s="388"/>
    </row>
    <row r="835" spans="2:9" ht="15.75">
      <c r="B835" s="387"/>
      <c r="F835" s="20"/>
      <c r="I835" s="388"/>
    </row>
    <row r="836" spans="2:9" ht="15.75">
      <c r="B836" s="387"/>
      <c r="F836" s="20"/>
      <c r="I836" s="388"/>
    </row>
    <row r="837" spans="2:9" ht="15.75">
      <c r="B837" s="387"/>
      <c r="F837" s="20"/>
      <c r="I837" s="388"/>
    </row>
    <row r="838" spans="2:9" ht="15.75">
      <c r="B838" s="387"/>
      <c r="F838" s="20"/>
      <c r="I838" s="388"/>
    </row>
    <row r="839" spans="2:9" ht="15.75">
      <c r="B839" s="387"/>
      <c r="F839" s="20"/>
      <c r="I839" s="388"/>
    </row>
    <row r="840" spans="2:9" ht="15.75">
      <c r="B840" s="387"/>
      <c r="F840" s="20"/>
      <c r="I840" s="388"/>
    </row>
    <row r="841" spans="2:9" ht="15.75">
      <c r="B841" s="387"/>
      <c r="F841" s="20"/>
      <c r="I841" s="388"/>
    </row>
    <row r="842" spans="2:9" ht="15.75">
      <c r="B842" s="387"/>
      <c r="F842" s="20"/>
      <c r="I842" s="388"/>
    </row>
    <row r="843" spans="2:9" ht="15.75">
      <c r="B843" s="387"/>
      <c r="F843" s="20"/>
      <c r="I843" s="388"/>
    </row>
    <row r="844" spans="2:9" ht="15.75">
      <c r="B844" s="387"/>
      <c r="F844" s="20"/>
      <c r="I844" s="388"/>
    </row>
    <row r="845" spans="2:9" ht="15.75">
      <c r="B845" s="387"/>
      <c r="F845" s="20"/>
      <c r="I845" s="388"/>
    </row>
    <row r="846" spans="2:9" ht="15.75">
      <c r="B846" s="387"/>
      <c r="F846" s="20"/>
      <c r="I846" s="388"/>
    </row>
    <row r="847" spans="2:9" ht="15.75">
      <c r="B847" s="387"/>
      <c r="F847" s="20"/>
      <c r="I847" s="388"/>
    </row>
    <row r="848" spans="2:9" ht="15.75">
      <c r="B848" s="387"/>
      <c r="F848" s="20"/>
      <c r="I848" s="388"/>
    </row>
    <row r="849" spans="2:9" ht="15.75">
      <c r="B849" s="387"/>
      <c r="F849" s="20"/>
      <c r="I849" s="388"/>
    </row>
    <row r="850" spans="2:9" ht="15.75">
      <c r="B850" s="387"/>
      <c r="F850" s="20"/>
      <c r="I850" s="388"/>
    </row>
    <row r="851" spans="2:9" ht="15.75">
      <c r="B851" s="387"/>
      <c r="F851" s="20"/>
      <c r="I851" s="388"/>
    </row>
    <row r="852" spans="2:9" ht="15.75">
      <c r="B852" s="387"/>
      <c r="F852" s="20"/>
      <c r="I852" s="388"/>
    </row>
    <row r="853" spans="2:9" ht="15.75">
      <c r="B853" s="387"/>
      <c r="F853" s="20"/>
      <c r="I853" s="388"/>
    </row>
    <row r="854" spans="2:9" ht="15.75">
      <c r="B854" s="387"/>
      <c r="F854" s="20"/>
      <c r="I854" s="388"/>
    </row>
    <row r="855" spans="2:9" ht="15.75">
      <c r="B855" s="387"/>
      <c r="F855" s="20"/>
      <c r="I855" s="388"/>
    </row>
    <row r="856" spans="2:9" ht="15.75">
      <c r="B856" s="387"/>
      <c r="F856" s="20"/>
      <c r="I856" s="388"/>
    </row>
    <row r="857" spans="2:9" ht="15.75">
      <c r="B857" s="387"/>
      <c r="F857" s="20"/>
      <c r="I857" s="388"/>
    </row>
    <row r="858" spans="2:9" ht="15.75">
      <c r="B858" s="387"/>
      <c r="F858" s="20"/>
      <c r="I858" s="388"/>
    </row>
    <row r="859" spans="2:9" ht="15.75">
      <c r="B859" s="387"/>
      <c r="F859" s="20"/>
      <c r="I859" s="388"/>
    </row>
    <row r="860" spans="2:9" ht="15.75">
      <c r="B860" s="387"/>
      <c r="F860" s="20"/>
      <c r="I860" s="388"/>
    </row>
    <row r="861" spans="2:9" ht="15.75">
      <c r="B861" s="387"/>
      <c r="F861" s="20"/>
      <c r="I861" s="388"/>
    </row>
    <row r="862" spans="2:9" ht="15.75">
      <c r="B862" s="387"/>
      <c r="F862" s="20"/>
      <c r="I862" s="388"/>
    </row>
    <row r="863" spans="2:9" ht="15.75">
      <c r="B863" s="387"/>
      <c r="F863" s="20"/>
      <c r="I863" s="388"/>
    </row>
    <row r="864" spans="2:9" ht="15.75">
      <c r="B864" s="387"/>
      <c r="F864" s="20"/>
      <c r="I864" s="388"/>
    </row>
    <row r="865" spans="2:9" ht="15.75">
      <c r="B865" s="387"/>
      <c r="F865" s="20"/>
      <c r="I865" s="388"/>
    </row>
    <row r="866" spans="2:9" ht="15.75">
      <c r="B866" s="387"/>
      <c r="F866" s="20"/>
      <c r="I866" s="388"/>
    </row>
    <row r="867" spans="2:9" ht="15.75">
      <c r="B867" s="387"/>
      <c r="F867" s="20"/>
      <c r="I867" s="388"/>
    </row>
    <row r="868" spans="2:9" ht="15.75">
      <c r="B868" s="387"/>
      <c r="F868" s="20"/>
      <c r="I868" s="388"/>
    </row>
    <row r="869" spans="2:9" ht="15.75">
      <c r="B869" s="387"/>
      <c r="F869" s="20"/>
      <c r="I869" s="388"/>
    </row>
    <row r="870" spans="2:9" ht="15.75">
      <c r="B870" s="387"/>
      <c r="F870" s="20"/>
      <c r="I870" s="388"/>
    </row>
    <row r="871" spans="2:9" ht="15.75">
      <c r="B871" s="387"/>
      <c r="F871" s="20"/>
      <c r="I871" s="388"/>
    </row>
    <row r="872" spans="2:9" ht="15.75">
      <c r="B872" s="387"/>
      <c r="F872" s="20"/>
      <c r="I872" s="388"/>
    </row>
    <row r="873" spans="2:9" ht="15.75">
      <c r="B873" s="387"/>
      <c r="F873" s="20"/>
      <c r="I873" s="388"/>
    </row>
    <row r="874" spans="2:9" ht="15.75">
      <c r="B874" s="387"/>
      <c r="F874" s="20"/>
      <c r="I874" s="388"/>
    </row>
    <row r="875" spans="2:9" ht="15.75">
      <c r="B875" s="387"/>
      <c r="F875" s="20"/>
      <c r="I875" s="388"/>
    </row>
    <row r="876" spans="2:9" ht="15.75">
      <c r="B876" s="387"/>
      <c r="F876" s="20"/>
      <c r="I876" s="388"/>
    </row>
    <row r="877" spans="2:9" ht="15.75">
      <c r="B877" s="387"/>
      <c r="F877" s="20"/>
      <c r="I877" s="388"/>
    </row>
    <row r="878" spans="2:9" ht="15.75">
      <c r="B878" s="387"/>
      <c r="F878" s="20"/>
      <c r="I878" s="388"/>
    </row>
    <row r="879" spans="2:9" ht="15.75">
      <c r="B879" s="387"/>
      <c r="F879" s="20"/>
      <c r="I879" s="388"/>
    </row>
    <row r="880" spans="2:9" ht="15.75">
      <c r="B880" s="387"/>
      <c r="F880" s="20"/>
      <c r="I880" s="388"/>
    </row>
    <row r="881" spans="2:9" ht="15.75">
      <c r="B881" s="387"/>
      <c r="F881" s="20"/>
      <c r="I881" s="388"/>
    </row>
    <row r="882" spans="2:9" ht="15.75">
      <c r="B882" s="387"/>
      <c r="F882" s="20"/>
      <c r="I882" s="388"/>
    </row>
    <row r="883" spans="2:9" ht="15.75">
      <c r="B883" s="387"/>
      <c r="F883" s="20"/>
      <c r="I883" s="388"/>
    </row>
    <row r="884" spans="2:9" ht="15.75">
      <c r="B884" s="387"/>
      <c r="F884" s="20"/>
      <c r="I884" s="388"/>
    </row>
    <row r="885" spans="2:9" ht="15.75">
      <c r="B885" s="387"/>
      <c r="F885" s="20"/>
      <c r="I885" s="388"/>
    </row>
    <row r="886" spans="2:9" ht="15.75">
      <c r="B886" s="387"/>
      <c r="F886" s="20"/>
      <c r="I886" s="388"/>
    </row>
    <row r="887" spans="2:9" ht="15.75">
      <c r="B887" s="387"/>
      <c r="F887" s="20"/>
      <c r="I887" s="388"/>
    </row>
    <row r="888" spans="2:9" ht="15.75">
      <c r="B888" s="387"/>
      <c r="F888" s="20"/>
      <c r="I888" s="388"/>
    </row>
    <row r="889" spans="2:9" ht="15.75">
      <c r="B889" s="387"/>
      <c r="F889" s="20"/>
      <c r="I889" s="388"/>
    </row>
    <row r="890" spans="2:9" ht="15.75">
      <c r="B890" s="387"/>
      <c r="F890" s="20"/>
      <c r="I890" s="388"/>
    </row>
    <row r="891" spans="2:9" ht="15.75">
      <c r="B891" s="387"/>
      <c r="F891" s="20"/>
      <c r="I891" s="388"/>
    </row>
    <row r="892" spans="2:9" ht="15.75">
      <c r="B892" s="387"/>
      <c r="F892" s="20"/>
      <c r="I892" s="388"/>
    </row>
    <row r="893" spans="2:9" ht="15.75">
      <c r="B893" s="387"/>
      <c r="F893" s="20"/>
      <c r="I893" s="388"/>
    </row>
    <row r="894" spans="2:9" ht="15.75">
      <c r="B894" s="387"/>
      <c r="F894" s="20"/>
      <c r="I894" s="388"/>
    </row>
    <row r="895" spans="2:9" ht="15.75">
      <c r="B895" s="387"/>
      <c r="F895" s="20"/>
      <c r="I895" s="388"/>
    </row>
    <row r="896" spans="2:9" ht="15.75">
      <c r="B896" s="387"/>
      <c r="F896" s="20"/>
      <c r="I896" s="388"/>
    </row>
    <row r="897" spans="2:9" ht="15.75">
      <c r="B897" s="387"/>
      <c r="F897" s="20"/>
      <c r="I897" s="388"/>
    </row>
    <row r="898" spans="2:9" ht="15.75">
      <c r="B898" s="387"/>
      <c r="F898" s="20"/>
      <c r="I898" s="388"/>
    </row>
    <row r="899" spans="2:9" ht="15.75">
      <c r="B899" s="387"/>
      <c r="F899" s="20"/>
      <c r="I899" s="388"/>
    </row>
    <row r="900" spans="2:9" ht="15.75">
      <c r="B900" s="387"/>
      <c r="F900" s="20"/>
      <c r="I900" s="388"/>
    </row>
    <row r="901" spans="2:9" ht="15.75">
      <c r="B901" s="387"/>
      <c r="F901" s="20"/>
      <c r="I901" s="388"/>
    </row>
    <row r="902" spans="2:9" ht="15.75">
      <c r="B902" s="387"/>
      <c r="F902" s="20"/>
      <c r="I902" s="388"/>
    </row>
    <row r="903" spans="2:9" ht="15.75">
      <c r="B903" s="387"/>
      <c r="F903" s="20"/>
      <c r="I903" s="388"/>
    </row>
    <row r="904" spans="2:9" ht="15.75">
      <c r="B904" s="387"/>
      <c r="F904" s="20"/>
      <c r="I904" s="388"/>
    </row>
    <row r="905" spans="2:9" ht="15.75">
      <c r="B905" s="387"/>
      <c r="F905" s="20"/>
      <c r="I905" s="388"/>
    </row>
    <row r="906" spans="2:9" ht="15.75">
      <c r="B906" s="387"/>
      <c r="F906" s="20"/>
      <c r="I906" s="388"/>
    </row>
    <row r="907" spans="2:9" ht="15.75">
      <c r="B907" s="387"/>
      <c r="F907" s="20"/>
      <c r="I907" s="388"/>
    </row>
    <row r="908" spans="2:9" ht="15.75">
      <c r="B908" s="387"/>
      <c r="F908" s="20"/>
      <c r="I908" s="388"/>
    </row>
    <row r="909" spans="2:9" ht="15.75">
      <c r="B909" s="387"/>
      <c r="F909" s="20"/>
      <c r="I909" s="388"/>
    </row>
    <row r="910" spans="2:9" ht="15.75">
      <c r="B910" s="387"/>
      <c r="F910" s="20"/>
      <c r="I910" s="388"/>
    </row>
    <row r="911" spans="2:9" ht="15.75">
      <c r="B911" s="387"/>
      <c r="F911" s="20"/>
      <c r="I911" s="388"/>
    </row>
    <row r="912" spans="2:9" ht="15.75">
      <c r="B912" s="387"/>
      <c r="F912" s="20"/>
      <c r="I912" s="388"/>
    </row>
    <row r="913" spans="2:9" ht="15.75">
      <c r="B913" s="387"/>
      <c r="F913" s="20"/>
      <c r="I913" s="388"/>
    </row>
    <row r="914" spans="2:9" ht="15.75">
      <c r="B914" s="387"/>
      <c r="F914" s="20"/>
      <c r="I914" s="388"/>
    </row>
    <row r="915" spans="2:9" ht="15.75">
      <c r="B915" s="387"/>
      <c r="F915" s="20"/>
      <c r="I915" s="388"/>
    </row>
    <row r="916" spans="2:9" ht="15.75">
      <c r="B916" s="387"/>
      <c r="F916" s="20"/>
      <c r="I916" s="388"/>
    </row>
    <row r="917" spans="2:9" ht="15.75">
      <c r="B917" s="387"/>
      <c r="F917" s="20"/>
      <c r="I917" s="388"/>
    </row>
    <row r="918" spans="2:9" ht="15.75">
      <c r="B918" s="387"/>
      <c r="F918" s="20"/>
      <c r="I918" s="388"/>
    </row>
    <row r="919" spans="2:9" ht="15.75">
      <c r="B919" s="387"/>
      <c r="F919" s="20"/>
      <c r="I919" s="388"/>
    </row>
    <row r="920" spans="2:9" ht="15.75">
      <c r="B920" s="387"/>
      <c r="F920" s="20"/>
      <c r="I920" s="388"/>
    </row>
    <row r="921" spans="2:9" ht="15.75">
      <c r="B921" s="387"/>
      <c r="F921" s="20"/>
      <c r="I921" s="388"/>
    </row>
    <row r="922" spans="2:9" ht="15.75">
      <c r="B922" s="387"/>
      <c r="F922" s="20"/>
      <c r="I922" s="388"/>
    </row>
    <row r="923" spans="2:9" ht="15.75">
      <c r="B923" s="387"/>
      <c r="F923" s="20"/>
      <c r="I923" s="388"/>
    </row>
    <row r="924" spans="2:9" ht="15.75">
      <c r="B924" s="387"/>
      <c r="F924" s="20"/>
      <c r="I924" s="388"/>
    </row>
    <row r="925" spans="2:9" ht="15.75">
      <c r="B925" s="387"/>
      <c r="F925" s="20"/>
      <c r="I925" s="388"/>
    </row>
    <row r="926" spans="2:9" ht="15.75">
      <c r="B926" s="387"/>
      <c r="F926" s="20"/>
      <c r="I926" s="388"/>
    </row>
    <row r="927" spans="2:9" ht="15.75">
      <c r="B927" s="387"/>
      <c r="F927" s="20"/>
      <c r="I927" s="388"/>
    </row>
    <row r="928" spans="2:9" ht="15.75">
      <c r="B928" s="387"/>
      <c r="F928" s="20"/>
      <c r="I928" s="388"/>
    </row>
    <row r="929" spans="2:9" ht="15.75">
      <c r="B929" s="387"/>
      <c r="F929" s="20"/>
      <c r="I929" s="388"/>
    </row>
    <row r="930" spans="2:9" ht="15.75">
      <c r="B930" s="387"/>
      <c r="F930" s="20"/>
      <c r="I930" s="388"/>
    </row>
    <row r="931" spans="2:9" ht="15.75">
      <c r="B931" s="387"/>
      <c r="F931" s="20"/>
      <c r="I931" s="388"/>
    </row>
    <row r="932" spans="2:9" ht="15.75">
      <c r="B932" s="387"/>
      <c r="F932" s="20"/>
      <c r="I932" s="388"/>
    </row>
    <row r="933" spans="2:9" ht="15.75">
      <c r="B933" s="387"/>
      <c r="F933" s="20"/>
      <c r="I933" s="388"/>
    </row>
    <row r="934" spans="2:9" ht="15.75">
      <c r="B934" s="387"/>
      <c r="F934" s="20"/>
      <c r="I934" s="388"/>
    </row>
    <row r="935" spans="2:9" ht="15.75">
      <c r="B935" s="387"/>
      <c r="F935" s="20"/>
      <c r="I935" s="388"/>
    </row>
    <row r="936" spans="2:9" ht="15.75">
      <c r="B936" s="387"/>
      <c r="F936" s="20"/>
      <c r="I936" s="388"/>
    </row>
    <row r="937" spans="2:9" ht="15.75">
      <c r="B937" s="387"/>
      <c r="F937" s="20"/>
      <c r="I937" s="388"/>
    </row>
    <row r="938" spans="2:9" ht="15.75">
      <c r="B938" s="387"/>
      <c r="F938" s="20"/>
      <c r="I938" s="388"/>
    </row>
    <row r="939" spans="2:9" ht="15.75">
      <c r="B939" s="387"/>
      <c r="F939" s="20"/>
      <c r="I939" s="388"/>
    </row>
    <row r="940" spans="2:9" ht="15.75">
      <c r="B940" s="387"/>
      <c r="F940" s="20"/>
      <c r="I940" s="388"/>
    </row>
    <row r="941" spans="2:9" ht="15.75">
      <c r="B941" s="387"/>
      <c r="F941" s="20"/>
      <c r="I941" s="388"/>
    </row>
    <row r="942" spans="2:9" ht="15.75">
      <c r="B942" s="387"/>
      <c r="F942" s="20"/>
      <c r="I942" s="388"/>
    </row>
    <row r="943" spans="2:9" ht="15.75">
      <c r="B943" s="387"/>
      <c r="F943" s="20"/>
      <c r="I943" s="388"/>
    </row>
    <row r="944" spans="2:9" ht="15.75">
      <c r="B944" s="387"/>
      <c r="F944" s="20"/>
      <c r="I944" s="388"/>
    </row>
    <row r="945" spans="2:9" ht="15.75">
      <c r="B945" s="387"/>
      <c r="F945" s="20"/>
      <c r="I945" s="388"/>
    </row>
    <row r="946" spans="2:9" ht="15.75">
      <c r="B946" s="387"/>
      <c r="F946" s="20"/>
      <c r="I946" s="388"/>
    </row>
    <row r="947" spans="2:9" ht="15.75">
      <c r="B947" s="387"/>
      <c r="F947" s="20"/>
      <c r="I947" s="388"/>
    </row>
    <row r="948" spans="2:9" ht="15.75">
      <c r="B948" s="387"/>
      <c r="F948" s="20"/>
      <c r="I948" s="388"/>
    </row>
    <row r="949" spans="2:9" ht="15.75">
      <c r="B949" s="387"/>
      <c r="F949" s="20"/>
      <c r="I949" s="388"/>
    </row>
    <row r="950" spans="2:9" ht="15.75">
      <c r="B950" s="387"/>
      <c r="F950" s="20"/>
      <c r="I950" s="388"/>
    </row>
    <row r="951" spans="2:9" ht="15.75">
      <c r="B951" s="387"/>
      <c r="F951" s="20"/>
      <c r="I951" s="388"/>
    </row>
    <row r="952" spans="2:9" ht="15.75">
      <c r="B952" s="387"/>
      <c r="F952" s="20"/>
      <c r="I952" s="388"/>
    </row>
    <row r="953" spans="2:9" ht="15.75">
      <c r="B953" s="387"/>
      <c r="F953" s="20"/>
      <c r="I953" s="388"/>
    </row>
    <row r="954" spans="2:9" ht="15.75">
      <c r="B954" s="387"/>
      <c r="F954" s="20"/>
      <c r="I954" s="388"/>
    </row>
    <row r="955" spans="2:9" ht="15.75">
      <c r="B955" s="387"/>
      <c r="F955" s="20"/>
      <c r="I955" s="388"/>
    </row>
    <row r="956" spans="2:9" ht="15.75">
      <c r="B956" s="387"/>
      <c r="F956" s="20"/>
      <c r="I956" s="388"/>
    </row>
    <row r="957" spans="2:9" ht="15.75">
      <c r="B957" s="387"/>
      <c r="F957" s="20"/>
      <c r="I957" s="388"/>
    </row>
    <row r="958" spans="2:9" ht="15.75">
      <c r="B958" s="387"/>
      <c r="F958" s="20"/>
      <c r="I958" s="388"/>
    </row>
    <row r="959" spans="2:9" ht="15.75">
      <c r="B959" s="387"/>
      <c r="F959" s="20"/>
      <c r="I959" s="388"/>
    </row>
    <row r="960" spans="2:9" ht="15.75">
      <c r="B960" s="387"/>
      <c r="F960" s="20"/>
      <c r="I960" s="388"/>
    </row>
    <row r="961" spans="2:9" ht="15.75">
      <c r="B961" s="387"/>
      <c r="F961" s="20"/>
      <c r="I961" s="388"/>
    </row>
    <row r="962" spans="2:9" ht="15.75">
      <c r="B962" s="387"/>
      <c r="F962" s="20"/>
      <c r="I962" s="388"/>
    </row>
    <row r="963" spans="2:9" ht="15.75">
      <c r="B963" s="387"/>
      <c r="F963" s="20"/>
      <c r="I963" s="388"/>
    </row>
    <row r="964" spans="2:9" ht="15.75">
      <c r="B964" s="387"/>
      <c r="F964" s="20"/>
      <c r="I964" s="388"/>
    </row>
    <row r="965" spans="2:9" ht="15.75">
      <c r="B965" s="387"/>
      <c r="F965" s="20"/>
      <c r="I965" s="388"/>
    </row>
    <row r="966" spans="2:9" ht="15.75">
      <c r="B966" s="387"/>
      <c r="F966" s="20"/>
      <c r="I966" s="388"/>
    </row>
    <row r="967" spans="2:9" ht="15.75">
      <c r="B967" s="387"/>
      <c r="F967" s="20"/>
      <c r="I967" s="388"/>
    </row>
    <row r="968" spans="2:9" ht="15.75">
      <c r="B968" s="387"/>
      <c r="F968" s="20"/>
      <c r="I968" s="388"/>
    </row>
    <row r="969" spans="2:9" ht="15.75">
      <c r="B969" s="387"/>
      <c r="F969" s="20"/>
      <c r="I969" s="388"/>
    </row>
    <row r="970" spans="2:9" ht="15.75">
      <c r="B970" s="387"/>
      <c r="F970" s="20"/>
      <c r="I970" s="388"/>
    </row>
    <row r="971" spans="2:9" ht="15.75">
      <c r="B971" s="387"/>
      <c r="F971" s="20"/>
      <c r="I971" s="388"/>
    </row>
    <row r="972" spans="2:9" ht="15.75">
      <c r="B972" s="387"/>
      <c r="F972" s="20"/>
      <c r="I972" s="388"/>
    </row>
    <row r="973" spans="2:9" ht="15.75">
      <c r="B973" s="387"/>
      <c r="F973" s="20"/>
      <c r="I973" s="388"/>
    </row>
    <row r="974" spans="2:9" ht="15.75">
      <c r="B974" s="387"/>
      <c r="F974" s="20"/>
      <c r="I974" s="388"/>
    </row>
    <row r="975" spans="2:9" ht="15.75">
      <c r="B975" s="387"/>
      <c r="F975" s="20"/>
      <c r="I975" s="388"/>
    </row>
    <row r="976" spans="2:9" ht="15.75">
      <c r="B976" s="387"/>
      <c r="F976" s="20"/>
      <c r="I976" s="388"/>
    </row>
    <row r="977" spans="2:9" ht="15.75">
      <c r="B977" s="387"/>
      <c r="F977" s="20"/>
      <c r="I977" s="388"/>
    </row>
    <row r="978" spans="2:9" ht="15.75">
      <c r="B978" s="387"/>
      <c r="F978" s="20"/>
      <c r="I978" s="388"/>
    </row>
    <row r="979" spans="2:9" ht="15.75">
      <c r="B979" s="387"/>
      <c r="F979" s="20"/>
      <c r="I979" s="388"/>
    </row>
    <row r="980" spans="2:9" ht="15.75">
      <c r="B980" s="387"/>
      <c r="F980" s="20"/>
      <c r="I980" s="388"/>
    </row>
    <row r="981" spans="2:9" ht="15.75">
      <c r="B981" s="387"/>
      <c r="F981" s="20"/>
      <c r="I981" s="388"/>
    </row>
    <row r="982" spans="2:9" ht="15.75">
      <c r="B982" s="387"/>
      <c r="F982" s="20"/>
      <c r="I982" s="388"/>
    </row>
    <row r="983" spans="2:9" ht="15.75">
      <c r="B983" s="387"/>
      <c r="F983" s="20"/>
      <c r="I983" s="388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G548"/>
  <sheetViews>
    <sheetView workbookViewId="0"/>
  </sheetViews>
  <sheetFormatPr defaultColWidth="11.25" defaultRowHeight="15" customHeight="1"/>
  <cols>
    <col min="1" max="1" width="9.875" customWidth="1"/>
    <col min="2" max="2" width="9.25" customWidth="1"/>
    <col min="3" max="3" width="12.5" customWidth="1"/>
    <col min="4" max="4" width="6.625" customWidth="1"/>
    <col min="5" max="5" width="6.375" customWidth="1"/>
    <col min="6" max="6" width="12" customWidth="1"/>
    <col min="7" max="7" width="6.25" customWidth="1"/>
    <col min="8" max="8" width="9.125" customWidth="1"/>
    <col min="9" max="9" width="9.875" customWidth="1"/>
    <col min="10" max="10" width="9.75" customWidth="1"/>
    <col min="11" max="11" width="9.375" customWidth="1"/>
    <col min="12" max="12" width="8.875" customWidth="1"/>
    <col min="13" max="13" width="9.125" customWidth="1"/>
    <col min="14" max="14" width="9.5" customWidth="1"/>
    <col min="15" max="15" width="9" customWidth="1"/>
    <col min="16" max="16" width="7.125" customWidth="1"/>
    <col min="17" max="17" width="9.625" customWidth="1"/>
    <col min="18" max="18" width="9.5" customWidth="1"/>
    <col min="19" max="20" width="6.75" customWidth="1"/>
    <col min="21" max="21" width="8.875" customWidth="1"/>
    <col min="22" max="23" width="9.5" customWidth="1"/>
    <col min="24" max="24" width="9.625" customWidth="1"/>
    <col min="25" max="25" width="9.125" customWidth="1"/>
    <col min="26" max="26" width="9" customWidth="1"/>
    <col min="27" max="27" width="9.5" customWidth="1"/>
    <col min="28" max="28" width="8.625" customWidth="1"/>
    <col min="30" max="30" width="9.75" customWidth="1"/>
    <col min="31" max="31" width="9.5" customWidth="1"/>
    <col min="32" max="32" width="58.5" customWidth="1"/>
    <col min="33" max="33" width="31.875" customWidth="1"/>
  </cols>
  <sheetData>
    <row r="1" spans="1:33" ht="38.25">
      <c r="A1" s="195" t="s">
        <v>0</v>
      </c>
      <c r="B1" s="389" t="s">
        <v>497</v>
      </c>
      <c r="C1" s="389" t="s">
        <v>498</v>
      </c>
      <c r="D1" s="389" t="s">
        <v>499</v>
      </c>
      <c r="E1" s="389" t="s">
        <v>500</v>
      </c>
      <c r="F1" s="389" t="s">
        <v>501</v>
      </c>
      <c r="G1" s="389" t="s">
        <v>502</v>
      </c>
      <c r="H1" s="389" t="s">
        <v>503</v>
      </c>
      <c r="I1" s="389" t="s">
        <v>504</v>
      </c>
      <c r="J1" s="389" t="s">
        <v>505</v>
      </c>
      <c r="K1" s="389" t="s">
        <v>506</v>
      </c>
      <c r="L1" s="389" t="s">
        <v>507</v>
      </c>
      <c r="M1" s="389" t="s">
        <v>508</v>
      </c>
      <c r="N1" s="389" t="s">
        <v>509</v>
      </c>
      <c r="O1" s="389" t="s">
        <v>510</v>
      </c>
      <c r="P1" s="390" t="s">
        <v>511</v>
      </c>
      <c r="Q1" s="390" t="s">
        <v>512</v>
      </c>
      <c r="R1" s="390" t="s">
        <v>513</v>
      </c>
      <c r="S1" s="389" t="s">
        <v>514</v>
      </c>
      <c r="T1" s="389" t="s">
        <v>515</v>
      </c>
      <c r="U1" s="389" t="s">
        <v>516</v>
      </c>
      <c r="V1" s="389" t="s">
        <v>517</v>
      </c>
      <c r="W1" s="389" t="s">
        <v>518</v>
      </c>
      <c r="X1" s="389" t="s">
        <v>519</v>
      </c>
      <c r="Y1" s="389" t="s">
        <v>520</v>
      </c>
      <c r="Z1" s="391" t="s">
        <v>521</v>
      </c>
      <c r="AA1" s="391" t="s">
        <v>522</v>
      </c>
      <c r="AB1" s="391" t="s">
        <v>523</v>
      </c>
      <c r="AC1" s="391" t="s">
        <v>524</v>
      </c>
      <c r="AD1" s="391" t="s">
        <v>525</v>
      </c>
      <c r="AE1" s="391" t="s">
        <v>526</v>
      </c>
      <c r="AF1" s="392" t="s">
        <v>527</v>
      </c>
      <c r="AG1" s="392"/>
    </row>
    <row r="2" spans="1:33" ht="15.75">
      <c r="A2" s="393" t="s">
        <v>528</v>
      </c>
      <c r="B2" s="394" t="s">
        <v>529</v>
      </c>
      <c r="C2" s="394" t="s">
        <v>530</v>
      </c>
      <c r="D2" s="394" t="s">
        <v>531</v>
      </c>
      <c r="E2" s="394">
        <v>1</v>
      </c>
      <c r="F2" s="395">
        <v>45328.343055555553</v>
      </c>
      <c r="G2" s="394">
        <v>1</v>
      </c>
      <c r="H2" s="394">
        <v>51.370800000000003</v>
      </c>
      <c r="I2" s="394">
        <v>15.610099999999999</v>
      </c>
      <c r="J2" s="394">
        <v>-15.3599</v>
      </c>
      <c r="K2" s="394">
        <v>-14.5284</v>
      </c>
      <c r="L2" s="394">
        <v>871.88699999999994</v>
      </c>
      <c r="M2" s="394">
        <v>94.001559999999998</v>
      </c>
      <c r="N2" s="394">
        <v>11565.96</v>
      </c>
      <c r="O2" s="394">
        <v>11565.96</v>
      </c>
      <c r="P2" s="396">
        <v>2012.34</v>
      </c>
      <c r="Q2" s="396" t="s">
        <v>18</v>
      </c>
      <c r="R2" s="396" t="s">
        <v>18</v>
      </c>
      <c r="S2" s="396" t="s">
        <v>18</v>
      </c>
      <c r="T2" s="394" t="s">
        <v>532</v>
      </c>
      <c r="U2" s="394">
        <v>15</v>
      </c>
      <c r="V2" s="394">
        <v>5</v>
      </c>
      <c r="W2" s="394">
        <v>0.7</v>
      </c>
      <c r="X2" s="394">
        <v>0.7</v>
      </c>
      <c r="Y2" s="394">
        <v>0.7</v>
      </c>
      <c r="Z2" s="397">
        <v>1700</v>
      </c>
      <c r="AA2" s="397" t="s">
        <v>533</v>
      </c>
      <c r="AB2" s="397">
        <v>0.85</v>
      </c>
      <c r="AC2" s="397" t="s">
        <v>534</v>
      </c>
      <c r="AD2" s="397" t="s">
        <v>535</v>
      </c>
      <c r="AE2" s="397">
        <v>220</v>
      </c>
      <c r="AF2" s="398"/>
      <c r="AG2" s="398"/>
    </row>
    <row r="3" spans="1:33" ht="15.75">
      <c r="A3" s="393" t="s">
        <v>536</v>
      </c>
      <c r="B3" s="394" t="s">
        <v>529</v>
      </c>
      <c r="C3" s="394" t="s">
        <v>530</v>
      </c>
      <c r="D3" s="394" t="s">
        <v>531</v>
      </c>
      <c r="E3" s="394">
        <v>1</v>
      </c>
      <c r="F3" s="395">
        <v>45328.345833333333</v>
      </c>
      <c r="G3" s="394">
        <v>1</v>
      </c>
      <c r="H3" s="394">
        <v>51.364100000000001</v>
      </c>
      <c r="I3" s="394">
        <v>17.0809</v>
      </c>
      <c r="J3" s="394">
        <v>-15.703799999999999</v>
      </c>
      <c r="K3" s="394">
        <v>-14.868499999999999</v>
      </c>
      <c r="L3" s="394">
        <v>877.61599999999999</v>
      </c>
      <c r="M3" s="394">
        <v>95.499840000000006</v>
      </c>
      <c r="N3" s="394">
        <v>11526.51</v>
      </c>
      <c r="O3" s="394">
        <v>11526.51</v>
      </c>
      <c r="P3" s="396">
        <v>2005.6</v>
      </c>
      <c r="Q3" s="396" t="s">
        <v>18</v>
      </c>
      <c r="R3" s="396" t="s">
        <v>18</v>
      </c>
      <c r="S3" s="396" t="s">
        <v>18</v>
      </c>
      <c r="T3" s="394" t="s">
        <v>532</v>
      </c>
      <c r="U3" s="394">
        <v>15</v>
      </c>
      <c r="V3" s="394">
        <v>5</v>
      </c>
      <c r="W3" s="394">
        <v>0.7</v>
      </c>
      <c r="X3" s="394">
        <v>0.7</v>
      </c>
      <c r="Y3" s="394">
        <v>0.7</v>
      </c>
      <c r="Z3" s="397">
        <v>1700</v>
      </c>
      <c r="AA3" s="397" t="s">
        <v>533</v>
      </c>
      <c r="AB3" s="397">
        <v>0.85</v>
      </c>
      <c r="AC3" s="397" t="s">
        <v>534</v>
      </c>
      <c r="AD3" s="397" t="s">
        <v>535</v>
      </c>
      <c r="AE3" s="397">
        <v>220</v>
      </c>
      <c r="AF3" s="398"/>
      <c r="AG3" s="398"/>
    </row>
    <row r="4" spans="1:33" ht="15.75">
      <c r="A4" s="393" t="s">
        <v>537</v>
      </c>
      <c r="B4" s="394" t="s">
        <v>529</v>
      </c>
      <c r="C4" s="394" t="s">
        <v>530</v>
      </c>
      <c r="D4" s="394" t="s">
        <v>531</v>
      </c>
      <c r="E4" s="394">
        <v>1</v>
      </c>
      <c r="F4" s="395">
        <v>45328.349305555559</v>
      </c>
      <c r="G4" s="394">
        <v>1</v>
      </c>
      <c r="H4" s="394">
        <v>51.370800000000003</v>
      </c>
      <c r="I4" s="394">
        <v>15.423400000000001</v>
      </c>
      <c r="J4" s="394">
        <v>-15.7638</v>
      </c>
      <c r="K4" s="394">
        <v>-14.9275</v>
      </c>
      <c r="L4" s="394">
        <v>891.94399999999996</v>
      </c>
      <c r="M4" s="394">
        <v>108.9996</v>
      </c>
      <c r="N4" s="394">
        <v>11546.1</v>
      </c>
      <c r="O4" s="394">
        <v>11546.1</v>
      </c>
      <c r="P4" s="396">
        <v>2008.94</v>
      </c>
      <c r="Q4" s="396" t="s">
        <v>18</v>
      </c>
      <c r="R4" s="396" t="s">
        <v>18</v>
      </c>
      <c r="S4" s="396" t="s">
        <v>18</v>
      </c>
      <c r="T4" s="394" t="s">
        <v>532</v>
      </c>
      <c r="U4" s="394">
        <v>15</v>
      </c>
      <c r="V4" s="394">
        <v>5</v>
      </c>
      <c r="W4" s="394">
        <v>0.7</v>
      </c>
      <c r="X4" s="394">
        <v>0.7</v>
      </c>
      <c r="Y4" s="394">
        <v>0.7</v>
      </c>
      <c r="Z4" s="397">
        <v>1700</v>
      </c>
      <c r="AA4" s="397" t="s">
        <v>533</v>
      </c>
      <c r="AB4" s="397">
        <v>0.85</v>
      </c>
      <c r="AC4" s="397" t="s">
        <v>534</v>
      </c>
      <c r="AD4" s="397" t="s">
        <v>535</v>
      </c>
      <c r="AE4" s="397">
        <v>220</v>
      </c>
      <c r="AF4" s="398"/>
      <c r="AG4" s="398"/>
    </row>
    <row r="5" spans="1:33" ht="15.75">
      <c r="A5" s="393" t="s">
        <v>538</v>
      </c>
      <c r="B5" s="394" t="s">
        <v>529</v>
      </c>
      <c r="C5" s="394" t="s">
        <v>530</v>
      </c>
      <c r="D5" s="394" t="s">
        <v>531</v>
      </c>
      <c r="E5" s="394">
        <v>1</v>
      </c>
      <c r="F5" s="395">
        <v>45328.352083333331</v>
      </c>
      <c r="G5" s="394">
        <v>1</v>
      </c>
      <c r="H5" s="394">
        <v>51.3675</v>
      </c>
      <c r="I5" s="394">
        <v>12.933</v>
      </c>
      <c r="J5" s="394">
        <v>-15.835699999999999</v>
      </c>
      <c r="K5" s="394">
        <v>-14.985900000000001</v>
      </c>
      <c r="L5" s="394">
        <v>884.07100000000003</v>
      </c>
      <c r="M5" s="394">
        <v>100.9997</v>
      </c>
      <c r="N5" s="394">
        <v>11559.84</v>
      </c>
      <c r="O5" s="394">
        <v>11559.84</v>
      </c>
      <c r="P5" s="396">
        <v>2011.29</v>
      </c>
      <c r="Q5" s="396" t="s">
        <v>18</v>
      </c>
      <c r="R5" s="396" t="s">
        <v>18</v>
      </c>
      <c r="S5" s="396" t="s">
        <v>18</v>
      </c>
      <c r="T5" s="394" t="s">
        <v>532</v>
      </c>
      <c r="U5" s="394">
        <v>15</v>
      </c>
      <c r="V5" s="394">
        <v>5</v>
      </c>
      <c r="W5" s="394">
        <v>0.7</v>
      </c>
      <c r="X5" s="394">
        <v>0.7</v>
      </c>
      <c r="Y5" s="394">
        <v>0.7</v>
      </c>
      <c r="Z5" s="397">
        <v>1700</v>
      </c>
      <c r="AA5" s="397" t="s">
        <v>533</v>
      </c>
      <c r="AB5" s="397">
        <v>0.85</v>
      </c>
      <c r="AC5" s="397" t="s">
        <v>534</v>
      </c>
      <c r="AD5" s="397" t="s">
        <v>535</v>
      </c>
      <c r="AE5" s="397">
        <v>220</v>
      </c>
      <c r="AF5" s="398"/>
      <c r="AG5" s="398"/>
    </row>
    <row r="6" spans="1:33" ht="15.75">
      <c r="A6" s="393" t="s">
        <v>539</v>
      </c>
      <c r="B6" s="394" t="s">
        <v>540</v>
      </c>
      <c r="C6" s="394" t="s">
        <v>541</v>
      </c>
      <c r="D6" s="394" t="s">
        <v>531</v>
      </c>
      <c r="E6" s="394">
        <v>1.2</v>
      </c>
      <c r="F6" s="395">
        <v>45328.363888888889</v>
      </c>
      <c r="G6" s="394">
        <v>1</v>
      </c>
      <c r="H6" s="394">
        <v>51.374099999999999</v>
      </c>
      <c r="I6" s="394">
        <v>10.819800000000001</v>
      </c>
      <c r="J6" s="394">
        <v>-16.076799999999999</v>
      </c>
      <c r="K6" s="394">
        <v>-15.2394</v>
      </c>
      <c r="L6" s="394">
        <v>960.399</v>
      </c>
      <c r="M6" s="394">
        <v>99.500360000000001</v>
      </c>
      <c r="N6" s="394">
        <v>14149.77</v>
      </c>
      <c r="O6" s="394">
        <v>14299.77</v>
      </c>
      <c r="P6" s="396">
        <v>2021.55</v>
      </c>
      <c r="Q6" s="396" t="s">
        <v>18</v>
      </c>
      <c r="R6" s="396" t="s">
        <v>18</v>
      </c>
      <c r="S6" s="396" t="s">
        <v>18</v>
      </c>
      <c r="T6" s="394" t="s">
        <v>542</v>
      </c>
      <c r="U6" s="394">
        <v>15</v>
      </c>
      <c r="V6" s="394">
        <v>5</v>
      </c>
      <c r="W6" s="394">
        <v>0.7</v>
      </c>
      <c r="X6" s="394">
        <v>0.7</v>
      </c>
      <c r="Y6" s="394">
        <v>0.7</v>
      </c>
      <c r="Z6" s="397">
        <v>1700</v>
      </c>
      <c r="AA6" s="397" t="s">
        <v>533</v>
      </c>
      <c r="AB6" s="397">
        <v>0.85</v>
      </c>
      <c r="AC6" s="397" t="s">
        <v>534</v>
      </c>
      <c r="AD6" s="397" t="s">
        <v>535</v>
      </c>
      <c r="AE6" s="397">
        <v>220</v>
      </c>
      <c r="AF6" s="398"/>
      <c r="AG6" s="398"/>
    </row>
    <row r="7" spans="1:33" ht="15.75">
      <c r="A7" s="393" t="s">
        <v>543</v>
      </c>
      <c r="B7" s="394" t="s">
        <v>540</v>
      </c>
      <c r="C7" s="394" t="s">
        <v>541</v>
      </c>
      <c r="D7" s="394" t="s">
        <v>531</v>
      </c>
      <c r="E7" s="394">
        <v>1.2</v>
      </c>
      <c r="F7" s="395">
        <v>45328.367361111108</v>
      </c>
      <c r="G7" s="394">
        <v>1</v>
      </c>
      <c r="H7" s="394">
        <v>51.377400000000002</v>
      </c>
      <c r="I7" s="394">
        <v>8.9854000000000003</v>
      </c>
      <c r="J7" s="394">
        <v>-16.1692</v>
      </c>
      <c r="K7" s="394">
        <v>-15.3485</v>
      </c>
      <c r="L7" s="394">
        <v>977.62900000000002</v>
      </c>
      <c r="M7" s="394">
        <v>102.5012</v>
      </c>
      <c r="N7" s="394">
        <v>14289.42</v>
      </c>
      <c r="O7" s="394">
        <v>14299.77</v>
      </c>
      <c r="P7" s="396">
        <v>2021.55</v>
      </c>
      <c r="Q7" s="396" t="s">
        <v>18</v>
      </c>
      <c r="R7" s="396" t="s">
        <v>18</v>
      </c>
      <c r="S7" s="396" t="s">
        <v>18</v>
      </c>
      <c r="T7" s="394" t="s">
        <v>532</v>
      </c>
      <c r="U7" s="394">
        <v>15</v>
      </c>
      <c r="V7" s="394">
        <v>5</v>
      </c>
      <c r="W7" s="394">
        <v>0.7</v>
      </c>
      <c r="X7" s="394">
        <v>0.7</v>
      </c>
      <c r="Y7" s="394">
        <v>0.7</v>
      </c>
      <c r="Z7" s="397">
        <v>1700</v>
      </c>
      <c r="AA7" s="397" t="s">
        <v>533</v>
      </c>
      <c r="AB7" s="397">
        <v>0.85</v>
      </c>
      <c r="AC7" s="397" t="s">
        <v>534</v>
      </c>
      <c r="AD7" s="397" t="s">
        <v>535</v>
      </c>
      <c r="AE7" s="397">
        <v>220</v>
      </c>
      <c r="AF7" s="398"/>
      <c r="AG7" s="398"/>
    </row>
    <row r="8" spans="1:33" ht="15.75">
      <c r="A8" s="393" t="s">
        <v>544</v>
      </c>
      <c r="B8" s="394" t="s">
        <v>540</v>
      </c>
      <c r="C8" s="394" t="s">
        <v>541</v>
      </c>
      <c r="D8" s="394" t="s">
        <v>531</v>
      </c>
      <c r="E8" s="394">
        <v>1.2</v>
      </c>
      <c r="F8" s="395">
        <v>45328.370833333334</v>
      </c>
      <c r="G8" s="394">
        <v>1</v>
      </c>
      <c r="H8" s="394">
        <v>51.374099999999999</v>
      </c>
      <c r="I8" s="394">
        <v>8.0672200000000007</v>
      </c>
      <c r="J8" s="394">
        <v>-16.232800000000001</v>
      </c>
      <c r="K8" s="394">
        <v>-15.3855</v>
      </c>
      <c r="L8" s="394">
        <v>968.346</v>
      </c>
      <c r="M8" s="394">
        <v>98.499600000000001</v>
      </c>
      <c r="N8" s="394">
        <v>14299</v>
      </c>
      <c r="O8" s="394">
        <v>14299.77</v>
      </c>
      <c r="P8" s="396">
        <v>2021.55</v>
      </c>
      <c r="Q8" s="396" t="s">
        <v>18</v>
      </c>
      <c r="R8" s="396" t="s">
        <v>18</v>
      </c>
      <c r="S8" s="396" t="s">
        <v>18</v>
      </c>
      <c r="T8" s="394" t="s">
        <v>532</v>
      </c>
      <c r="U8" s="394">
        <v>15</v>
      </c>
      <c r="V8" s="394">
        <v>5</v>
      </c>
      <c r="W8" s="394">
        <v>0.7</v>
      </c>
      <c r="X8" s="394">
        <v>0.7</v>
      </c>
      <c r="Y8" s="394">
        <v>0.7</v>
      </c>
      <c r="Z8" s="397">
        <v>1700</v>
      </c>
      <c r="AA8" s="397" t="s">
        <v>533</v>
      </c>
      <c r="AB8" s="397">
        <v>0.85</v>
      </c>
      <c r="AC8" s="397" t="s">
        <v>534</v>
      </c>
      <c r="AD8" s="397" t="s">
        <v>535</v>
      </c>
      <c r="AE8" s="397">
        <v>220</v>
      </c>
      <c r="AF8" s="398"/>
      <c r="AG8" s="398"/>
    </row>
    <row r="9" spans="1:33" ht="15.75">
      <c r="A9" s="393" t="s">
        <v>545</v>
      </c>
      <c r="B9" s="394" t="s">
        <v>540</v>
      </c>
      <c r="C9" s="394" t="s">
        <v>541</v>
      </c>
      <c r="D9" s="394" t="s">
        <v>531</v>
      </c>
      <c r="E9" s="394">
        <v>1.2</v>
      </c>
      <c r="F9" s="395">
        <v>45328.373611111114</v>
      </c>
      <c r="G9" s="394">
        <v>1</v>
      </c>
      <c r="H9" s="394">
        <v>51.370800000000003</v>
      </c>
      <c r="I9" s="394">
        <v>7.5395799999999999</v>
      </c>
      <c r="J9" s="394">
        <v>-16.250499999999999</v>
      </c>
      <c r="K9" s="394">
        <v>-15.410500000000001</v>
      </c>
      <c r="L9" s="394">
        <v>975.67899999999997</v>
      </c>
      <c r="M9" s="394">
        <v>102.5013</v>
      </c>
      <c r="N9" s="394">
        <v>14310.88</v>
      </c>
      <c r="O9" s="394">
        <v>14299.77</v>
      </c>
      <c r="P9" s="396">
        <v>2021.55</v>
      </c>
      <c r="Q9" s="396" t="s">
        <v>18</v>
      </c>
      <c r="R9" s="396" t="s">
        <v>18</v>
      </c>
      <c r="S9" s="396" t="s">
        <v>18</v>
      </c>
      <c r="T9" s="394" t="s">
        <v>532</v>
      </c>
      <c r="U9" s="394">
        <v>15</v>
      </c>
      <c r="V9" s="394">
        <v>5</v>
      </c>
      <c r="W9" s="394">
        <v>0.7</v>
      </c>
      <c r="X9" s="394">
        <v>0.7</v>
      </c>
      <c r="Y9" s="394">
        <v>0.7</v>
      </c>
      <c r="Z9" s="397">
        <v>1700</v>
      </c>
      <c r="AA9" s="397" t="s">
        <v>533</v>
      </c>
      <c r="AB9" s="397">
        <v>0.85</v>
      </c>
      <c r="AC9" s="397" t="s">
        <v>534</v>
      </c>
      <c r="AD9" s="397" t="s">
        <v>535</v>
      </c>
      <c r="AE9" s="397">
        <v>220</v>
      </c>
      <c r="AF9" s="398"/>
      <c r="AG9" s="398"/>
    </row>
    <row r="10" spans="1:33" ht="15.75">
      <c r="A10" s="393" t="s">
        <v>546</v>
      </c>
      <c r="B10" s="394" t="s">
        <v>547</v>
      </c>
      <c r="C10" s="394" t="s">
        <v>541</v>
      </c>
      <c r="D10" s="394" t="s">
        <v>531</v>
      </c>
      <c r="E10" s="394">
        <v>1.5</v>
      </c>
      <c r="F10" s="395">
        <v>45328.377083333333</v>
      </c>
      <c r="G10" s="394">
        <v>1</v>
      </c>
      <c r="H10" s="394">
        <v>51.370800000000003</v>
      </c>
      <c r="I10" s="394">
        <v>7.4840900000000001</v>
      </c>
      <c r="J10" s="394">
        <v>-16.313600000000001</v>
      </c>
      <c r="K10" s="394">
        <v>-15.475199999999999</v>
      </c>
      <c r="L10" s="394">
        <v>990.09900000000005</v>
      </c>
      <c r="M10" s="394">
        <v>129.4992</v>
      </c>
      <c r="N10" s="394">
        <v>17923.95</v>
      </c>
      <c r="O10" s="394">
        <v>17911.12</v>
      </c>
      <c r="P10" s="396">
        <v>2021.55</v>
      </c>
      <c r="Q10" s="396" t="s">
        <v>18</v>
      </c>
      <c r="R10" s="396" t="s">
        <v>18</v>
      </c>
      <c r="S10" s="396" t="s">
        <v>18</v>
      </c>
      <c r="T10" s="394" t="s">
        <v>532</v>
      </c>
      <c r="U10" s="394">
        <v>15</v>
      </c>
      <c r="V10" s="394">
        <v>5</v>
      </c>
      <c r="W10" s="394">
        <v>0.7</v>
      </c>
      <c r="X10" s="394">
        <v>0.7</v>
      </c>
      <c r="Y10" s="394">
        <v>0.7</v>
      </c>
      <c r="Z10" s="397">
        <v>1700</v>
      </c>
      <c r="AA10" s="397" t="s">
        <v>533</v>
      </c>
      <c r="AB10" s="397">
        <v>0.85</v>
      </c>
      <c r="AC10" s="397" t="s">
        <v>534</v>
      </c>
      <c r="AD10" s="397" t="s">
        <v>535</v>
      </c>
      <c r="AE10" s="397">
        <v>220</v>
      </c>
      <c r="AF10" s="398"/>
      <c r="AG10" s="398"/>
    </row>
    <row r="11" spans="1:33" ht="15.75">
      <c r="A11" s="393" t="s">
        <v>548</v>
      </c>
      <c r="B11" s="394" t="s">
        <v>547</v>
      </c>
      <c r="C11" s="394" t="s">
        <v>541</v>
      </c>
      <c r="D11" s="394" t="s">
        <v>531</v>
      </c>
      <c r="E11" s="394">
        <v>1.5</v>
      </c>
      <c r="F11" s="395">
        <v>45328.381249999999</v>
      </c>
      <c r="G11" s="394">
        <v>1</v>
      </c>
      <c r="H11" s="394">
        <v>51.370800000000003</v>
      </c>
      <c r="I11" s="394">
        <v>7.37765</v>
      </c>
      <c r="J11" s="394">
        <v>-16.211300000000001</v>
      </c>
      <c r="K11" s="394">
        <v>-15.3736</v>
      </c>
      <c r="L11" s="394">
        <v>1000.63</v>
      </c>
      <c r="M11" s="394">
        <v>105.99979999999999</v>
      </c>
      <c r="N11" s="394">
        <v>17901.97</v>
      </c>
      <c r="O11" s="394">
        <v>17911.12</v>
      </c>
      <c r="P11" s="396">
        <v>2021.55</v>
      </c>
      <c r="Q11" s="396" t="s">
        <v>18</v>
      </c>
      <c r="R11" s="396" t="s">
        <v>18</v>
      </c>
      <c r="S11" s="396" t="s">
        <v>18</v>
      </c>
      <c r="T11" s="394" t="s">
        <v>532</v>
      </c>
      <c r="U11" s="394">
        <v>15</v>
      </c>
      <c r="V11" s="394">
        <v>5</v>
      </c>
      <c r="W11" s="394">
        <v>0.7</v>
      </c>
      <c r="X11" s="394">
        <v>0.7</v>
      </c>
      <c r="Y11" s="394">
        <v>0.7</v>
      </c>
      <c r="Z11" s="397">
        <v>1700</v>
      </c>
      <c r="AA11" s="397" t="s">
        <v>533</v>
      </c>
      <c r="AB11" s="397">
        <v>0.85</v>
      </c>
      <c r="AC11" s="397" t="s">
        <v>534</v>
      </c>
      <c r="AD11" s="397" t="s">
        <v>535</v>
      </c>
      <c r="AE11" s="397">
        <v>220</v>
      </c>
      <c r="AF11" s="398"/>
      <c r="AG11" s="398"/>
    </row>
    <row r="12" spans="1:33" ht="15.75">
      <c r="A12" s="393" t="s">
        <v>549</v>
      </c>
      <c r="B12" s="394" t="s">
        <v>547</v>
      </c>
      <c r="C12" s="394" t="s">
        <v>541</v>
      </c>
      <c r="D12" s="394" t="s">
        <v>531</v>
      </c>
      <c r="E12" s="394">
        <v>1.5</v>
      </c>
      <c r="F12" s="395">
        <v>45328.384027777778</v>
      </c>
      <c r="G12" s="394">
        <v>1</v>
      </c>
      <c r="H12" s="394">
        <v>51.374099999999999</v>
      </c>
      <c r="I12" s="394">
        <v>7.4249299999999998</v>
      </c>
      <c r="J12" s="394">
        <v>-16.442799999999998</v>
      </c>
      <c r="K12" s="394">
        <v>-15.619</v>
      </c>
      <c r="L12" s="394">
        <v>1000.45</v>
      </c>
      <c r="M12" s="394">
        <v>150.50129999999999</v>
      </c>
      <c r="N12" s="394">
        <v>17967.400000000001</v>
      </c>
      <c r="O12" s="394">
        <v>17911.12</v>
      </c>
      <c r="P12" s="396">
        <v>2021.55</v>
      </c>
      <c r="Q12" s="396" t="s">
        <v>18</v>
      </c>
      <c r="R12" s="396" t="s">
        <v>18</v>
      </c>
      <c r="S12" s="396" t="s">
        <v>18</v>
      </c>
      <c r="T12" s="394" t="s">
        <v>542</v>
      </c>
      <c r="U12" s="394">
        <v>15</v>
      </c>
      <c r="V12" s="394">
        <v>5</v>
      </c>
      <c r="W12" s="394">
        <v>0.7</v>
      </c>
      <c r="X12" s="394">
        <v>0.7</v>
      </c>
      <c r="Y12" s="394">
        <v>0.7</v>
      </c>
      <c r="Z12" s="397">
        <v>1700</v>
      </c>
      <c r="AA12" s="397" t="s">
        <v>533</v>
      </c>
      <c r="AB12" s="397">
        <v>0.85</v>
      </c>
      <c r="AC12" s="397" t="s">
        <v>534</v>
      </c>
      <c r="AD12" s="397" t="s">
        <v>535</v>
      </c>
      <c r="AE12" s="397">
        <v>220</v>
      </c>
      <c r="AF12" s="398"/>
      <c r="AG12" s="398"/>
    </row>
    <row r="13" spans="1:33" ht="15.75">
      <c r="A13" s="393" t="s">
        <v>550</v>
      </c>
      <c r="B13" s="394" t="s">
        <v>547</v>
      </c>
      <c r="C13" s="394" t="s">
        <v>541</v>
      </c>
      <c r="D13" s="394" t="s">
        <v>531</v>
      </c>
      <c r="E13" s="394">
        <v>1.5</v>
      </c>
      <c r="F13" s="395">
        <v>45328.388194444444</v>
      </c>
      <c r="G13" s="394">
        <v>1</v>
      </c>
      <c r="H13" s="394">
        <v>51.377400000000002</v>
      </c>
      <c r="I13" s="394">
        <v>7.42422</v>
      </c>
      <c r="J13" s="394">
        <v>-16.3584</v>
      </c>
      <c r="K13" s="394">
        <v>-15.5351</v>
      </c>
      <c r="L13" s="394">
        <v>992.27800000000002</v>
      </c>
      <c r="M13" s="394">
        <v>121.9995</v>
      </c>
      <c r="N13" s="394">
        <v>17907.439999999999</v>
      </c>
      <c r="O13" s="394">
        <v>17911.12</v>
      </c>
      <c r="P13" s="396">
        <v>2021.55</v>
      </c>
      <c r="Q13" s="396" t="s">
        <v>18</v>
      </c>
      <c r="R13" s="396" t="s">
        <v>18</v>
      </c>
      <c r="S13" s="396" t="s">
        <v>18</v>
      </c>
      <c r="T13" s="394" t="s">
        <v>532</v>
      </c>
      <c r="U13" s="394">
        <v>15</v>
      </c>
      <c r="V13" s="394">
        <v>5</v>
      </c>
      <c r="W13" s="394">
        <v>0.7</v>
      </c>
      <c r="X13" s="394">
        <v>0.7</v>
      </c>
      <c r="Y13" s="394">
        <v>0.7</v>
      </c>
      <c r="Z13" s="397">
        <v>1700</v>
      </c>
      <c r="AA13" s="397" t="s">
        <v>533</v>
      </c>
      <c r="AB13" s="397">
        <v>0.85</v>
      </c>
      <c r="AC13" s="397" t="s">
        <v>534</v>
      </c>
      <c r="AD13" s="397" t="s">
        <v>535</v>
      </c>
      <c r="AE13" s="397">
        <v>220</v>
      </c>
      <c r="AF13" s="398"/>
      <c r="AG13" s="398"/>
    </row>
    <row r="14" spans="1:33" ht="15.75">
      <c r="A14" s="393" t="s">
        <v>551</v>
      </c>
      <c r="B14" s="394" t="s">
        <v>552</v>
      </c>
      <c r="C14" s="394" t="s">
        <v>541</v>
      </c>
      <c r="D14" s="394" t="s">
        <v>531</v>
      </c>
      <c r="E14" s="394">
        <v>1.8</v>
      </c>
      <c r="F14" s="395">
        <v>45328.39166666667</v>
      </c>
      <c r="G14" s="394">
        <v>1</v>
      </c>
      <c r="H14" s="394">
        <v>51.377400000000002</v>
      </c>
      <c r="I14" s="394">
        <v>7.4690000000000003</v>
      </c>
      <c r="J14" s="394">
        <v>-16.4069</v>
      </c>
      <c r="K14" s="394">
        <v>-15.5588</v>
      </c>
      <c r="L14" s="394">
        <v>1022.93</v>
      </c>
      <c r="M14" s="394">
        <v>125.9987</v>
      </c>
      <c r="N14" s="394">
        <v>21517.42</v>
      </c>
      <c r="O14" s="394">
        <v>21509.93</v>
      </c>
      <c r="P14" s="396">
        <v>2021.55</v>
      </c>
      <c r="Q14" s="396" t="s">
        <v>18</v>
      </c>
      <c r="R14" s="396" t="s">
        <v>18</v>
      </c>
      <c r="S14" s="396" t="s">
        <v>18</v>
      </c>
      <c r="T14" s="394" t="s">
        <v>532</v>
      </c>
      <c r="U14" s="394">
        <v>15</v>
      </c>
      <c r="V14" s="394">
        <v>5</v>
      </c>
      <c r="W14" s="394">
        <v>0.7</v>
      </c>
      <c r="X14" s="394">
        <v>0.7</v>
      </c>
      <c r="Y14" s="394">
        <v>0.7</v>
      </c>
      <c r="Z14" s="397">
        <v>1700</v>
      </c>
      <c r="AA14" s="397" t="s">
        <v>533</v>
      </c>
      <c r="AB14" s="397">
        <v>0.85</v>
      </c>
      <c r="AC14" s="397" t="s">
        <v>534</v>
      </c>
      <c r="AD14" s="397" t="s">
        <v>535</v>
      </c>
      <c r="AE14" s="397">
        <v>220</v>
      </c>
      <c r="AF14" s="398"/>
      <c r="AG14" s="398"/>
    </row>
    <row r="15" spans="1:33" ht="15.75">
      <c r="A15" s="393" t="s">
        <v>553</v>
      </c>
      <c r="B15" s="394" t="s">
        <v>552</v>
      </c>
      <c r="C15" s="394" t="s">
        <v>541</v>
      </c>
      <c r="D15" s="394" t="s">
        <v>531</v>
      </c>
      <c r="E15" s="394">
        <v>1.8</v>
      </c>
      <c r="F15" s="395">
        <v>45328.395833333336</v>
      </c>
      <c r="G15" s="394">
        <v>1</v>
      </c>
      <c r="H15" s="394">
        <v>51.377400000000002</v>
      </c>
      <c r="I15" s="394">
        <v>7.5073299999999996</v>
      </c>
      <c r="J15" s="394">
        <v>-16.328399999999998</v>
      </c>
      <c r="K15" s="394">
        <v>-15.488300000000001</v>
      </c>
      <c r="L15" s="394">
        <v>1028.4000000000001</v>
      </c>
      <c r="M15" s="394">
        <v>121.5005</v>
      </c>
      <c r="N15" s="394">
        <v>21502.7</v>
      </c>
      <c r="O15" s="394">
        <v>21509.93</v>
      </c>
      <c r="P15" s="396">
        <v>2021.55</v>
      </c>
      <c r="Q15" s="396" t="s">
        <v>18</v>
      </c>
      <c r="R15" s="396" t="s">
        <v>18</v>
      </c>
      <c r="S15" s="396" t="s">
        <v>18</v>
      </c>
      <c r="T15" s="394" t="s">
        <v>532</v>
      </c>
      <c r="U15" s="394">
        <v>15</v>
      </c>
      <c r="V15" s="394">
        <v>5</v>
      </c>
      <c r="W15" s="394">
        <v>0.7</v>
      </c>
      <c r="X15" s="394">
        <v>0.7</v>
      </c>
      <c r="Y15" s="394">
        <v>0.7</v>
      </c>
      <c r="Z15" s="397">
        <v>1700</v>
      </c>
      <c r="AA15" s="397" t="s">
        <v>533</v>
      </c>
      <c r="AB15" s="397">
        <v>0.85</v>
      </c>
      <c r="AC15" s="397" t="s">
        <v>534</v>
      </c>
      <c r="AD15" s="397" t="s">
        <v>535</v>
      </c>
      <c r="AE15" s="397">
        <v>220</v>
      </c>
      <c r="AF15" s="398"/>
      <c r="AG15" s="398"/>
    </row>
    <row r="16" spans="1:33" ht="15.75">
      <c r="A16" s="393" t="s">
        <v>554</v>
      </c>
      <c r="B16" s="394" t="s">
        <v>552</v>
      </c>
      <c r="C16" s="394" t="s">
        <v>541</v>
      </c>
      <c r="D16" s="394" t="s">
        <v>531</v>
      </c>
      <c r="E16" s="394">
        <v>1.8</v>
      </c>
      <c r="F16" s="395">
        <v>45328.399305555555</v>
      </c>
      <c r="G16" s="394">
        <v>1</v>
      </c>
      <c r="H16" s="394">
        <v>51.374099999999999</v>
      </c>
      <c r="I16" s="394">
        <v>7.4940100000000003</v>
      </c>
      <c r="J16" s="394">
        <v>-16.345199999999998</v>
      </c>
      <c r="K16" s="394">
        <v>-15.498900000000001</v>
      </c>
      <c r="L16" s="394">
        <v>1012.17</v>
      </c>
      <c r="M16" s="394">
        <v>122.00020000000001</v>
      </c>
      <c r="N16" s="394">
        <v>21509.67</v>
      </c>
      <c r="O16" s="394">
        <v>21509.93</v>
      </c>
      <c r="P16" s="396">
        <v>2021.55</v>
      </c>
      <c r="Q16" s="396" t="s">
        <v>18</v>
      </c>
      <c r="R16" s="396" t="s">
        <v>18</v>
      </c>
      <c r="S16" s="396" t="s">
        <v>18</v>
      </c>
      <c r="T16" s="394" t="s">
        <v>532</v>
      </c>
      <c r="U16" s="394">
        <v>15</v>
      </c>
      <c r="V16" s="394">
        <v>5</v>
      </c>
      <c r="W16" s="394">
        <v>0.7</v>
      </c>
      <c r="X16" s="394">
        <v>0.7</v>
      </c>
      <c r="Y16" s="394">
        <v>0.7</v>
      </c>
      <c r="Z16" s="397">
        <v>1700</v>
      </c>
      <c r="AA16" s="397" t="s">
        <v>533</v>
      </c>
      <c r="AB16" s="397">
        <v>0.85</v>
      </c>
      <c r="AC16" s="397" t="s">
        <v>534</v>
      </c>
      <c r="AD16" s="397" t="s">
        <v>535</v>
      </c>
      <c r="AE16" s="397">
        <v>220</v>
      </c>
      <c r="AF16" s="398"/>
      <c r="AG16" s="398"/>
    </row>
    <row r="17" spans="1:33" ht="15.75">
      <c r="A17" s="393" t="s">
        <v>555</v>
      </c>
      <c r="B17" s="394">
        <v>2</v>
      </c>
      <c r="C17" s="394" t="s">
        <v>541</v>
      </c>
      <c r="D17" s="394" t="s">
        <v>531</v>
      </c>
      <c r="E17" s="394">
        <v>1.5</v>
      </c>
      <c r="F17" s="395">
        <v>45328.402777777781</v>
      </c>
      <c r="G17" s="394">
        <v>1</v>
      </c>
      <c r="H17" s="394">
        <v>51.370800000000003</v>
      </c>
      <c r="I17" s="394">
        <v>7.4671399999999997</v>
      </c>
      <c r="J17" s="394">
        <v>-16.335699999999999</v>
      </c>
      <c r="K17" s="394">
        <v>-15.4886</v>
      </c>
      <c r="L17" s="394">
        <v>999.28300000000002</v>
      </c>
      <c r="M17" s="394">
        <v>113.99979999999999</v>
      </c>
      <c r="N17" s="394">
        <v>17930.599999999999</v>
      </c>
      <c r="O17" s="394">
        <v>17936.439999999999</v>
      </c>
      <c r="P17" s="396">
        <v>2024.4</v>
      </c>
      <c r="Q17" s="396">
        <f t="shared" ref="Q17:Q44" si="0">P17*(2067.13/2024.6)</f>
        <v>2066.9257986762818</v>
      </c>
      <c r="R17" s="399">
        <f t="shared" ref="R17:R19" si="1">2067.13-Q17</f>
        <v>0.20420132371828004</v>
      </c>
      <c r="S17" s="396">
        <f t="shared" ref="S17:S44" si="2">Q17+R17</f>
        <v>2067.13</v>
      </c>
      <c r="T17" s="394" t="s">
        <v>532</v>
      </c>
      <c r="U17" s="394">
        <v>15</v>
      </c>
      <c r="V17" s="394">
        <v>5</v>
      </c>
      <c r="W17" s="394">
        <v>0.7</v>
      </c>
      <c r="X17" s="394">
        <v>0.7</v>
      </c>
      <c r="Y17" s="394">
        <v>0.7</v>
      </c>
      <c r="Z17" s="397">
        <v>1700</v>
      </c>
      <c r="AA17" s="397" t="s">
        <v>533</v>
      </c>
      <c r="AB17" s="397">
        <v>0.85</v>
      </c>
      <c r="AC17" s="397" t="s">
        <v>534</v>
      </c>
      <c r="AD17" s="397" t="s">
        <v>535</v>
      </c>
      <c r="AE17" s="397">
        <v>220</v>
      </c>
      <c r="AF17" s="398" t="s">
        <v>556</v>
      </c>
      <c r="AG17" s="400"/>
    </row>
    <row r="18" spans="1:33" ht="15.75">
      <c r="A18" s="393" t="s">
        <v>557</v>
      </c>
      <c r="B18" s="394">
        <v>2</v>
      </c>
      <c r="C18" s="394" t="s">
        <v>541</v>
      </c>
      <c r="D18" s="394" t="s">
        <v>531</v>
      </c>
      <c r="E18" s="394">
        <v>1.5</v>
      </c>
      <c r="F18" s="395">
        <v>45328.40625</v>
      </c>
      <c r="G18" s="394">
        <v>1</v>
      </c>
      <c r="H18" s="394">
        <v>51.370800000000003</v>
      </c>
      <c r="I18" s="394">
        <v>7.4272600000000004</v>
      </c>
      <c r="J18" s="394">
        <v>-16.436399999999999</v>
      </c>
      <c r="K18" s="394">
        <v>-15.6007</v>
      </c>
      <c r="L18" s="394">
        <v>1003.43</v>
      </c>
      <c r="M18" s="394">
        <v>123.0005</v>
      </c>
      <c r="N18" s="394">
        <v>17965.560000000001</v>
      </c>
      <c r="O18" s="394">
        <v>17936.439999999999</v>
      </c>
      <c r="P18" s="396">
        <v>2024.4</v>
      </c>
      <c r="Q18" s="396">
        <f t="shared" si="0"/>
        <v>2066.9257986762818</v>
      </c>
      <c r="R18" s="399">
        <f t="shared" si="1"/>
        <v>0.20420132371828004</v>
      </c>
      <c r="S18" s="396">
        <f t="shared" si="2"/>
        <v>2067.13</v>
      </c>
      <c r="T18" s="394" t="s">
        <v>542</v>
      </c>
      <c r="U18" s="394">
        <v>15</v>
      </c>
      <c r="V18" s="394">
        <v>5</v>
      </c>
      <c r="W18" s="394">
        <v>0.7</v>
      </c>
      <c r="X18" s="394">
        <v>0.7</v>
      </c>
      <c r="Y18" s="394">
        <v>0.7</v>
      </c>
      <c r="Z18" s="397">
        <v>1700</v>
      </c>
      <c r="AA18" s="397" t="s">
        <v>533</v>
      </c>
      <c r="AB18" s="397">
        <v>0.85</v>
      </c>
      <c r="AC18" s="397" t="s">
        <v>534</v>
      </c>
      <c r="AD18" s="397" t="s">
        <v>535</v>
      </c>
      <c r="AE18" s="397">
        <v>220</v>
      </c>
      <c r="AF18" s="398" t="s">
        <v>556</v>
      </c>
      <c r="AG18" s="400"/>
    </row>
    <row r="19" spans="1:33" ht="15.75">
      <c r="A19" s="393" t="s">
        <v>558</v>
      </c>
      <c r="B19" s="394">
        <v>2</v>
      </c>
      <c r="C19" s="394" t="s">
        <v>541</v>
      </c>
      <c r="D19" s="394" t="s">
        <v>531</v>
      </c>
      <c r="E19" s="394">
        <v>1.5</v>
      </c>
      <c r="F19" s="395">
        <v>45328.409722222219</v>
      </c>
      <c r="G19" s="394">
        <v>1</v>
      </c>
      <c r="H19" s="394">
        <v>51.370800000000003</v>
      </c>
      <c r="I19" s="394">
        <v>7.4272600000000004</v>
      </c>
      <c r="J19" s="394">
        <v>-16.302199999999999</v>
      </c>
      <c r="K19" s="394">
        <v>-15.463800000000001</v>
      </c>
      <c r="L19" s="394">
        <v>999.93100000000004</v>
      </c>
      <c r="M19" s="394">
        <v>102.5001</v>
      </c>
      <c r="N19" s="394">
        <v>17935.939999999999</v>
      </c>
      <c r="O19" s="394">
        <v>17936.439999999999</v>
      </c>
      <c r="P19" s="396">
        <v>2024.4</v>
      </c>
      <c r="Q19" s="396">
        <f t="shared" si="0"/>
        <v>2066.9257986762818</v>
      </c>
      <c r="R19" s="399">
        <f t="shared" si="1"/>
        <v>0.20420132371828004</v>
      </c>
      <c r="S19" s="396">
        <f t="shared" si="2"/>
        <v>2067.13</v>
      </c>
      <c r="T19" s="394" t="s">
        <v>532</v>
      </c>
      <c r="U19" s="394">
        <v>15</v>
      </c>
      <c r="V19" s="394">
        <v>5</v>
      </c>
      <c r="W19" s="394">
        <v>0.7</v>
      </c>
      <c r="X19" s="394">
        <v>0.7</v>
      </c>
      <c r="Y19" s="394">
        <v>0.7</v>
      </c>
      <c r="Z19" s="397">
        <v>1700</v>
      </c>
      <c r="AA19" s="397" t="s">
        <v>533</v>
      </c>
      <c r="AB19" s="397">
        <v>0.85</v>
      </c>
      <c r="AC19" s="397" t="s">
        <v>534</v>
      </c>
      <c r="AD19" s="397" t="s">
        <v>535</v>
      </c>
      <c r="AE19" s="397">
        <v>220</v>
      </c>
      <c r="AF19" s="398" t="s">
        <v>556</v>
      </c>
      <c r="AG19" s="400"/>
    </row>
    <row r="20" spans="1:33" ht="15.75">
      <c r="A20" s="393" t="s">
        <v>559</v>
      </c>
      <c r="B20" s="394">
        <v>2</v>
      </c>
      <c r="C20" s="394" t="s">
        <v>541</v>
      </c>
      <c r="D20" s="394" t="s">
        <v>531</v>
      </c>
      <c r="E20" s="394">
        <v>1.5</v>
      </c>
      <c r="F20" s="395">
        <v>45328.413194444445</v>
      </c>
      <c r="G20" s="394">
        <v>1</v>
      </c>
      <c r="H20" s="394">
        <v>51.3675</v>
      </c>
      <c r="I20" s="394">
        <v>7.4555699999999998</v>
      </c>
      <c r="J20" s="394">
        <v>-16.4131</v>
      </c>
      <c r="K20" s="394">
        <v>-15.5807</v>
      </c>
      <c r="L20" s="394">
        <v>1013.56</v>
      </c>
      <c r="M20" s="394">
        <v>110.50060000000001</v>
      </c>
      <c r="N20" s="394">
        <v>17942.79</v>
      </c>
      <c r="O20" s="394">
        <v>17936.439999999999</v>
      </c>
      <c r="P20" s="396">
        <v>2024.4</v>
      </c>
      <c r="Q20" s="396">
        <f t="shared" si="0"/>
        <v>2066.9257986762818</v>
      </c>
      <c r="R20" s="399">
        <f t="shared" ref="R20:R44" si="3">((B20-B$20)/(B$57-B$20))*R$58+((1-((B20-B$20)/(B$57-B$20)))*R$19)</f>
        <v>0.20420132371828004</v>
      </c>
      <c r="S20" s="396">
        <f t="shared" si="2"/>
        <v>2067.13</v>
      </c>
      <c r="T20" s="394" t="s">
        <v>532</v>
      </c>
      <c r="U20" s="394">
        <v>15</v>
      </c>
      <c r="V20" s="394">
        <v>5</v>
      </c>
      <c r="W20" s="394">
        <v>0.7</v>
      </c>
      <c r="X20" s="394">
        <v>0.7</v>
      </c>
      <c r="Y20" s="394">
        <v>0.7</v>
      </c>
      <c r="Z20" s="397">
        <v>1700</v>
      </c>
      <c r="AA20" s="397" t="s">
        <v>533</v>
      </c>
      <c r="AB20" s="397">
        <v>0.85</v>
      </c>
      <c r="AC20" s="397" t="s">
        <v>534</v>
      </c>
      <c r="AD20" s="397" t="s">
        <v>535</v>
      </c>
      <c r="AE20" s="397">
        <v>220</v>
      </c>
      <c r="AF20" s="398" t="s">
        <v>556</v>
      </c>
      <c r="AG20" s="400"/>
    </row>
    <row r="21" spans="1:33" ht="15.75">
      <c r="A21" s="393" t="s">
        <v>560</v>
      </c>
      <c r="B21" s="394">
        <v>3</v>
      </c>
      <c r="C21" s="394">
        <v>24</v>
      </c>
      <c r="D21" s="394" t="s">
        <v>561</v>
      </c>
      <c r="E21" s="394">
        <v>1.5</v>
      </c>
      <c r="F21" s="395">
        <v>45328.417361111111</v>
      </c>
      <c r="G21" s="394">
        <v>1</v>
      </c>
      <c r="H21" s="394">
        <v>51.370800000000003</v>
      </c>
      <c r="I21" s="394">
        <v>7.4335399999999998</v>
      </c>
      <c r="J21" s="394">
        <v>-16.411200000000001</v>
      </c>
      <c r="K21" s="394">
        <v>-15.561500000000001</v>
      </c>
      <c r="L21" s="394">
        <v>998.10400000000004</v>
      </c>
      <c r="M21" s="394">
        <v>108.4996</v>
      </c>
      <c r="N21" s="394">
        <v>17716.150000000001</v>
      </c>
      <c r="O21" s="394">
        <v>17717.150000000001</v>
      </c>
      <c r="P21" s="396">
        <v>1999.83</v>
      </c>
      <c r="Q21" s="396">
        <f t="shared" si="0"/>
        <v>2041.8396660574929</v>
      </c>
      <c r="R21" s="399">
        <f t="shared" si="3"/>
        <v>0.68634333805307002</v>
      </c>
      <c r="S21" s="396">
        <f t="shared" si="2"/>
        <v>2042.526009395546</v>
      </c>
      <c r="T21" s="394" t="s">
        <v>532</v>
      </c>
      <c r="U21" s="394">
        <v>15</v>
      </c>
      <c r="V21" s="394">
        <v>5</v>
      </c>
      <c r="W21" s="394">
        <v>0.7</v>
      </c>
      <c r="X21" s="394">
        <v>0.7</v>
      </c>
      <c r="Y21" s="394">
        <v>0.7</v>
      </c>
      <c r="Z21" s="397">
        <v>1700</v>
      </c>
      <c r="AA21" s="397" t="s">
        <v>533</v>
      </c>
      <c r="AB21" s="397">
        <v>0.85</v>
      </c>
      <c r="AC21" s="397" t="s">
        <v>534</v>
      </c>
      <c r="AD21" s="397" t="s">
        <v>535</v>
      </c>
      <c r="AE21" s="397">
        <v>220</v>
      </c>
      <c r="AF21" s="398" t="s">
        <v>556</v>
      </c>
      <c r="AG21" s="398"/>
    </row>
    <row r="22" spans="1:33" ht="15.75">
      <c r="A22" s="393" t="s">
        <v>562</v>
      </c>
      <c r="B22" s="394">
        <v>3</v>
      </c>
      <c r="C22" s="394">
        <v>24</v>
      </c>
      <c r="D22" s="394" t="s">
        <v>561</v>
      </c>
      <c r="E22" s="394">
        <v>1.5</v>
      </c>
      <c r="F22" s="395">
        <v>45328.42083333333</v>
      </c>
      <c r="G22" s="394">
        <v>1</v>
      </c>
      <c r="H22" s="394">
        <v>51.374099999999999</v>
      </c>
      <c r="I22" s="394">
        <v>7.4836600000000004</v>
      </c>
      <c r="J22" s="394">
        <v>-16.328700000000001</v>
      </c>
      <c r="K22" s="394">
        <v>-15.481999999999999</v>
      </c>
      <c r="L22" s="394">
        <v>1000.72</v>
      </c>
      <c r="M22" s="394">
        <v>105.50109999999999</v>
      </c>
      <c r="N22" s="394">
        <v>17717.830000000002</v>
      </c>
      <c r="O22" s="394">
        <v>17717.150000000001</v>
      </c>
      <c r="P22" s="396">
        <v>1999.83</v>
      </c>
      <c r="Q22" s="396">
        <f t="shared" si="0"/>
        <v>2041.8396660574929</v>
      </c>
      <c r="R22" s="399">
        <f t="shared" si="3"/>
        <v>0.68634333805307002</v>
      </c>
      <c r="S22" s="396">
        <f t="shared" si="2"/>
        <v>2042.526009395546</v>
      </c>
      <c r="T22" s="394" t="s">
        <v>532</v>
      </c>
      <c r="U22" s="394">
        <v>15</v>
      </c>
      <c r="V22" s="394">
        <v>5</v>
      </c>
      <c r="W22" s="394">
        <v>0.7</v>
      </c>
      <c r="X22" s="394">
        <v>0.7</v>
      </c>
      <c r="Y22" s="394">
        <v>0.7</v>
      </c>
      <c r="Z22" s="397">
        <v>1700</v>
      </c>
      <c r="AA22" s="397" t="s">
        <v>533</v>
      </c>
      <c r="AB22" s="397">
        <v>0.85</v>
      </c>
      <c r="AC22" s="397" t="s">
        <v>534</v>
      </c>
      <c r="AD22" s="397" t="s">
        <v>535</v>
      </c>
      <c r="AE22" s="397">
        <v>220</v>
      </c>
      <c r="AF22" s="398" t="s">
        <v>556</v>
      </c>
      <c r="AG22" s="398"/>
    </row>
    <row r="23" spans="1:33" ht="15.75">
      <c r="A23" s="393" t="s">
        <v>563</v>
      </c>
      <c r="B23" s="394">
        <v>3</v>
      </c>
      <c r="C23" s="394">
        <v>24</v>
      </c>
      <c r="D23" s="394" t="s">
        <v>561</v>
      </c>
      <c r="E23" s="394">
        <v>1.5</v>
      </c>
      <c r="F23" s="395">
        <v>45328.424305555556</v>
      </c>
      <c r="G23" s="394">
        <v>1</v>
      </c>
      <c r="H23" s="394">
        <v>51.377400000000002</v>
      </c>
      <c r="I23" s="394">
        <v>7.4450000000000003</v>
      </c>
      <c r="J23" s="394">
        <v>-16.131399999999999</v>
      </c>
      <c r="K23" s="394">
        <v>-15.3018</v>
      </c>
      <c r="L23" s="394">
        <v>995.02499999999998</v>
      </c>
      <c r="M23" s="394">
        <v>99.000900000000001</v>
      </c>
      <c r="N23" s="394">
        <v>17717.47</v>
      </c>
      <c r="O23" s="394">
        <v>17717.150000000001</v>
      </c>
      <c r="P23" s="396">
        <v>1999.83</v>
      </c>
      <c r="Q23" s="396">
        <f t="shared" si="0"/>
        <v>2041.8396660574929</v>
      </c>
      <c r="R23" s="399">
        <f t="shared" si="3"/>
        <v>0.68634333805307002</v>
      </c>
      <c r="S23" s="396">
        <f t="shared" si="2"/>
        <v>2042.526009395546</v>
      </c>
      <c r="T23" s="394" t="s">
        <v>532</v>
      </c>
      <c r="U23" s="394">
        <v>15</v>
      </c>
      <c r="V23" s="394">
        <v>5</v>
      </c>
      <c r="W23" s="394">
        <v>0.7</v>
      </c>
      <c r="X23" s="394">
        <v>0.7</v>
      </c>
      <c r="Y23" s="394">
        <v>0.7</v>
      </c>
      <c r="Z23" s="397">
        <v>1700</v>
      </c>
      <c r="AA23" s="397" t="s">
        <v>533</v>
      </c>
      <c r="AB23" s="397">
        <v>0.85</v>
      </c>
      <c r="AC23" s="397" t="s">
        <v>534</v>
      </c>
      <c r="AD23" s="397" t="s">
        <v>535</v>
      </c>
      <c r="AE23" s="397">
        <v>220</v>
      </c>
      <c r="AF23" s="398" t="s">
        <v>556</v>
      </c>
      <c r="AG23" s="398"/>
    </row>
    <row r="24" spans="1:33" ht="15.75">
      <c r="A24" s="393" t="s">
        <v>564</v>
      </c>
      <c r="B24" s="394">
        <v>4</v>
      </c>
      <c r="C24" s="394">
        <v>23</v>
      </c>
      <c r="D24" s="394" t="s">
        <v>565</v>
      </c>
      <c r="E24" s="394">
        <v>1.5</v>
      </c>
      <c r="F24" s="395">
        <v>45328.427777777775</v>
      </c>
      <c r="G24" s="394">
        <v>1</v>
      </c>
      <c r="H24" s="394">
        <v>51.370800000000003</v>
      </c>
      <c r="I24" s="394">
        <v>7.4609699999999997</v>
      </c>
      <c r="J24" s="394">
        <v>-16.1905</v>
      </c>
      <c r="K24" s="394">
        <v>-15.341699999999999</v>
      </c>
      <c r="L24" s="394">
        <v>976.99</v>
      </c>
      <c r="M24" s="394">
        <v>104.4992</v>
      </c>
      <c r="N24" s="394">
        <v>17691.63</v>
      </c>
      <c r="O24" s="394">
        <v>17674.68</v>
      </c>
      <c r="P24" s="396">
        <v>1995.08</v>
      </c>
      <c r="Q24" s="396">
        <f t="shared" si="0"/>
        <v>2036.9898846191841</v>
      </c>
      <c r="R24" s="399">
        <f t="shared" si="3"/>
        <v>1.16848535238786</v>
      </c>
      <c r="S24" s="396">
        <f t="shared" si="2"/>
        <v>2038.158369971572</v>
      </c>
      <c r="T24" s="394" t="s">
        <v>532</v>
      </c>
      <c r="U24" s="394">
        <v>15</v>
      </c>
      <c r="V24" s="394">
        <v>5</v>
      </c>
      <c r="W24" s="394">
        <v>0.7</v>
      </c>
      <c r="X24" s="394">
        <v>0.7</v>
      </c>
      <c r="Y24" s="394">
        <v>0.7</v>
      </c>
      <c r="Z24" s="397">
        <v>1700</v>
      </c>
      <c r="AA24" s="397" t="s">
        <v>533</v>
      </c>
      <c r="AB24" s="397">
        <v>0.85</v>
      </c>
      <c r="AC24" s="397" t="s">
        <v>534</v>
      </c>
      <c r="AD24" s="397" t="s">
        <v>535</v>
      </c>
      <c r="AE24" s="397">
        <v>220</v>
      </c>
      <c r="AF24" s="398" t="s">
        <v>556</v>
      </c>
      <c r="AG24" s="398"/>
    </row>
    <row r="25" spans="1:33" ht="15.75">
      <c r="A25" s="393" t="s">
        <v>566</v>
      </c>
      <c r="B25" s="394">
        <v>4</v>
      </c>
      <c r="C25" s="394">
        <v>23</v>
      </c>
      <c r="D25" s="394" t="s">
        <v>565</v>
      </c>
      <c r="E25" s="394">
        <v>1.5</v>
      </c>
      <c r="F25" s="395">
        <v>45328.431250000001</v>
      </c>
      <c r="G25" s="394">
        <v>1</v>
      </c>
      <c r="H25" s="394">
        <v>51.370800000000003</v>
      </c>
      <c r="I25" s="394">
        <v>7.6046899999999997</v>
      </c>
      <c r="J25" s="394">
        <v>-16.295500000000001</v>
      </c>
      <c r="K25" s="394">
        <v>-15.4672</v>
      </c>
      <c r="L25" s="394">
        <v>969.38499999999999</v>
      </c>
      <c r="M25" s="394">
        <v>117.0001</v>
      </c>
      <c r="N25" s="394">
        <v>17667.439999999999</v>
      </c>
      <c r="O25" s="394">
        <v>17674.68</v>
      </c>
      <c r="P25" s="396">
        <v>1995.08</v>
      </c>
      <c r="Q25" s="396">
        <f t="shared" si="0"/>
        <v>2036.9898846191841</v>
      </c>
      <c r="R25" s="399">
        <f t="shared" si="3"/>
        <v>1.16848535238786</v>
      </c>
      <c r="S25" s="396">
        <f t="shared" si="2"/>
        <v>2038.158369971572</v>
      </c>
      <c r="T25" s="394" t="s">
        <v>532</v>
      </c>
      <c r="U25" s="394">
        <v>15</v>
      </c>
      <c r="V25" s="394">
        <v>5</v>
      </c>
      <c r="W25" s="394">
        <v>0.7</v>
      </c>
      <c r="X25" s="394">
        <v>0.7</v>
      </c>
      <c r="Y25" s="394">
        <v>0.7</v>
      </c>
      <c r="Z25" s="397">
        <v>1700</v>
      </c>
      <c r="AA25" s="397" t="s">
        <v>533</v>
      </c>
      <c r="AB25" s="397">
        <v>0.85</v>
      </c>
      <c r="AC25" s="397" t="s">
        <v>534</v>
      </c>
      <c r="AD25" s="397" t="s">
        <v>535</v>
      </c>
      <c r="AE25" s="397">
        <v>220</v>
      </c>
      <c r="AF25" s="398" t="s">
        <v>556</v>
      </c>
      <c r="AG25" s="398"/>
    </row>
    <row r="26" spans="1:33" ht="15.75">
      <c r="A26" s="393" t="s">
        <v>567</v>
      </c>
      <c r="B26" s="394">
        <v>4</v>
      </c>
      <c r="C26" s="394">
        <v>23</v>
      </c>
      <c r="D26" s="394" t="s">
        <v>565</v>
      </c>
      <c r="E26" s="394">
        <v>1.5</v>
      </c>
      <c r="F26" s="395">
        <v>45328.43472222222</v>
      </c>
      <c r="G26" s="394">
        <v>1</v>
      </c>
      <c r="H26" s="394">
        <v>51.374099999999999</v>
      </c>
      <c r="I26" s="394">
        <v>7.6369800000000003</v>
      </c>
      <c r="J26" s="394">
        <v>-16.413399999999999</v>
      </c>
      <c r="K26" s="394">
        <v>-15.587999999999999</v>
      </c>
      <c r="L26" s="394">
        <v>998.00900000000001</v>
      </c>
      <c r="M26" s="394">
        <v>109.50109999999999</v>
      </c>
      <c r="N26" s="394">
        <v>17664.98</v>
      </c>
      <c r="O26" s="394">
        <v>17674.68</v>
      </c>
      <c r="P26" s="396">
        <v>1995.08</v>
      </c>
      <c r="Q26" s="396">
        <f t="shared" si="0"/>
        <v>2036.9898846191841</v>
      </c>
      <c r="R26" s="399">
        <f t="shared" si="3"/>
        <v>1.16848535238786</v>
      </c>
      <c r="S26" s="396">
        <f t="shared" si="2"/>
        <v>2038.158369971572</v>
      </c>
      <c r="T26" s="394" t="s">
        <v>532</v>
      </c>
      <c r="U26" s="394">
        <v>15</v>
      </c>
      <c r="V26" s="394">
        <v>5</v>
      </c>
      <c r="W26" s="394">
        <v>0.7</v>
      </c>
      <c r="X26" s="394">
        <v>0.7</v>
      </c>
      <c r="Y26" s="394">
        <v>0.7</v>
      </c>
      <c r="Z26" s="397">
        <v>1700</v>
      </c>
      <c r="AA26" s="397" t="s">
        <v>533</v>
      </c>
      <c r="AB26" s="397">
        <v>0.85</v>
      </c>
      <c r="AC26" s="397" t="s">
        <v>534</v>
      </c>
      <c r="AD26" s="397" t="s">
        <v>535</v>
      </c>
      <c r="AE26" s="397">
        <v>220</v>
      </c>
      <c r="AF26" s="398" t="s">
        <v>556</v>
      </c>
      <c r="AG26" s="398"/>
    </row>
    <row r="27" spans="1:33" ht="15.75">
      <c r="A27" s="393" t="s">
        <v>568</v>
      </c>
      <c r="B27" s="394">
        <v>5</v>
      </c>
      <c r="C27" s="394">
        <v>34</v>
      </c>
      <c r="D27" s="394" t="s">
        <v>569</v>
      </c>
      <c r="E27" s="394">
        <v>1.5</v>
      </c>
      <c r="F27" s="395">
        <v>45328.438888888886</v>
      </c>
      <c r="G27" s="394">
        <v>1</v>
      </c>
      <c r="H27" s="394">
        <v>51.370800000000003</v>
      </c>
      <c r="I27" s="394">
        <v>7.6339899999999998</v>
      </c>
      <c r="J27" s="394">
        <v>-16.259899999999998</v>
      </c>
      <c r="K27" s="394">
        <v>-15.427</v>
      </c>
      <c r="L27" s="394">
        <v>994.57799999999997</v>
      </c>
      <c r="M27" s="394">
        <v>115.00069999999999</v>
      </c>
      <c r="N27" s="394">
        <v>17702.060000000001</v>
      </c>
      <c r="O27" s="394">
        <v>17700.04</v>
      </c>
      <c r="P27" s="396">
        <v>1997.92</v>
      </c>
      <c r="Q27" s="396">
        <f t="shared" si="0"/>
        <v>2039.8895434159836</v>
      </c>
      <c r="R27" s="399">
        <f t="shared" si="3"/>
        <v>1.6506273667226499</v>
      </c>
      <c r="S27" s="396">
        <f t="shared" si="2"/>
        <v>2041.5401707827061</v>
      </c>
      <c r="T27" s="394" t="s">
        <v>532</v>
      </c>
      <c r="U27" s="394">
        <v>15</v>
      </c>
      <c r="V27" s="394">
        <v>5</v>
      </c>
      <c r="W27" s="394">
        <v>0.7</v>
      </c>
      <c r="X27" s="394">
        <v>0.7</v>
      </c>
      <c r="Y27" s="394">
        <v>0.7</v>
      </c>
      <c r="Z27" s="397">
        <v>1700</v>
      </c>
      <c r="AA27" s="397" t="s">
        <v>533</v>
      </c>
      <c r="AB27" s="397">
        <v>0.85</v>
      </c>
      <c r="AC27" s="397" t="s">
        <v>534</v>
      </c>
      <c r="AD27" s="397" t="s">
        <v>535</v>
      </c>
      <c r="AE27" s="397">
        <v>220</v>
      </c>
      <c r="AF27" s="398" t="s">
        <v>556</v>
      </c>
      <c r="AG27" s="398"/>
    </row>
    <row r="28" spans="1:33" ht="15.75">
      <c r="A28" s="393" t="s">
        <v>570</v>
      </c>
      <c r="B28" s="394">
        <v>5</v>
      </c>
      <c r="C28" s="394">
        <v>34</v>
      </c>
      <c r="D28" s="394" t="s">
        <v>569</v>
      </c>
      <c r="E28" s="394">
        <v>1.5</v>
      </c>
      <c r="F28" s="395">
        <v>45328.442361111112</v>
      </c>
      <c r="G28" s="394">
        <v>1</v>
      </c>
      <c r="H28" s="394">
        <v>51.374099999999999</v>
      </c>
      <c r="I28" s="394">
        <v>7.6404500000000004</v>
      </c>
      <c r="J28" s="394">
        <v>-16.229800000000001</v>
      </c>
      <c r="K28" s="394">
        <v>-15.3893</v>
      </c>
      <c r="L28" s="394">
        <v>996.54700000000003</v>
      </c>
      <c r="M28" s="394">
        <v>118.4988</v>
      </c>
      <c r="N28" s="394">
        <v>17746.5</v>
      </c>
      <c r="O28" s="394">
        <v>17700.04</v>
      </c>
      <c r="P28" s="396">
        <v>1997.92</v>
      </c>
      <c r="Q28" s="396">
        <f t="shared" si="0"/>
        <v>2039.8895434159836</v>
      </c>
      <c r="R28" s="399">
        <f t="shared" si="3"/>
        <v>1.6506273667226499</v>
      </c>
      <c r="S28" s="396">
        <f t="shared" si="2"/>
        <v>2041.5401707827061</v>
      </c>
      <c r="T28" s="394" t="s">
        <v>542</v>
      </c>
      <c r="U28" s="394">
        <v>15</v>
      </c>
      <c r="V28" s="394">
        <v>5</v>
      </c>
      <c r="W28" s="394">
        <v>0.7</v>
      </c>
      <c r="X28" s="394">
        <v>0.7</v>
      </c>
      <c r="Y28" s="394">
        <v>0.7</v>
      </c>
      <c r="Z28" s="397">
        <v>1700</v>
      </c>
      <c r="AA28" s="397" t="s">
        <v>533</v>
      </c>
      <c r="AB28" s="397">
        <v>0.85</v>
      </c>
      <c r="AC28" s="397" t="s">
        <v>534</v>
      </c>
      <c r="AD28" s="397" t="s">
        <v>535</v>
      </c>
      <c r="AE28" s="397">
        <v>220</v>
      </c>
      <c r="AF28" s="398" t="s">
        <v>556</v>
      </c>
      <c r="AG28" s="398"/>
    </row>
    <row r="29" spans="1:33" ht="15.75">
      <c r="A29" s="393" t="s">
        <v>571</v>
      </c>
      <c r="B29" s="394">
        <v>5</v>
      </c>
      <c r="C29" s="394">
        <v>34</v>
      </c>
      <c r="D29" s="394" t="s">
        <v>569</v>
      </c>
      <c r="E29" s="394">
        <v>1.5</v>
      </c>
      <c r="F29" s="395">
        <v>45328.445833333331</v>
      </c>
      <c r="G29" s="394">
        <v>1</v>
      </c>
      <c r="H29" s="394">
        <v>51.374099999999999</v>
      </c>
      <c r="I29" s="394">
        <v>7.6662100000000004</v>
      </c>
      <c r="J29" s="394">
        <v>-16.406199999999998</v>
      </c>
      <c r="K29" s="394">
        <v>-15.5792</v>
      </c>
      <c r="L29" s="394">
        <v>995.72</v>
      </c>
      <c r="M29" s="394">
        <v>142.99930000000001</v>
      </c>
      <c r="N29" s="394">
        <v>17752.37</v>
      </c>
      <c r="O29" s="394">
        <v>17700.04</v>
      </c>
      <c r="P29" s="396">
        <v>1997.92</v>
      </c>
      <c r="Q29" s="396">
        <f t="shared" si="0"/>
        <v>2039.8895434159836</v>
      </c>
      <c r="R29" s="399">
        <f t="shared" si="3"/>
        <v>1.6506273667226499</v>
      </c>
      <c r="S29" s="396">
        <f t="shared" si="2"/>
        <v>2041.5401707827061</v>
      </c>
      <c r="T29" s="394" t="s">
        <v>542</v>
      </c>
      <c r="U29" s="394">
        <v>15</v>
      </c>
      <c r="V29" s="394">
        <v>5</v>
      </c>
      <c r="W29" s="394">
        <v>0.7</v>
      </c>
      <c r="X29" s="394">
        <v>0.7</v>
      </c>
      <c r="Y29" s="394">
        <v>0.7</v>
      </c>
      <c r="Z29" s="397">
        <v>1700</v>
      </c>
      <c r="AA29" s="397" t="s">
        <v>533</v>
      </c>
      <c r="AB29" s="397">
        <v>0.85</v>
      </c>
      <c r="AC29" s="397" t="s">
        <v>534</v>
      </c>
      <c r="AD29" s="397" t="s">
        <v>535</v>
      </c>
      <c r="AE29" s="397">
        <v>220</v>
      </c>
      <c r="AF29" s="398" t="s">
        <v>556</v>
      </c>
      <c r="AG29" s="398"/>
    </row>
    <row r="30" spans="1:33" ht="15.75">
      <c r="A30" s="393" t="s">
        <v>572</v>
      </c>
      <c r="B30" s="394">
        <v>5</v>
      </c>
      <c r="C30" s="394">
        <v>34</v>
      </c>
      <c r="D30" s="394" t="s">
        <v>569</v>
      </c>
      <c r="E30" s="394">
        <v>1.5</v>
      </c>
      <c r="F30" s="395">
        <v>45328.449305555558</v>
      </c>
      <c r="G30" s="394">
        <v>1</v>
      </c>
      <c r="H30" s="394">
        <v>51.374099999999999</v>
      </c>
      <c r="I30" s="394">
        <v>7.5895999999999999</v>
      </c>
      <c r="J30" s="394">
        <v>-16.439599999999999</v>
      </c>
      <c r="K30" s="394">
        <v>-15.605700000000001</v>
      </c>
      <c r="L30" s="394">
        <v>979.53599999999994</v>
      </c>
      <c r="M30" s="394">
        <v>118.5001</v>
      </c>
      <c r="N30" s="394">
        <v>17701.669999999998</v>
      </c>
      <c r="O30" s="394">
        <v>17700.04</v>
      </c>
      <c r="P30" s="396">
        <v>1997.92</v>
      </c>
      <c r="Q30" s="396">
        <f t="shared" si="0"/>
        <v>2039.8895434159836</v>
      </c>
      <c r="R30" s="399">
        <f t="shared" si="3"/>
        <v>1.6506273667226499</v>
      </c>
      <c r="S30" s="396">
        <f t="shared" si="2"/>
        <v>2041.5401707827061</v>
      </c>
      <c r="T30" s="394" t="s">
        <v>532</v>
      </c>
      <c r="U30" s="394">
        <v>15</v>
      </c>
      <c r="V30" s="394">
        <v>5</v>
      </c>
      <c r="W30" s="394">
        <v>0.7</v>
      </c>
      <c r="X30" s="394">
        <v>0.7</v>
      </c>
      <c r="Y30" s="394">
        <v>0.7</v>
      </c>
      <c r="Z30" s="397">
        <v>1700</v>
      </c>
      <c r="AA30" s="397" t="s">
        <v>533</v>
      </c>
      <c r="AB30" s="397">
        <v>0.85</v>
      </c>
      <c r="AC30" s="397" t="s">
        <v>534</v>
      </c>
      <c r="AD30" s="397" t="s">
        <v>535</v>
      </c>
      <c r="AE30" s="397">
        <v>220</v>
      </c>
      <c r="AF30" s="398" t="s">
        <v>556</v>
      </c>
      <c r="AG30" s="398"/>
    </row>
    <row r="31" spans="1:33" ht="15.75">
      <c r="A31" s="393" t="s">
        <v>573</v>
      </c>
      <c r="B31" s="394">
        <v>5</v>
      </c>
      <c r="C31" s="394">
        <v>34</v>
      </c>
      <c r="D31" s="394" t="s">
        <v>569</v>
      </c>
      <c r="E31" s="394">
        <v>1.5</v>
      </c>
      <c r="F31" s="395">
        <v>45328.453472222223</v>
      </c>
      <c r="G31" s="394">
        <v>1</v>
      </c>
      <c r="H31" s="394">
        <v>51.370800000000003</v>
      </c>
      <c r="I31" s="394">
        <v>7.5894399999999997</v>
      </c>
      <c r="J31" s="394">
        <v>-16.2944</v>
      </c>
      <c r="K31" s="394">
        <v>-15.451700000000001</v>
      </c>
      <c r="L31" s="394">
        <v>995.68200000000002</v>
      </c>
      <c r="M31" s="394">
        <v>107.4997</v>
      </c>
      <c r="N31" s="394">
        <v>17696.39</v>
      </c>
      <c r="O31" s="394">
        <v>17700.04</v>
      </c>
      <c r="P31" s="396">
        <v>1997.92</v>
      </c>
      <c r="Q31" s="396">
        <f t="shared" si="0"/>
        <v>2039.8895434159836</v>
      </c>
      <c r="R31" s="399">
        <f t="shared" si="3"/>
        <v>1.6506273667226499</v>
      </c>
      <c r="S31" s="396">
        <f t="shared" si="2"/>
        <v>2041.5401707827061</v>
      </c>
      <c r="T31" s="394" t="s">
        <v>532</v>
      </c>
      <c r="U31" s="394">
        <v>15</v>
      </c>
      <c r="V31" s="394">
        <v>5</v>
      </c>
      <c r="W31" s="394">
        <v>0.7</v>
      </c>
      <c r="X31" s="394">
        <v>0.7</v>
      </c>
      <c r="Y31" s="394">
        <v>0.7</v>
      </c>
      <c r="Z31" s="397">
        <v>1700</v>
      </c>
      <c r="AA31" s="397" t="s">
        <v>533</v>
      </c>
      <c r="AB31" s="397">
        <v>0.85</v>
      </c>
      <c r="AC31" s="397" t="s">
        <v>534</v>
      </c>
      <c r="AD31" s="397" t="s">
        <v>535</v>
      </c>
      <c r="AE31" s="397">
        <v>220</v>
      </c>
      <c r="AF31" s="398" t="s">
        <v>556</v>
      </c>
      <c r="AG31" s="398"/>
    </row>
    <row r="32" spans="1:33" ht="15.75">
      <c r="A32" s="393" t="s">
        <v>574</v>
      </c>
      <c r="B32" s="394">
        <v>6</v>
      </c>
      <c r="C32" s="394">
        <v>35</v>
      </c>
      <c r="D32" s="394" t="s">
        <v>575</v>
      </c>
      <c r="E32" s="394">
        <v>1.5</v>
      </c>
      <c r="F32" s="395">
        <v>45328.456944444442</v>
      </c>
      <c r="G32" s="394">
        <v>1</v>
      </c>
      <c r="H32" s="394">
        <v>51.370800000000003</v>
      </c>
      <c r="I32" s="394">
        <v>7.5682600000000004</v>
      </c>
      <c r="J32" s="394">
        <v>-16.452300000000001</v>
      </c>
      <c r="K32" s="394">
        <v>-15.6052</v>
      </c>
      <c r="L32" s="394">
        <v>998.70399999999995</v>
      </c>
      <c r="M32" s="394">
        <v>125.4995</v>
      </c>
      <c r="N32" s="394">
        <v>17701.48</v>
      </c>
      <c r="O32" s="394">
        <v>17712.96</v>
      </c>
      <c r="P32" s="396">
        <v>1999.37</v>
      </c>
      <c r="Q32" s="396">
        <f t="shared" si="0"/>
        <v>2041.3700030129407</v>
      </c>
      <c r="R32" s="399">
        <f t="shared" si="3"/>
        <v>2.13276938105744</v>
      </c>
      <c r="S32" s="396">
        <f t="shared" si="2"/>
        <v>2043.5027723939982</v>
      </c>
      <c r="T32" s="394" t="s">
        <v>532</v>
      </c>
      <c r="U32" s="394">
        <v>15</v>
      </c>
      <c r="V32" s="394">
        <v>5</v>
      </c>
      <c r="W32" s="394">
        <v>0.7</v>
      </c>
      <c r="X32" s="394">
        <v>0.7</v>
      </c>
      <c r="Y32" s="394">
        <v>0.7</v>
      </c>
      <c r="Z32" s="397">
        <v>1700</v>
      </c>
      <c r="AA32" s="397" t="s">
        <v>533</v>
      </c>
      <c r="AB32" s="397">
        <v>0.85</v>
      </c>
      <c r="AC32" s="397" t="s">
        <v>534</v>
      </c>
      <c r="AD32" s="397" t="s">
        <v>535</v>
      </c>
      <c r="AE32" s="397">
        <v>220</v>
      </c>
      <c r="AF32" s="398" t="s">
        <v>556</v>
      </c>
      <c r="AG32" s="398"/>
    </row>
    <row r="33" spans="1:33" ht="15.75">
      <c r="A33" s="393" t="s">
        <v>576</v>
      </c>
      <c r="B33" s="394">
        <v>6</v>
      </c>
      <c r="C33" s="394">
        <v>35</v>
      </c>
      <c r="D33" s="394" t="s">
        <v>575</v>
      </c>
      <c r="E33" s="394">
        <v>1.5</v>
      </c>
      <c r="F33" s="395">
        <v>45328.460416666669</v>
      </c>
      <c r="G33" s="394">
        <v>1</v>
      </c>
      <c r="H33" s="394">
        <v>51.370800000000003</v>
      </c>
      <c r="I33" s="394">
        <v>7.6216999999999997</v>
      </c>
      <c r="J33" s="394">
        <v>-16.3977</v>
      </c>
      <c r="K33" s="394">
        <v>-15.5565</v>
      </c>
      <c r="L33" s="394">
        <v>1003.06</v>
      </c>
      <c r="M33" s="394">
        <v>110.9996</v>
      </c>
      <c r="N33" s="394">
        <v>17721.12</v>
      </c>
      <c r="O33" s="394">
        <v>17712.96</v>
      </c>
      <c r="P33" s="396">
        <v>1999.37</v>
      </c>
      <c r="Q33" s="396">
        <f t="shared" si="0"/>
        <v>2041.3700030129407</v>
      </c>
      <c r="R33" s="399">
        <f t="shared" si="3"/>
        <v>2.13276938105744</v>
      </c>
      <c r="S33" s="396">
        <f t="shared" si="2"/>
        <v>2043.5027723939982</v>
      </c>
      <c r="T33" s="394" t="s">
        <v>532</v>
      </c>
      <c r="U33" s="394">
        <v>15</v>
      </c>
      <c r="V33" s="394">
        <v>5</v>
      </c>
      <c r="W33" s="394">
        <v>0.7</v>
      </c>
      <c r="X33" s="394">
        <v>0.7</v>
      </c>
      <c r="Y33" s="394">
        <v>0.7</v>
      </c>
      <c r="Z33" s="397">
        <v>1700</v>
      </c>
      <c r="AA33" s="397" t="s">
        <v>533</v>
      </c>
      <c r="AB33" s="397">
        <v>0.85</v>
      </c>
      <c r="AC33" s="397" t="s">
        <v>534</v>
      </c>
      <c r="AD33" s="397" t="s">
        <v>535</v>
      </c>
      <c r="AE33" s="397">
        <v>220</v>
      </c>
      <c r="AF33" s="398" t="s">
        <v>556</v>
      </c>
      <c r="AG33" s="398"/>
    </row>
    <row r="34" spans="1:33" ht="15.75">
      <c r="A34" s="393" t="s">
        <v>577</v>
      </c>
      <c r="B34" s="394">
        <v>6</v>
      </c>
      <c r="C34" s="394">
        <v>35</v>
      </c>
      <c r="D34" s="394" t="s">
        <v>575</v>
      </c>
      <c r="E34" s="394">
        <v>1.5</v>
      </c>
      <c r="F34" s="395">
        <v>45328.463888888888</v>
      </c>
      <c r="G34" s="394">
        <v>1</v>
      </c>
      <c r="H34" s="394">
        <v>51.377400000000002</v>
      </c>
      <c r="I34" s="394">
        <v>7.6042399999999999</v>
      </c>
      <c r="J34" s="394">
        <v>-16.463999999999999</v>
      </c>
      <c r="K34" s="394">
        <v>-15.6311</v>
      </c>
      <c r="L34" s="394">
        <v>992.28499999999997</v>
      </c>
      <c r="M34" s="394">
        <v>118.001</v>
      </c>
      <c r="N34" s="394">
        <v>17716.28</v>
      </c>
      <c r="O34" s="394">
        <v>17712.96</v>
      </c>
      <c r="P34" s="396">
        <v>1999.37</v>
      </c>
      <c r="Q34" s="396">
        <f t="shared" si="0"/>
        <v>2041.3700030129407</v>
      </c>
      <c r="R34" s="399">
        <f t="shared" si="3"/>
        <v>2.13276938105744</v>
      </c>
      <c r="S34" s="396">
        <f t="shared" si="2"/>
        <v>2043.5027723939982</v>
      </c>
      <c r="T34" s="394" t="s">
        <v>532</v>
      </c>
      <c r="U34" s="394">
        <v>15</v>
      </c>
      <c r="V34" s="394">
        <v>5</v>
      </c>
      <c r="W34" s="394">
        <v>0.7</v>
      </c>
      <c r="X34" s="394">
        <v>0.7</v>
      </c>
      <c r="Y34" s="394">
        <v>0.7</v>
      </c>
      <c r="Z34" s="397">
        <v>1700</v>
      </c>
      <c r="AA34" s="397" t="s">
        <v>533</v>
      </c>
      <c r="AB34" s="397">
        <v>0.85</v>
      </c>
      <c r="AC34" s="397" t="s">
        <v>534</v>
      </c>
      <c r="AD34" s="397" t="s">
        <v>535</v>
      </c>
      <c r="AE34" s="397">
        <v>220</v>
      </c>
      <c r="AF34" s="398" t="s">
        <v>556</v>
      </c>
      <c r="AG34" s="398"/>
    </row>
    <row r="35" spans="1:33" ht="15.75">
      <c r="A35" s="393" t="s">
        <v>578</v>
      </c>
      <c r="B35" s="394">
        <v>7</v>
      </c>
      <c r="C35" s="394">
        <v>67</v>
      </c>
      <c r="D35" s="394" t="s">
        <v>579</v>
      </c>
      <c r="E35" s="394">
        <v>1.5</v>
      </c>
      <c r="F35" s="395">
        <v>45328.468055555553</v>
      </c>
      <c r="G35" s="394">
        <v>1</v>
      </c>
      <c r="H35" s="394">
        <v>51.370800000000003</v>
      </c>
      <c r="I35" s="394">
        <v>7.6609499999999997</v>
      </c>
      <c r="J35" s="394">
        <v>-16.436299999999999</v>
      </c>
      <c r="K35" s="394">
        <v>-15.6244</v>
      </c>
      <c r="L35" s="394">
        <v>996.44200000000001</v>
      </c>
      <c r="M35" s="394">
        <v>123.001</v>
      </c>
      <c r="N35" s="394">
        <v>17729.240000000002</v>
      </c>
      <c r="O35" s="394">
        <v>17686.939999999999</v>
      </c>
      <c r="P35" s="396">
        <v>1996.45</v>
      </c>
      <c r="Q35" s="396">
        <f t="shared" si="0"/>
        <v>2038.3886636866541</v>
      </c>
      <c r="R35" s="399">
        <f t="shared" si="3"/>
        <v>2.6149113953922298</v>
      </c>
      <c r="S35" s="396">
        <f t="shared" si="2"/>
        <v>2041.0035750820464</v>
      </c>
      <c r="T35" s="394" t="s">
        <v>542</v>
      </c>
      <c r="U35" s="394">
        <v>15</v>
      </c>
      <c r="V35" s="394">
        <v>5</v>
      </c>
      <c r="W35" s="394">
        <v>0.7</v>
      </c>
      <c r="X35" s="394">
        <v>0.7</v>
      </c>
      <c r="Y35" s="394">
        <v>0.7</v>
      </c>
      <c r="Z35" s="397">
        <v>1700</v>
      </c>
      <c r="AA35" s="397" t="s">
        <v>533</v>
      </c>
      <c r="AB35" s="397">
        <v>0.85</v>
      </c>
      <c r="AC35" s="397" t="s">
        <v>534</v>
      </c>
      <c r="AD35" s="397" t="s">
        <v>535</v>
      </c>
      <c r="AE35" s="397">
        <v>220</v>
      </c>
      <c r="AF35" s="398" t="s">
        <v>556</v>
      </c>
      <c r="AG35" s="398"/>
    </row>
    <row r="36" spans="1:33" ht="15.75">
      <c r="A36" s="393" t="s">
        <v>580</v>
      </c>
      <c r="B36" s="394">
        <v>7</v>
      </c>
      <c r="C36" s="394">
        <v>67</v>
      </c>
      <c r="D36" s="394" t="s">
        <v>579</v>
      </c>
      <c r="E36" s="394">
        <v>1.5</v>
      </c>
      <c r="F36" s="395">
        <v>45328.47152777778</v>
      </c>
      <c r="G36" s="394">
        <v>1</v>
      </c>
      <c r="H36" s="394">
        <v>51.374099999999999</v>
      </c>
      <c r="I36" s="394">
        <v>7.5787599999999999</v>
      </c>
      <c r="J36" s="394">
        <v>-16.2697</v>
      </c>
      <c r="K36" s="394">
        <v>-15.4376</v>
      </c>
      <c r="L36" s="394">
        <v>967.61500000000001</v>
      </c>
      <c r="M36" s="394">
        <v>107.99939999999999</v>
      </c>
      <c r="N36" s="394">
        <v>17651.61</v>
      </c>
      <c r="O36" s="394">
        <v>17686.939999999999</v>
      </c>
      <c r="P36" s="396">
        <v>1996.45</v>
      </c>
      <c r="Q36" s="396">
        <f t="shared" si="0"/>
        <v>2038.3886636866541</v>
      </c>
      <c r="R36" s="399">
        <f t="shared" si="3"/>
        <v>2.6149113953922298</v>
      </c>
      <c r="S36" s="396">
        <f t="shared" si="2"/>
        <v>2041.0035750820464</v>
      </c>
      <c r="T36" s="394" t="s">
        <v>542</v>
      </c>
      <c r="U36" s="394">
        <v>15</v>
      </c>
      <c r="V36" s="394">
        <v>5</v>
      </c>
      <c r="W36" s="394">
        <v>0.7</v>
      </c>
      <c r="X36" s="394">
        <v>0.7</v>
      </c>
      <c r="Y36" s="394">
        <v>0.7</v>
      </c>
      <c r="Z36" s="397">
        <v>1700</v>
      </c>
      <c r="AA36" s="397" t="s">
        <v>533</v>
      </c>
      <c r="AB36" s="397">
        <v>0.85</v>
      </c>
      <c r="AC36" s="397" t="s">
        <v>534</v>
      </c>
      <c r="AD36" s="397" t="s">
        <v>535</v>
      </c>
      <c r="AE36" s="397">
        <v>220</v>
      </c>
      <c r="AF36" s="398" t="s">
        <v>556</v>
      </c>
      <c r="AG36" s="398"/>
    </row>
    <row r="37" spans="1:33" ht="15.75">
      <c r="A37" s="393" t="s">
        <v>581</v>
      </c>
      <c r="B37" s="394">
        <v>7</v>
      </c>
      <c r="C37" s="394">
        <v>67</v>
      </c>
      <c r="D37" s="394" t="s">
        <v>579</v>
      </c>
      <c r="E37" s="394">
        <v>1.5</v>
      </c>
      <c r="F37" s="395">
        <v>45328.474999999999</v>
      </c>
      <c r="G37" s="394">
        <v>1</v>
      </c>
      <c r="H37" s="394">
        <v>51.374099999999999</v>
      </c>
      <c r="I37" s="394">
        <v>7.6377600000000001</v>
      </c>
      <c r="J37" s="394">
        <v>-16.382000000000001</v>
      </c>
      <c r="K37" s="394">
        <v>-15.54</v>
      </c>
      <c r="L37" s="394">
        <v>979.73599999999999</v>
      </c>
      <c r="M37" s="394">
        <v>116.00109999999999</v>
      </c>
      <c r="N37" s="394">
        <v>17676.62</v>
      </c>
      <c r="O37" s="394">
        <v>17686.939999999999</v>
      </c>
      <c r="P37" s="396">
        <v>1996.45</v>
      </c>
      <c r="Q37" s="396">
        <f t="shared" si="0"/>
        <v>2038.3886636866541</v>
      </c>
      <c r="R37" s="399">
        <f t="shared" si="3"/>
        <v>2.6149113953922298</v>
      </c>
      <c r="S37" s="396">
        <f t="shared" si="2"/>
        <v>2041.0035750820464</v>
      </c>
      <c r="T37" s="394" t="s">
        <v>532</v>
      </c>
      <c r="U37" s="394">
        <v>15</v>
      </c>
      <c r="V37" s="394">
        <v>5</v>
      </c>
      <c r="W37" s="394">
        <v>0.7</v>
      </c>
      <c r="X37" s="394">
        <v>0.7</v>
      </c>
      <c r="Y37" s="394">
        <v>0.7</v>
      </c>
      <c r="Z37" s="397">
        <v>1700</v>
      </c>
      <c r="AA37" s="397" t="s">
        <v>533</v>
      </c>
      <c r="AB37" s="397">
        <v>0.85</v>
      </c>
      <c r="AC37" s="397" t="s">
        <v>534</v>
      </c>
      <c r="AD37" s="397" t="s">
        <v>535</v>
      </c>
      <c r="AE37" s="397">
        <v>220</v>
      </c>
      <c r="AF37" s="398" t="s">
        <v>556</v>
      </c>
      <c r="AG37" s="398"/>
    </row>
    <row r="38" spans="1:33" ht="15.75">
      <c r="A38" s="393" t="s">
        <v>582</v>
      </c>
      <c r="B38" s="394">
        <v>7</v>
      </c>
      <c r="C38" s="394">
        <v>67</v>
      </c>
      <c r="D38" s="394" t="s">
        <v>579</v>
      </c>
      <c r="E38" s="394">
        <v>1.5</v>
      </c>
      <c r="F38" s="395">
        <v>45328.478472222225</v>
      </c>
      <c r="G38" s="394">
        <v>1</v>
      </c>
      <c r="H38" s="394">
        <v>51.377400000000002</v>
      </c>
      <c r="I38" s="394">
        <v>7.6230599999999997</v>
      </c>
      <c r="J38" s="394">
        <v>-16.4251</v>
      </c>
      <c r="K38" s="394">
        <v>-15.589600000000001</v>
      </c>
      <c r="L38" s="394">
        <v>988.83600000000001</v>
      </c>
      <c r="M38" s="394">
        <v>118</v>
      </c>
      <c r="N38" s="394">
        <v>17689.73</v>
      </c>
      <c r="O38" s="394">
        <v>17686.939999999999</v>
      </c>
      <c r="P38" s="396">
        <v>1996.45</v>
      </c>
      <c r="Q38" s="396">
        <f t="shared" si="0"/>
        <v>2038.3886636866541</v>
      </c>
      <c r="R38" s="399">
        <f t="shared" si="3"/>
        <v>2.6149113953922298</v>
      </c>
      <c r="S38" s="396">
        <f t="shared" si="2"/>
        <v>2041.0035750820464</v>
      </c>
      <c r="T38" s="394" t="s">
        <v>532</v>
      </c>
      <c r="U38" s="394">
        <v>15</v>
      </c>
      <c r="V38" s="394">
        <v>5</v>
      </c>
      <c r="W38" s="394">
        <v>0.7</v>
      </c>
      <c r="X38" s="394">
        <v>0.7</v>
      </c>
      <c r="Y38" s="394">
        <v>0.7</v>
      </c>
      <c r="Z38" s="397">
        <v>1700</v>
      </c>
      <c r="AA38" s="397" t="s">
        <v>533</v>
      </c>
      <c r="AB38" s="397">
        <v>0.85</v>
      </c>
      <c r="AC38" s="397" t="s">
        <v>534</v>
      </c>
      <c r="AD38" s="397" t="s">
        <v>535</v>
      </c>
      <c r="AE38" s="397">
        <v>220</v>
      </c>
      <c r="AF38" s="398" t="s">
        <v>556</v>
      </c>
      <c r="AG38" s="398"/>
    </row>
    <row r="39" spans="1:33" ht="15.75">
      <c r="A39" s="393" t="s">
        <v>583</v>
      </c>
      <c r="B39" s="394">
        <v>7</v>
      </c>
      <c r="C39" s="394">
        <v>67</v>
      </c>
      <c r="D39" s="394" t="s">
        <v>579</v>
      </c>
      <c r="E39" s="394">
        <v>1.5</v>
      </c>
      <c r="F39" s="395">
        <v>45328.481944444444</v>
      </c>
      <c r="G39" s="394">
        <v>1</v>
      </c>
      <c r="H39" s="394">
        <v>51.374099999999999</v>
      </c>
      <c r="I39" s="394">
        <v>7.6043099999999999</v>
      </c>
      <c r="J39" s="394">
        <v>-16.5246</v>
      </c>
      <c r="K39" s="394">
        <v>-15.698700000000001</v>
      </c>
      <c r="L39" s="394">
        <v>969.75900000000001</v>
      </c>
      <c r="M39" s="394">
        <v>129.501</v>
      </c>
      <c r="N39" s="394">
        <v>17694.47</v>
      </c>
      <c r="O39" s="394">
        <v>17686.939999999999</v>
      </c>
      <c r="P39" s="396">
        <v>1996.45</v>
      </c>
      <c r="Q39" s="396">
        <f t="shared" si="0"/>
        <v>2038.3886636866541</v>
      </c>
      <c r="R39" s="399">
        <f t="shared" si="3"/>
        <v>2.6149113953922298</v>
      </c>
      <c r="S39" s="396">
        <f t="shared" si="2"/>
        <v>2041.0035750820464</v>
      </c>
      <c r="T39" s="394" t="s">
        <v>532</v>
      </c>
      <c r="U39" s="394">
        <v>15</v>
      </c>
      <c r="V39" s="394">
        <v>5</v>
      </c>
      <c r="W39" s="394">
        <v>0.7</v>
      </c>
      <c r="X39" s="394">
        <v>0.7</v>
      </c>
      <c r="Y39" s="394">
        <v>0.7</v>
      </c>
      <c r="Z39" s="397">
        <v>1700</v>
      </c>
      <c r="AA39" s="397" t="s">
        <v>533</v>
      </c>
      <c r="AB39" s="397">
        <v>0.85</v>
      </c>
      <c r="AC39" s="397" t="s">
        <v>534</v>
      </c>
      <c r="AD39" s="397" t="s">
        <v>535</v>
      </c>
      <c r="AE39" s="397">
        <v>220</v>
      </c>
      <c r="AF39" s="398" t="s">
        <v>556</v>
      </c>
      <c r="AG39" s="398"/>
    </row>
    <row r="40" spans="1:33" ht="15.75">
      <c r="A40" s="393" t="s">
        <v>584</v>
      </c>
      <c r="B40" s="394">
        <v>8</v>
      </c>
      <c r="C40" s="394">
        <v>68</v>
      </c>
      <c r="D40" s="394" t="s">
        <v>585</v>
      </c>
      <c r="E40" s="394">
        <v>1.5</v>
      </c>
      <c r="F40" s="395">
        <v>45328.486111111109</v>
      </c>
      <c r="G40" s="394">
        <v>1</v>
      </c>
      <c r="H40" s="394">
        <v>51.374099999999999</v>
      </c>
      <c r="I40" s="394">
        <v>7.6005700000000003</v>
      </c>
      <c r="J40" s="394">
        <v>-16.514600000000002</v>
      </c>
      <c r="K40" s="394">
        <v>-15.6654</v>
      </c>
      <c r="L40" s="394">
        <v>1010.32</v>
      </c>
      <c r="M40" s="394">
        <v>143.99940000000001</v>
      </c>
      <c r="N40" s="394">
        <v>17792.310000000001</v>
      </c>
      <c r="O40" s="394">
        <v>17751.05</v>
      </c>
      <c r="P40" s="396">
        <v>2003.63</v>
      </c>
      <c r="Q40" s="396">
        <f t="shared" si="0"/>
        <v>2045.71949120814</v>
      </c>
      <c r="R40" s="399">
        <f t="shared" si="3"/>
        <v>3.0970534097270197</v>
      </c>
      <c r="S40" s="396">
        <f t="shared" si="2"/>
        <v>2048.8165446178668</v>
      </c>
      <c r="T40" s="394" t="s">
        <v>542</v>
      </c>
      <c r="U40" s="394">
        <v>15</v>
      </c>
      <c r="V40" s="394">
        <v>5</v>
      </c>
      <c r="W40" s="394">
        <v>0.7</v>
      </c>
      <c r="X40" s="394">
        <v>0.7</v>
      </c>
      <c r="Y40" s="394">
        <v>0.7</v>
      </c>
      <c r="Z40" s="397">
        <v>1700</v>
      </c>
      <c r="AA40" s="397" t="s">
        <v>533</v>
      </c>
      <c r="AB40" s="397">
        <v>0.85</v>
      </c>
      <c r="AC40" s="397" t="s">
        <v>534</v>
      </c>
      <c r="AD40" s="397" t="s">
        <v>535</v>
      </c>
      <c r="AE40" s="397">
        <v>220</v>
      </c>
      <c r="AF40" s="398" t="s">
        <v>556</v>
      </c>
      <c r="AG40" s="398"/>
    </row>
    <row r="41" spans="1:33" ht="15.75">
      <c r="A41" s="393" t="s">
        <v>586</v>
      </c>
      <c r="B41" s="394">
        <v>8</v>
      </c>
      <c r="C41" s="394">
        <v>68</v>
      </c>
      <c r="D41" s="394" t="s">
        <v>585</v>
      </c>
      <c r="E41" s="394">
        <v>1.5</v>
      </c>
      <c r="F41" s="395">
        <v>45328.490277777775</v>
      </c>
      <c r="G41" s="394">
        <v>1</v>
      </c>
      <c r="H41" s="394">
        <v>51.374099999999999</v>
      </c>
      <c r="I41" s="394">
        <v>7.6148100000000003</v>
      </c>
      <c r="J41" s="394">
        <v>-16.421399999999998</v>
      </c>
      <c r="K41" s="394">
        <v>-15.579800000000001</v>
      </c>
      <c r="L41" s="394">
        <v>1003.1</v>
      </c>
      <c r="M41" s="394">
        <v>133.99979999999999</v>
      </c>
      <c r="N41" s="394">
        <v>17802.75</v>
      </c>
      <c r="O41" s="394">
        <v>17751.05</v>
      </c>
      <c r="P41" s="396">
        <v>2003.63</v>
      </c>
      <c r="Q41" s="396">
        <f t="shared" si="0"/>
        <v>2045.71949120814</v>
      </c>
      <c r="R41" s="399">
        <f t="shared" si="3"/>
        <v>3.0970534097270197</v>
      </c>
      <c r="S41" s="396">
        <f t="shared" si="2"/>
        <v>2048.8165446178668</v>
      </c>
      <c r="T41" s="394" t="s">
        <v>542</v>
      </c>
      <c r="U41" s="394">
        <v>15</v>
      </c>
      <c r="V41" s="394">
        <v>5</v>
      </c>
      <c r="W41" s="394">
        <v>0.7</v>
      </c>
      <c r="X41" s="394">
        <v>0.7</v>
      </c>
      <c r="Y41" s="394">
        <v>0.7</v>
      </c>
      <c r="Z41" s="397">
        <v>1700</v>
      </c>
      <c r="AA41" s="397" t="s">
        <v>533</v>
      </c>
      <c r="AB41" s="397">
        <v>0.85</v>
      </c>
      <c r="AC41" s="397" t="s">
        <v>534</v>
      </c>
      <c r="AD41" s="397" t="s">
        <v>535</v>
      </c>
      <c r="AE41" s="397">
        <v>220</v>
      </c>
      <c r="AF41" s="398" t="s">
        <v>556</v>
      </c>
      <c r="AG41" s="398"/>
    </row>
    <row r="42" spans="1:33" ht="15.75">
      <c r="A42" s="393" t="s">
        <v>587</v>
      </c>
      <c r="B42" s="394">
        <v>8</v>
      </c>
      <c r="C42" s="394">
        <v>68</v>
      </c>
      <c r="D42" s="394" t="s">
        <v>585</v>
      </c>
      <c r="E42" s="394">
        <v>1.5</v>
      </c>
      <c r="F42" s="395">
        <v>45328.493750000001</v>
      </c>
      <c r="G42" s="394">
        <v>1</v>
      </c>
      <c r="H42" s="394">
        <v>51.377400000000002</v>
      </c>
      <c r="I42" s="394">
        <v>7.6838100000000003</v>
      </c>
      <c r="J42" s="394">
        <v>-16.426500000000001</v>
      </c>
      <c r="K42" s="394">
        <v>-15.5854</v>
      </c>
      <c r="L42" s="394">
        <v>1010.29</v>
      </c>
      <c r="M42" s="394">
        <v>116.50020000000001</v>
      </c>
      <c r="N42" s="394">
        <v>17765.03</v>
      </c>
      <c r="O42" s="394">
        <v>17751.05</v>
      </c>
      <c r="P42" s="396">
        <v>2003.63</v>
      </c>
      <c r="Q42" s="396">
        <f t="shared" si="0"/>
        <v>2045.71949120814</v>
      </c>
      <c r="R42" s="399">
        <f t="shared" si="3"/>
        <v>3.0970534097270197</v>
      </c>
      <c r="S42" s="396">
        <f t="shared" si="2"/>
        <v>2048.8165446178668</v>
      </c>
      <c r="T42" s="394" t="s">
        <v>532</v>
      </c>
      <c r="U42" s="394">
        <v>15</v>
      </c>
      <c r="V42" s="394">
        <v>5</v>
      </c>
      <c r="W42" s="394">
        <v>0.7</v>
      </c>
      <c r="X42" s="394">
        <v>0.7</v>
      </c>
      <c r="Y42" s="394">
        <v>0.7</v>
      </c>
      <c r="Z42" s="397">
        <v>1700</v>
      </c>
      <c r="AA42" s="397" t="s">
        <v>533</v>
      </c>
      <c r="AB42" s="397">
        <v>0.85</v>
      </c>
      <c r="AC42" s="397" t="s">
        <v>534</v>
      </c>
      <c r="AD42" s="397" t="s">
        <v>535</v>
      </c>
      <c r="AE42" s="397">
        <v>219</v>
      </c>
      <c r="AF42" s="398" t="s">
        <v>556</v>
      </c>
      <c r="AG42" s="398"/>
    </row>
    <row r="43" spans="1:33" ht="15.75">
      <c r="A43" s="393" t="s">
        <v>588</v>
      </c>
      <c r="B43" s="394">
        <v>8</v>
      </c>
      <c r="C43" s="394">
        <v>68</v>
      </c>
      <c r="D43" s="394" t="s">
        <v>585</v>
      </c>
      <c r="E43" s="394">
        <v>1.5</v>
      </c>
      <c r="F43" s="395">
        <v>45328.49722222222</v>
      </c>
      <c r="G43" s="394">
        <v>1</v>
      </c>
      <c r="H43" s="394">
        <v>51.374099999999999</v>
      </c>
      <c r="I43" s="394">
        <v>7.6357999999999997</v>
      </c>
      <c r="J43" s="394">
        <v>-16.379899999999999</v>
      </c>
      <c r="K43" s="394">
        <v>-15.5442</v>
      </c>
      <c r="L43" s="394">
        <v>992.60599999999999</v>
      </c>
      <c r="M43" s="394">
        <v>108.4992</v>
      </c>
      <c r="N43" s="394">
        <v>17735.47</v>
      </c>
      <c r="O43" s="394">
        <v>17751.05</v>
      </c>
      <c r="P43" s="396">
        <v>2003.63</v>
      </c>
      <c r="Q43" s="396">
        <f t="shared" si="0"/>
        <v>2045.71949120814</v>
      </c>
      <c r="R43" s="399">
        <f t="shared" si="3"/>
        <v>3.0970534097270197</v>
      </c>
      <c r="S43" s="396">
        <f t="shared" si="2"/>
        <v>2048.8165446178668</v>
      </c>
      <c r="T43" s="394" t="s">
        <v>532</v>
      </c>
      <c r="U43" s="394">
        <v>15</v>
      </c>
      <c r="V43" s="394">
        <v>5</v>
      </c>
      <c r="W43" s="394">
        <v>0.7</v>
      </c>
      <c r="X43" s="394">
        <v>0.7</v>
      </c>
      <c r="Y43" s="394">
        <v>0.7</v>
      </c>
      <c r="Z43" s="397">
        <v>1700</v>
      </c>
      <c r="AA43" s="397" t="s">
        <v>533</v>
      </c>
      <c r="AB43" s="397">
        <v>0.85</v>
      </c>
      <c r="AC43" s="397" t="s">
        <v>534</v>
      </c>
      <c r="AD43" s="397" t="s">
        <v>535</v>
      </c>
      <c r="AE43" s="397">
        <v>220</v>
      </c>
      <c r="AF43" s="398" t="s">
        <v>556</v>
      </c>
      <c r="AG43" s="398"/>
    </row>
    <row r="44" spans="1:33" ht="15.75">
      <c r="A44" s="393" t="s">
        <v>589</v>
      </c>
      <c r="B44" s="394">
        <v>8</v>
      </c>
      <c r="C44" s="394">
        <v>68</v>
      </c>
      <c r="D44" s="394" t="s">
        <v>585</v>
      </c>
      <c r="E44" s="394">
        <v>1.5</v>
      </c>
      <c r="F44" s="395">
        <v>45328.500694444447</v>
      </c>
      <c r="G44" s="394">
        <v>1</v>
      </c>
      <c r="H44" s="394">
        <v>51.374099999999999</v>
      </c>
      <c r="I44" s="394">
        <v>7.6973399999999996</v>
      </c>
      <c r="J44" s="394">
        <v>-16.3628</v>
      </c>
      <c r="K44" s="394">
        <v>-15.5199</v>
      </c>
      <c r="L44" s="394">
        <v>1004.38</v>
      </c>
      <c r="M44" s="394">
        <v>117.00069999999999</v>
      </c>
      <c r="N44" s="394">
        <v>17752.650000000001</v>
      </c>
      <c r="O44" s="394">
        <v>17751.05</v>
      </c>
      <c r="P44" s="396">
        <v>2003.63</v>
      </c>
      <c r="Q44" s="396">
        <f t="shared" si="0"/>
        <v>2045.71949120814</v>
      </c>
      <c r="R44" s="399">
        <f t="shared" si="3"/>
        <v>3.0970534097270197</v>
      </c>
      <c r="S44" s="396">
        <f t="shared" si="2"/>
        <v>2048.8165446178668</v>
      </c>
      <c r="T44" s="394" t="s">
        <v>532</v>
      </c>
      <c r="U44" s="394">
        <v>15</v>
      </c>
      <c r="V44" s="394">
        <v>5</v>
      </c>
      <c r="W44" s="394">
        <v>0.7</v>
      </c>
      <c r="X44" s="394">
        <v>0.7</v>
      </c>
      <c r="Y44" s="394">
        <v>0.7</v>
      </c>
      <c r="Z44" s="397">
        <v>1700</v>
      </c>
      <c r="AA44" s="397" t="s">
        <v>533</v>
      </c>
      <c r="AB44" s="397">
        <v>0.85</v>
      </c>
      <c r="AC44" s="397" t="s">
        <v>534</v>
      </c>
      <c r="AD44" s="397" t="s">
        <v>535</v>
      </c>
      <c r="AE44" s="397">
        <v>220</v>
      </c>
      <c r="AF44" s="398" t="s">
        <v>556</v>
      </c>
      <c r="AG44" s="398"/>
    </row>
    <row r="45" spans="1:33" ht="15.75">
      <c r="A45" s="393" t="s">
        <v>590</v>
      </c>
      <c r="B45" s="394">
        <v>9</v>
      </c>
      <c r="C45" s="394">
        <v>56</v>
      </c>
      <c r="D45" s="394" t="s">
        <v>591</v>
      </c>
      <c r="E45" s="394">
        <v>1.5</v>
      </c>
      <c r="F45" s="395">
        <v>45328.504861111112</v>
      </c>
      <c r="G45" s="394">
        <v>1</v>
      </c>
      <c r="H45" s="394">
        <v>51.374099999999999</v>
      </c>
      <c r="I45" s="394">
        <v>7.6391900000000001</v>
      </c>
      <c r="J45" s="394">
        <v>-16.3047</v>
      </c>
      <c r="K45" s="394">
        <v>-15.472799999999999</v>
      </c>
      <c r="L45" s="394">
        <v>997.02</v>
      </c>
      <c r="M45" s="394">
        <v>108.99979999999999</v>
      </c>
      <c r="N45" s="394">
        <v>17686.11</v>
      </c>
      <c r="O45" s="396" t="s">
        <v>18</v>
      </c>
      <c r="P45" s="396" t="s">
        <v>18</v>
      </c>
      <c r="Q45" s="396" t="s">
        <v>18</v>
      </c>
      <c r="R45" s="396" t="s">
        <v>18</v>
      </c>
      <c r="S45" s="396" t="s">
        <v>18</v>
      </c>
      <c r="T45" s="394" t="s">
        <v>592</v>
      </c>
      <c r="U45" s="394">
        <v>15</v>
      </c>
      <c r="V45" s="394">
        <v>5</v>
      </c>
      <c r="W45" s="394">
        <v>0.7</v>
      </c>
      <c r="X45" s="394">
        <v>0.7</v>
      </c>
      <c r="Y45" s="394">
        <v>0.7</v>
      </c>
      <c r="Z45" s="397">
        <v>1700</v>
      </c>
      <c r="AA45" s="397" t="s">
        <v>533</v>
      </c>
      <c r="AB45" s="397">
        <v>0.85</v>
      </c>
      <c r="AC45" s="397" t="s">
        <v>534</v>
      </c>
      <c r="AD45" s="397" t="s">
        <v>535</v>
      </c>
      <c r="AE45" s="397">
        <v>220</v>
      </c>
      <c r="AF45" s="398" t="s">
        <v>556</v>
      </c>
      <c r="AG45" s="398"/>
    </row>
    <row r="46" spans="1:33" ht="15.75">
      <c r="A46" s="393" t="s">
        <v>593</v>
      </c>
      <c r="B46" s="394">
        <v>9</v>
      </c>
      <c r="C46" s="394">
        <v>56</v>
      </c>
      <c r="D46" s="394" t="s">
        <v>591</v>
      </c>
      <c r="E46" s="394">
        <v>1.5</v>
      </c>
      <c r="F46" s="395">
        <v>45328.508333333331</v>
      </c>
      <c r="G46" s="394">
        <v>1</v>
      </c>
      <c r="H46" s="394">
        <v>51.374099999999999</v>
      </c>
      <c r="I46" s="394">
        <v>7.6611500000000001</v>
      </c>
      <c r="J46" s="394">
        <v>-16.392700000000001</v>
      </c>
      <c r="K46" s="394">
        <v>-15.567500000000001</v>
      </c>
      <c r="L46" s="394">
        <v>995.24199999999996</v>
      </c>
      <c r="M46" s="394">
        <v>108.001</v>
      </c>
      <c r="N46" s="394">
        <v>17648.669999999998</v>
      </c>
      <c r="O46" s="396" t="s">
        <v>18</v>
      </c>
      <c r="P46" s="396" t="s">
        <v>18</v>
      </c>
      <c r="Q46" s="396" t="s">
        <v>18</v>
      </c>
      <c r="R46" s="396" t="s">
        <v>18</v>
      </c>
      <c r="S46" s="396" t="s">
        <v>18</v>
      </c>
      <c r="T46" s="394" t="s">
        <v>592</v>
      </c>
      <c r="U46" s="394">
        <v>15</v>
      </c>
      <c r="V46" s="394">
        <v>5</v>
      </c>
      <c r="W46" s="394">
        <v>0.7</v>
      </c>
      <c r="X46" s="394">
        <v>0.7</v>
      </c>
      <c r="Y46" s="394">
        <v>0.7</v>
      </c>
      <c r="Z46" s="397">
        <v>1700</v>
      </c>
      <c r="AA46" s="397" t="s">
        <v>533</v>
      </c>
      <c r="AB46" s="397">
        <v>0.85</v>
      </c>
      <c r="AC46" s="397" t="s">
        <v>534</v>
      </c>
      <c r="AD46" s="397" t="s">
        <v>535</v>
      </c>
      <c r="AE46" s="397">
        <v>220</v>
      </c>
      <c r="AF46" s="398" t="s">
        <v>556</v>
      </c>
      <c r="AG46" s="398"/>
    </row>
    <row r="47" spans="1:33" ht="15.75">
      <c r="A47" s="393" t="s">
        <v>594</v>
      </c>
      <c r="B47" s="394">
        <v>9</v>
      </c>
      <c r="C47" s="394">
        <v>56</v>
      </c>
      <c r="D47" s="394" t="s">
        <v>591</v>
      </c>
      <c r="E47" s="394">
        <v>1.5</v>
      </c>
      <c r="F47" s="395">
        <v>45328.511805555558</v>
      </c>
      <c r="G47" s="394">
        <v>1</v>
      </c>
      <c r="H47" s="394">
        <v>51.370800000000003</v>
      </c>
      <c r="I47" s="394">
        <v>7.6809200000000004</v>
      </c>
      <c r="J47" s="394">
        <v>-16.4114</v>
      </c>
      <c r="K47" s="394">
        <v>-15.611000000000001</v>
      </c>
      <c r="L47" s="394">
        <v>990.78499999999997</v>
      </c>
      <c r="M47" s="394">
        <v>118.0003</v>
      </c>
      <c r="N47" s="394">
        <v>17714.099999999999</v>
      </c>
      <c r="O47" s="396" t="s">
        <v>18</v>
      </c>
      <c r="P47" s="396" t="s">
        <v>18</v>
      </c>
      <c r="Q47" s="396" t="s">
        <v>18</v>
      </c>
      <c r="R47" s="396" t="s">
        <v>18</v>
      </c>
      <c r="S47" s="396" t="s">
        <v>18</v>
      </c>
      <c r="T47" s="394" t="s">
        <v>592</v>
      </c>
      <c r="U47" s="394">
        <v>15</v>
      </c>
      <c r="V47" s="394">
        <v>5</v>
      </c>
      <c r="W47" s="394">
        <v>0.7</v>
      </c>
      <c r="X47" s="394">
        <v>0.7</v>
      </c>
      <c r="Y47" s="394">
        <v>0.7</v>
      </c>
      <c r="Z47" s="397">
        <v>1700</v>
      </c>
      <c r="AA47" s="397" t="s">
        <v>533</v>
      </c>
      <c r="AB47" s="397">
        <v>0.85</v>
      </c>
      <c r="AC47" s="397" t="s">
        <v>534</v>
      </c>
      <c r="AD47" s="397" t="s">
        <v>535</v>
      </c>
      <c r="AE47" s="397">
        <v>220</v>
      </c>
      <c r="AF47" s="398" t="s">
        <v>556</v>
      </c>
      <c r="AG47" s="398"/>
    </row>
    <row r="48" spans="1:33" ht="15.75">
      <c r="A48" s="393" t="s">
        <v>595</v>
      </c>
      <c r="B48" s="394">
        <v>9</v>
      </c>
      <c r="C48" s="394">
        <v>56</v>
      </c>
      <c r="D48" s="394" t="s">
        <v>591</v>
      </c>
      <c r="E48" s="394">
        <v>1.5</v>
      </c>
      <c r="F48" s="395">
        <v>45328.515277777777</v>
      </c>
      <c r="G48" s="394">
        <v>1</v>
      </c>
      <c r="H48" s="394">
        <v>51.370800000000003</v>
      </c>
      <c r="I48" s="394">
        <v>7.6617100000000002</v>
      </c>
      <c r="J48" s="394">
        <v>-16.437000000000001</v>
      </c>
      <c r="K48" s="394">
        <v>-15.5989</v>
      </c>
      <c r="L48" s="394">
        <v>982.81</v>
      </c>
      <c r="M48" s="394">
        <v>120.5012</v>
      </c>
      <c r="N48" s="394">
        <v>17663.28</v>
      </c>
      <c r="O48" s="396" t="s">
        <v>18</v>
      </c>
      <c r="P48" s="396" t="s">
        <v>18</v>
      </c>
      <c r="Q48" s="396" t="s">
        <v>18</v>
      </c>
      <c r="R48" s="396" t="s">
        <v>18</v>
      </c>
      <c r="S48" s="396" t="s">
        <v>18</v>
      </c>
      <c r="T48" s="394" t="s">
        <v>592</v>
      </c>
      <c r="U48" s="394">
        <v>15</v>
      </c>
      <c r="V48" s="394">
        <v>5</v>
      </c>
      <c r="W48" s="394">
        <v>0.7</v>
      </c>
      <c r="X48" s="394">
        <v>0.7</v>
      </c>
      <c r="Y48" s="394">
        <v>0.7</v>
      </c>
      <c r="Z48" s="397">
        <v>1700</v>
      </c>
      <c r="AA48" s="397" t="s">
        <v>533</v>
      </c>
      <c r="AB48" s="397">
        <v>0.85</v>
      </c>
      <c r="AC48" s="397" t="s">
        <v>534</v>
      </c>
      <c r="AD48" s="397" t="s">
        <v>535</v>
      </c>
      <c r="AE48" s="397">
        <v>220</v>
      </c>
      <c r="AF48" s="398" t="s">
        <v>556</v>
      </c>
      <c r="AG48" s="398"/>
    </row>
    <row r="49" spans="1:33" ht="15.75">
      <c r="A49" s="393" t="s">
        <v>596</v>
      </c>
      <c r="B49" s="394">
        <v>9</v>
      </c>
      <c r="C49" s="394">
        <v>56</v>
      </c>
      <c r="D49" s="394" t="s">
        <v>591</v>
      </c>
      <c r="E49" s="394">
        <v>1.5</v>
      </c>
      <c r="F49" s="395">
        <v>45328.518750000003</v>
      </c>
      <c r="G49" s="394">
        <v>1</v>
      </c>
      <c r="H49" s="394">
        <v>51.3675</v>
      </c>
      <c r="I49" s="394">
        <v>7.6055299999999999</v>
      </c>
      <c r="J49" s="394">
        <v>-16.553100000000001</v>
      </c>
      <c r="K49" s="394">
        <v>-15.7195</v>
      </c>
      <c r="L49" s="394">
        <v>996.81899999999996</v>
      </c>
      <c r="M49" s="394">
        <v>117.9978</v>
      </c>
      <c r="N49" s="394">
        <v>17733.5</v>
      </c>
      <c r="O49" s="396" t="s">
        <v>18</v>
      </c>
      <c r="P49" s="396" t="s">
        <v>18</v>
      </c>
      <c r="Q49" s="396" t="s">
        <v>18</v>
      </c>
      <c r="R49" s="396" t="s">
        <v>18</v>
      </c>
      <c r="S49" s="396" t="s">
        <v>18</v>
      </c>
      <c r="T49" s="394" t="s">
        <v>592</v>
      </c>
      <c r="U49" s="394">
        <v>15</v>
      </c>
      <c r="V49" s="394">
        <v>5</v>
      </c>
      <c r="W49" s="394">
        <v>0.7</v>
      </c>
      <c r="X49" s="394">
        <v>0.7</v>
      </c>
      <c r="Y49" s="394">
        <v>0.7</v>
      </c>
      <c r="Z49" s="397">
        <v>1700</v>
      </c>
      <c r="AA49" s="397" t="s">
        <v>533</v>
      </c>
      <c r="AB49" s="397">
        <v>0.85</v>
      </c>
      <c r="AC49" s="397" t="s">
        <v>534</v>
      </c>
      <c r="AD49" s="397" t="s">
        <v>535</v>
      </c>
      <c r="AE49" s="397">
        <v>220</v>
      </c>
      <c r="AF49" s="398" t="s">
        <v>556</v>
      </c>
      <c r="AG49" s="398"/>
    </row>
    <row r="50" spans="1:33" ht="15.75">
      <c r="A50" s="393" t="s">
        <v>597</v>
      </c>
      <c r="B50" s="394">
        <v>9</v>
      </c>
      <c r="C50" s="394">
        <v>56</v>
      </c>
      <c r="D50" s="394" t="s">
        <v>591</v>
      </c>
      <c r="E50" s="394">
        <v>1.5</v>
      </c>
      <c r="F50" s="395">
        <v>45328.522222222222</v>
      </c>
      <c r="G50" s="394">
        <v>2</v>
      </c>
      <c r="H50" s="394">
        <v>51.374099999999999</v>
      </c>
      <c r="I50" s="394">
        <v>7.6044600000000004</v>
      </c>
      <c r="J50" s="394">
        <v>-16.507000000000001</v>
      </c>
      <c r="K50" s="394">
        <v>-15.6714</v>
      </c>
      <c r="L50" s="394">
        <v>996.827</v>
      </c>
      <c r="M50" s="394">
        <v>126.4999</v>
      </c>
      <c r="N50" s="394">
        <v>17714.55</v>
      </c>
      <c r="O50" s="394">
        <v>17711.72</v>
      </c>
      <c r="P50" s="396">
        <v>1999.23</v>
      </c>
      <c r="Q50" s="396">
        <f t="shared" ref="Q50:Q102" si="4">P50*(2067.13/2024.6)</f>
        <v>2041.227062086338</v>
      </c>
      <c r="R50" s="399">
        <f t="shared" ref="R50:R57" si="5">((B50-B$20)/(B$57-B$20))*R$58+((1-((B50-B$20)/(B$57-B$20)))*R$19)</f>
        <v>3.57919542406181</v>
      </c>
      <c r="S50" s="396">
        <f t="shared" ref="S50:S102" si="6">Q50+R50</f>
        <v>2044.8062575103997</v>
      </c>
      <c r="T50" s="394" t="s">
        <v>532</v>
      </c>
      <c r="U50" s="394">
        <v>15</v>
      </c>
      <c r="V50" s="394">
        <v>5</v>
      </c>
      <c r="W50" s="394">
        <v>0.7</v>
      </c>
      <c r="X50" s="394">
        <v>0.7</v>
      </c>
      <c r="Y50" s="394">
        <v>0.7</v>
      </c>
      <c r="Z50" s="397">
        <v>1700</v>
      </c>
      <c r="AA50" s="397" t="s">
        <v>533</v>
      </c>
      <c r="AB50" s="397">
        <v>0.85</v>
      </c>
      <c r="AC50" s="397" t="s">
        <v>534</v>
      </c>
      <c r="AD50" s="397" t="s">
        <v>535</v>
      </c>
      <c r="AE50" s="397">
        <v>220</v>
      </c>
      <c r="AF50" s="398" t="s">
        <v>556</v>
      </c>
      <c r="AG50" s="398"/>
    </row>
    <row r="51" spans="1:33" ht="15.75">
      <c r="A51" s="393" t="s">
        <v>598</v>
      </c>
      <c r="B51" s="394">
        <v>9</v>
      </c>
      <c r="C51" s="394">
        <v>56</v>
      </c>
      <c r="D51" s="394" t="s">
        <v>591</v>
      </c>
      <c r="E51" s="394">
        <v>1.5</v>
      </c>
      <c r="F51" s="395">
        <v>45328.526388888888</v>
      </c>
      <c r="G51" s="394">
        <v>2</v>
      </c>
      <c r="H51" s="394">
        <v>51.377400000000002</v>
      </c>
      <c r="I51" s="394">
        <v>7.6601400000000002</v>
      </c>
      <c r="J51" s="394">
        <v>-16.430199999999999</v>
      </c>
      <c r="K51" s="394">
        <v>-15.601000000000001</v>
      </c>
      <c r="L51" s="394">
        <v>995.46600000000001</v>
      </c>
      <c r="M51" s="394">
        <v>113.0013</v>
      </c>
      <c r="N51" s="394">
        <v>17703.91</v>
      </c>
      <c r="O51" s="394">
        <v>17711.72</v>
      </c>
      <c r="P51" s="396">
        <v>1999.23</v>
      </c>
      <c r="Q51" s="396">
        <f t="shared" si="4"/>
        <v>2041.227062086338</v>
      </c>
      <c r="R51" s="399">
        <f t="shared" si="5"/>
        <v>3.57919542406181</v>
      </c>
      <c r="S51" s="396">
        <f t="shared" si="6"/>
        <v>2044.8062575103997</v>
      </c>
      <c r="T51" s="394" t="s">
        <v>532</v>
      </c>
      <c r="U51" s="394">
        <v>15</v>
      </c>
      <c r="V51" s="394">
        <v>5</v>
      </c>
      <c r="W51" s="394">
        <v>0.7</v>
      </c>
      <c r="X51" s="394">
        <v>0.7</v>
      </c>
      <c r="Y51" s="394">
        <v>0.7</v>
      </c>
      <c r="Z51" s="397">
        <v>1700</v>
      </c>
      <c r="AA51" s="397" t="s">
        <v>533</v>
      </c>
      <c r="AB51" s="397">
        <v>0.85</v>
      </c>
      <c r="AC51" s="397" t="s">
        <v>534</v>
      </c>
      <c r="AD51" s="397" t="s">
        <v>535</v>
      </c>
      <c r="AE51" s="397">
        <v>220</v>
      </c>
      <c r="AF51" s="398" t="s">
        <v>556</v>
      </c>
      <c r="AG51" s="398"/>
    </row>
    <row r="52" spans="1:33" ht="15.75">
      <c r="A52" s="393" t="s">
        <v>599</v>
      </c>
      <c r="B52" s="394">
        <v>9</v>
      </c>
      <c r="C52" s="394">
        <v>56</v>
      </c>
      <c r="D52" s="394" t="s">
        <v>591</v>
      </c>
      <c r="E52" s="394">
        <v>1.5</v>
      </c>
      <c r="F52" s="395">
        <v>45328.529861111114</v>
      </c>
      <c r="G52" s="394">
        <v>2</v>
      </c>
      <c r="H52" s="394">
        <v>51.374099999999999</v>
      </c>
      <c r="I52" s="394">
        <v>7.70059</v>
      </c>
      <c r="J52" s="394">
        <v>-16.535900000000002</v>
      </c>
      <c r="K52" s="394">
        <v>-15.7105</v>
      </c>
      <c r="L52" s="394">
        <v>1003.94</v>
      </c>
      <c r="M52" s="394">
        <v>120.5004</v>
      </c>
      <c r="N52" s="394">
        <v>17716.71</v>
      </c>
      <c r="O52" s="394">
        <v>17711.72</v>
      </c>
      <c r="P52" s="396">
        <v>1999.23</v>
      </c>
      <c r="Q52" s="396">
        <f t="shared" si="4"/>
        <v>2041.227062086338</v>
      </c>
      <c r="R52" s="399">
        <f t="shared" si="5"/>
        <v>3.57919542406181</v>
      </c>
      <c r="S52" s="396">
        <f t="shared" si="6"/>
        <v>2044.8062575103997</v>
      </c>
      <c r="T52" s="394" t="s">
        <v>532</v>
      </c>
      <c r="U52" s="394">
        <v>15</v>
      </c>
      <c r="V52" s="394">
        <v>5</v>
      </c>
      <c r="W52" s="394">
        <v>0.7</v>
      </c>
      <c r="X52" s="394">
        <v>0.7</v>
      </c>
      <c r="Y52" s="394">
        <v>0.7</v>
      </c>
      <c r="Z52" s="397">
        <v>1700</v>
      </c>
      <c r="AA52" s="397" t="s">
        <v>533</v>
      </c>
      <c r="AB52" s="397">
        <v>0.85</v>
      </c>
      <c r="AC52" s="397" t="s">
        <v>534</v>
      </c>
      <c r="AD52" s="397" t="s">
        <v>535</v>
      </c>
      <c r="AE52" s="397">
        <v>220</v>
      </c>
      <c r="AF52" s="398" t="s">
        <v>556</v>
      </c>
      <c r="AG52" s="398"/>
    </row>
    <row r="53" spans="1:33" ht="15.75">
      <c r="A53" s="393" t="s">
        <v>600</v>
      </c>
      <c r="B53" s="394">
        <v>10</v>
      </c>
      <c r="C53" s="394">
        <v>57</v>
      </c>
      <c r="D53" s="394" t="s">
        <v>601</v>
      </c>
      <c r="E53" s="394">
        <v>1.5</v>
      </c>
      <c r="F53" s="395">
        <v>45328.533333333333</v>
      </c>
      <c r="G53" s="394">
        <v>1</v>
      </c>
      <c r="H53" s="394">
        <v>51.370800000000003</v>
      </c>
      <c r="I53" s="394">
        <v>7.64811</v>
      </c>
      <c r="J53" s="394">
        <v>-16.424700000000001</v>
      </c>
      <c r="K53" s="394">
        <v>-15.6027</v>
      </c>
      <c r="L53" s="394">
        <v>1001.06</v>
      </c>
      <c r="M53" s="394">
        <v>113.5017</v>
      </c>
      <c r="N53" s="394">
        <v>17699.900000000001</v>
      </c>
      <c r="O53" s="394">
        <v>17704.060000000001</v>
      </c>
      <c r="P53" s="396">
        <v>1998.37</v>
      </c>
      <c r="Q53" s="396">
        <f t="shared" si="4"/>
        <v>2040.3489963943493</v>
      </c>
      <c r="R53" s="399">
        <f t="shared" si="5"/>
        <v>4.0613374383965999</v>
      </c>
      <c r="S53" s="396">
        <f t="shared" si="6"/>
        <v>2044.4103338327459</v>
      </c>
      <c r="T53" s="394" t="s">
        <v>532</v>
      </c>
      <c r="U53" s="394">
        <v>15</v>
      </c>
      <c r="V53" s="394">
        <v>5</v>
      </c>
      <c r="W53" s="394">
        <v>0.7</v>
      </c>
      <c r="X53" s="394">
        <v>0.7</v>
      </c>
      <c r="Y53" s="394">
        <v>0.7</v>
      </c>
      <c r="Z53" s="397">
        <v>1700</v>
      </c>
      <c r="AA53" s="397" t="s">
        <v>533</v>
      </c>
      <c r="AB53" s="397">
        <v>0.85</v>
      </c>
      <c r="AC53" s="397" t="s">
        <v>534</v>
      </c>
      <c r="AD53" s="397" t="s">
        <v>535</v>
      </c>
      <c r="AE53" s="397">
        <v>220</v>
      </c>
      <c r="AF53" s="398" t="s">
        <v>556</v>
      </c>
      <c r="AG53" s="398"/>
    </row>
    <row r="54" spans="1:33" ht="15.75">
      <c r="A54" s="393" t="s">
        <v>602</v>
      </c>
      <c r="B54" s="394">
        <v>10</v>
      </c>
      <c r="C54" s="394">
        <v>57</v>
      </c>
      <c r="D54" s="394" t="s">
        <v>601</v>
      </c>
      <c r="E54" s="394">
        <v>1.5</v>
      </c>
      <c r="F54" s="395">
        <v>45328.537499999999</v>
      </c>
      <c r="G54" s="394">
        <v>1</v>
      </c>
      <c r="H54" s="394">
        <v>51.380699999999997</v>
      </c>
      <c r="I54" s="394">
        <v>7.6781300000000003</v>
      </c>
      <c r="J54" s="394">
        <v>-16.426300000000001</v>
      </c>
      <c r="K54" s="394">
        <v>-15.626300000000001</v>
      </c>
      <c r="L54" s="394">
        <v>996.16200000000003</v>
      </c>
      <c r="M54" s="394">
        <v>128.99969999999999</v>
      </c>
      <c r="N54" s="394">
        <v>17739.89</v>
      </c>
      <c r="O54" s="394">
        <v>17704.060000000001</v>
      </c>
      <c r="P54" s="396">
        <v>1998.37</v>
      </c>
      <c r="Q54" s="396">
        <f t="shared" si="4"/>
        <v>2040.3489963943493</v>
      </c>
      <c r="R54" s="399">
        <f t="shared" si="5"/>
        <v>4.0613374383965999</v>
      </c>
      <c r="S54" s="396">
        <f t="shared" si="6"/>
        <v>2044.4103338327459</v>
      </c>
      <c r="T54" s="394" t="s">
        <v>542</v>
      </c>
      <c r="U54" s="394">
        <v>15</v>
      </c>
      <c r="V54" s="394">
        <v>5</v>
      </c>
      <c r="W54" s="394">
        <v>0.7</v>
      </c>
      <c r="X54" s="394">
        <v>0.7</v>
      </c>
      <c r="Y54" s="394">
        <v>0.7</v>
      </c>
      <c r="Z54" s="397">
        <v>1700</v>
      </c>
      <c r="AA54" s="397" t="s">
        <v>533</v>
      </c>
      <c r="AB54" s="397">
        <v>0.85</v>
      </c>
      <c r="AC54" s="397" t="s">
        <v>534</v>
      </c>
      <c r="AD54" s="397" t="s">
        <v>535</v>
      </c>
      <c r="AE54" s="397">
        <v>220</v>
      </c>
      <c r="AF54" s="398" t="s">
        <v>556</v>
      </c>
      <c r="AG54" s="398"/>
    </row>
    <row r="55" spans="1:33" ht="15.75">
      <c r="A55" s="393" t="s">
        <v>603</v>
      </c>
      <c r="B55" s="394">
        <v>10</v>
      </c>
      <c r="C55" s="394">
        <v>57</v>
      </c>
      <c r="D55" s="394" t="s">
        <v>601</v>
      </c>
      <c r="E55" s="394">
        <v>1.5</v>
      </c>
      <c r="F55" s="395">
        <v>45328.540972222225</v>
      </c>
      <c r="G55" s="394">
        <v>1</v>
      </c>
      <c r="H55" s="394">
        <v>51.374099999999999</v>
      </c>
      <c r="I55" s="394">
        <v>7.5783199999999997</v>
      </c>
      <c r="J55" s="394">
        <v>-16.520900000000001</v>
      </c>
      <c r="K55" s="394">
        <v>-15.6793</v>
      </c>
      <c r="L55" s="394">
        <v>992.02700000000004</v>
      </c>
      <c r="M55" s="394">
        <v>121.50060000000001</v>
      </c>
      <c r="N55" s="394">
        <v>17698</v>
      </c>
      <c r="O55" s="394">
        <v>17704.060000000001</v>
      </c>
      <c r="P55" s="396">
        <v>1998.37</v>
      </c>
      <c r="Q55" s="396">
        <f t="shared" si="4"/>
        <v>2040.3489963943493</v>
      </c>
      <c r="R55" s="399">
        <f t="shared" si="5"/>
        <v>4.0613374383965999</v>
      </c>
      <c r="S55" s="396">
        <f t="shared" si="6"/>
        <v>2044.4103338327459</v>
      </c>
      <c r="T55" s="394" t="s">
        <v>532</v>
      </c>
      <c r="U55" s="394">
        <v>15</v>
      </c>
      <c r="V55" s="394">
        <v>5</v>
      </c>
      <c r="W55" s="394">
        <v>0.7</v>
      </c>
      <c r="X55" s="394">
        <v>0.7</v>
      </c>
      <c r="Y55" s="394">
        <v>0.7</v>
      </c>
      <c r="Z55" s="397">
        <v>1700</v>
      </c>
      <c r="AA55" s="397" t="s">
        <v>533</v>
      </c>
      <c r="AB55" s="397">
        <v>0.85</v>
      </c>
      <c r="AC55" s="397" t="s">
        <v>534</v>
      </c>
      <c r="AD55" s="397" t="s">
        <v>535</v>
      </c>
      <c r="AE55" s="397">
        <v>220</v>
      </c>
      <c r="AF55" s="398" t="s">
        <v>556</v>
      </c>
      <c r="AG55" s="398"/>
    </row>
    <row r="56" spans="1:33" ht="15.75">
      <c r="A56" s="393" t="s">
        <v>604</v>
      </c>
      <c r="B56" s="394">
        <v>10</v>
      </c>
      <c r="C56" s="394">
        <v>57</v>
      </c>
      <c r="D56" s="394" t="s">
        <v>601</v>
      </c>
      <c r="E56" s="394">
        <v>1.5</v>
      </c>
      <c r="F56" s="395">
        <v>45328.544444444444</v>
      </c>
      <c r="G56" s="394">
        <v>1</v>
      </c>
      <c r="H56" s="394">
        <v>51.370800000000003</v>
      </c>
      <c r="I56" s="394">
        <v>7.6016700000000004</v>
      </c>
      <c r="J56" s="394">
        <v>-16.4145</v>
      </c>
      <c r="K56" s="394">
        <v>-15.5661</v>
      </c>
      <c r="L56" s="394">
        <v>988.024</v>
      </c>
      <c r="M56" s="394">
        <v>113.5009</v>
      </c>
      <c r="N56" s="394">
        <v>17714.28</v>
      </c>
      <c r="O56" s="394">
        <v>17704.060000000001</v>
      </c>
      <c r="P56" s="396">
        <v>1998.37</v>
      </c>
      <c r="Q56" s="396">
        <f t="shared" si="4"/>
        <v>2040.3489963943493</v>
      </c>
      <c r="R56" s="399">
        <f t="shared" si="5"/>
        <v>4.0613374383965999</v>
      </c>
      <c r="S56" s="396">
        <f t="shared" si="6"/>
        <v>2044.4103338327459</v>
      </c>
      <c r="T56" s="394" t="s">
        <v>532</v>
      </c>
      <c r="U56" s="394">
        <v>15</v>
      </c>
      <c r="V56" s="394">
        <v>5</v>
      </c>
      <c r="W56" s="394">
        <v>0.7</v>
      </c>
      <c r="X56" s="394">
        <v>0.7</v>
      </c>
      <c r="Y56" s="394">
        <v>0.7</v>
      </c>
      <c r="Z56" s="397">
        <v>1700</v>
      </c>
      <c r="AA56" s="397" t="s">
        <v>533</v>
      </c>
      <c r="AB56" s="397">
        <v>0.85</v>
      </c>
      <c r="AC56" s="397" t="s">
        <v>534</v>
      </c>
      <c r="AD56" s="397" t="s">
        <v>535</v>
      </c>
      <c r="AE56" s="397">
        <v>220</v>
      </c>
      <c r="AF56" s="398" t="s">
        <v>556</v>
      </c>
      <c r="AG56" s="398"/>
    </row>
    <row r="57" spans="1:33" ht="15.75">
      <c r="A57" s="393" t="s">
        <v>605</v>
      </c>
      <c r="B57" s="394">
        <v>11</v>
      </c>
      <c r="C57" s="394" t="s">
        <v>541</v>
      </c>
      <c r="D57" s="394" t="s">
        <v>531</v>
      </c>
      <c r="E57" s="394">
        <v>1.5</v>
      </c>
      <c r="F57" s="395">
        <v>45328.548611111109</v>
      </c>
      <c r="G57" s="394">
        <v>1</v>
      </c>
      <c r="H57" s="394">
        <v>51.370800000000003</v>
      </c>
      <c r="I57" s="394">
        <v>7.6113499999999998</v>
      </c>
      <c r="J57" s="394">
        <v>-16.324999999999999</v>
      </c>
      <c r="K57" s="394">
        <v>-15.4939</v>
      </c>
      <c r="L57" s="394">
        <v>999.625</v>
      </c>
      <c r="M57" s="394">
        <v>136.50030000000001</v>
      </c>
      <c r="N57" s="394">
        <v>17944.28</v>
      </c>
      <c r="O57" s="394">
        <v>17898.599999999999</v>
      </c>
      <c r="P57" s="396">
        <v>2020.15</v>
      </c>
      <c r="Q57" s="396">
        <f t="shared" si="4"/>
        <v>2062.5865205472687</v>
      </c>
      <c r="R57" s="399">
        <f t="shared" si="5"/>
        <v>4.5434794527313898</v>
      </c>
      <c r="S57" s="396">
        <f t="shared" si="6"/>
        <v>2067.13</v>
      </c>
      <c r="T57" s="394" t="s">
        <v>542</v>
      </c>
      <c r="U57" s="394">
        <v>15</v>
      </c>
      <c r="V57" s="394">
        <v>5</v>
      </c>
      <c r="W57" s="394">
        <v>0.7</v>
      </c>
      <c r="X57" s="394">
        <v>0.7</v>
      </c>
      <c r="Y57" s="394">
        <v>0.7</v>
      </c>
      <c r="Z57" s="397">
        <v>1700</v>
      </c>
      <c r="AA57" s="397" t="s">
        <v>533</v>
      </c>
      <c r="AB57" s="397">
        <v>0.85</v>
      </c>
      <c r="AC57" s="397" t="s">
        <v>534</v>
      </c>
      <c r="AD57" s="397" t="s">
        <v>535</v>
      </c>
      <c r="AE57" s="397">
        <v>220</v>
      </c>
      <c r="AF57" s="398" t="s">
        <v>556</v>
      </c>
      <c r="AG57" s="400"/>
    </row>
    <row r="58" spans="1:33" ht="15.75">
      <c r="A58" s="393" t="s">
        <v>606</v>
      </c>
      <c r="B58" s="394">
        <v>11</v>
      </c>
      <c r="C58" s="394" t="s">
        <v>541</v>
      </c>
      <c r="D58" s="394" t="s">
        <v>531</v>
      </c>
      <c r="E58" s="394">
        <v>1.5</v>
      </c>
      <c r="F58" s="395">
        <v>45328.552083333336</v>
      </c>
      <c r="G58" s="394">
        <v>1</v>
      </c>
      <c r="H58" s="394">
        <v>51.377400000000002</v>
      </c>
      <c r="I58" s="394">
        <v>7.70113</v>
      </c>
      <c r="J58" s="394">
        <v>-16.374099999999999</v>
      </c>
      <c r="K58" s="394">
        <v>-15.524900000000001</v>
      </c>
      <c r="L58" s="394">
        <v>997.67899999999997</v>
      </c>
      <c r="M58" s="394">
        <v>118.5</v>
      </c>
      <c r="N58" s="394">
        <v>17907.060000000001</v>
      </c>
      <c r="O58" s="394">
        <v>17898.599999999999</v>
      </c>
      <c r="P58" s="396">
        <v>2020.15</v>
      </c>
      <c r="Q58" s="396">
        <f t="shared" si="4"/>
        <v>2062.5865205472687</v>
      </c>
      <c r="R58" s="399">
        <f t="shared" ref="R58:R59" si="7">2067.13-Q58</f>
        <v>4.5434794527313898</v>
      </c>
      <c r="S58" s="396">
        <f t="shared" si="6"/>
        <v>2067.13</v>
      </c>
      <c r="T58" s="394" t="s">
        <v>532</v>
      </c>
      <c r="U58" s="394">
        <v>15</v>
      </c>
      <c r="V58" s="394">
        <v>5</v>
      </c>
      <c r="W58" s="394">
        <v>0.7</v>
      </c>
      <c r="X58" s="394">
        <v>0.7</v>
      </c>
      <c r="Y58" s="394">
        <v>0.7</v>
      </c>
      <c r="Z58" s="397">
        <v>1700</v>
      </c>
      <c r="AA58" s="397" t="s">
        <v>533</v>
      </c>
      <c r="AB58" s="397">
        <v>0.85</v>
      </c>
      <c r="AC58" s="397" t="s">
        <v>534</v>
      </c>
      <c r="AD58" s="397" t="s">
        <v>535</v>
      </c>
      <c r="AE58" s="397">
        <v>220</v>
      </c>
      <c r="AF58" s="398" t="s">
        <v>556</v>
      </c>
      <c r="AG58" s="400"/>
    </row>
    <row r="59" spans="1:33" ht="15.75">
      <c r="A59" s="393" t="s">
        <v>607</v>
      </c>
      <c r="B59" s="394">
        <v>11</v>
      </c>
      <c r="C59" s="394" t="s">
        <v>541</v>
      </c>
      <c r="D59" s="394" t="s">
        <v>531</v>
      </c>
      <c r="E59" s="394">
        <v>1.5</v>
      </c>
      <c r="F59" s="395">
        <v>45328.555555555555</v>
      </c>
      <c r="G59" s="394">
        <v>1</v>
      </c>
      <c r="H59" s="394">
        <v>51.374099999999999</v>
      </c>
      <c r="I59" s="394">
        <v>7.6546799999999999</v>
      </c>
      <c r="J59" s="394">
        <v>-16.385400000000001</v>
      </c>
      <c r="K59" s="394">
        <v>-15.553100000000001</v>
      </c>
      <c r="L59" s="394">
        <v>986.19</v>
      </c>
      <c r="M59" s="394">
        <v>138.00200000000001</v>
      </c>
      <c r="N59" s="394">
        <v>17892.57</v>
      </c>
      <c r="O59" s="394">
        <v>17898.599999999999</v>
      </c>
      <c r="P59" s="396">
        <v>2020.15</v>
      </c>
      <c r="Q59" s="396">
        <f t="shared" si="4"/>
        <v>2062.5865205472687</v>
      </c>
      <c r="R59" s="399">
        <f t="shared" si="7"/>
        <v>4.5434794527313898</v>
      </c>
      <c r="S59" s="396">
        <f t="shared" si="6"/>
        <v>2067.13</v>
      </c>
      <c r="T59" s="394" t="s">
        <v>532</v>
      </c>
      <c r="U59" s="394">
        <v>15</v>
      </c>
      <c r="V59" s="394">
        <v>5</v>
      </c>
      <c r="W59" s="394">
        <v>0.7</v>
      </c>
      <c r="X59" s="394">
        <v>0.7</v>
      </c>
      <c r="Y59" s="394">
        <v>0.7</v>
      </c>
      <c r="Z59" s="397">
        <v>1700</v>
      </c>
      <c r="AA59" s="397" t="s">
        <v>533</v>
      </c>
      <c r="AB59" s="397">
        <v>0.85</v>
      </c>
      <c r="AC59" s="397" t="s">
        <v>534</v>
      </c>
      <c r="AD59" s="397" t="s">
        <v>535</v>
      </c>
      <c r="AE59" s="397">
        <v>220</v>
      </c>
      <c r="AF59" s="398" t="s">
        <v>556</v>
      </c>
      <c r="AG59" s="400"/>
    </row>
    <row r="60" spans="1:33" ht="15.75">
      <c r="A60" s="393" t="s">
        <v>608</v>
      </c>
      <c r="B60" s="394">
        <v>11</v>
      </c>
      <c r="C60" s="394" t="s">
        <v>541</v>
      </c>
      <c r="D60" s="394" t="s">
        <v>531</v>
      </c>
      <c r="E60" s="394">
        <v>1.5</v>
      </c>
      <c r="F60" s="395">
        <v>45328.55972222222</v>
      </c>
      <c r="G60" s="394">
        <v>1</v>
      </c>
      <c r="H60" s="394">
        <v>51.374099999999999</v>
      </c>
      <c r="I60" s="394">
        <v>7.6988599999999998</v>
      </c>
      <c r="J60" s="394">
        <v>-16.318999999999999</v>
      </c>
      <c r="K60" s="394">
        <v>-15.474600000000001</v>
      </c>
      <c r="L60" s="394">
        <v>1013.14</v>
      </c>
      <c r="M60" s="394">
        <v>112.49979999999999</v>
      </c>
      <c r="N60" s="394">
        <v>17896.18</v>
      </c>
      <c r="O60" s="394">
        <v>17898.599999999999</v>
      </c>
      <c r="P60" s="396">
        <v>2020.15</v>
      </c>
      <c r="Q60" s="396">
        <f t="shared" si="4"/>
        <v>2062.5865205472687</v>
      </c>
      <c r="R60" s="399">
        <f t="shared" ref="R60:R95" si="8">((B60-B$60)/(B$95-B$60))*R$96+((1-((B60-B$60)/(B$95-B$60)))*R$59)</f>
        <v>4.5434794527313898</v>
      </c>
      <c r="S60" s="396">
        <f t="shared" si="6"/>
        <v>2067.13</v>
      </c>
      <c r="T60" s="394" t="s">
        <v>532</v>
      </c>
      <c r="U60" s="394">
        <v>15</v>
      </c>
      <c r="V60" s="394">
        <v>5</v>
      </c>
      <c r="W60" s="394">
        <v>0.7</v>
      </c>
      <c r="X60" s="394">
        <v>0.7</v>
      </c>
      <c r="Y60" s="394">
        <v>0.7</v>
      </c>
      <c r="Z60" s="397">
        <v>1700</v>
      </c>
      <c r="AA60" s="397" t="s">
        <v>533</v>
      </c>
      <c r="AB60" s="397">
        <v>0.85</v>
      </c>
      <c r="AC60" s="397" t="s">
        <v>534</v>
      </c>
      <c r="AD60" s="397" t="s">
        <v>535</v>
      </c>
      <c r="AE60" s="397">
        <v>220</v>
      </c>
      <c r="AF60" s="398" t="s">
        <v>556</v>
      </c>
      <c r="AG60" s="400"/>
    </row>
    <row r="61" spans="1:33" ht="15.75">
      <c r="A61" s="393" t="s">
        <v>609</v>
      </c>
      <c r="B61" s="394">
        <v>12</v>
      </c>
      <c r="C61" s="394">
        <v>12</v>
      </c>
      <c r="D61" s="394" t="s">
        <v>561</v>
      </c>
      <c r="E61" s="394">
        <v>1.5</v>
      </c>
      <c r="F61" s="395">
        <v>45328.563194444447</v>
      </c>
      <c r="G61" s="394">
        <v>1</v>
      </c>
      <c r="H61" s="394">
        <v>51.380699999999997</v>
      </c>
      <c r="I61" s="394">
        <v>7.7547499999999996</v>
      </c>
      <c r="J61" s="394">
        <v>-16.341799999999999</v>
      </c>
      <c r="K61" s="394">
        <v>-15.499599999999999</v>
      </c>
      <c r="L61" s="394">
        <v>989.89</v>
      </c>
      <c r="M61" s="394">
        <v>115.4995</v>
      </c>
      <c r="N61" s="394">
        <v>17726.97</v>
      </c>
      <c r="O61" s="394">
        <v>17703.28</v>
      </c>
      <c r="P61" s="396">
        <v>1998.28</v>
      </c>
      <c r="Q61" s="396">
        <f t="shared" si="4"/>
        <v>2040.2571057986763</v>
      </c>
      <c r="R61" s="399">
        <f t="shared" si="8"/>
        <v>4.8894872512540433</v>
      </c>
      <c r="S61" s="396">
        <f t="shared" si="6"/>
        <v>2045.1465930499303</v>
      </c>
      <c r="T61" s="394" t="s">
        <v>542</v>
      </c>
      <c r="U61" s="394">
        <v>15</v>
      </c>
      <c r="V61" s="394">
        <v>5</v>
      </c>
      <c r="W61" s="394">
        <v>0.7</v>
      </c>
      <c r="X61" s="394">
        <v>0.7</v>
      </c>
      <c r="Y61" s="394">
        <v>0.7</v>
      </c>
      <c r="Z61" s="397">
        <v>1700</v>
      </c>
      <c r="AA61" s="397" t="s">
        <v>533</v>
      </c>
      <c r="AB61" s="397">
        <v>0.85</v>
      </c>
      <c r="AC61" s="397" t="s">
        <v>534</v>
      </c>
      <c r="AD61" s="397" t="s">
        <v>535</v>
      </c>
      <c r="AE61" s="397">
        <v>220</v>
      </c>
      <c r="AF61" s="398" t="s">
        <v>556</v>
      </c>
      <c r="AG61" s="398"/>
    </row>
    <row r="62" spans="1:33" ht="15.75">
      <c r="A62" s="393" t="s">
        <v>610</v>
      </c>
      <c r="B62" s="394">
        <v>12</v>
      </c>
      <c r="C62" s="394">
        <v>12</v>
      </c>
      <c r="D62" s="394" t="s">
        <v>561</v>
      </c>
      <c r="E62" s="394">
        <v>1.5</v>
      </c>
      <c r="F62" s="395">
        <v>45328.566666666666</v>
      </c>
      <c r="G62" s="394">
        <v>1</v>
      </c>
      <c r="H62" s="394">
        <v>51.370800000000003</v>
      </c>
      <c r="I62" s="394">
        <v>7.7436499999999997</v>
      </c>
      <c r="J62" s="394">
        <v>-16.311499999999999</v>
      </c>
      <c r="K62" s="394">
        <v>-15.4709</v>
      </c>
      <c r="L62" s="394">
        <v>973.66800000000001</v>
      </c>
      <c r="M62" s="394">
        <v>109.0005</v>
      </c>
      <c r="N62" s="394">
        <v>17691.45</v>
      </c>
      <c r="O62" s="394">
        <v>17703.28</v>
      </c>
      <c r="P62" s="396">
        <v>1998.28</v>
      </c>
      <c r="Q62" s="396">
        <f t="shared" si="4"/>
        <v>2040.2571057986763</v>
      </c>
      <c r="R62" s="399">
        <f t="shared" si="8"/>
        <v>4.8894872512540433</v>
      </c>
      <c r="S62" s="396">
        <f t="shared" si="6"/>
        <v>2045.1465930499303</v>
      </c>
      <c r="T62" s="394" t="s">
        <v>532</v>
      </c>
      <c r="U62" s="394">
        <v>15</v>
      </c>
      <c r="V62" s="394">
        <v>5</v>
      </c>
      <c r="W62" s="394">
        <v>0.7</v>
      </c>
      <c r="X62" s="394">
        <v>0.7</v>
      </c>
      <c r="Y62" s="394">
        <v>0.7</v>
      </c>
      <c r="Z62" s="397">
        <v>1700</v>
      </c>
      <c r="AA62" s="397" t="s">
        <v>533</v>
      </c>
      <c r="AB62" s="397">
        <v>0.85</v>
      </c>
      <c r="AC62" s="397" t="s">
        <v>534</v>
      </c>
      <c r="AD62" s="397" t="s">
        <v>535</v>
      </c>
      <c r="AE62" s="397">
        <v>220</v>
      </c>
      <c r="AF62" s="398" t="s">
        <v>556</v>
      </c>
      <c r="AG62" s="398"/>
    </row>
    <row r="63" spans="1:33" ht="15.75">
      <c r="A63" s="393" t="s">
        <v>611</v>
      </c>
      <c r="B63" s="394">
        <v>12</v>
      </c>
      <c r="C63" s="394">
        <v>12</v>
      </c>
      <c r="D63" s="394" t="s">
        <v>561</v>
      </c>
      <c r="E63" s="394">
        <v>1.5</v>
      </c>
      <c r="F63" s="395">
        <v>45328.570138888892</v>
      </c>
      <c r="G63" s="394">
        <v>1</v>
      </c>
      <c r="H63" s="394">
        <v>51.370800000000003</v>
      </c>
      <c r="I63" s="394">
        <v>7.5925900000000004</v>
      </c>
      <c r="J63" s="394">
        <v>-16.3399</v>
      </c>
      <c r="K63" s="394">
        <v>-15.5017</v>
      </c>
      <c r="L63" s="394">
        <v>988.86300000000006</v>
      </c>
      <c r="M63" s="394">
        <v>124.5001</v>
      </c>
      <c r="N63" s="394">
        <v>17708.990000000002</v>
      </c>
      <c r="O63" s="394">
        <v>17703.28</v>
      </c>
      <c r="P63" s="396">
        <v>1998.28</v>
      </c>
      <c r="Q63" s="396">
        <f t="shared" si="4"/>
        <v>2040.2571057986763</v>
      </c>
      <c r="R63" s="399">
        <f t="shared" si="8"/>
        <v>4.8894872512540433</v>
      </c>
      <c r="S63" s="396">
        <f t="shared" si="6"/>
        <v>2045.1465930499303</v>
      </c>
      <c r="T63" s="394" t="s">
        <v>532</v>
      </c>
      <c r="U63" s="394">
        <v>15</v>
      </c>
      <c r="V63" s="394">
        <v>5</v>
      </c>
      <c r="W63" s="394">
        <v>0.7</v>
      </c>
      <c r="X63" s="394">
        <v>0.7</v>
      </c>
      <c r="Y63" s="394">
        <v>0.7</v>
      </c>
      <c r="Z63" s="397">
        <v>1700</v>
      </c>
      <c r="AA63" s="397" t="s">
        <v>533</v>
      </c>
      <c r="AB63" s="397">
        <v>0.85</v>
      </c>
      <c r="AC63" s="397" t="s">
        <v>534</v>
      </c>
      <c r="AD63" s="397" t="s">
        <v>535</v>
      </c>
      <c r="AE63" s="397">
        <v>220</v>
      </c>
      <c r="AF63" s="398" t="s">
        <v>556</v>
      </c>
      <c r="AG63" s="398"/>
    </row>
    <row r="64" spans="1:33" ht="15.75">
      <c r="A64" s="393" t="s">
        <v>612</v>
      </c>
      <c r="B64" s="394">
        <v>12</v>
      </c>
      <c r="C64" s="394">
        <v>12</v>
      </c>
      <c r="D64" s="394" t="s">
        <v>561</v>
      </c>
      <c r="E64" s="394">
        <v>1.5</v>
      </c>
      <c r="F64" s="395">
        <v>45328.574305555558</v>
      </c>
      <c r="G64" s="394">
        <v>1</v>
      </c>
      <c r="H64" s="394">
        <v>51.377400000000002</v>
      </c>
      <c r="I64" s="394">
        <v>7.6867299999999998</v>
      </c>
      <c r="J64" s="394">
        <v>-16.340299999999999</v>
      </c>
      <c r="K64" s="394">
        <v>-15.500500000000001</v>
      </c>
      <c r="L64" s="394">
        <v>978.77300000000002</v>
      </c>
      <c r="M64" s="394">
        <v>108.99930000000001</v>
      </c>
      <c r="N64" s="394">
        <v>17709.400000000001</v>
      </c>
      <c r="O64" s="394">
        <v>17703.28</v>
      </c>
      <c r="P64" s="396">
        <v>1998.28</v>
      </c>
      <c r="Q64" s="396">
        <f t="shared" si="4"/>
        <v>2040.2571057986763</v>
      </c>
      <c r="R64" s="399">
        <f t="shared" si="8"/>
        <v>4.8894872512540433</v>
      </c>
      <c r="S64" s="396">
        <f t="shared" si="6"/>
        <v>2045.1465930499303</v>
      </c>
      <c r="T64" s="394" t="s">
        <v>532</v>
      </c>
      <c r="U64" s="394">
        <v>15</v>
      </c>
      <c r="V64" s="394">
        <v>5</v>
      </c>
      <c r="W64" s="394">
        <v>0.7</v>
      </c>
      <c r="X64" s="394">
        <v>0.7</v>
      </c>
      <c r="Y64" s="394">
        <v>0.7</v>
      </c>
      <c r="Z64" s="397">
        <v>1700</v>
      </c>
      <c r="AA64" s="397" t="s">
        <v>533</v>
      </c>
      <c r="AB64" s="397">
        <v>0.85</v>
      </c>
      <c r="AC64" s="397" t="s">
        <v>534</v>
      </c>
      <c r="AD64" s="397" t="s">
        <v>535</v>
      </c>
      <c r="AE64" s="397">
        <v>220</v>
      </c>
      <c r="AF64" s="398" t="s">
        <v>556</v>
      </c>
      <c r="AG64" s="398"/>
    </row>
    <row r="65" spans="1:33" ht="15.75">
      <c r="A65" s="393" t="s">
        <v>613</v>
      </c>
      <c r="B65" s="394">
        <v>13</v>
      </c>
      <c r="C65" s="394">
        <v>13</v>
      </c>
      <c r="D65" s="394" t="s">
        <v>565</v>
      </c>
      <c r="E65" s="394">
        <v>1.5</v>
      </c>
      <c r="F65" s="395">
        <v>45328.577777777777</v>
      </c>
      <c r="G65" s="394">
        <v>1</v>
      </c>
      <c r="H65" s="394">
        <v>51.370800000000003</v>
      </c>
      <c r="I65" s="394">
        <v>7.6867099999999997</v>
      </c>
      <c r="J65" s="394">
        <v>-16.3919</v>
      </c>
      <c r="K65" s="394">
        <v>-15.544</v>
      </c>
      <c r="L65" s="394">
        <v>995.803</v>
      </c>
      <c r="M65" s="394">
        <v>130.00059999999999</v>
      </c>
      <c r="N65" s="394">
        <v>17780.12</v>
      </c>
      <c r="O65" s="394">
        <v>17711.84</v>
      </c>
      <c r="P65" s="396">
        <v>1999.24</v>
      </c>
      <c r="Q65" s="396">
        <f t="shared" si="4"/>
        <v>2041.2372721525239</v>
      </c>
      <c r="R65" s="399">
        <f t="shared" si="8"/>
        <v>5.2354950497766977</v>
      </c>
      <c r="S65" s="396">
        <f t="shared" si="6"/>
        <v>2046.4727672023007</v>
      </c>
      <c r="T65" s="394" t="s">
        <v>542</v>
      </c>
      <c r="U65" s="394">
        <v>15</v>
      </c>
      <c r="V65" s="394">
        <v>5</v>
      </c>
      <c r="W65" s="394">
        <v>0.7</v>
      </c>
      <c r="X65" s="394">
        <v>0.7</v>
      </c>
      <c r="Y65" s="394">
        <v>0.7</v>
      </c>
      <c r="Z65" s="397">
        <v>1700</v>
      </c>
      <c r="AA65" s="397" t="s">
        <v>533</v>
      </c>
      <c r="AB65" s="397">
        <v>0.85</v>
      </c>
      <c r="AC65" s="397" t="s">
        <v>534</v>
      </c>
      <c r="AD65" s="397" t="s">
        <v>535</v>
      </c>
      <c r="AE65" s="397">
        <v>220</v>
      </c>
      <c r="AF65" s="398" t="s">
        <v>556</v>
      </c>
      <c r="AG65" s="398"/>
    </row>
    <row r="66" spans="1:33" ht="15.75">
      <c r="A66" s="393" t="s">
        <v>614</v>
      </c>
      <c r="B66" s="394">
        <v>13</v>
      </c>
      <c r="C66" s="394">
        <v>13</v>
      </c>
      <c r="D66" s="394" t="s">
        <v>565</v>
      </c>
      <c r="E66" s="394">
        <v>1.5</v>
      </c>
      <c r="F66" s="395">
        <v>45328.581944444442</v>
      </c>
      <c r="G66" s="394">
        <v>1</v>
      </c>
      <c r="H66" s="394">
        <v>51.374099999999999</v>
      </c>
      <c r="I66" s="394">
        <v>7.67049</v>
      </c>
      <c r="J66" s="394">
        <v>-16.303000000000001</v>
      </c>
      <c r="K66" s="394">
        <v>-15.4648</v>
      </c>
      <c r="L66" s="394">
        <v>984.95</v>
      </c>
      <c r="M66" s="394">
        <v>131.501</v>
      </c>
      <c r="N66" s="394">
        <v>17704.689999999999</v>
      </c>
      <c r="O66" s="394">
        <v>17711.84</v>
      </c>
      <c r="P66" s="396">
        <v>1999.24</v>
      </c>
      <c r="Q66" s="396">
        <f t="shared" si="4"/>
        <v>2041.2372721525239</v>
      </c>
      <c r="R66" s="399">
        <f t="shared" si="8"/>
        <v>5.2354950497766977</v>
      </c>
      <c r="S66" s="396">
        <f t="shared" si="6"/>
        <v>2046.4727672023007</v>
      </c>
      <c r="T66" s="394" t="s">
        <v>532</v>
      </c>
      <c r="U66" s="394">
        <v>15</v>
      </c>
      <c r="V66" s="394">
        <v>5</v>
      </c>
      <c r="W66" s="394">
        <v>0.7</v>
      </c>
      <c r="X66" s="394">
        <v>0.7</v>
      </c>
      <c r="Y66" s="394">
        <v>0.7</v>
      </c>
      <c r="Z66" s="397">
        <v>1700</v>
      </c>
      <c r="AA66" s="397" t="s">
        <v>533</v>
      </c>
      <c r="AB66" s="397">
        <v>0.85</v>
      </c>
      <c r="AC66" s="397" t="s">
        <v>534</v>
      </c>
      <c r="AD66" s="397" t="s">
        <v>535</v>
      </c>
      <c r="AE66" s="397">
        <v>220</v>
      </c>
      <c r="AF66" s="398" t="s">
        <v>556</v>
      </c>
      <c r="AG66" s="398"/>
    </row>
    <row r="67" spans="1:33" ht="15.75">
      <c r="A67" s="393" t="s">
        <v>615</v>
      </c>
      <c r="B67" s="394">
        <v>13</v>
      </c>
      <c r="C67" s="394">
        <v>13</v>
      </c>
      <c r="D67" s="394" t="s">
        <v>565</v>
      </c>
      <c r="E67" s="394">
        <v>1.5</v>
      </c>
      <c r="F67" s="395">
        <v>45328.585416666669</v>
      </c>
      <c r="G67" s="394">
        <v>1</v>
      </c>
      <c r="H67" s="394">
        <v>51.3675</v>
      </c>
      <c r="I67" s="394">
        <v>7.7640799999999999</v>
      </c>
      <c r="J67" s="394">
        <v>-16.346</v>
      </c>
      <c r="K67" s="394">
        <v>-15.504799999999999</v>
      </c>
      <c r="L67" s="394">
        <v>987.803</v>
      </c>
      <c r="M67" s="394">
        <v>115.5004</v>
      </c>
      <c r="N67" s="394">
        <v>17746.689999999999</v>
      </c>
      <c r="O67" s="394">
        <v>17711.84</v>
      </c>
      <c r="P67" s="396">
        <v>1999.24</v>
      </c>
      <c r="Q67" s="396">
        <f t="shared" si="4"/>
        <v>2041.2372721525239</v>
      </c>
      <c r="R67" s="399">
        <f t="shared" si="8"/>
        <v>5.2354950497766977</v>
      </c>
      <c r="S67" s="396">
        <f t="shared" si="6"/>
        <v>2046.4727672023007</v>
      </c>
      <c r="T67" s="394" t="s">
        <v>542</v>
      </c>
      <c r="U67" s="394">
        <v>15</v>
      </c>
      <c r="V67" s="394">
        <v>5</v>
      </c>
      <c r="W67" s="394">
        <v>0.7</v>
      </c>
      <c r="X67" s="394">
        <v>0.7</v>
      </c>
      <c r="Y67" s="394">
        <v>0.7</v>
      </c>
      <c r="Z67" s="397">
        <v>1700</v>
      </c>
      <c r="AA67" s="397" t="s">
        <v>533</v>
      </c>
      <c r="AB67" s="397">
        <v>0.85</v>
      </c>
      <c r="AC67" s="397" t="s">
        <v>534</v>
      </c>
      <c r="AD67" s="397" t="s">
        <v>535</v>
      </c>
      <c r="AE67" s="397">
        <v>220</v>
      </c>
      <c r="AF67" s="398" t="s">
        <v>556</v>
      </c>
      <c r="AG67" s="398"/>
    </row>
    <row r="68" spans="1:33" ht="15.75">
      <c r="A68" s="393" t="s">
        <v>616</v>
      </c>
      <c r="B68" s="394">
        <v>13</v>
      </c>
      <c r="C68" s="394">
        <v>13</v>
      </c>
      <c r="D68" s="394" t="s">
        <v>565</v>
      </c>
      <c r="E68" s="394">
        <v>1.5</v>
      </c>
      <c r="F68" s="395">
        <v>45328.588888888888</v>
      </c>
      <c r="G68" s="394">
        <v>1</v>
      </c>
      <c r="H68" s="394">
        <v>51.374099999999999</v>
      </c>
      <c r="I68" s="394">
        <v>7.7031900000000002</v>
      </c>
      <c r="J68" s="394">
        <v>-16.2605</v>
      </c>
      <c r="K68" s="394">
        <v>-15.411799999999999</v>
      </c>
      <c r="L68" s="394">
        <v>991.13199999999995</v>
      </c>
      <c r="M68" s="394">
        <v>107.998</v>
      </c>
      <c r="N68" s="394">
        <v>17728.66</v>
      </c>
      <c r="O68" s="394">
        <v>17711.84</v>
      </c>
      <c r="P68" s="396">
        <v>1999.24</v>
      </c>
      <c r="Q68" s="396">
        <f t="shared" si="4"/>
        <v>2041.2372721525239</v>
      </c>
      <c r="R68" s="399">
        <f t="shared" si="8"/>
        <v>5.2354950497766977</v>
      </c>
      <c r="S68" s="396">
        <f t="shared" si="6"/>
        <v>2046.4727672023007</v>
      </c>
      <c r="T68" s="394" t="s">
        <v>532</v>
      </c>
      <c r="U68" s="394">
        <v>15</v>
      </c>
      <c r="V68" s="394">
        <v>5</v>
      </c>
      <c r="W68" s="394">
        <v>0.7</v>
      </c>
      <c r="X68" s="394">
        <v>0.7</v>
      </c>
      <c r="Y68" s="394">
        <v>0.7</v>
      </c>
      <c r="Z68" s="397">
        <v>1700</v>
      </c>
      <c r="AA68" s="397" t="s">
        <v>533</v>
      </c>
      <c r="AB68" s="397">
        <v>0.85</v>
      </c>
      <c r="AC68" s="397" t="s">
        <v>534</v>
      </c>
      <c r="AD68" s="397" t="s">
        <v>535</v>
      </c>
      <c r="AE68" s="397">
        <v>220</v>
      </c>
      <c r="AF68" s="398" t="s">
        <v>556</v>
      </c>
      <c r="AG68" s="398"/>
    </row>
    <row r="69" spans="1:33" ht="15.75">
      <c r="A69" s="393" t="s">
        <v>617</v>
      </c>
      <c r="B69" s="394">
        <v>13</v>
      </c>
      <c r="C69" s="394">
        <v>13</v>
      </c>
      <c r="D69" s="394" t="s">
        <v>565</v>
      </c>
      <c r="E69" s="394">
        <v>1.5</v>
      </c>
      <c r="F69" s="395">
        <v>45328.592361111114</v>
      </c>
      <c r="G69" s="394">
        <v>1</v>
      </c>
      <c r="H69" s="394">
        <v>51.380699999999997</v>
      </c>
      <c r="I69" s="394">
        <v>7.6931399999999996</v>
      </c>
      <c r="J69" s="394">
        <v>-16.334499999999998</v>
      </c>
      <c r="K69" s="394">
        <v>-15.509600000000001</v>
      </c>
      <c r="L69" s="394">
        <v>989.404</v>
      </c>
      <c r="M69" s="394">
        <v>123.501</v>
      </c>
      <c r="N69" s="394">
        <v>17702.169999999998</v>
      </c>
      <c r="O69" s="394">
        <v>17711.84</v>
      </c>
      <c r="P69" s="396">
        <v>1999.24</v>
      </c>
      <c r="Q69" s="396">
        <f t="shared" si="4"/>
        <v>2041.2372721525239</v>
      </c>
      <c r="R69" s="399">
        <f t="shared" si="8"/>
        <v>5.2354950497766977</v>
      </c>
      <c r="S69" s="396">
        <f t="shared" si="6"/>
        <v>2046.4727672023007</v>
      </c>
      <c r="T69" s="394" t="s">
        <v>532</v>
      </c>
      <c r="U69" s="394">
        <v>15</v>
      </c>
      <c r="V69" s="394">
        <v>5</v>
      </c>
      <c r="W69" s="394">
        <v>0.7</v>
      </c>
      <c r="X69" s="394">
        <v>0.7</v>
      </c>
      <c r="Y69" s="394">
        <v>0.7</v>
      </c>
      <c r="Z69" s="397">
        <v>1700</v>
      </c>
      <c r="AA69" s="397" t="s">
        <v>533</v>
      </c>
      <c r="AB69" s="397">
        <v>0.85</v>
      </c>
      <c r="AC69" s="397" t="s">
        <v>534</v>
      </c>
      <c r="AD69" s="397" t="s">
        <v>535</v>
      </c>
      <c r="AE69" s="397">
        <v>220</v>
      </c>
      <c r="AF69" s="398" t="s">
        <v>556</v>
      </c>
      <c r="AG69" s="398"/>
    </row>
    <row r="70" spans="1:33" ht="15.75">
      <c r="A70" s="393" t="s">
        <v>618</v>
      </c>
      <c r="B70" s="394">
        <v>14</v>
      </c>
      <c r="C70" s="394">
        <v>1</v>
      </c>
      <c r="D70" s="394" t="s">
        <v>569</v>
      </c>
      <c r="E70" s="394">
        <v>1.5</v>
      </c>
      <c r="F70" s="395">
        <v>45328.59652777778</v>
      </c>
      <c r="G70" s="394">
        <v>1</v>
      </c>
      <c r="H70" s="394">
        <v>51.370800000000003</v>
      </c>
      <c r="I70" s="394">
        <v>7.6581799999999998</v>
      </c>
      <c r="J70" s="394">
        <v>-16.3813</v>
      </c>
      <c r="K70" s="394">
        <v>-15.554500000000001</v>
      </c>
      <c r="L70" s="394">
        <v>997.70699999999999</v>
      </c>
      <c r="M70" s="394">
        <v>117.9992</v>
      </c>
      <c r="N70" s="394">
        <v>17774.48</v>
      </c>
      <c r="O70" s="394">
        <v>17773.849999999999</v>
      </c>
      <c r="P70" s="396">
        <v>2006.18</v>
      </c>
      <c r="Q70" s="396">
        <f t="shared" si="4"/>
        <v>2048.3230580855479</v>
      </c>
      <c r="R70" s="399">
        <f t="shared" si="8"/>
        <v>5.5815028482993512</v>
      </c>
      <c r="S70" s="396">
        <f t="shared" si="6"/>
        <v>2053.9045609338473</v>
      </c>
      <c r="T70" s="394" t="s">
        <v>532</v>
      </c>
      <c r="U70" s="394">
        <v>15</v>
      </c>
      <c r="V70" s="394">
        <v>5</v>
      </c>
      <c r="W70" s="394">
        <v>0.7</v>
      </c>
      <c r="X70" s="394">
        <v>0.7</v>
      </c>
      <c r="Y70" s="394">
        <v>0.7</v>
      </c>
      <c r="Z70" s="397">
        <v>1700</v>
      </c>
      <c r="AA70" s="397" t="s">
        <v>533</v>
      </c>
      <c r="AB70" s="397">
        <v>0.85</v>
      </c>
      <c r="AC70" s="397" t="s">
        <v>534</v>
      </c>
      <c r="AD70" s="397" t="s">
        <v>535</v>
      </c>
      <c r="AE70" s="397">
        <v>220</v>
      </c>
      <c r="AF70" s="398" t="s">
        <v>556</v>
      </c>
      <c r="AG70" s="398"/>
    </row>
    <row r="71" spans="1:33" ht="15.75">
      <c r="A71" s="393" t="s">
        <v>619</v>
      </c>
      <c r="B71" s="394">
        <v>14</v>
      </c>
      <c r="C71" s="394">
        <v>1</v>
      </c>
      <c r="D71" s="394" t="s">
        <v>569</v>
      </c>
      <c r="E71" s="394">
        <v>1.5</v>
      </c>
      <c r="F71" s="395">
        <v>45328.6</v>
      </c>
      <c r="G71" s="394">
        <v>1</v>
      </c>
      <c r="H71" s="394">
        <v>51.370800000000003</v>
      </c>
      <c r="I71" s="394">
        <v>7.6550799999999999</v>
      </c>
      <c r="J71" s="394">
        <v>-16.331099999999999</v>
      </c>
      <c r="K71" s="394">
        <v>-15.482799999999999</v>
      </c>
      <c r="L71" s="394">
        <v>992.11599999999999</v>
      </c>
      <c r="M71" s="394">
        <v>134.99940000000001</v>
      </c>
      <c r="N71" s="394">
        <v>17768.96</v>
      </c>
      <c r="O71" s="394">
        <v>17773.849999999999</v>
      </c>
      <c r="P71" s="396">
        <v>2006.18</v>
      </c>
      <c r="Q71" s="396">
        <f t="shared" si="4"/>
        <v>2048.3230580855479</v>
      </c>
      <c r="R71" s="399">
        <f t="shared" si="8"/>
        <v>5.5815028482993512</v>
      </c>
      <c r="S71" s="396">
        <f t="shared" si="6"/>
        <v>2053.9045609338473</v>
      </c>
      <c r="T71" s="394" t="s">
        <v>532</v>
      </c>
      <c r="U71" s="394">
        <v>15</v>
      </c>
      <c r="V71" s="394">
        <v>5</v>
      </c>
      <c r="W71" s="394">
        <v>0.7</v>
      </c>
      <c r="X71" s="394">
        <v>0.7</v>
      </c>
      <c r="Y71" s="394">
        <v>0.7</v>
      </c>
      <c r="Z71" s="397">
        <v>1700</v>
      </c>
      <c r="AA71" s="397" t="s">
        <v>533</v>
      </c>
      <c r="AB71" s="397">
        <v>0.85</v>
      </c>
      <c r="AC71" s="397" t="s">
        <v>534</v>
      </c>
      <c r="AD71" s="397" t="s">
        <v>535</v>
      </c>
      <c r="AE71" s="397">
        <v>220</v>
      </c>
      <c r="AF71" s="398" t="s">
        <v>556</v>
      </c>
      <c r="AG71" s="398"/>
    </row>
    <row r="72" spans="1:33" ht="15.75">
      <c r="A72" s="393" t="s">
        <v>620</v>
      </c>
      <c r="B72" s="394">
        <v>14</v>
      </c>
      <c r="C72" s="394">
        <v>1</v>
      </c>
      <c r="D72" s="394" t="s">
        <v>569</v>
      </c>
      <c r="E72" s="394">
        <v>1.5</v>
      </c>
      <c r="F72" s="395">
        <v>45328.603472222225</v>
      </c>
      <c r="G72" s="394">
        <v>1</v>
      </c>
      <c r="H72" s="394">
        <v>51.374099999999999</v>
      </c>
      <c r="I72" s="394">
        <v>7.6625199999999998</v>
      </c>
      <c r="J72" s="394">
        <v>-16.402799999999999</v>
      </c>
      <c r="K72" s="394">
        <v>-15.5588</v>
      </c>
      <c r="L72" s="394">
        <v>980.08500000000004</v>
      </c>
      <c r="M72" s="394">
        <v>111</v>
      </c>
      <c r="N72" s="394">
        <v>17778.099999999999</v>
      </c>
      <c r="O72" s="394">
        <v>17773.849999999999</v>
      </c>
      <c r="P72" s="396">
        <v>2006.18</v>
      </c>
      <c r="Q72" s="396">
        <f t="shared" si="4"/>
        <v>2048.3230580855479</v>
      </c>
      <c r="R72" s="399">
        <f t="shared" si="8"/>
        <v>5.5815028482993512</v>
      </c>
      <c r="S72" s="396">
        <f t="shared" si="6"/>
        <v>2053.9045609338473</v>
      </c>
      <c r="T72" s="394" t="s">
        <v>532</v>
      </c>
      <c r="U72" s="394">
        <v>15</v>
      </c>
      <c r="V72" s="394">
        <v>5</v>
      </c>
      <c r="W72" s="394">
        <v>0.7</v>
      </c>
      <c r="X72" s="394">
        <v>0.7</v>
      </c>
      <c r="Y72" s="394">
        <v>0.7</v>
      </c>
      <c r="Z72" s="397">
        <v>1700</v>
      </c>
      <c r="AA72" s="397" t="s">
        <v>533</v>
      </c>
      <c r="AB72" s="397">
        <v>0.85</v>
      </c>
      <c r="AC72" s="397" t="s">
        <v>534</v>
      </c>
      <c r="AD72" s="397" t="s">
        <v>535</v>
      </c>
      <c r="AE72" s="397">
        <v>220</v>
      </c>
      <c r="AF72" s="398" t="s">
        <v>556</v>
      </c>
      <c r="AG72" s="398"/>
    </row>
    <row r="73" spans="1:33" ht="15.75">
      <c r="A73" s="393" t="s">
        <v>621</v>
      </c>
      <c r="B73" s="394">
        <v>15</v>
      </c>
      <c r="C73" s="394">
        <v>2</v>
      </c>
      <c r="D73" s="394" t="s">
        <v>575</v>
      </c>
      <c r="E73" s="394">
        <v>1.5</v>
      </c>
      <c r="F73" s="395">
        <v>45328.607638888891</v>
      </c>
      <c r="G73" s="394">
        <v>1</v>
      </c>
      <c r="H73" s="394">
        <v>51.370800000000003</v>
      </c>
      <c r="I73" s="394">
        <v>7.6426499999999997</v>
      </c>
      <c r="J73" s="394">
        <v>-16.371200000000002</v>
      </c>
      <c r="K73" s="394">
        <v>-15.5326</v>
      </c>
      <c r="L73" s="394">
        <v>979.49</v>
      </c>
      <c r="M73" s="394">
        <v>120.0009</v>
      </c>
      <c r="N73" s="394">
        <v>17745.14</v>
      </c>
      <c r="O73" s="394">
        <v>17749.14</v>
      </c>
      <c r="P73" s="396">
        <v>2003.42</v>
      </c>
      <c r="Q73" s="396">
        <f t="shared" si="4"/>
        <v>2045.5050798182358</v>
      </c>
      <c r="R73" s="399">
        <f t="shared" si="8"/>
        <v>5.9275106468220047</v>
      </c>
      <c r="S73" s="396">
        <f t="shared" si="6"/>
        <v>2051.4325904650577</v>
      </c>
      <c r="T73" s="394" t="s">
        <v>532</v>
      </c>
      <c r="U73" s="394">
        <v>15</v>
      </c>
      <c r="V73" s="394">
        <v>5</v>
      </c>
      <c r="W73" s="394">
        <v>0.7</v>
      </c>
      <c r="X73" s="394">
        <v>0.7</v>
      </c>
      <c r="Y73" s="394">
        <v>0.7</v>
      </c>
      <c r="Z73" s="397">
        <v>1700</v>
      </c>
      <c r="AA73" s="397" t="s">
        <v>533</v>
      </c>
      <c r="AB73" s="397">
        <v>0.85</v>
      </c>
      <c r="AC73" s="397" t="s">
        <v>534</v>
      </c>
      <c r="AD73" s="397" t="s">
        <v>535</v>
      </c>
      <c r="AE73" s="397">
        <v>220</v>
      </c>
      <c r="AF73" s="398" t="s">
        <v>556</v>
      </c>
      <c r="AG73" s="398"/>
    </row>
    <row r="74" spans="1:33" ht="15.75">
      <c r="A74" s="393" t="s">
        <v>622</v>
      </c>
      <c r="B74" s="394">
        <v>15</v>
      </c>
      <c r="C74" s="394">
        <v>2</v>
      </c>
      <c r="D74" s="394" t="s">
        <v>575</v>
      </c>
      <c r="E74" s="394">
        <v>1.5</v>
      </c>
      <c r="F74" s="395">
        <v>45328.611111111109</v>
      </c>
      <c r="G74" s="394">
        <v>1</v>
      </c>
      <c r="H74" s="394">
        <v>51.370800000000003</v>
      </c>
      <c r="I74" s="394">
        <v>7.5960599999999996</v>
      </c>
      <c r="J74" s="394">
        <v>-16.485299999999999</v>
      </c>
      <c r="K74" s="394">
        <v>-15.6525</v>
      </c>
      <c r="L74" s="394">
        <v>982.58500000000004</v>
      </c>
      <c r="M74" s="394">
        <v>122.999</v>
      </c>
      <c r="N74" s="394">
        <v>17791.04</v>
      </c>
      <c r="O74" s="394">
        <v>17749.14</v>
      </c>
      <c r="P74" s="396">
        <v>2003.42</v>
      </c>
      <c r="Q74" s="396">
        <f t="shared" si="4"/>
        <v>2045.5050798182358</v>
      </c>
      <c r="R74" s="399">
        <f t="shared" si="8"/>
        <v>5.9275106468220047</v>
      </c>
      <c r="S74" s="396">
        <f t="shared" si="6"/>
        <v>2051.4325904650577</v>
      </c>
      <c r="T74" s="394" t="s">
        <v>542</v>
      </c>
      <c r="U74" s="394">
        <v>15</v>
      </c>
      <c r="V74" s="394">
        <v>5</v>
      </c>
      <c r="W74" s="394">
        <v>0.7</v>
      </c>
      <c r="X74" s="394">
        <v>0.7</v>
      </c>
      <c r="Y74" s="394">
        <v>0.7</v>
      </c>
      <c r="Z74" s="397">
        <v>1700</v>
      </c>
      <c r="AA74" s="397" t="s">
        <v>533</v>
      </c>
      <c r="AB74" s="397">
        <v>0.85</v>
      </c>
      <c r="AC74" s="397" t="s">
        <v>534</v>
      </c>
      <c r="AD74" s="397" t="s">
        <v>535</v>
      </c>
      <c r="AE74" s="397">
        <v>220</v>
      </c>
      <c r="AF74" s="398" t="s">
        <v>556</v>
      </c>
      <c r="AG74" s="398"/>
    </row>
    <row r="75" spans="1:33" ht="15.75">
      <c r="A75" s="393" t="s">
        <v>623</v>
      </c>
      <c r="B75" s="394">
        <v>15</v>
      </c>
      <c r="C75" s="394">
        <v>2</v>
      </c>
      <c r="D75" s="394" t="s">
        <v>575</v>
      </c>
      <c r="E75" s="394">
        <v>1.5</v>
      </c>
      <c r="F75" s="395">
        <v>45328.614583333336</v>
      </c>
      <c r="G75" s="394">
        <v>1</v>
      </c>
      <c r="H75" s="394">
        <v>51.370800000000003</v>
      </c>
      <c r="I75" s="394">
        <v>7.5451199999999998</v>
      </c>
      <c r="J75" s="394">
        <v>-16.526199999999999</v>
      </c>
      <c r="K75" s="394">
        <v>-15.6989</v>
      </c>
      <c r="L75" s="394">
        <v>982.04899999999998</v>
      </c>
      <c r="M75" s="394">
        <v>126.0014</v>
      </c>
      <c r="N75" s="394">
        <v>17768.43</v>
      </c>
      <c r="O75" s="394">
        <v>17749.14</v>
      </c>
      <c r="P75" s="396">
        <v>2003.42</v>
      </c>
      <c r="Q75" s="396">
        <f t="shared" si="4"/>
        <v>2045.5050798182358</v>
      </c>
      <c r="R75" s="399">
        <f t="shared" si="8"/>
        <v>5.9275106468220047</v>
      </c>
      <c r="S75" s="396">
        <f t="shared" si="6"/>
        <v>2051.4325904650577</v>
      </c>
      <c r="T75" s="394" t="s">
        <v>532</v>
      </c>
      <c r="U75" s="394">
        <v>15</v>
      </c>
      <c r="V75" s="394">
        <v>5</v>
      </c>
      <c r="W75" s="394">
        <v>0.7</v>
      </c>
      <c r="X75" s="394">
        <v>0.7</v>
      </c>
      <c r="Y75" s="394">
        <v>0.7</v>
      </c>
      <c r="Z75" s="397">
        <v>1700</v>
      </c>
      <c r="AA75" s="397" t="s">
        <v>533</v>
      </c>
      <c r="AB75" s="397">
        <v>0.85</v>
      </c>
      <c r="AC75" s="397" t="s">
        <v>534</v>
      </c>
      <c r="AD75" s="397" t="s">
        <v>535</v>
      </c>
      <c r="AE75" s="397">
        <v>220</v>
      </c>
      <c r="AF75" s="398" t="s">
        <v>556</v>
      </c>
      <c r="AG75" s="398"/>
    </row>
    <row r="76" spans="1:33" ht="15.75">
      <c r="A76" s="393" t="s">
        <v>624</v>
      </c>
      <c r="B76" s="394">
        <v>15</v>
      </c>
      <c r="C76" s="394">
        <v>2</v>
      </c>
      <c r="D76" s="394" t="s">
        <v>575</v>
      </c>
      <c r="E76" s="394">
        <v>1.5</v>
      </c>
      <c r="F76" s="395">
        <v>45328.618055555555</v>
      </c>
      <c r="G76" s="394">
        <v>1</v>
      </c>
      <c r="H76" s="394">
        <v>51.374099999999999</v>
      </c>
      <c r="I76" s="394">
        <v>7.6766399999999999</v>
      </c>
      <c r="J76" s="394">
        <v>-16.2288</v>
      </c>
      <c r="K76" s="394">
        <v>-15.398</v>
      </c>
      <c r="L76" s="394">
        <v>990.11900000000003</v>
      </c>
      <c r="M76" s="394">
        <v>116.49979999999999</v>
      </c>
      <c r="N76" s="394">
        <v>17733.84</v>
      </c>
      <c r="O76" s="394">
        <v>17749.14</v>
      </c>
      <c r="P76" s="396">
        <v>2003.42</v>
      </c>
      <c r="Q76" s="396">
        <f t="shared" si="4"/>
        <v>2045.5050798182358</v>
      </c>
      <c r="R76" s="399">
        <f t="shared" si="8"/>
        <v>5.9275106468220047</v>
      </c>
      <c r="S76" s="396">
        <f t="shared" si="6"/>
        <v>2051.4325904650577</v>
      </c>
      <c r="T76" s="394" t="s">
        <v>532</v>
      </c>
      <c r="U76" s="394">
        <v>15</v>
      </c>
      <c r="V76" s="394">
        <v>5</v>
      </c>
      <c r="W76" s="394">
        <v>0.7</v>
      </c>
      <c r="X76" s="394">
        <v>0.7</v>
      </c>
      <c r="Y76" s="394">
        <v>0.7</v>
      </c>
      <c r="Z76" s="397">
        <v>1700</v>
      </c>
      <c r="AA76" s="397" t="s">
        <v>533</v>
      </c>
      <c r="AB76" s="397">
        <v>0.85</v>
      </c>
      <c r="AC76" s="397" t="s">
        <v>534</v>
      </c>
      <c r="AD76" s="397" t="s">
        <v>535</v>
      </c>
      <c r="AE76" s="397">
        <v>220</v>
      </c>
      <c r="AF76" s="398" t="s">
        <v>556</v>
      </c>
      <c r="AG76" s="398"/>
    </row>
    <row r="77" spans="1:33" ht="15.75">
      <c r="A77" s="393" t="s">
        <v>625</v>
      </c>
      <c r="B77" s="394">
        <v>16</v>
      </c>
      <c r="C77" s="394">
        <v>45</v>
      </c>
      <c r="D77" s="394" t="s">
        <v>579</v>
      </c>
      <c r="E77" s="394">
        <v>1.5</v>
      </c>
      <c r="F77" s="395">
        <v>45328.62222222222</v>
      </c>
      <c r="G77" s="394">
        <v>1</v>
      </c>
      <c r="H77" s="394">
        <v>51.374099999999999</v>
      </c>
      <c r="I77" s="394">
        <v>7.6513299999999997</v>
      </c>
      <c r="J77" s="394">
        <v>-16.220700000000001</v>
      </c>
      <c r="K77" s="394">
        <v>-15.3894</v>
      </c>
      <c r="L77" s="394">
        <v>980.46900000000005</v>
      </c>
      <c r="M77" s="394">
        <v>146.50020000000001</v>
      </c>
      <c r="N77" s="394">
        <v>17746.080000000002</v>
      </c>
      <c r="O77" s="394">
        <v>17757.349999999999</v>
      </c>
      <c r="P77" s="396">
        <v>2004.34</v>
      </c>
      <c r="Q77" s="396">
        <f t="shared" si="4"/>
        <v>2046.4444059073396</v>
      </c>
      <c r="R77" s="399">
        <f t="shared" si="8"/>
        <v>6.2735184453446582</v>
      </c>
      <c r="S77" s="396">
        <f t="shared" si="6"/>
        <v>2052.7179243526843</v>
      </c>
      <c r="T77" s="394" t="s">
        <v>532</v>
      </c>
      <c r="U77" s="394">
        <v>15</v>
      </c>
      <c r="V77" s="394">
        <v>5</v>
      </c>
      <c r="W77" s="394">
        <v>0.7</v>
      </c>
      <c r="X77" s="394">
        <v>0.7</v>
      </c>
      <c r="Y77" s="394">
        <v>0.7</v>
      </c>
      <c r="Z77" s="397">
        <v>1700</v>
      </c>
      <c r="AA77" s="397" t="s">
        <v>533</v>
      </c>
      <c r="AB77" s="397">
        <v>0.85</v>
      </c>
      <c r="AC77" s="397" t="s">
        <v>534</v>
      </c>
      <c r="AD77" s="397" t="s">
        <v>535</v>
      </c>
      <c r="AE77" s="397">
        <v>220</v>
      </c>
      <c r="AF77" s="398" t="s">
        <v>556</v>
      </c>
      <c r="AG77" s="398"/>
    </row>
    <row r="78" spans="1:33" ht="15.75">
      <c r="A78" s="393" t="s">
        <v>626</v>
      </c>
      <c r="B78" s="394">
        <v>16</v>
      </c>
      <c r="C78" s="394">
        <v>45</v>
      </c>
      <c r="D78" s="394" t="s">
        <v>579</v>
      </c>
      <c r="E78" s="394">
        <v>1.5</v>
      </c>
      <c r="F78" s="395">
        <v>45328.626388888886</v>
      </c>
      <c r="G78" s="394">
        <v>1</v>
      </c>
      <c r="H78" s="394">
        <v>51.374099999999999</v>
      </c>
      <c r="I78" s="394">
        <v>7.7440300000000004</v>
      </c>
      <c r="J78" s="394">
        <v>-16.2912</v>
      </c>
      <c r="K78" s="394">
        <v>-15.447800000000001</v>
      </c>
      <c r="L78" s="394">
        <v>998.80799999999999</v>
      </c>
      <c r="M78" s="394">
        <v>113.5008</v>
      </c>
      <c r="N78" s="394">
        <v>17750.2</v>
      </c>
      <c r="O78" s="394">
        <v>17757.349999999999</v>
      </c>
      <c r="P78" s="396">
        <v>2004.34</v>
      </c>
      <c r="Q78" s="396">
        <f t="shared" si="4"/>
        <v>2046.4444059073396</v>
      </c>
      <c r="R78" s="399">
        <f t="shared" si="8"/>
        <v>6.2735184453446582</v>
      </c>
      <c r="S78" s="396">
        <f t="shared" si="6"/>
        <v>2052.7179243526843</v>
      </c>
      <c r="T78" s="394" t="s">
        <v>532</v>
      </c>
      <c r="U78" s="394">
        <v>15</v>
      </c>
      <c r="V78" s="394">
        <v>5</v>
      </c>
      <c r="W78" s="394">
        <v>0.7</v>
      </c>
      <c r="X78" s="394">
        <v>0.7</v>
      </c>
      <c r="Y78" s="394">
        <v>0.7</v>
      </c>
      <c r="Z78" s="397">
        <v>1700</v>
      </c>
      <c r="AA78" s="397" t="s">
        <v>533</v>
      </c>
      <c r="AB78" s="397">
        <v>0.85</v>
      </c>
      <c r="AC78" s="397" t="s">
        <v>534</v>
      </c>
      <c r="AD78" s="397" t="s">
        <v>535</v>
      </c>
      <c r="AE78" s="397">
        <v>220</v>
      </c>
      <c r="AF78" s="398" t="s">
        <v>556</v>
      </c>
      <c r="AG78" s="398"/>
    </row>
    <row r="79" spans="1:33" ht="15.75">
      <c r="A79" s="393" t="s">
        <v>627</v>
      </c>
      <c r="B79" s="394">
        <v>16</v>
      </c>
      <c r="C79" s="394">
        <v>45</v>
      </c>
      <c r="D79" s="394" t="s">
        <v>579</v>
      </c>
      <c r="E79" s="394">
        <v>1.5</v>
      </c>
      <c r="F79" s="395">
        <v>45328.629861111112</v>
      </c>
      <c r="G79" s="394">
        <v>1</v>
      </c>
      <c r="H79" s="394">
        <v>51.374099999999999</v>
      </c>
      <c r="I79" s="394">
        <v>7.6753499999999999</v>
      </c>
      <c r="J79" s="394">
        <v>-16.1876</v>
      </c>
      <c r="K79" s="394">
        <v>-15.350099999999999</v>
      </c>
      <c r="L79" s="394">
        <v>985.12300000000005</v>
      </c>
      <c r="M79" s="394">
        <v>126.50069999999999</v>
      </c>
      <c r="N79" s="394">
        <v>17793.09</v>
      </c>
      <c r="O79" s="394">
        <v>17757.349999999999</v>
      </c>
      <c r="P79" s="396">
        <v>2004.34</v>
      </c>
      <c r="Q79" s="396">
        <f t="shared" si="4"/>
        <v>2046.4444059073396</v>
      </c>
      <c r="R79" s="399">
        <f t="shared" si="8"/>
        <v>6.2735184453446582</v>
      </c>
      <c r="S79" s="396">
        <f t="shared" si="6"/>
        <v>2052.7179243526843</v>
      </c>
      <c r="T79" s="394" t="s">
        <v>542</v>
      </c>
      <c r="U79" s="394">
        <v>15</v>
      </c>
      <c r="V79" s="394">
        <v>5</v>
      </c>
      <c r="W79" s="394">
        <v>0.7</v>
      </c>
      <c r="X79" s="394">
        <v>0.7</v>
      </c>
      <c r="Y79" s="394">
        <v>0.7</v>
      </c>
      <c r="Z79" s="397">
        <v>1700</v>
      </c>
      <c r="AA79" s="397" t="s">
        <v>533</v>
      </c>
      <c r="AB79" s="397">
        <v>0.85</v>
      </c>
      <c r="AC79" s="397" t="s">
        <v>534</v>
      </c>
      <c r="AD79" s="397" t="s">
        <v>535</v>
      </c>
      <c r="AE79" s="397">
        <v>220</v>
      </c>
      <c r="AF79" s="398" t="s">
        <v>556</v>
      </c>
      <c r="AG79" s="398"/>
    </row>
    <row r="80" spans="1:33" ht="15.75">
      <c r="A80" s="393" t="s">
        <v>628</v>
      </c>
      <c r="B80" s="394">
        <v>16</v>
      </c>
      <c r="C80" s="394">
        <v>45</v>
      </c>
      <c r="D80" s="394" t="s">
        <v>579</v>
      </c>
      <c r="E80" s="394">
        <v>1.5</v>
      </c>
      <c r="F80" s="395">
        <v>45328.633333333331</v>
      </c>
      <c r="G80" s="394">
        <v>1</v>
      </c>
      <c r="H80" s="394">
        <v>51.370800000000003</v>
      </c>
      <c r="I80" s="394">
        <v>7.6673999999999998</v>
      </c>
      <c r="J80" s="394">
        <v>-16.281700000000001</v>
      </c>
      <c r="K80" s="394">
        <v>-15.438700000000001</v>
      </c>
      <c r="L80" s="394">
        <v>986.70299999999997</v>
      </c>
      <c r="M80" s="394">
        <v>143.49950000000001</v>
      </c>
      <c r="N80" s="394">
        <v>17775.77</v>
      </c>
      <c r="O80" s="394">
        <v>17757.349999999999</v>
      </c>
      <c r="P80" s="396">
        <v>2004.34</v>
      </c>
      <c r="Q80" s="396">
        <f t="shared" si="4"/>
        <v>2046.4444059073396</v>
      </c>
      <c r="R80" s="399">
        <f t="shared" si="8"/>
        <v>6.2735184453446582</v>
      </c>
      <c r="S80" s="396">
        <f t="shared" si="6"/>
        <v>2052.7179243526843</v>
      </c>
      <c r="T80" s="394" t="s">
        <v>532</v>
      </c>
      <c r="U80" s="394">
        <v>15</v>
      </c>
      <c r="V80" s="394">
        <v>5</v>
      </c>
      <c r="W80" s="394">
        <v>0.7</v>
      </c>
      <c r="X80" s="394">
        <v>0.7</v>
      </c>
      <c r="Y80" s="394">
        <v>0.7</v>
      </c>
      <c r="Z80" s="397">
        <v>1700</v>
      </c>
      <c r="AA80" s="397" t="s">
        <v>533</v>
      </c>
      <c r="AB80" s="397">
        <v>0.85</v>
      </c>
      <c r="AC80" s="397" t="s">
        <v>534</v>
      </c>
      <c r="AD80" s="397" t="s">
        <v>535</v>
      </c>
      <c r="AE80" s="397">
        <v>220</v>
      </c>
      <c r="AF80" s="398" t="s">
        <v>556</v>
      </c>
      <c r="AG80" s="398"/>
    </row>
    <row r="81" spans="1:33" ht="15.75">
      <c r="A81" s="393" t="s">
        <v>629</v>
      </c>
      <c r="B81" s="394">
        <v>17</v>
      </c>
      <c r="C81" s="394">
        <v>46</v>
      </c>
      <c r="D81" s="394" t="s">
        <v>585</v>
      </c>
      <c r="E81" s="394">
        <v>1.5</v>
      </c>
      <c r="F81" s="395">
        <v>45328.637499999997</v>
      </c>
      <c r="G81" s="394">
        <v>1</v>
      </c>
      <c r="H81" s="394">
        <v>51.374099999999999</v>
      </c>
      <c r="I81" s="394">
        <v>7.6361600000000003</v>
      </c>
      <c r="J81" s="394">
        <v>-16.3918</v>
      </c>
      <c r="K81" s="394">
        <v>-15.545999999999999</v>
      </c>
      <c r="L81" s="394">
        <v>984.73699999999997</v>
      </c>
      <c r="M81" s="394">
        <v>118.99939999999999</v>
      </c>
      <c r="N81" s="394">
        <v>17718.63</v>
      </c>
      <c r="O81" s="394">
        <v>17710.32</v>
      </c>
      <c r="P81" s="396">
        <v>1999.07</v>
      </c>
      <c r="Q81" s="396">
        <f t="shared" si="4"/>
        <v>2041.0637010273633</v>
      </c>
      <c r="R81" s="399">
        <f t="shared" si="8"/>
        <v>6.6195262438673126</v>
      </c>
      <c r="S81" s="396">
        <f t="shared" si="6"/>
        <v>2047.6832272712306</v>
      </c>
      <c r="T81" s="394" t="s">
        <v>532</v>
      </c>
      <c r="U81" s="394">
        <v>15</v>
      </c>
      <c r="V81" s="394">
        <v>5</v>
      </c>
      <c r="W81" s="394">
        <v>0.7</v>
      </c>
      <c r="X81" s="394">
        <v>0.7</v>
      </c>
      <c r="Y81" s="394">
        <v>0.7</v>
      </c>
      <c r="Z81" s="397">
        <v>1700</v>
      </c>
      <c r="AA81" s="397" t="s">
        <v>533</v>
      </c>
      <c r="AB81" s="397">
        <v>0.85</v>
      </c>
      <c r="AC81" s="397" t="s">
        <v>534</v>
      </c>
      <c r="AD81" s="397" t="s">
        <v>535</v>
      </c>
      <c r="AE81" s="397">
        <v>220</v>
      </c>
      <c r="AF81" s="398" t="s">
        <v>556</v>
      </c>
      <c r="AG81" s="398"/>
    </row>
    <row r="82" spans="1:33" ht="15.75">
      <c r="A82" s="393" t="s">
        <v>630</v>
      </c>
      <c r="B82" s="394">
        <v>17</v>
      </c>
      <c r="C82" s="394">
        <v>46</v>
      </c>
      <c r="D82" s="394" t="s">
        <v>585</v>
      </c>
      <c r="E82" s="394">
        <v>1.5</v>
      </c>
      <c r="F82" s="395">
        <v>45328.640972222223</v>
      </c>
      <c r="G82" s="394">
        <v>1</v>
      </c>
      <c r="H82" s="394">
        <v>51.3675</v>
      </c>
      <c r="I82" s="394">
        <v>7.6320499999999996</v>
      </c>
      <c r="J82" s="394">
        <v>-16.345099999999999</v>
      </c>
      <c r="K82" s="394">
        <v>-15.527100000000001</v>
      </c>
      <c r="L82" s="394">
        <v>978.79100000000005</v>
      </c>
      <c r="M82" s="394">
        <v>118.0004</v>
      </c>
      <c r="N82" s="394">
        <v>17741</v>
      </c>
      <c r="O82" s="394">
        <v>17710.32</v>
      </c>
      <c r="P82" s="396">
        <v>1999.07</v>
      </c>
      <c r="Q82" s="396">
        <f t="shared" si="4"/>
        <v>2041.0637010273633</v>
      </c>
      <c r="R82" s="399">
        <f t="shared" si="8"/>
        <v>6.6195262438673126</v>
      </c>
      <c r="S82" s="396">
        <f t="shared" si="6"/>
        <v>2047.6832272712306</v>
      </c>
      <c r="T82" s="394" t="s">
        <v>542</v>
      </c>
      <c r="U82" s="394">
        <v>15</v>
      </c>
      <c r="V82" s="394">
        <v>5</v>
      </c>
      <c r="W82" s="394">
        <v>0.7</v>
      </c>
      <c r="X82" s="394">
        <v>0.7</v>
      </c>
      <c r="Y82" s="394">
        <v>0.7</v>
      </c>
      <c r="Z82" s="397">
        <v>1700</v>
      </c>
      <c r="AA82" s="397" t="s">
        <v>533</v>
      </c>
      <c r="AB82" s="397">
        <v>0.85</v>
      </c>
      <c r="AC82" s="397" t="s">
        <v>534</v>
      </c>
      <c r="AD82" s="397" t="s">
        <v>535</v>
      </c>
      <c r="AE82" s="397">
        <v>220</v>
      </c>
      <c r="AF82" s="398" t="s">
        <v>556</v>
      </c>
      <c r="AG82" s="398"/>
    </row>
    <row r="83" spans="1:33" ht="15.75">
      <c r="A83" s="393" t="s">
        <v>631</v>
      </c>
      <c r="B83" s="394">
        <v>17</v>
      </c>
      <c r="C83" s="394">
        <v>46</v>
      </c>
      <c r="D83" s="394" t="s">
        <v>585</v>
      </c>
      <c r="E83" s="394">
        <v>1.5</v>
      </c>
      <c r="F83" s="395">
        <v>45328.644444444442</v>
      </c>
      <c r="G83" s="394">
        <v>1</v>
      </c>
      <c r="H83" s="394">
        <v>51.370800000000003</v>
      </c>
      <c r="I83" s="394">
        <v>7.6190300000000004</v>
      </c>
      <c r="J83" s="394">
        <v>-16.327500000000001</v>
      </c>
      <c r="K83" s="394">
        <v>-15.4779</v>
      </c>
      <c r="L83" s="394">
        <v>994.77700000000004</v>
      </c>
      <c r="M83" s="394">
        <v>117.0001</v>
      </c>
      <c r="N83" s="394">
        <v>17696</v>
      </c>
      <c r="O83" s="394">
        <v>17710.32</v>
      </c>
      <c r="P83" s="396">
        <v>1999.07</v>
      </c>
      <c r="Q83" s="396">
        <f t="shared" si="4"/>
        <v>2041.0637010273633</v>
      </c>
      <c r="R83" s="399">
        <f t="shared" si="8"/>
        <v>6.6195262438673126</v>
      </c>
      <c r="S83" s="396">
        <f t="shared" si="6"/>
        <v>2047.6832272712306</v>
      </c>
      <c r="T83" s="394" t="s">
        <v>532</v>
      </c>
      <c r="U83" s="394">
        <v>15</v>
      </c>
      <c r="V83" s="394">
        <v>5</v>
      </c>
      <c r="W83" s="394">
        <v>0.7</v>
      </c>
      <c r="X83" s="394">
        <v>0.7</v>
      </c>
      <c r="Y83" s="394">
        <v>0.7</v>
      </c>
      <c r="Z83" s="397">
        <v>1700</v>
      </c>
      <c r="AA83" s="397" t="s">
        <v>533</v>
      </c>
      <c r="AB83" s="397">
        <v>0.85</v>
      </c>
      <c r="AC83" s="397" t="s">
        <v>534</v>
      </c>
      <c r="AD83" s="397" t="s">
        <v>535</v>
      </c>
      <c r="AE83" s="397">
        <v>220</v>
      </c>
      <c r="AF83" s="398" t="s">
        <v>556</v>
      </c>
      <c r="AG83" s="398"/>
    </row>
    <row r="84" spans="1:33" ht="15.75">
      <c r="A84" s="393" t="s">
        <v>632</v>
      </c>
      <c r="B84" s="394">
        <v>17</v>
      </c>
      <c r="C84" s="394">
        <v>46</v>
      </c>
      <c r="D84" s="394" t="s">
        <v>585</v>
      </c>
      <c r="E84" s="394">
        <v>1.5</v>
      </c>
      <c r="F84" s="395">
        <v>45328.647916666669</v>
      </c>
      <c r="G84" s="394">
        <v>1</v>
      </c>
      <c r="H84" s="394">
        <v>51.377400000000002</v>
      </c>
      <c r="I84" s="394">
        <v>7.6471099999999996</v>
      </c>
      <c r="J84" s="394">
        <v>-16.322099999999999</v>
      </c>
      <c r="K84" s="394">
        <v>-15.4907</v>
      </c>
      <c r="L84" s="394">
        <v>983.64</v>
      </c>
      <c r="M84" s="394">
        <v>111.0013</v>
      </c>
      <c r="N84" s="394">
        <v>17716.32</v>
      </c>
      <c r="O84" s="394">
        <v>17710.32</v>
      </c>
      <c r="P84" s="396">
        <v>1999.07</v>
      </c>
      <c r="Q84" s="396">
        <f t="shared" si="4"/>
        <v>2041.0637010273633</v>
      </c>
      <c r="R84" s="399">
        <f t="shared" si="8"/>
        <v>6.6195262438673126</v>
      </c>
      <c r="S84" s="396">
        <f t="shared" si="6"/>
        <v>2047.6832272712306</v>
      </c>
      <c r="T84" s="394" t="s">
        <v>532</v>
      </c>
      <c r="U84" s="394">
        <v>15</v>
      </c>
      <c r="V84" s="394">
        <v>5</v>
      </c>
      <c r="W84" s="394">
        <v>0.7</v>
      </c>
      <c r="X84" s="394">
        <v>0.7</v>
      </c>
      <c r="Y84" s="394">
        <v>0.7</v>
      </c>
      <c r="Z84" s="397">
        <v>1700</v>
      </c>
      <c r="AA84" s="397" t="s">
        <v>533</v>
      </c>
      <c r="AB84" s="397">
        <v>0.85</v>
      </c>
      <c r="AC84" s="397" t="s">
        <v>534</v>
      </c>
      <c r="AD84" s="397" t="s">
        <v>535</v>
      </c>
      <c r="AE84" s="397">
        <v>220</v>
      </c>
      <c r="AF84" s="398" t="s">
        <v>556</v>
      </c>
      <c r="AG84" s="398"/>
    </row>
    <row r="85" spans="1:33" ht="15.75">
      <c r="A85" s="393" t="s">
        <v>633</v>
      </c>
      <c r="B85" s="394">
        <v>18</v>
      </c>
      <c r="C85" s="394">
        <v>144</v>
      </c>
      <c r="D85" s="394" t="s">
        <v>591</v>
      </c>
      <c r="E85" s="394">
        <v>1.5</v>
      </c>
      <c r="F85" s="395">
        <v>45328.652083333334</v>
      </c>
      <c r="G85" s="394">
        <v>1</v>
      </c>
      <c r="H85" s="394">
        <v>51.374099999999999</v>
      </c>
      <c r="I85" s="394">
        <v>7.5967500000000001</v>
      </c>
      <c r="J85" s="394">
        <v>-16.421099999999999</v>
      </c>
      <c r="K85" s="394">
        <v>-15.5749</v>
      </c>
      <c r="L85" s="394">
        <v>983.80399999999997</v>
      </c>
      <c r="M85" s="394">
        <v>116.0013</v>
      </c>
      <c r="N85" s="394">
        <v>17820.73</v>
      </c>
      <c r="O85" s="394">
        <v>17780.57</v>
      </c>
      <c r="P85" s="396">
        <v>2006.93</v>
      </c>
      <c r="Q85" s="396">
        <f t="shared" si="4"/>
        <v>2049.0888130494914</v>
      </c>
      <c r="R85" s="399">
        <f t="shared" si="8"/>
        <v>6.965534042389967</v>
      </c>
      <c r="S85" s="396">
        <f t="shared" si="6"/>
        <v>2056.0543470918815</v>
      </c>
      <c r="T85" s="394" t="s">
        <v>542</v>
      </c>
      <c r="U85" s="394">
        <v>15</v>
      </c>
      <c r="V85" s="394">
        <v>5</v>
      </c>
      <c r="W85" s="394">
        <v>0.7</v>
      </c>
      <c r="X85" s="394">
        <v>0.7</v>
      </c>
      <c r="Y85" s="394">
        <v>0.7</v>
      </c>
      <c r="Z85" s="397">
        <v>1700</v>
      </c>
      <c r="AA85" s="397" t="s">
        <v>533</v>
      </c>
      <c r="AB85" s="397">
        <v>0.85</v>
      </c>
      <c r="AC85" s="397" t="s">
        <v>534</v>
      </c>
      <c r="AD85" s="397" t="s">
        <v>535</v>
      </c>
      <c r="AE85" s="397">
        <v>220</v>
      </c>
      <c r="AF85" s="398" t="s">
        <v>556</v>
      </c>
      <c r="AG85" s="398"/>
    </row>
    <row r="86" spans="1:33" ht="15.75">
      <c r="A86" s="393" t="s">
        <v>634</v>
      </c>
      <c r="B86" s="394">
        <v>18</v>
      </c>
      <c r="C86" s="394">
        <v>144</v>
      </c>
      <c r="D86" s="394" t="s">
        <v>591</v>
      </c>
      <c r="E86" s="394">
        <v>1.5</v>
      </c>
      <c r="F86" s="395">
        <v>45328.655555555553</v>
      </c>
      <c r="G86" s="394">
        <v>1</v>
      </c>
      <c r="H86" s="394">
        <v>51.374099999999999</v>
      </c>
      <c r="I86" s="394">
        <v>7.6873199999999997</v>
      </c>
      <c r="J86" s="394">
        <v>-16.153700000000001</v>
      </c>
      <c r="K86" s="394">
        <v>-15.312099999999999</v>
      </c>
      <c r="L86" s="394">
        <v>986.60699999999997</v>
      </c>
      <c r="M86" s="394">
        <v>118.0004</v>
      </c>
      <c r="N86" s="394">
        <v>17790.3</v>
      </c>
      <c r="O86" s="394">
        <v>17780.57</v>
      </c>
      <c r="P86" s="396">
        <v>2006.93</v>
      </c>
      <c r="Q86" s="396">
        <f t="shared" si="4"/>
        <v>2049.0888130494914</v>
      </c>
      <c r="R86" s="399">
        <f t="shared" si="8"/>
        <v>6.965534042389967</v>
      </c>
      <c r="S86" s="396">
        <f t="shared" si="6"/>
        <v>2056.0543470918815</v>
      </c>
      <c r="T86" s="394" t="s">
        <v>532</v>
      </c>
      <c r="U86" s="394">
        <v>15</v>
      </c>
      <c r="V86" s="394">
        <v>5</v>
      </c>
      <c r="W86" s="394">
        <v>0.7</v>
      </c>
      <c r="X86" s="394">
        <v>0.7</v>
      </c>
      <c r="Y86" s="394">
        <v>0.7</v>
      </c>
      <c r="Z86" s="397">
        <v>1700</v>
      </c>
      <c r="AA86" s="397" t="s">
        <v>533</v>
      </c>
      <c r="AB86" s="397">
        <v>0.85</v>
      </c>
      <c r="AC86" s="397" t="s">
        <v>534</v>
      </c>
      <c r="AD86" s="397" t="s">
        <v>535</v>
      </c>
      <c r="AE86" s="397">
        <v>220</v>
      </c>
      <c r="AF86" s="398" t="s">
        <v>556</v>
      </c>
      <c r="AG86" s="398"/>
    </row>
    <row r="87" spans="1:33" ht="15.75">
      <c r="A87" s="393" t="s">
        <v>635</v>
      </c>
      <c r="B87" s="394">
        <v>18</v>
      </c>
      <c r="C87" s="394">
        <v>144</v>
      </c>
      <c r="D87" s="394" t="s">
        <v>591</v>
      </c>
      <c r="E87" s="394">
        <v>1.5</v>
      </c>
      <c r="F87" s="395">
        <v>45328.65902777778</v>
      </c>
      <c r="G87" s="394">
        <v>1</v>
      </c>
      <c r="H87" s="394">
        <v>51.374099999999999</v>
      </c>
      <c r="I87" s="394">
        <v>7.5789400000000002</v>
      </c>
      <c r="J87" s="394">
        <v>-16.527200000000001</v>
      </c>
      <c r="K87" s="394">
        <v>-15.714399999999999</v>
      </c>
      <c r="L87" s="394">
        <v>1004.35</v>
      </c>
      <c r="M87" s="394">
        <v>130.49930000000001</v>
      </c>
      <c r="N87" s="394">
        <v>17828.810000000001</v>
      </c>
      <c r="O87" s="394">
        <v>17780.57</v>
      </c>
      <c r="P87" s="396">
        <v>2006.93</v>
      </c>
      <c r="Q87" s="396">
        <f t="shared" si="4"/>
        <v>2049.0888130494914</v>
      </c>
      <c r="R87" s="399">
        <f t="shared" si="8"/>
        <v>6.965534042389967</v>
      </c>
      <c r="S87" s="396">
        <f t="shared" si="6"/>
        <v>2056.0543470918815</v>
      </c>
      <c r="T87" s="394" t="s">
        <v>542</v>
      </c>
      <c r="U87" s="394">
        <v>15</v>
      </c>
      <c r="V87" s="394">
        <v>5</v>
      </c>
      <c r="W87" s="394">
        <v>0.7</v>
      </c>
      <c r="X87" s="394">
        <v>0.7</v>
      </c>
      <c r="Y87" s="394">
        <v>0.7</v>
      </c>
      <c r="Z87" s="397">
        <v>1700</v>
      </c>
      <c r="AA87" s="397" t="s">
        <v>533</v>
      </c>
      <c r="AB87" s="397">
        <v>0.85</v>
      </c>
      <c r="AC87" s="397" t="s">
        <v>534</v>
      </c>
      <c r="AD87" s="397" t="s">
        <v>535</v>
      </c>
      <c r="AE87" s="397">
        <v>220</v>
      </c>
      <c r="AF87" s="398" t="s">
        <v>556</v>
      </c>
      <c r="AG87" s="398"/>
    </row>
    <row r="88" spans="1:33" ht="15.75">
      <c r="A88" s="393" t="s">
        <v>636</v>
      </c>
      <c r="B88" s="394">
        <v>18</v>
      </c>
      <c r="C88" s="394">
        <v>144</v>
      </c>
      <c r="D88" s="394" t="s">
        <v>591</v>
      </c>
      <c r="E88" s="394">
        <v>1.5</v>
      </c>
      <c r="F88" s="395">
        <v>45328.663194444445</v>
      </c>
      <c r="G88" s="394">
        <v>1</v>
      </c>
      <c r="H88" s="394">
        <v>51.374099999999999</v>
      </c>
      <c r="I88" s="394">
        <v>7.5892499999999998</v>
      </c>
      <c r="J88" s="394">
        <v>-16.468399999999999</v>
      </c>
      <c r="K88" s="394">
        <v>-15.6196</v>
      </c>
      <c r="L88" s="394">
        <v>990.75699999999995</v>
      </c>
      <c r="M88" s="394">
        <v>148.00030000000001</v>
      </c>
      <c r="N88" s="394">
        <v>17772.82</v>
      </c>
      <c r="O88" s="394">
        <v>17780.57</v>
      </c>
      <c r="P88" s="396">
        <v>2006.93</v>
      </c>
      <c r="Q88" s="396">
        <f t="shared" si="4"/>
        <v>2049.0888130494914</v>
      </c>
      <c r="R88" s="399">
        <f t="shared" si="8"/>
        <v>6.965534042389967</v>
      </c>
      <c r="S88" s="396">
        <f t="shared" si="6"/>
        <v>2056.0543470918815</v>
      </c>
      <c r="T88" s="394" t="s">
        <v>532</v>
      </c>
      <c r="U88" s="394">
        <v>15</v>
      </c>
      <c r="V88" s="394">
        <v>5</v>
      </c>
      <c r="W88" s="394">
        <v>0.7</v>
      </c>
      <c r="X88" s="394">
        <v>0.7</v>
      </c>
      <c r="Y88" s="394">
        <v>0.7</v>
      </c>
      <c r="Z88" s="397">
        <v>1700</v>
      </c>
      <c r="AA88" s="397" t="s">
        <v>533</v>
      </c>
      <c r="AB88" s="397">
        <v>0.85</v>
      </c>
      <c r="AC88" s="397" t="s">
        <v>534</v>
      </c>
      <c r="AD88" s="397" t="s">
        <v>535</v>
      </c>
      <c r="AE88" s="397">
        <v>220</v>
      </c>
      <c r="AF88" s="398" t="s">
        <v>556</v>
      </c>
      <c r="AG88" s="398"/>
    </row>
    <row r="89" spans="1:33" ht="15.75">
      <c r="A89" s="393" t="s">
        <v>637</v>
      </c>
      <c r="B89" s="394">
        <v>18</v>
      </c>
      <c r="C89" s="394">
        <v>144</v>
      </c>
      <c r="D89" s="394" t="s">
        <v>591</v>
      </c>
      <c r="E89" s="394">
        <v>1.5</v>
      </c>
      <c r="F89" s="395">
        <v>45328.666666666664</v>
      </c>
      <c r="G89" s="394">
        <v>1</v>
      </c>
      <c r="H89" s="394">
        <v>51.374099999999999</v>
      </c>
      <c r="I89" s="394">
        <v>7.4019599999999999</v>
      </c>
      <c r="J89" s="394">
        <v>-16.398199999999999</v>
      </c>
      <c r="K89" s="394">
        <v>-15.5646</v>
      </c>
      <c r="L89" s="394">
        <v>977.29300000000001</v>
      </c>
      <c r="M89" s="394">
        <v>156.49950000000001</v>
      </c>
      <c r="N89" s="394">
        <v>17778.580000000002</v>
      </c>
      <c r="O89" s="394">
        <v>17780.57</v>
      </c>
      <c r="P89" s="396">
        <v>2006.93</v>
      </c>
      <c r="Q89" s="396">
        <f t="shared" si="4"/>
        <v>2049.0888130494914</v>
      </c>
      <c r="R89" s="399">
        <f t="shared" si="8"/>
        <v>6.965534042389967</v>
      </c>
      <c r="S89" s="396">
        <f t="shared" si="6"/>
        <v>2056.0543470918815</v>
      </c>
      <c r="T89" s="394" t="s">
        <v>532</v>
      </c>
      <c r="U89" s="394">
        <v>15</v>
      </c>
      <c r="V89" s="394">
        <v>5</v>
      </c>
      <c r="W89" s="394">
        <v>0.7</v>
      </c>
      <c r="X89" s="394">
        <v>0.7</v>
      </c>
      <c r="Y89" s="394">
        <v>0.7</v>
      </c>
      <c r="Z89" s="397">
        <v>1700</v>
      </c>
      <c r="AA89" s="397" t="s">
        <v>533</v>
      </c>
      <c r="AB89" s="397">
        <v>0.85</v>
      </c>
      <c r="AC89" s="397" t="s">
        <v>534</v>
      </c>
      <c r="AD89" s="397" t="s">
        <v>535</v>
      </c>
      <c r="AE89" s="397">
        <v>220</v>
      </c>
      <c r="AF89" s="398" t="s">
        <v>556</v>
      </c>
      <c r="AG89" s="398"/>
    </row>
    <row r="90" spans="1:33" ht="15.75">
      <c r="A90" s="393" t="s">
        <v>638</v>
      </c>
      <c r="B90" s="394">
        <v>19</v>
      </c>
      <c r="C90" s="394">
        <v>145</v>
      </c>
      <c r="D90" s="394" t="s">
        <v>601</v>
      </c>
      <c r="E90" s="394">
        <v>1.5</v>
      </c>
      <c r="F90" s="395">
        <v>45328.671527777777</v>
      </c>
      <c r="G90" s="394">
        <v>1</v>
      </c>
      <c r="H90" s="394">
        <v>51.370800000000003</v>
      </c>
      <c r="I90" s="394">
        <v>7.5717499999999998</v>
      </c>
      <c r="J90" s="394">
        <v>-16.6037</v>
      </c>
      <c r="K90" s="394">
        <v>-15.781599999999999</v>
      </c>
      <c r="L90" s="394">
        <v>1003.21</v>
      </c>
      <c r="M90" s="394">
        <v>122.4997</v>
      </c>
      <c r="N90" s="394">
        <v>17792.3</v>
      </c>
      <c r="O90" s="394">
        <v>17803.04</v>
      </c>
      <c r="P90" s="396">
        <v>2009.45</v>
      </c>
      <c r="Q90" s="396">
        <f t="shared" si="4"/>
        <v>2051.6617497283414</v>
      </c>
      <c r="R90" s="399">
        <f t="shared" si="8"/>
        <v>7.3115418409126196</v>
      </c>
      <c r="S90" s="396">
        <f t="shared" si="6"/>
        <v>2058.9732915692539</v>
      </c>
      <c r="T90" s="394" t="s">
        <v>532</v>
      </c>
      <c r="U90" s="394">
        <v>15</v>
      </c>
      <c r="V90" s="394">
        <v>5</v>
      </c>
      <c r="W90" s="394">
        <v>0.7</v>
      </c>
      <c r="X90" s="394">
        <v>0.7</v>
      </c>
      <c r="Y90" s="394">
        <v>0.7</v>
      </c>
      <c r="Z90" s="397">
        <v>1700</v>
      </c>
      <c r="AA90" s="397" t="s">
        <v>533</v>
      </c>
      <c r="AB90" s="397">
        <v>0.85</v>
      </c>
      <c r="AC90" s="397" t="s">
        <v>534</v>
      </c>
      <c r="AD90" s="397" t="s">
        <v>535</v>
      </c>
      <c r="AE90" s="397">
        <v>220</v>
      </c>
      <c r="AF90" s="398" t="s">
        <v>556</v>
      </c>
      <c r="AG90" s="398"/>
    </row>
    <row r="91" spans="1:33" ht="15.75">
      <c r="A91" s="393" t="s">
        <v>639</v>
      </c>
      <c r="B91" s="394">
        <v>19</v>
      </c>
      <c r="C91" s="394">
        <v>145</v>
      </c>
      <c r="D91" s="394" t="s">
        <v>601</v>
      </c>
      <c r="E91" s="394">
        <v>1.5</v>
      </c>
      <c r="F91" s="395">
        <v>45328.675000000003</v>
      </c>
      <c r="G91" s="394">
        <v>1</v>
      </c>
      <c r="H91" s="394">
        <v>51.377400000000002</v>
      </c>
      <c r="I91" s="394">
        <v>7.68302</v>
      </c>
      <c r="J91" s="394">
        <v>-16.4344</v>
      </c>
      <c r="K91" s="394">
        <v>-15.596299999999999</v>
      </c>
      <c r="L91" s="394">
        <v>988.48900000000003</v>
      </c>
      <c r="M91" s="394">
        <v>128.0008</v>
      </c>
      <c r="N91" s="394">
        <v>17815.16</v>
      </c>
      <c r="O91" s="394">
        <v>17803.04</v>
      </c>
      <c r="P91" s="396">
        <v>2009.45</v>
      </c>
      <c r="Q91" s="396">
        <f t="shared" si="4"/>
        <v>2051.6617497283414</v>
      </c>
      <c r="R91" s="399">
        <f t="shared" si="8"/>
        <v>7.3115418409126196</v>
      </c>
      <c r="S91" s="396">
        <f t="shared" si="6"/>
        <v>2058.9732915692539</v>
      </c>
      <c r="T91" s="394" t="s">
        <v>532</v>
      </c>
      <c r="U91" s="394">
        <v>15</v>
      </c>
      <c r="V91" s="394">
        <v>5</v>
      </c>
      <c r="W91" s="394">
        <v>0.7</v>
      </c>
      <c r="X91" s="394">
        <v>0.7</v>
      </c>
      <c r="Y91" s="394">
        <v>0.7</v>
      </c>
      <c r="Z91" s="397">
        <v>1700</v>
      </c>
      <c r="AA91" s="397" t="s">
        <v>533</v>
      </c>
      <c r="AB91" s="397">
        <v>0.85</v>
      </c>
      <c r="AC91" s="397" t="s">
        <v>534</v>
      </c>
      <c r="AD91" s="397" t="s">
        <v>535</v>
      </c>
      <c r="AE91" s="397">
        <v>220</v>
      </c>
      <c r="AF91" s="398" t="s">
        <v>556</v>
      </c>
      <c r="AG91" s="398"/>
    </row>
    <row r="92" spans="1:33" ht="15.75">
      <c r="A92" s="393" t="s">
        <v>640</v>
      </c>
      <c r="B92" s="394">
        <v>19</v>
      </c>
      <c r="C92" s="394">
        <v>145</v>
      </c>
      <c r="D92" s="394" t="s">
        <v>601</v>
      </c>
      <c r="E92" s="394">
        <v>1.5</v>
      </c>
      <c r="F92" s="395">
        <v>45328.678472222222</v>
      </c>
      <c r="G92" s="394">
        <v>1</v>
      </c>
      <c r="H92" s="394">
        <v>51.370800000000003</v>
      </c>
      <c r="I92" s="394">
        <v>7.57599</v>
      </c>
      <c r="J92" s="394">
        <v>-16.543700000000001</v>
      </c>
      <c r="K92" s="394">
        <v>-15.7072</v>
      </c>
      <c r="L92" s="394">
        <v>991.66899999999998</v>
      </c>
      <c r="M92" s="394">
        <v>121.0001</v>
      </c>
      <c r="N92" s="394">
        <v>17746.84</v>
      </c>
      <c r="O92" s="394">
        <v>17803.04</v>
      </c>
      <c r="P92" s="396">
        <v>2009.45</v>
      </c>
      <c r="Q92" s="396">
        <f t="shared" si="4"/>
        <v>2051.6617497283414</v>
      </c>
      <c r="R92" s="399">
        <f t="shared" si="8"/>
        <v>7.3115418409126196</v>
      </c>
      <c r="S92" s="396">
        <f t="shared" si="6"/>
        <v>2058.9732915692539</v>
      </c>
      <c r="T92" s="394" t="s">
        <v>542</v>
      </c>
      <c r="U92" s="394">
        <v>15</v>
      </c>
      <c r="V92" s="394">
        <v>5</v>
      </c>
      <c r="W92" s="394">
        <v>0.7</v>
      </c>
      <c r="X92" s="394">
        <v>0.7</v>
      </c>
      <c r="Y92" s="394">
        <v>0.7</v>
      </c>
      <c r="Z92" s="397">
        <v>1700</v>
      </c>
      <c r="AA92" s="397" t="s">
        <v>533</v>
      </c>
      <c r="AB92" s="397">
        <v>0.85</v>
      </c>
      <c r="AC92" s="397" t="s">
        <v>534</v>
      </c>
      <c r="AD92" s="397" t="s">
        <v>535</v>
      </c>
      <c r="AE92" s="397">
        <v>220</v>
      </c>
      <c r="AF92" s="398" t="s">
        <v>556</v>
      </c>
      <c r="AG92" s="398"/>
    </row>
    <row r="93" spans="1:33" ht="15.75">
      <c r="A93" s="393" t="s">
        <v>641</v>
      </c>
      <c r="B93" s="394">
        <v>19</v>
      </c>
      <c r="C93" s="394">
        <v>145</v>
      </c>
      <c r="D93" s="394" t="s">
        <v>601</v>
      </c>
      <c r="E93" s="394">
        <v>1.5</v>
      </c>
      <c r="F93" s="395">
        <v>45328.681944444441</v>
      </c>
      <c r="G93" s="394">
        <v>1</v>
      </c>
      <c r="H93" s="394">
        <v>51.377400000000002</v>
      </c>
      <c r="I93" s="394">
        <v>7.6823800000000002</v>
      </c>
      <c r="J93" s="394">
        <v>-16.502600000000001</v>
      </c>
      <c r="K93" s="394">
        <v>-15.653600000000001</v>
      </c>
      <c r="L93" s="394">
        <v>991.52</v>
      </c>
      <c r="M93" s="394">
        <v>123.0014</v>
      </c>
      <c r="N93" s="394">
        <v>17702.66</v>
      </c>
      <c r="O93" s="394">
        <v>17803.04</v>
      </c>
      <c r="P93" s="396">
        <v>2009.45</v>
      </c>
      <c r="Q93" s="396">
        <f t="shared" si="4"/>
        <v>2051.6617497283414</v>
      </c>
      <c r="R93" s="399">
        <f t="shared" si="8"/>
        <v>7.3115418409126196</v>
      </c>
      <c r="S93" s="396">
        <f t="shared" si="6"/>
        <v>2058.9732915692539</v>
      </c>
      <c r="T93" s="394" t="s">
        <v>542</v>
      </c>
      <c r="U93" s="394">
        <v>15</v>
      </c>
      <c r="V93" s="394">
        <v>5</v>
      </c>
      <c r="W93" s="394">
        <v>0.7</v>
      </c>
      <c r="X93" s="394">
        <v>0.7</v>
      </c>
      <c r="Y93" s="394">
        <v>0.7</v>
      </c>
      <c r="Z93" s="397">
        <v>1700</v>
      </c>
      <c r="AA93" s="397" t="s">
        <v>533</v>
      </c>
      <c r="AB93" s="397">
        <v>0.85</v>
      </c>
      <c r="AC93" s="397" t="s">
        <v>534</v>
      </c>
      <c r="AD93" s="397" t="s">
        <v>535</v>
      </c>
      <c r="AE93" s="397">
        <v>220</v>
      </c>
      <c r="AF93" s="398" t="s">
        <v>556</v>
      </c>
      <c r="AG93" s="398"/>
    </row>
    <row r="94" spans="1:33" ht="15.75">
      <c r="A94" s="393" t="s">
        <v>642</v>
      </c>
      <c r="B94" s="394">
        <v>19</v>
      </c>
      <c r="C94" s="394">
        <v>145</v>
      </c>
      <c r="D94" s="394" t="s">
        <v>601</v>
      </c>
      <c r="E94" s="394">
        <v>1.5</v>
      </c>
      <c r="F94" s="395">
        <v>45328.685416666667</v>
      </c>
      <c r="G94" s="394">
        <v>1</v>
      </c>
      <c r="H94" s="394">
        <v>51.370800000000003</v>
      </c>
      <c r="I94" s="394">
        <v>7.6346299999999996</v>
      </c>
      <c r="J94" s="394">
        <v>-16.462</v>
      </c>
      <c r="K94" s="394">
        <v>-15.6288</v>
      </c>
      <c r="L94" s="394">
        <v>999.03599999999994</v>
      </c>
      <c r="M94" s="394">
        <v>121.4995</v>
      </c>
      <c r="N94" s="394">
        <v>17801.66</v>
      </c>
      <c r="O94" s="394">
        <v>17803.04</v>
      </c>
      <c r="P94" s="396">
        <v>2009.45</v>
      </c>
      <c r="Q94" s="396">
        <f t="shared" si="4"/>
        <v>2051.6617497283414</v>
      </c>
      <c r="R94" s="399">
        <f t="shared" si="8"/>
        <v>7.3115418409126196</v>
      </c>
      <c r="S94" s="396">
        <f t="shared" si="6"/>
        <v>2058.9732915692539</v>
      </c>
      <c r="T94" s="394" t="s">
        <v>532</v>
      </c>
      <c r="U94" s="394">
        <v>15</v>
      </c>
      <c r="V94" s="394">
        <v>5</v>
      </c>
      <c r="W94" s="394">
        <v>0.7</v>
      </c>
      <c r="X94" s="394">
        <v>0.7</v>
      </c>
      <c r="Y94" s="394">
        <v>0.7</v>
      </c>
      <c r="Z94" s="397">
        <v>1700</v>
      </c>
      <c r="AA94" s="397" t="s">
        <v>533</v>
      </c>
      <c r="AB94" s="397">
        <v>0.85</v>
      </c>
      <c r="AC94" s="397" t="s">
        <v>534</v>
      </c>
      <c r="AD94" s="397" t="s">
        <v>535</v>
      </c>
      <c r="AE94" s="397">
        <v>220</v>
      </c>
      <c r="AF94" s="398" t="s">
        <v>556</v>
      </c>
      <c r="AG94" s="398"/>
    </row>
    <row r="95" spans="1:33" ht="15.75">
      <c r="A95" s="393" t="s">
        <v>643</v>
      </c>
      <c r="B95" s="394">
        <v>20</v>
      </c>
      <c r="C95" s="394" t="s">
        <v>541</v>
      </c>
      <c r="D95" s="394" t="s">
        <v>531</v>
      </c>
      <c r="E95" s="394">
        <v>1.5</v>
      </c>
      <c r="F95" s="395">
        <v>45328.689583333333</v>
      </c>
      <c r="G95" s="394">
        <v>1</v>
      </c>
      <c r="H95" s="394">
        <v>51.374099999999999</v>
      </c>
      <c r="I95" s="394">
        <v>7.5683100000000003</v>
      </c>
      <c r="J95" s="394">
        <v>-16.495999999999999</v>
      </c>
      <c r="K95" s="394">
        <v>-15.6503</v>
      </c>
      <c r="L95" s="394">
        <v>998.85</v>
      </c>
      <c r="M95" s="394">
        <v>137.99940000000001</v>
      </c>
      <c r="N95" s="394">
        <v>17865.68</v>
      </c>
      <c r="O95" s="394">
        <v>17871.39</v>
      </c>
      <c r="P95" s="396">
        <v>2017.1</v>
      </c>
      <c r="Q95" s="396">
        <f t="shared" si="4"/>
        <v>2059.4724503605648</v>
      </c>
      <c r="R95" s="399">
        <f t="shared" si="8"/>
        <v>7.657549639435274</v>
      </c>
      <c r="S95" s="396">
        <f t="shared" si="6"/>
        <v>2067.13</v>
      </c>
      <c r="T95" s="394" t="s">
        <v>532</v>
      </c>
      <c r="U95" s="394">
        <v>15</v>
      </c>
      <c r="V95" s="394">
        <v>5</v>
      </c>
      <c r="W95" s="394">
        <v>0.7</v>
      </c>
      <c r="X95" s="394">
        <v>0.7</v>
      </c>
      <c r="Y95" s="394">
        <v>0.7</v>
      </c>
      <c r="Z95" s="397">
        <v>1700</v>
      </c>
      <c r="AA95" s="397" t="s">
        <v>533</v>
      </c>
      <c r="AB95" s="397">
        <v>0.85</v>
      </c>
      <c r="AC95" s="397" t="s">
        <v>534</v>
      </c>
      <c r="AD95" s="397" t="s">
        <v>535</v>
      </c>
      <c r="AE95" s="397">
        <v>220</v>
      </c>
      <c r="AF95" s="398" t="s">
        <v>556</v>
      </c>
      <c r="AG95" s="400"/>
    </row>
    <row r="96" spans="1:33" ht="15.75">
      <c r="A96" s="393" t="s">
        <v>644</v>
      </c>
      <c r="B96" s="394">
        <v>20</v>
      </c>
      <c r="C96" s="394" t="s">
        <v>541</v>
      </c>
      <c r="D96" s="394" t="s">
        <v>531</v>
      </c>
      <c r="E96" s="394">
        <v>1.5</v>
      </c>
      <c r="F96" s="395">
        <v>45328.693749999999</v>
      </c>
      <c r="G96" s="394">
        <v>1</v>
      </c>
      <c r="H96" s="394">
        <v>51.370800000000003</v>
      </c>
      <c r="I96" s="394">
        <v>7.5464900000000004</v>
      </c>
      <c r="J96" s="394">
        <v>-16.453099999999999</v>
      </c>
      <c r="K96" s="394">
        <v>-15.6105</v>
      </c>
      <c r="L96" s="394">
        <v>984.70699999999999</v>
      </c>
      <c r="M96" s="394">
        <v>116.4988</v>
      </c>
      <c r="N96" s="394">
        <v>17883.45</v>
      </c>
      <c r="O96" s="394">
        <v>17871.39</v>
      </c>
      <c r="P96" s="396">
        <v>2017.1</v>
      </c>
      <c r="Q96" s="396">
        <f t="shared" si="4"/>
        <v>2059.4724503605648</v>
      </c>
      <c r="R96" s="399">
        <f>2067.13-Q96</f>
        <v>7.657549639435274</v>
      </c>
      <c r="S96" s="396">
        <f t="shared" si="6"/>
        <v>2067.13</v>
      </c>
      <c r="T96" s="394" t="s">
        <v>532</v>
      </c>
      <c r="U96" s="394">
        <v>15</v>
      </c>
      <c r="V96" s="394">
        <v>5</v>
      </c>
      <c r="W96" s="394">
        <v>0.7</v>
      </c>
      <c r="X96" s="394">
        <v>0.7</v>
      </c>
      <c r="Y96" s="394">
        <v>0.7</v>
      </c>
      <c r="Z96" s="397">
        <v>1700</v>
      </c>
      <c r="AA96" s="397" t="s">
        <v>533</v>
      </c>
      <c r="AB96" s="397">
        <v>0.85</v>
      </c>
      <c r="AC96" s="397" t="s">
        <v>534</v>
      </c>
      <c r="AD96" s="397" t="s">
        <v>535</v>
      </c>
      <c r="AE96" s="397">
        <v>220</v>
      </c>
      <c r="AF96" s="398" t="s">
        <v>556</v>
      </c>
      <c r="AG96" s="400"/>
    </row>
    <row r="97" spans="1:33" ht="15.75">
      <c r="A97" s="393" t="s">
        <v>645</v>
      </c>
      <c r="B97" s="394">
        <v>20</v>
      </c>
      <c r="C97" s="394" t="s">
        <v>541</v>
      </c>
      <c r="D97" s="394" t="s">
        <v>531</v>
      </c>
      <c r="E97" s="394">
        <v>1.5</v>
      </c>
      <c r="F97" s="395">
        <v>45328.697222222225</v>
      </c>
      <c r="G97" s="394">
        <v>1</v>
      </c>
      <c r="H97" s="394">
        <v>51.374099999999999</v>
      </c>
      <c r="I97" s="394">
        <v>7.5695199999999998</v>
      </c>
      <c r="J97" s="394">
        <v>-16.4404</v>
      </c>
      <c r="K97" s="394">
        <v>-15.6027</v>
      </c>
      <c r="L97" s="394">
        <v>990.37699999999995</v>
      </c>
      <c r="M97" s="394">
        <v>114.00020000000001</v>
      </c>
      <c r="N97" s="394">
        <v>17865.04</v>
      </c>
      <c r="O97" s="394">
        <v>17871.39</v>
      </c>
      <c r="P97" s="396">
        <v>2017.1</v>
      </c>
      <c r="Q97" s="396">
        <f t="shared" si="4"/>
        <v>2059.4724503605648</v>
      </c>
      <c r="R97" s="399">
        <f t="shared" ref="R97:R102" si="9">((B97-B$97)/(B$135-B$97))*R$136+((1-((B97-B$97)/(B$135-B$97)))*R$96)</f>
        <v>7.657549639435274</v>
      </c>
      <c r="S97" s="396">
        <f t="shared" si="6"/>
        <v>2067.13</v>
      </c>
      <c r="T97" s="394" t="s">
        <v>532</v>
      </c>
      <c r="U97" s="394">
        <v>15</v>
      </c>
      <c r="V97" s="394">
        <v>5</v>
      </c>
      <c r="W97" s="394">
        <v>0.7</v>
      </c>
      <c r="X97" s="394">
        <v>0.7</v>
      </c>
      <c r="Y97" s="394">
        <v>0.7</v>
      </c>
      <c r="Z97" s="397">
        <v>1700</v>
      </c>
      <c r="AA97" s="397" t="s">
        <v>533</v>
      </c>
      <c r="AB97" s="397">
        <v>0.85</v>
      </c>
      <c r="AC97" s="397" t="s">
        <v>534</v>
      </c>
      <c r="AD97" s="397" t="s">
        <v>535</v>
      </c>
      <c r="AE97" s="397">
        <v>220</v>
      </c>
      <c r="AF97" s="398" t="s">
        <v>556</v>
      </c>
      <c r="AG97" s="400"/>
    </row>
    <row r="98" spans="1:33" ht="15.75">
      <c r="A98" s="393" t="s">
        <v>646</v>
      </c>
      <c r="B98" s="394">
        <v>21</v>
      </c>
      <c r="C98" s="394">
        <v>89</v>
      </c>
      <c r="D98" s="394" t="s">
        <v>561</v>
      </c>
      <c r="E98" s="394">
        <v>1.5</v>
      </c>
      <c r="F98" s="395">
        <v>45328.701388888891</v>
      </c>
      <c r="G98" s="394">
        <v>1</v>
      </c>
      <c r="H98" s="394">
        <v>51.374099999999999</v>
      </c>
      <c r="I98" s="394">
        <v>7.6375999999999999</v>
      </c>
      <c r="J98" s="394">
        <v>-16.500800000000002</v>
      </c>
      <c r="K98" s="394">
        <v>-15.6698</v>
      </c>
      <c r="L98" s="394">
        <v>991.87599999999998</v>
      </c>
      <c r="M98" s="394">
        <v>145.5001</v>
      </c>
      <c r="N98" s="394">
        <v>17835.36</v>
      </c>
      <c r="O98" s="394">
        <v>17807.349999999999</v>
      </c>
      <c r="P98" s="396">
        <v>2009.93</v>
      </c>
      <c r="Q98" s="396">
        <f t="shared" si="4"/>
        <v>2052.1518329052651</v>
      </c>
      <c r="R98" s="399">
        <f t="shared" si="9"/>
        <v>7.0041054035368173</v>
      </c>
      <c r="S98" s="396">
        <f t="shared" si="6"/>
        <v>2059.155938308802</v>
      </c>
      <c r="T98" s="394" t="s">
        <v>542</v>
      </c>
      <c r="U98" s="394">
        <v>15</v>
      </c>
      <c r="V98" s="394">
        <v>5</v>
      </c>
      <c r="W98" s="394">
        <v>0.7</v>
      </c>
      <c r="X98" s="394">
        <v>0.7</v>
      </c>
      <c r="Y98" s="394">
        <v>0.7</v>
      </c>
      <c r="Z98" s="397">
        <v>1700</v>
      </c>
      <c r="AA98" s="397" t="s">
        <v>533</v>
      </c>
      <c r="AB98" s="397">
        <v>0.85</v>
      </c>
      <c r="AC98" s="397" t="s">
        <v>534</v>
      </c>
      <c r="AD98" s="397" t="s">
        <v>535</v>
      </c>
      <c r="AE98" s="397">
        <v>220</v>
      </c>
      <c r="AF98" s="398" t="s">
        <v>556</v>
      </c>
      <c r="AG98" s="398"/>
    </row>
    <row r="99" spans="1:33" ht="15.75">
      <c r="A99" s="393" t="s">
        <v>647</v>
      </c>
      <c r="B99" s="394">
        <v>21</v>
      </c>
      <c r="C99" s="394">
        <v>89</v>
      </c>
      <c r="D99" s="394" t="s">
        <v>561</v>
      </c>
      <c r="E99" s="394">
        <v>1.5</v>
      </c>
      <c r="F99" s="395">
        <v>45328.704861111109</v>
      </c>
      <c r="G99" s="394">
        <v>1</v>
      </c>
      <c r="H99" s="394">
        <v>51.370800000000003</v>
      </c>
      <c r="I99" s="394">
        <v>7.6022600000000002</v>
      </c>
      <c r="J99" s="394">
        <v>-16.468599999999999</v>
      </c>
      <c r="K99" s="394">
        <v>-15.621600000000001</v>
      </c>
      <c r="L99" s="394">
        <v>988.90200000000004</v>
      </c>
      <c r="M99" s="394">
        <v>160.49930000000001</v>
      </c>
      <c r="N99" s="394">
        <v>17841.439999999999</v>
      </c>
      <c r="O99" s="394">
        <v>17807.349999999999</v>
      </c>
      <c r="P99" s="396">
        <v>2009.93</v>
      </c>
      <c r="Q99" s="396">
        <f t="shared" si="4"/>
        <v>2052.1518329052651</v>
      </c>
      <c r="R99" s="399">
        <f t="shared" si="9"/>
        <v>7.0041054035368173</v>
      </c>
      <c r="S99" s="396">
        <f t="shared" si="6"/>
        <v>2059.155938308802</v>
      </c>
      <c r="T99" s="394" t="s">
        <v>542</v>
      </c>
      <c r="U99" s="394">
        <v>15</v>
      </c>
      <c r="V99" s="394">
        <v>5</v>
      </c>
      <c r="W99" s="394">
        <v>0.7</v>
      </c>
      <c r="X99" s="394">
        <v>0.7</v>
      </c>
      <c r="Y99" s="394">
        <v>0.7</v>
      </c>
      <c r="Z99" s="397">
        <v>1700</v>
      </c>
      <c r="AA99" s="397" t="s">
        <v>533</v>
      </c>
      <c r="AB99" s="397">
        <v>0.85</v>
      </c>
      <c r="AC99" s="397" t="s">
        <v>534</v>
      </c>
      <c r="AD99" s="397" t="s">
        <v>535</v>
      </c>
      <c r="AE99" s="397">
        <v>220</v>
      </c>
      <c r="AF99" s="398" t="s">
        <v>556</v>
      </c>
      <c r="AG99" s="398"/>
    </row>
    <row r="100" spans="1:33" ht="15.75">
      <c r="A100" s="393" t="s">
        <v>648</v>
      </c>
      <c r="B100" s="394">
        <v>21</v>
      </c>
      <c r="C100" s="394">
        <v>89</v>
      </c>
      <c r="D100" s="394" t="s">
        <v>561</v>
      </c>
      <c r="E100" s="394">
        <v>1.5</v>
      </c>
      <c r="F100" s="395">
        <v>45328.709027777775</v>
      </c>
      <c r="G100" s="394">
        <v>1</v>
      </c>
      <c r="H100" s="394">
        <v>51.374099999999999</v>
      </c>
      <c r="I100" s="394">
        <v>7.6777800000000003</v>
      </c>
      <c r="J100" s="394">
        <v>-16.524699999999999</v>
      </c>
      <c r="K100" s="394">
        <v>-15.677300000000001</v>
      </c>
      <c r="L100" s="394">
        <v>990.79899999999998</v>
      </c>
      <c r="M100" s="394">
        <v>116.5009</v>
      </c>
      <c r="N100" s="394">
        <v>17800.169999999998</v>
      </c>
      <c r="O100" s="394">
        <v>17807.349999999999</v>
      </c>
      <c r="P100" s="396">
        <v>2009.93</v>
      </c>
      <c r="Q100" s="396">
        <f t="shared" si="4"/>
        <v>2052.1518329052651</v>
      </c>
      <c r="R100" s="399">
        <f t="shared" si="9"/>
        <v>7.0041054035368173</v>
      </c>
      <c r="S100" s="396">
        <f t="shared" si="6"/>
        <v>2059.155938308802</v>
      </c>
      <c r="T100" s="394" t="s">
        <v>532</v>
      </c>
      <c r="U100" s="394">
        <v>15</v>
      </c>
      <c r="V100" s="394">
        <v>5</v>
      </c>
      <c r="W100" s="394">
        <v>0.7</v>
      </c>
      <c r="X100" s="394">
        <v>0.7</v>
      </c>
      <c r="Y100" s="394">
        <v>0.7</v>
      </c>
      <c r="Z100" s="397">
        <v>1700</v>
      </c>
      <c r="AA100" s="397" t="s">
        <v>533</v>
      </c>
      <c r="AB100" s="397">
        <v>0.85</v>
      </c>
      <c r="AC100" s="397" t="s">
        <v>534</v>
      </c>
      <c r="AD100" s="397" t="s">
        <v>535</v>
      </c>
      <c r="AE100" s="397">
        <v>220</v>
      </c>
      <c r="AF100" s="398" t="s">
        <v>556</v>
      </c>
      <c r="AG100" s="398"/>
    </row>
    <row r="101" spans="1:33" ht="15.75">
      <c r="A101" s="393" t="s">
        <v>649</v>
      </c>
      <c r="B101" s="394">
        <v>21</v>
      </c>
      <c r="C101" s="394">
        <v>89</v>
      </c>
      <c r="D101" s="394" t="s">
        <v>561</v>
      </c>
      <c r="E101" s="394">
        <v>1.5</v>
      </c>
      <c r="F101" s="395">
        <v>45328.712500000001</v>
      </c>
      <c r="G101" s="394">
        <v>1</v>
      </c>
      <c r="H101" s="394">
        <v>51.370800000000003</v>
      </c>
      <c r="I101" s="394">
        <v>7.6914199999999999</v>
      </c>
      <c r="J101" s="394">
        <v>-16.561399999999999</v>
      </c>
      <c r="K101" s="394">
        <v>-15.719200000000001</v>
      </c>
      <c r="L101" s="394">
        <v>1003.82</v>
      </c>
      <c r="M101" s="394">
        <v>124.50020000000001</v>
      </c>
      <c r="N101" s="394">
        <v>17807.03</v>
      </c>
      <c r="O101" s="394">
        <v>17807.349999999999</v>
      </c>
      <c r="P101" s="396">
        <v>2009.93</v>
      </c>
      <c r="Q101" s="396">
        <f t="shared" si="4"/>
        <v>2052.1518329052651</v>
      </c>
      <c r="R101" s="399">
        <f t="shared" si="9"/>
        <v>7.0041054035368173</v>
      </c>
      <c r="S101" s="396">
        <f t="shared" si="6"/>
        <v>2059.155938308802</v>
      </c>
      <c r="T101" s="394" t="s">
        <v>532</v>
      </c>
      <c r="U101" s="394">
        <v>15</v>
      </c>
      <c r="V101" s="394">
        <v>5</v>
      </c>
      <c r="W101" s="394">
        <v>0.7</v>
      </c>
      <c r="X101" s="394">
        <v>0.7</v>
      </c>
      <c r="Y101" s="394">
        <v>0.7</v>
      </c>
      <c r="Z101" s="397">
        <v>1700</v>
      </c>
      <c r="AA101" s="397" t="s">
        <v>533</v>
      </c>
      <c r="AB101" s="397">
        <v>0.85</v>
      </c>
      <c r="AC101" s="397" t="s">
        <v>534</v>
      </c>
      <c r="AD101" s="397" t="s">
        <v>535</v>
      </c>
      <c r="AE101" s="397">
        <v>220</v>
      </c>
      <c r="AF101" s="398" t="s">
        <v>556</v>
      </c>
      <c r="AG101" s="398"/>
    </row>
    <row r="102" spans="1:33" ht="15.75">
      <c r="A102" s="393" t="s">
        <v>650</v>
      </c>
      <c r="B102" s="394">
        <v>21</v>
      </c>
      <c r="C102" s="394">
        <v>89</v>
      </c>
      <c r="D102" s="394" t="s">
        <v>561</v>
      </c>
      <c r="E102" s="394">
        <v>1.5</v>
      </c>
      <c r="F102" s="395">
        <v>45328.71597222222</v>
      </c>
      <c r="G102" s="394">
        <v>1</v>
      </c>
      <c r="H102" s="394">
        <v>51.374099999999999</v>
      </c>
      <c r="I102" s="394">
        <v>7.6803600000000003</v>
      </c>
      <c r="J102" s="394">
        <v>-16.569500000000001</v>
      </c>
      <c r="K102" s="394">
        <v>-15.7402</v>
      </c>
      <c r="L102" s="394">
        <v>996.43100000000004</v>
      </c>
      <c r="M102" s="394">
        <v>146.9991</v>
      </c>
      <c r="N102" s="394">
        <v>17814.849999999999</v>
      </c>
      <c r="O102" s="394">
        <v>17807.349999999999</v>
      </c>
      <c r="P102" s="396">
        <v>2009.93</v>
      </c>
      <c r="Q102" s="396">
        <f t="shared" si="4"/>
        <v>2052.1518329052651</v>
      </c>
      <c r="R102" s="399">
        <f t="shared" si="9"/>
        <v>7.0041054035368173</v>
      </c>
      <c r="S102" s="396">
        <f t="shared" si="6"/>
        <v>2059.155938308802</v>
      </c>
      <c r="T102" s="394" t="s">
        <v>532</v>
      </c>
      <c r="U102" s="394">
        <v>15</v>
      </c>
      <c r="V102" s="394">
        <v>5</v>
      </c>
      <c r="W102" s="394">
        <v>0.7</v>
      </c>
      <c r="X102" s="394">
        <v>0.7</v>
      </c>
      <c r="Y102" s="394">
        <v>0.7</v>
      </c>
      <c r="Z102" s="397">
        <v>1700</v>
      </c>
      <c r="AA102" s="397" t="s">
        <v>533</v>
      </c>
      <c r="AB102" s="397">
        <v>0.85</v>
      </c>
      <c r="AC102" s="397" t="s">
        <v>534</v>
      </c>
      <c r="AD102" s="397" t="s">
        <v>535</v>
      </c>
      <c r="AE102" s="397">
        <v>220</v>
      </c>
      <c r="AF102" s="398" t="s">
        <v>556</v>
      </c>
      <c r="AG102" s="398"/>
    </row>
    <row r="103" spans="1:33" ht="15.75">
      <c r="A103" s="393" t="s">
        <v>651</v>
      </c>
      <c r="B103" s="394">
        <v>22</v>
      </c>
      <c r="C103" s="394">
        <v>90</v>
      </c>
      <c r="D103" s="394" t="s">
        <v>565</v>
      </c>
      <c r="E103" s="394">
        <v>1.5</v>
      </c>
      <c r="F103" s="395">
        <v>45328.720138888886</v>
      </c>
      <c r="G103" s="394">
        <v>1</v>
      </c>
      <c r="H103" s="394">
        <v>51.374099999999999</v>
      </c>
      <c r="I103" s="394">
        <v>7.5778299999999996</v>
      </c>
      <c r="J103" s="394">
        <v>-16.5641</v>
      </c>
      <c r="K103" s="394">
        <v>-15.7155</v>
      </c>
      <c r="L103" s="394">
        <v>986.03599999999994</v>
      </c>
      <c r="M103" s="394">
        <v>151.49879999999999</v>
      </c>
      <c r="N103" s="394">
        <v>17845.22</v>
      </c>
      <c r="O103" s="396" t="s">
        <v>18</v>
      </c>
      <c r="P103" s="396" t="s">
        <v>18</v>
      </c>
      <c r="Q103" s="396" t="s">
        <v>18</v>
      </c>
      <c r="R103" s="396" t="s">
        <v>18</v>
      </c>
      <c r="S103" s="396" t="s">
        <v>18</v>
      </c>
      <c r="T103" s="394" t="s">
        <v>592</v>
      </c>
      <c r="U103" s="394">
        <v>15</v>
      </c>
      <c r="V103" s="394">
        <v>5</v>
      </c>
      <c r="W103" s="394">
        <v>0.7</v>
      </c>
      <c r="X103" s="394">
        <v>0.7</v>
      </c>
      <c r="Y103" s="394">
        <v>0.7</v>
      </c>
      <c r="Z103" s="397">
        <v>1700</v>
      </c>
      <c r="AA103" s="397" t="s">
        <v>533</v>
      </c>
      <c r="AB103" s="397">
        <v>0.85</v>
      </c>
      <c r="AC103" s="397" t="s">
        <v>534</v>
      </c>
      <c r="AD103" s="397" t="s">
        <v>535</v>
      </c>
      <c r="AE103" s="397">
        <v>220</v>
      </c>
      <c r="AF103" s="398" t="s">
        <v>556</v>
      </c>
      <c r="AG103" s="398"/>
    </row>
    <row r="104" spans="1:33" ht="15.75">
      <c r="A104" s="393" t="s">
        <v>652</v>
      </c>
      <c r="B104" s="394">
        <v>22</v>
      </c>
      <c r="C104" s="394">
        <v>90</v>
      </c>
      <c r="D104" s="394" t="s">
        <v>565</v>
      </c>
      <c r="E104" s="394">
        <v>1.5</v>
      </c>
      <c r="F104" s="395">
        <v>45328.724305555559</v>
      </c>
      <c r="G104" s="394">
        <v>1</v>
      </c>
      <c r="H104" s="394">
        <v>51.3675</v>
      </c>
      <c r="I104" s="394">
        <v>7.6054300000000001</v>
      </c>
      <c r="J104" s="394">
        <v>-16.599799999999998</v>
      </c>
      <c r="K104" s="394">
        <v>-15.769399999999999</v>
      </c>
      <c r="L104" s="394">
        <v>995.55399999999997</v>
      </c>
      <c r="M104" s="394">
        <v>138.4999</v>
      </c>
      <c r="N104" s="394">
        <v>17880.25</v>
      </c>
      <c r="O104" s="396" t="s">
        <v>18</v>
      </c>
      <c r="P104" s="396" t="s">
        <v>18</v>
      </c>
      <c r="Q104" s="396" t="s">
        <v>18</v>
      </c>
      <c r="R104" s="396" t="s">
        <v>18</v>
      </c>
      <c r="S104" s="396" t="s">
        <v>18</v>
      </c>
      <c r="T104" s="394" t="s">
        <v>592</v>
      </c>
      <c r="U104" s="394">
        <v>15</v>
      </c>
      <c r="V104" s="394">
        <v>5</v>
      </c>
      <c r="W104" s="394">
        <v>0.7</v>
      </c>
      <c r="X104" s="394">
        <v>0.7</v>
      </c>
      <c r="Y104" s="394">
        <v>0.7</v>
      </c>
      <c r="Z104" s="397">
        <v>1700</v>
      </c>
      <c r="AA104" s="397" t="s">
        <v>533</v>
      </c>
      <c r="AB104" s="397">
        <v>0.85</v>
      </c>
      <c r="AC104" s="397" t="s">
        <v>534</v>
      </c>
      <c r="AD104" s="397" t="s">
        <v>535</v>
      </c>
      <c r="AE104" s="397">
        <v>220</v>
      </c>
      <c r="AF104" s="398" t="s">
        <v>556</v>
      </c>
      <c r="AG104" s="398"/>
    </row>
    <row r="105" spans="1:33" ht="15.75">
      <c r="A105" s="393" t="s">
        <v>653</v>
      </c>
      <c r="B105" s="394">
        <v>22</v>
      </c>
      <c r="C105" s="394">
        <v>90</v>
      </c>
      <c r="D105" s="394" t="s">
        <v>565</v>
      </c>
      <c r="E105" s="394">
        <v>1.5</v>
      </c>
      <c r="F105" s="395">
        <v>45328.727777777778</v>
      </c>
      <c r="G105" s="394">
        <v>1</v>
      </c>
      <c r="H105" s="394">
        <v>51.370800000000003</v>
      </c>
      <c r="I105" s="394">
        <v>7.5176699999999999</v>
      </c>
      <c r="J105" s="394">
        <v>-16.583600000000001</v>
      </c>
      <c r="K105" s="394">
        <v>-15.7357</v>
      </c>
      <c r="L105" s="394">
        <v>993.68200000000002</v>
      </c>
      <c r="M105" s="394">
        <v>152.49979999999999</v>
      </c>
      <c r="N105" s="394">
        <v>17850.830000000002</v>
      </c>
      <c r="O105" s="396" t="s">
        <v>18</v>
      </c>
      <c r="P105" s="396" t="s">
        <v>18</v>
      </c>
      <c r="Q105" s="396" t="s">
        <v>18</v>
      </c>
      <c r="R105" s="396" t="s">
        <v>18</v>
      </c>
      <c r="S105" s="396" t="s">
        <v>18</v>
      </c>
      <c r="T105" s="394" t="s">
        <v>592</v>
      </c>
      <c r="U105" s="394">
        <v>15</v>
      </c>
      <c r="V105" s="394">
        <v>5</v>
      </c>
      <c r="W105" s="394">
        <v>0.7</v>
      </c>
      <c r="X105" s="394">
        <v>0.7</v>
      </c>
      <c r="Y105" s="394">
        <v>0.7</v>
      </c>
      <c r="Z105" s="397">
        <v>1700</v>
      </c>
      <c r="AA105" s="397" t="s">
        <v>533</v>
      </c>
      <c r="AB105" s="397">
        <v>0.85</v>
      </c>
      <c r="AC105" s="397" t="s">
        <v>534</v>
      </c>
      <c r="AD105" s="397" t="s">
        <v>535</v>
      </c>
      <c r="AE105" s="397">
        <v>220</v>
      </c>
      <c r="AF105" s="398" t="s">
        <v>556</v>
      </c>
      <c r="AG105" s="398"/>
    </row>
    <row r="106" spans="1:33" ht="15.75">
      <c r="A106" s="393" t="s">
        <v>654</v>
      </c>
      <c r="B106" s="394">
        <v>22</v>
      </c>
      <c r="C106" s="394">
        <v>90</v>
      </c>
      <c r="D106" s="394" t="s">
        <v>565</v>
      </c>
      <c r="E106" s="394">
        <v>1.5</v>
      </c>
      <c r="F106" s="395">
        <v>45328.731944444444</v>
      </c>
      <c r="G106" s="394">
        <v>1</v>
      </c>
      <c r="H106" s="394">
        <v>51.370800000000003</v>
      </c>
      <c r="I106" s="394">
        <v>7.4794099999999997</v>
      </c>
      <c r="J106" s="394">
        <v>-16.631900000000002</v>
      </c>
      <c r="K106" s="394">
        <v>-15.796799999999999</v>
      </c>
      <c r="L106" s="394">
        <v>1008.51</v>
      </c>
      <c r="M106" s="394">
        <v>150.5001</v>
      </c>
      <c r="N106" s="394">
        <v>17813.07</v>
      </c>
      <c r="O106" s="396" t="s">
        <v>18</v>
      </c>
      <c r="P106" s="396" t="s">
        <v>18</v>
      </c>
      <c r="Q106" s="396" t="s">
        <v>18</v>
      </c>
      <c r="R106" s="396" t="s">
        <v>18</v>
      </c>
      <c r="S106" s="396" t="s">
        <v>18</v>
      </c>
      <c r="T106" s="394" t="s">
        <v>592</v>
      </c>
      <c r="U106" s="394">
        <v>15</v>
      </c>
      <c r="V106" s="394">
        <v>5</v>
      </c>
      <c r="W106" s="394">
        <v>0.7</v>
      </c>
      <c r="X106" s="394">
        <v>0.7</v>
      </c>
      <c r="Y106" s="394">
        <v>0.7</v>
      </c>
      <c r="Z106" s="397">
        <v>1700</v>
      </c>
      <c r="AA106" s="397" t="s">
        <v>533</v>
      </c>
      <c r="AB106" s="397">
        <v>0.85</v>
      </c>
      <c r="AC106" s="397" t="s">
        <v>534</v>
      </c>
      <c r="AD106" s="397" t="s">
        <v>535</v>
      </c>
      <c r="AE106" s="397">
        <v>220</v>
      </c>
      <c r="AF106" s="398" t="s">
        <v>556</v>
      </c>
      <c r="AG106" s="398"/>
    </row>
    <row r="107" spans="1:33" ht="15.75">
      <c r="A107" s="393" t="s">
        <v>655</v>
      </c>
      <c r="B107" s="394">
        <v>22</v>
      </c>
      <c r="C107" s="394">
        <v>90</v>
      </c>
      <c r="D107" s="394" t="s">
        <v>565</v>
      </c>
      <c r="E107" s="394">
        <v>1.5</v>
      </c>
      <c r="F107" s="395">
        <v>45328.736111111109</v>
      </c>
      <c r="G107" s="394">
        <v>1</v>
      </c>
      <c r="H107" s="394">
        <v>51.377400000000002</v>
      </c>
      <c r="I107" s="394">
        <v>7.6198800000000002</v>
      </c>
      <c r="J107" s="394">
        <v>-16.550599999999999</v>
      </c>
      <c r="K107" s="394">
        <v>-15.7021</v>
      </c>
      <c r="L107" s="394">
        <v>978.39200000000005</v>
      </c>
      <c r="M107" s="394">
        <v>123.4996</v>
      </c>
      <c r="N107" s="394">
        <v>17773.53</v>
      </c>
      <c r="O107" s="396" t="s">
        <v>18</v>
      </c>
      <c r="P107" s="396" t="s">
        <v>18</v>
      </c>
      <c r="Q107" s="396" t="s">
        <v>18</v>
      </c>
      <c r="R107" s="396" t="s">
        <v>18</v>
      </c>
      <c r="S107" s="396" t="s">
        <v>18</v>
      </c>
      <c r="T107" s="394" t="s">
        <v>592</v>
      </c>
      <c r="U107" s="394">
        <v>15</v>
      </c>
      <c r="V107" s="394">
        <v>5</v>
      </c>
      <c r="W107" s="394">
        <v>0.7</v>
      </c>
      <c r="X107" s="394">
        <v>0.7</v>
      </c>
      <c r="Y107" s="394">
        <v>0.7</v>
      </c>
      <c r="Z107" s="397">
        <v>1700</v>
      </c>
      <c r="AA107" s="397" t="s">
        <v>533</v>
      </c>
      <c r="AB107" s="397">
        <v>0.85</v>
      </c>
      <c r="AC107" s="397" t="s">
        <v>534</v>
      </c>
      <c r="AD107" s="397" t="s">
        <v>535</v>
      </c>
      <c r="AE107" s="397">
        <v>220</v>
      </c>
      <c r="AF107" s="398" t="s">
        <v>556</v>
      </c>
      <c r="AG107" s="398"/>
    </row>
    <row r="108" spans="1:33" ht="15.75">
      <c r="A108" s="393" t="s">
        <v>656</v>
      </c>
      <c r="B108" s="394">
        <v>22</v>
      </c>
      <c r="C108" s="394">
        <v>90</v>
      </c>
      <c r="D108" s="394" t="s">
        <v>565</v>
      </c>
      <c r="E108" s="394">
        <v>1.5</v>
      </c>
      <c r="F108" s="395">
        <v>45328.739583333336</v>
      </c>
      <c r="G108" s="394">
        <v>2</v>
      </c>
      <c r="H108" s="394">
        <v>51.370800000000003</v>
      </c>
      <c r="I108" s="394">
        <v>7.6557199999999996</v>
      </c>
      <c r="J108" s="394">
        <v>-16.398700000000002</v>
      </c>
      <c r="K108" s="394">
        <v>-15.5588</v>
      </c>
      <c r="L108" s="394">
        <v>1001.25</v>
      </c>
      <c r="M108" s="394">
        <v>116.99939999999999</v>
      </c>
      <c r="N108" s="394">
        <v>17795.7</v>
      </c>
      <c r="O108" s="394">
        <v>17812.16</v>
      </c>
      <c r="P108" s="396">
        <v>2010.47</v>
      </c>
      <c r="Q108" s="396">
        <f t="shared" ref="Q108:Q139" si="10">P108*(2067.13/2024.6)</f>
        <v>2052.7031764793046</v>
      </c>
      <c r="R108" s="399">
        <f t="shared" ref="R108:R135" si="11">((B108-B$97)/(B$135-B$97))*R$136+((1-((B108-B$97)/(B$135-B$97)))*R$96)</f>
        <v>6.3506611676383633</v>
      </c>
      <c r="S108" s="396">
        <f t="shared" ref="S108:S139" si="12">Q108+R108</f>
        <v>2059.0538376469431</v>
      </c>
      <c r="T108" s="394" t="s">
        <v>532</v>
      </c>
      <c r="U108" s="394">
        <v>15</v>
      </c>
      <c r="V108" s="394">
        <v>5</v>
      </c>
      <c r="W108" s="394">
        <v>0.7</v>
      </c>
      <c r="X108" s="394">
        <v>0.7</v>
      </c>
      <c r="Y108" s="394">
        <v>0.7</v>
      </c>
      <c r="Z108" s="397">
        <v>1700</v>
      </c>
      <c r="AA108" s="397" t="s">
        <v>533</v>
      </c>
      <c r="AB108" s="397">
        <v>0.85</v>
      </c>
      <c r="AC108" s="397" t="s">
        <v>534</v>
      </c>
      <c r="AD108" s="397" t="s">
        <v>535</v>
      </c>
      <c r="AE108" s="397">
        <v>220</v>
      </c>
      <c r="AF108" s="398" t="s">
        <v>556</v>
      </c>
      <c r="AG108" s="398"/>
    </row>
    <row r="109" spans="1:33" ht="15.75">
      <c r="A109" s="393" t="s">
        <v>657</v>
      </c>
      <c r="B109" s="394">
        <v>22</v>
      </c>
      <c r="C109" s="394">
        <v>90</v>
      </c>
      <c r="D109" s="394" t="s">
        <v>565</v>
      </c>
      <c r="E109" s="394">
        <v>1.5</v>
      </c>
      <c r="F109" s="395">
        <v>45328.743055555555</v>
      </c>
      <c r="G109" s="394">
        <v>2</v>
      </c>
      <c r="H109" s="394">
        <v>51.377400000000002</v>
      </c>
      <c r="I109" s="394">
        <v>7.6207900000000004</v>
      </c>
      <c r="J109" s="394">
        <v>-16.4434</v>
      </c>
      <c r="K109" s="394">
        <v>-15.6037</v>
      </c>
      <c r="L109" s="394">
        <v>978.74800000000005</v>
      </c>
      <c r="M109" s="394">
        <v>126.5012</v>
      </c>
      <c r="N109" s="394">
        <v>17859.89</v>
      </c>
      <c r="O109" s="394">
        <v>17812.16</v>
      </c>
      <c r="P109" s="396">
        <v>2010.47</v>
      </c>
      <c r="Q109" s="396">
        <f t="shared" si="10"/>
        <v>2052.7031764793046</v>
      </c>
      <c r="R109" s="399">
        <f t="shared" si="11"/>
        <v>6.3506611676383633</v>
      </c>
      <c r="S109" s="396">
        <f t="shared" si="12"/>
        <v>2059.0538376469431</v>
      </c>
      <c r="T109" s="394" t="s">
        <v>542</v>
      </c>
      <c r="U109" s="394">
        <v>15</v>
      </c>
      <c r="V109" s="394">
        <v>5</v>
      </c>
      <c r="W109" s="394">
        <v>0.7</v>
      </c>
      <c r="X109" s="394">
        <v>0.7</v>
      </c>
      <c r="Y109" s="394">
        <v>0.7</v>
      </c>
      <c r="Z109" s="397">
        <v>1700</v>
      </c>
      <c r="AA109" s="397" t="s">
        <v>533</v>
      </c>
      <c r="AB109" s="397">
        <v>0.85</v>
      </c>
      <c r="AC109" s="397" t="s">
        <v>534</v>
      </c>
      <c r="AD109" s="397" t="s">
        <v>535</v>
      </c>
      <c r="AE109" s="397">
        <v>220</v>
      </c>
      <c r="AF109" s="398" t="s">
        <v>556</v>
      </c>
      <c r="AG109" s="398"/>
    </row>
    <row r="110" spans="1:33" ht="15.75">
      <c r="A110" s="393" t="s">
        <v>658</v>
      </c>
      <c r="B110" s="394">
        <v>22</v>
      </c>
      <c r="C110" s="394">
        <v>90</v>
      </c>
      <c r="D110" s="394" t="s">
        <v>565</v>
      </c>
      <c r="E110" s="394">
        <v>1.5</v>
      </c>
      <c r="F110" s="395">
        <v>45328.746527777781</v>
      </c>
      <c r="G110" s="394">
        <v>2</v>
      </c>
      <c r="H110" s="394">
        <v>51.377400000000002</v>
      </c>
      <c r="I110" s="394">
        <v>7.6784400000000002</v>
      </c>
      <c r="J110" s="394">
        <v>-16.5867</v>
      </c>
      <c r="K110" s="394">
        <v>-15.737299999999999</v>
      </c>
      <c r="L110" s="394">
        <v>1014.96</v>
      </c>
      <c r="M110" s="394">
        <v>116.501</v>
      </c>
      <c r="N110" s="394">
        <v>17824.759999999998</v>
      </c>
      <c r="O110" s="394">
        <v>17812.16</v>
      </c>
      <c r="P110" s="396">
        <v>2010.47</v>
      </c>
      <c r="Q110" s="396">
        <f t="shared" si="10"/>
        <v>2052.7031764793046</v>
      </c>
      <c r="R110" s="399">
        <f t="shared" si="11"/>
        <v>6.3506611676383633</v>
      </c>
      <c r="S110" s="396">
        <f t="shared" si="12"/>
        <v>2059.0538376469431</v>
      </c>
      <c r="T110" s="394" t="s">
        <v>532</v>
      </c>
      <c r="U110" s="394">
        <v>15</v>
      </c>
      <c r="V110" s="394">
        <v>5</v>
      </c>
      <c r="W110" s="394">
        <v>0.7</v>
      </c>
      <c r="X110" s="394">
        <v>0.7</v>
      </c>
      <c r="Y110" s="394">
        <v>0.7</v>
      </c>
      <c r="Z110" s="397">
        <v>1700</v>
      </c>
      <c r="AA110" s="397" t="s">
        <v>533</v>
      </c>
      <c r="AB110" s="397">
        <v>0.85</v>
      </c>
      <c r="AC110" s="397" t="s">
        <v>534</v>
      </c>
      <c r="AD110" s="397" t="s">
        <v>535</v>
      </c>
      <c r="AE110" s="397">
        <v>220</v>
      </c>
      <c r="AF110" s="398" t="s">
        <v>556</v>
      </c>
      <c r="AG110" s="398"/>
    </row>
    <row r="111" spans="1:33" ht="15.75">
      <c r="A111" s="393" t="s">
        <v>659</v>
      </c>
      <c r="B111" s="394">
        <v>22</v>
      </c>
      <c r="C111" s="394">
        <v>90</v>
      </c>
      <c r="D111" s="394" t="s">
        <v>565</v>
      </c>
      <c r="E111" s="394">
        <v>1.5</v>
      </c>
      <c r="F111" s="395">
        <v>45328.75</v>
      </c>
      <c r="G111" s="394">
        <v>2</v>
      </c>
      <c r="H111" s="394">
        <v>51.374099999999999</v>
      </c>
      <c r="I111" s="394">
        <v>7.7048699999999997</v>
      </c>
      <c r="J111" s="394">
        <v>-16.573599999999999</v>
      </c>
      <c r="K111" s="394">
        <v>-15.74</v>
      </c>
      <c r="L111" s="394">
        <v>1015.72</v>
      </c>
      <c r="M111" s="394">
        <v>115.4997</v>
      </c>
      <c r="N111" s="394">
        <v>17816.009999999998</v>
      </c>
      <c r="O111" s="394">
        <v>17812.16</v>
      </c>
      <c r="P111" s="396">
        <v>2010.47</v>
      </c>
      <c r="Q111" s="396">
        <f t="shared" si="10"/>
        <v>2052.7031764793046</v>
      </c>
      <c r="R111" s="399">
        <f t="shared" si="11"/>
        <v>6.3506611676383633</v>
      </c>
      <c r="S111" s="396">
        <f t="shared" si="12"/>
        <v>2059.0538376469431</v>
      </c>
      <c r="T111" s="394" t="s">
        <v>532</v>
      </c>
      <c r="U111" s="394">
        <v>15</v>
      </c>
      <c r="V111" s="394">
        <v>5</v>
      </c>
      <c r="W111" s="394">
        <v>0.7</v>
      </c>
      <c r="X111" s="394">
        <v>0.7</v>
      </c>
      <c r="Y111" s="394">
        <v>0.7</v>
      </c>
      <c r="Z111" s="397">
        <v>1700</v>
      </c>
      <c r="AA111" s="397" t="s">
        <v>533</v>
      </c>
      <c r="AB111" s="397">
        <v>0.85</v>
      </c>
      <c r="AC111" s="397" t="s">
        <v>534</v>
      </c>
      <c r="AD111" s="397" t="s">
        <v>535</v>
      </c>
      <c r="AE111" s="397">
        <v>220</v>
      </c>
      <c r="AF111" s="398" t="s">
        <v>556</v>
      </c>
      <c r="AG111" s="398"/>
    </row>
    <row r="112" spans="1:33" ht="15.75">
      <c r="A112" s="393" t="s">
        <v>660</v>
      </c>
      <c r="B112" s="394">
        <v>23</v>
      </c>
      <c r="C112" s="394">
        <v>78</v>
      </c>
      <c r="D112" s="394" t="s">
        <v>569</v>
      </c>
      <c r="E112" s="394">
        <v>1.5</v>
      </c>
      <c r="F112" s="395">
        <v>45328.754166666666</v>
      </c>
      <c r="G112" s="394">
        <v>1</v>
      </c>
      <c r="H112" s="394">
        <v>51.377400000000002</v>
      </c>
      <c r="I112" s="394">
        <v>7.5750200000000003</v>
      </c>
      <c r="J112" s="394">
        <v>-16.456499999999998</v>
      </c>
      <c r="K112" s="394">
        <v>-15.6069</v>
      </c>
      <c r="L112" s="394">
        <v>1003.09</v>
      </c>
      <c r="M112" s="394">
        <v>143.50059999999999</v>
      </c>
      <c r="N112" s="394">
        <v>17788.25</v>
      </c>
      <c r="O112" s="394">
        <v>17778.330000000002</v>
      </c>
      <c r="P112" s="396">
        <v>2006.68</v>
      </c>
      <c r="Q112" s="396">
        <f t="shared" si="10"/>
        <v>2048.8335613948434</v>
      </c>
      <c r="R112" s="399">
        <f t="shared" si="11"/>
        <v>5.6972169317399075</v>
      </c>
      <c r="S112" s="396">
        <f t="shared" si="12"/>
        <v>2054.5307783265835</v>
      </c>
      <c r="T112" s="394" t="s">
        <v>532</v>
      </c>
      <c r="U112" s="394">
        <v>15</v>
      </c>
      <c r="V112" s="394">
        <v>5</v>
      </c>
      <c r="W112" s="394">
        <v>0.7</v>
      </c>
      <c r="X112" s="394">
        <v>0.7</v>
      </c>
      <c r="Y112" s="394">
        <v>0.7</v>
      </c>
      <c r="Z112" s="397">
        <v>1700</v>
      </c>
      <c r="AA112" s="397" t="s">
        <v>533</v>
      </c>
      <c r="AB112" s="397">
        <v>0.85</v>
      </c>
      <c r="AC112" s="397" t="s">
        <v>534</v>
      </c>
      <c r="AD112" s="397" t="s">
        <v>535</v>
      </c>
      <c r="AE112" s="397">
        <v>220</v>
      </c>
      <c r="AF112" s="398" t="s">
        <v>556</v>
      </c>
      <c r="AG112" s="398"/>
    </row>
    <row r="113" spans="1:33" ht="15.75">
      <c r="A113" s="393" t="s">
        <v>661</v>
      </c>
      <c r="B113" s="394">
        <v>23</v>
      </c>
      <c r="C113" s="394">
        <v>78</v>
      </c>
      <c r="D113" s="394" t="s">
        <v>569</v>
      </c>
      <c r="E113" s="394">
        <v>1.5</v>
      </c>
      <c r="F113" s="395">
        <v>45328.758333333331</v>
      </c>
      <c r="G113" s="394">
        <v>1</v>
      </c>
      <c r="H113" s="394">
        <v>51.374099999999999</v>
      </c>
      <c r="I113" s="394">
        <v>7.6565399999999997</v>
      </c>
      <c r="J113" s="394">
        <v>-16.680099999999999</v>
      </c>
      <c r="K113" s="394">
        <v>-15.8316</v>
      </c>
      <c r="L113" s="394">
        <v>983.28499999999997</v>
      </c>
      <c r="M113" s="394">
        <v>124.5008</v>
      </c>
      <c r="N113" s="394">
        <v>17763.14</v>
      </c>
      <c r="O113" s="394">
        <v>17778.330000000002</v>
      </c>
      <c r="P113" s="396">
        <v>2006.68</v>
      </c>
      <c r="Q113" s="396">
        <f t="shared" si="10"/>
        <v>2048.8335613948434</v>
      </c>
      <c r="R113" s="399">
        <f t="shared" si="11"/>
        <v>5.6972169317399075</v>
      </c>
      <c r="S113" s="396">
        <f t="shared" si="12"/>
        <v>2054.5307783265835</v>
      </c>
      <c r="T113" s="394" t="s">
        <v>532</v>
      </c>
      <c r="U113" s="394">
        <v>15</v>
      </c>
      <c r="V113" s="394">
        <v>5</v>
      </c>
      <c r="W113" s="394">
        <v>0.7</v>
      </c>
      <c r="X113" s="394">
        <v>0.7</v>
      </c>
      <c r="Y113" s="394">
        <v>0.7</v>
      </c>
      <c r="Z113" s="397">
        <v>1700</v>
      </c>
      <c r="AA113" s="397" t="s">
        <v>533</v>
      </c>
      <c r="AB113" s="397">
        <v>0.85</v>
      </c>
      <c r="AC113" s="397" t="s">
        <v>534</v>
      </c>
      <c r="AD113" s="397" t="s">
        <v>535</v>
      </c>
      <c r="AE113" s="397">
        <v>220</v>
      </c>
      <c r="AF113" s="398" t="s">
        <v>556</v>
      </c>
      <c r="AG113" s="398"/>
    </row>
    <row r="114" spans="1:33" ht="15.75">
      <c r="A114" s="393" t="s">
        <v>662</v>
      </c>
      <c r="B114" s="394">
        <v>23</v>
      </c>
      <c r="C114" s="394">
        <v>78</v>
      </c>
      <c r="D114" s="394" t="s">
        <v>569</v>
      </c>
      <c r="E114" s="394">
        <v>1.5</v>
      </c>
      <c r="F114" s="395">
        <v>45328.761805555558</v>
      </c>
      <c r="G114" s="394">
        <v>1</v>
      </c>
      <c r="H114" s="394">
        <v>51.374099999999999</v>
      </c>
      <c r="I114" s="394">
        <v>7.6007199999999999</v>
      </c>
      <c r="J114" s="394">
        <v>-16.6389</v>
      </c>
      <c r="K114" s="394">
        <v>-15.8009</v>
      </c>
      <c r="L114" s="394">
        <v>982.85500000000002</v>
      </c>
      <c r="M114" s="394">
        <v>136.00139999999999</v>
      </c>
      <c r="N114" s="394">
        <v>17783.580000000002</v>
      </c>
      <c r="O114" s="394">
        <v>17778.330000000002</v>
      </c>
      <c r="P114" s="396">
        <v>2006.68</v>
      </c>
      <c r="Q114" s="396">
        <f t="shared" si="10"/>
        <v>2048.8335613948434</v>
      </c>
      <c r="R114" s="399">
        <f t="shared" si="11"/>
        <v>5.6972169317399075</v>
      </c>
      <c r="S114" s="396">
        <f t="shared" si="12"/>
        <v>2054.5307783265835</v>
      </c>
      <c r="T114" s="394" t="s">
        <v>532</v>
      </c>
      <c r="U114" s="394">
        <v>15</v>
      </c>
      <c r="V114" s="394">
        <v>5</v>
      </c>
      <c r="W114" s="394">
        <v>0.7</v>
      </c>
      <c r="X114" s="394">
        <v>0.7</v>
      </c>
      <c r="Y114" s="394">
        <v>0.7</v>
      </c>
      <c r="Z114" s="397">
        <v>1700</v>
      </c>
      <c r="AA114" s="397" t="s">
        <v>533</v>
      </c>
      <c r="AB114" s="397">
        <v>0.85</v>
      </c>
      <c r="AC114" s="397" t="s">
        <v>534</v>
      </c>
      <c r="AD114" s="397" t="s">
        <v>535</v>
      </c>
      <c r="AE114" s="397">
        <v>220</v>
      </c>
      <c r="AF114" s="398" t="s">
        <v>556</v>
      </c>
      <c r="AG114" s="398"/>
    </row>
    <row r="115" spans="1:33" ht="15.75">
      <c r="A115" s="393" t="s">
        <v>663</v>
      </c>
      <c r="B115" s="394">
        <v>24</v>
      </c>
      <c r="C115" s="394">
        <v>79</v>
      </c>
      <c r="D115" s="394" t="s">
        <v>575</v>
      </c>
      <c r="E115" s="394">
        <v>1.5</v>
      </c>
      <c r="F115" s="395">
        <v>45328.765972222223</v>
      </c>
      <c r="G115" s="394">
        <v>1</v>
      </c>
      <c r="H115" s="394">
        <v>51.370800000000003</v>
      </c>
      <c r="I115" s="394">
        <v>7.6356299999999999</v>
      </c>
      <c r="J115" s="394">
        <v>-16.679600000000001</v>
      </c>
      <c r="K115" s="394">
        <v>-15.8429</v>
      </c>
      <c r="L115" s="394">
        <v>996.18100000000004</v>
      </c>
      <c r="M115" s="394">
        <v>118.501</v>
      </c>
      <c r="N115" s="394">
        <v>17767.810000000001</v>
      </c>
      <c r="O115" s="394">
        <v>17784.14</v>
      </c>
      <c r="P115" s="396">
        <v>2007.33</v>
      </c>
      <c r="Q115" s="396">
        <f t="shared" si="10"/>
        <v>2049.4972156969279</v>
      </c>
      <c r="R115" s="399">
        <f t="shared" si="11"/>
        <v>5.0437726958414508</v>
      </c>
      <c r="S115" s="396">
        <f t="shared" si="12"/>
        <v>2054.5409883927696</v>
      </c>
      <c r="T115" s="394" t="s">
        <v>532</v>
      </c>
      <c r="U115" s="394">
        <v>15</v>
      </c>
      <c r="V115" s="394">
        <v>5</v>
      </c>
      <c r="W115" s="394">
        <v>0.7</v>
      </c>
      <c r="X115" s="394">
        <v>0.7</v>
      </c>
      <c r="Y115" s="394">
        <v>0.7</v>
      </c>
      <c r="Z115" s="397">
        <v>1700</v>
      </c>
      <c r="AA115" s="397" t="s">
        <v>533</v>
      </c>
      <c r="AB115" s="397">
        <v>0.85</v>
      </c>
      <c r="AC115" s="397" t="s">
        <v>534</v>
      </c>
      <c r="AD115" s="397" t="s">
        <v>535</v>
      </c>
      <c r="AE115" s="397">
        <v>220</v>
      </c>
      <c r="AF115" s="398" t="s">
        <v>556</v>
      </c>
      <c r="AG115" s="398"/>
    </row>
    <row r="116" spans="1:33" ht="15.75">
      <c r="A116" s="393" t="s">
        <v>664</v>
      </c>
      <c r="B116" s="394">
        <v>24</v>
      </c>
      <c r="C116" s="394">
        <v>79</v>
      </c>
      <c r="D116" s="394" t="s">
        <v>575</v>
      </c>
      <c r="E116" s="394">
        <v>1.5</v>
      </c>
      <c r="F116" s="395">
        <v>45328.769444444442</v>
      </c>
      <c r="G116" s="394">
        <v>1</v>
      </c>
      <c r="H116" s="394">
        <v>51.374099999999999</v>
      </c>
      <c r="I116" s="394">
        <v>7.7</v>
      </c>
      <c r="J116" s="394">
        <v>-16.694900000000001</v>
      </c>
      <c r="K116" s="394">
        <v>-15.847799999999999</v>
      </c>
      <c r="L116" s="394">
        <v>975.02099999999996</v>
      </c>
      <c r="M116" s="394">
        <v>114.5</v>
      </c>
      <c r="N116" s="394">
        <v>17794.95</v>
      </c>
      <c r="O116" s="394">
        <v>17784.14</v>
      </c>
      <c r="P116" s="396">
        <v>2007.33</v>
      </c>
      <c r="Q116" s="396">
        <f t="shared" si="10"/>
        <v>2049.4972156969279</v>
      </c>
      <c r="R116" s="399">
        <f t="shared" si="11"/>
        <v>5.0437726958414508</v>
      </c>
      <c r="S116" s="396">
        <f t="shared" si="12"/>
        <v>2054.5409883927696</v>
      </c>
      <c r="T116" s="394" t="s">
        <v>532</v>
      </c>
      <c r="U116" s="394">
        <v>15</v>
      </c>
      <c r="V116" s="394">
        <v>5</v>
      </c>
      <c r="W116" s="394">
        <v>0.7</v>
      </c>
      <c r="X116" s="394">
        <v>0.7</v>
      </c>
      <c r="Y116" s="394">
        <v>0.7</v>
      </c>
      <c r="Z116" s="397">
        <v>1700</v>
      </c>
      <c r="AA116" s="397" t="s">
        <v>533</v>
      </c>
      <c r="AB116" s="397">
        <v>0.85</v>
      </c>
      <c r="AC116" s="397" t="s">
        <v>534</v>
      </c>
      <c r="AD116" s="397" t="s">
        <v>535</v>
      </c>
      <c r="AE116" s="397">
        <v>220</v>
      </c>
      <c r="AF116" s="398" t="s">
        <v>556</v>
      </c>
      <c r="AG116" s="398"/>
    </row>
    <row r="117" spans="1:33" ht="15.75">
      <c r="A117" s="393" t="s">
        <v>665</v>
      </c>
      <c r="B117" s="394">
        <v>24</v>
      </c>
      <c r="C117" s="394">
        <v>79</v>
      </c>
      <c r="D117" s="394" t="s">
        <v>575</v>
      </c>
      <c r="E117" s="394">
        <v>1.5</v>
      </c>
      <c r="F117" s="395">
        <v>45328.772916666669</v>
      </c>
      <c r="G117" s="394">
        <v>1</v>
      </c>
      <c r="H117" s="394">
        <v>51.370800000000003</v>
      </c>
      <c r="I117" s="394">
        <v>7.7210099999999997</v>
      </c>
      <c r="J117" s="394">
        <v>-16.602699999999999</v>
      </c>
      <c r="K117" s="394">
        <v>-15.7943</v>
      </c>
      <c r="L117" s="394">
        <v>988.90899999999999</v>
      </c>
      <c r="M117" s="394">
        <v>146.00040000000001</v>
      </c>
      <c r="N117" s="394">
        <v>17789.669999999998</v>
      </c>
      <c r="O117" s="394">
        <v>17784.14</v>
      </c>
      <c r="P117" s="396">
        <v>2007.33</v>
      </c>
      <c r="Q117" s="396">
        <f t="shared" si="10"/>
        <v>2049.4972156969279</v>
      </c>
      <c r="R117" s="399">
        <f t="shared" si="11"/>
        <v>5.0437726958414508</v>
      </c>
      <c r="S117" s="396">
        <f t="shared" si="12"/>
        <v>2054.5409883927696</v>
      </c>
      <c r="T117" s="394" t="s">
        <v>532</v>
      </c>
      <c r="U117" s="394">
        <v>15</v>
      </c>
      <c r="V117" s="394">
        <v>5</v>
      </c>
      <c r="W117" s="394">
        <v>0.7</v>
      </c>
      <c r="X117" s="394">
        <v>0.7</v>
      </c>
      <c r="Y117" s="394">
        <v>0.7</v>
      </c>
      <c r="Z117" s="397">
        <v>1700</v>
      </c>
      <c r="AA117" s="397" t="s">
        <v>533</v>
      </c>
      <c r="AB117" s="397">
        <v>0.85</v>
      </c>
      <c r="AC117" s="397" t="s">
        <v>534</v>
      </c>
      <c r="AD117" s="397" t="s">
        <v>535</v>
      </c>
      <c r="AE117" s="397">
        <v>220</v>
      </c>
      <c r="AF117" s="398" t="s">
        <v>556</v>
      </c>
      <c r="AG117" s="398"/>
    </row>
    <row r="118" spans="1:33" ht="15.75">
      <c r="A118" s="393" t="s">
        <v>666</v>
      </c>
      <c r="B118" s="394">
        <v>25</v>
      </c>
      <c r="C118" s="394">
        <v>118</v>
      </c>
      <c r="D118" s="394" t="s">
        <v>579</v>
      </c>
      <c r="E118" s="394">
        <v>1.5</v>
      </c>
      <c r="F118" s="395">
        <v>45328.777083333334</v>
      </c>
      <c r="G118" s="394">
        <v>1</v>
      </c>
      <c r="H118" s="394">
        <v>51.374099999999999</v>
      </c>
      <c r="I118" s="394">
        <v>7.6855900000000004</v>
      </c>
      <c r="J118" s="394">
        <v>-16.654900000000001</v>
      </c>
      <c r="K118" s="394">
        <v>-15.8094</v>
      </c>
      <c r="L118" s="394">
        <v>974.25599999999997</v>
      </c>
      <c r="M118" s="394">
        <v>133.00030000000001</v>
      </c>
      <c r="N118" s="394">
        <v>17680.939999999999</v>
      </c>
      <c r="O118" s="394">
        <v>17762.77</v>
      </c>
      <c r="P118" s="396">
        <v>2004.94</v>
      </c>
      <c r="Q118" s="396">
        <f t="shared" si="10"/>
        <v>2047.0570098784947</v>
      </c>
      <c r="R118" s="399">
        <f t="shared" si="11"/>
        <v>4.390328459942995</v>
      </c>
      <c r="S118" s="396">
        <f t="shared" si="12"/>
        <v>2051.4473383384375</v>
      </c>
      <c r="T118" s="394" t="s">
        <v>542</v>
      </c>
      <c r="U118" s="394">
        <v>15</v>
      </c>
      <c r="V118" s="394">
        <v>5</v>
      </c>
      <c r="W118" s="394">
        <v>0.7</v>
      </c>
      <c r="X118" s="394">
        <v>0.7</v>
      </c>
      <c r="Y118" s="394">
        <v>0.7</v>
      </c>
      <c r="Z118" s="397">
        <v>1700</v>
      </c>
      <c r="AA118" s="397" t="s">
        <v>533</v>
      </c>
      <c r="AB118" s="397">
        <v>0.85</v>
      </c>
      <c r="AC118" s="397" t="s">
        <v>534</v>
      </c>
      <c r="AD118" s="397" t="s">
        <v>535</v>
      </c>
      <c r="AE118" s="397">
        <v>220</v>
      </c>
      <c r="AF118" s="398" t="s">
        <v>556</v>
      </c>
      <c r="AG118" s="398"/>
    </row>
    <row r="119" spans="1:33" ht="15.75">
      <c r="A119" s="393" t="s">
        <v>667</v>
      </c>
      <c r="B119" s="394">
        <v>25</v>
      </c>
      <c r="C119" s="394">
        <v>118</v>
      </c>
      <c r="D119" s="394" t="s">
        <v>579</v>
      </c>
      <c r="E119" s="394">
        <v>1.5</v>
      </c>
      <c r="F119" s="395">
        <v>45328.78125</v>
      </c>
      <c r="G119" s="394">
        <v>1</v>
      </c>
      <c r="H119" s="394">
        <v>51.374099999999999</v>
      </c>
      <c r="I119" s="394">
        <v>7.6527200000000004</v>
      </c>
      <c r="J119" s="394">
        <v>-16.7073</v>
      </c>
      <c r="K119" s="394">
        <v>-15.8573</v>
      </c>
      <c r="L119" s="394">
        <v>983.68100000000004</v>
      </c>
      <c r="M119" s="394">
        <v>118.5005</v>
      </c>
      <c r="N119" s="394">
        <v>17750.29</v>
      </c>
      <c r="O119" s="394">
        <v>17762.77</v>
      </c>
      <c r="P119" s="396">
        <v>2004.94</v>
      </c>
      <c r="Q119" s="396">
        <f t="shared" si="10"/>
        <v>2047.0570098784947</v>
      </c>
      <c r="R119" s="399">
        <f t="shared" si="11"/>
        <v>4.390328459942995</v>
      </c>
      <c r="S119" s="396">
        <f t="shared" si="12"/>
        <v>2051.4473383384375</v>
      </c>
      <c r="T119" s="394" t="s">
        <v>532</v>
      </c>
      <c r="U119" s="394">
        <v>15</v>
      </c>
      <c r="V119" s="394">
        <v>5</v>
      </c>
      <c r="W119" s="394">
        <v>0.7</v>
      </c>
      <c r="X119" s="394">
        <v>0.7</v>
      </c>
      <c r="Y119" s="394">
        <v>0.7</v>
      </c>
      <c r="Z119" s="397">
        <v>1700</v>
      </c>
      <c r="AA119" s="397" t="s">
        <v>533</v>
      </c>
      <c r="AB119" s="397">
        <v>0.85</v>
      </c>
      <c r="AC119" s="397" t="s">
        <v>534</v>
      </c>
      <c r="AD119" s="397" t="s">
        <v>535</v>
      </c>
      <c r="AE119" s="397">
        <v>220</v>
      </c>
      <c r="AF119" s="398" t="s">
        <v>556</v>
      </c>
      <c r="AG119" s="398"/>
    </row>
    <row r="120" spans="1:33" ht="15.75">
      <c r="A120" s="393" t="s">
        <v>668</v>
      </c>
      <c r="B120" s="394">
        <v>25</v>
      </c>
      <c r="C120" s="394">
        <v>118</v>
      </c>
      <c r="D120" s="394" t="s">
        <v>579</v>
      </c>
      <c r="E120" s="394">
        <v>1.5</v>
      </c>
      <c r="F120" s="395">
        <v>45328.784722222219</v>
      </c>
      <c r="G120" s="394">
        <v>1</v>
      </c>
      <c r="H120" s="394">
        <v>51.370800000000003</v>
      </c>
      <c r="I120" s="394">
        <v>7.61693</v>
      </c>
      <c r="J120" s="394">
        <v>-16.6297</v>
      </c>
      <c r="K120" s="394">
        <v>-15.8169</v>
      </c>
      <c r="L120" s="394">
        <v>1001.57</v>
      </c>
      <c r="M120" s="394">
        <v>144.50040000000001</v>
      </c>
      <c r="N120" s="394">
        <v>17777.14</v>
      </c>
      <c r="O120" s="394">
        <v>17762.77</v>
      </c>
      <c r="P120" s="396">
        <v>2004.94</v>
      </c>
      <c r="Q120" s="396">
        <f t="shared" si="10"/>
        <v>2047.0570098784947</v>
      </c>
      <c r="R120" s="399">
        <f t="shared" si="11"/>
        <v>4.390328459942995</v>
      </c>
      <c r="S120" s="396">
        <f t="shared" si="12"/>
        <v>2051.4473383384375</v>
      </c>
      <c r="T120" s="394" t="s">
        <v>532</v>
      </c>
      <c r="U120" s="394">
        <v>15</v>
      </c>
      <c r="V120" s="394">
        <v>5</v>
      </c>
      <c r="W120" s="394">
        <v>0.7</v>
      </c>
      <c r="X120" s="394">
        <v>0.7</v>
      </c>
      <c r="Y120" s="394">
        <v>0.7</v>
      </c>
      <c r="Z120" s="397">
        <v>1700</v>
      </c>
      <c r="AA120" s="397" t="s">
        <v>533</v>
      </c>
      <c r="AB120" s="397">
        <v>0.85</v>
      </c>
      <c r="AC120" s="397" t="s">
        <v>534</v>
      </c>
      <c r="AD120" s="397" t="s">
        <v>535</v>
      </c>
      <c r="AE120" s="397">
        <v>220</v>
      </c>
      <c r="AF120" s="398" t="s">
        <v>556</v>
      </c>
      <c r="AG120" s="398"/>
    </row>
    <row r="121" spans="1:33" ht="15.75">
      <c r="A121" s="393" t="s">
        <v>669</v>
      </c>
      <c r="B121" s="394">
        <v>25</v>
      </c>
      <c r="C121" s="394">
        <v>118</v>
      </c>
      <c r="D121" s="394" t="s">
        <v>579</v>
      </c>
      <c r="E121" s="394">
        <v>1.5</v>
      </c>
      <c r="F121" s="395">
        <v>45328.788194444445</v>
      </c>
      <c r="G121" s="394">
        <v>1</v>
      </c>
      <c r="H121" s="394">
        <v>51.377400000000002</v>
      </c>
      <c r="I121" s="394">
        <v>7.5850299999999997</v>
      </c>
      <c r="J121" s="394">
        <v>-16.720800000000001</v>
      </c>
      <c r="K121" s="394">
        <v>-15.876899999999999</v>
      </c>
      <c r="L121" s="394">
        <v>999.13099999999997</v>
      </c>
      <c r="M121" s="394">
        <v>135.49940000000001</v>
      </c>
      <c r="N121" s="394">
        <v>17793.34</v>
      </c>
      <c r="O121" s="394">
        <v>17762.77</v>
      </c>
      <c r="P121" s="396">
        <v>2004.94</v>
      </c>
      <c r="Q121" s="396">
        <f t="shared" si="10"/>
        <v>2047.0570098784947</v>
      </c>
      <c r="R121" s="399">
        <f t="shared" si="11"/>
        <v>4.390328459942995</v>
      </c>
      <c r="S121" s="396">
        <f t="shared" si="12"/>
        <v>2051.4473383384375</v>
      </c>
      <c r="T121" s="394" t="s">
        <v>542</v>
      </c>
      <c r="U121" s="394">
        <v>15</v>
      </c>
      <c r="V121" s="394">
        <v>5</v>
      </c>
      <c r="W121" s="394">
        <v>0.7</v>
      </c>
      <c r="X121" s="394">
        <v>0.7</v>
      </c>
      <c r="Y121" s="394">
        <v>0.7</v>
      </c>
      <c r="Z121" s="397">
        <v>1700</v>
      </c>
      <c r="AA121" s="397" t="s">
        <v>533</v>
      </c>
      <c r="AB121" s="397">
        <v>0.85</v>
      </c>
      <c r="AC121" s="397" t="s">
        <v>534</v>
      </c>
      <c r="AD121" s="397" t="s">
        <v>535</v>
      </c>
      <c r="AE121" s="397">
        <v>220</v>
      </c>
      <c r="AF121" s="398" t="s">
        <v>556</v>
      </c>
      <c r="AG121" s="398"/>
    </row>
    <row r="122" spans="1:33" ht="15.75">
      <c r="A122" s="393" t="s">
        <v>670</v>
      </c>
      <c r="B122" s="394">
        <v>25</v>
      </c>
      <c r="C122" s="394">
        <v>118</v>
      </c>
      <c r="D122" s="394" t="s">
        <v>579</v>
      </c>
      <c r="E122" s="394">
        <v>1.5</v>
      </c>
      <c r="F122" s="395">
        <v>45328.792361111111</v>
      </c>
      <c r="G122" s="394">
        <v>1</v>
      </c>
      <c r="H122" s="394">
        <v>51.370800000000003</v>
      </c>
      <c r="I122" s="394">
        <v>7.5760100000000001</v>
      </c>
      <c r="J122" s="394">
        <v>-16.7058</v>
      </c>
      <c r="K122" s="394">
        <v>-15.873200000000001</v>
      </c>
      <c r="L122" s="394">
        <v>984.09799999999996</v>
      </c>
      <c r="M122" s="394">
        <v>115.99930000000001</v>
      </c>
      <c r="N122" s="394">
        <v>17760.89</v>
      </c>
      <c r="O122" s="394">
        <v>17762.77</v>
      </c>
      <c r="P122" s="396">
        <v>2004.94</v>
      </c>
      <c r="Q122" s="396">
        <f t="shared" si="10"/>
        <v>2047.0570098784947</v>
      </c>
      <c r="R122" s="399">
        <f t="shared" si="11"/>
        <v>4.390328459942995</v>
      </c>
      <c r="S122" s="396">
        <f t="shared" si="12"/>
        <v>2051.4473383384375</v>
      </c>
      <c r="T122" s="394" t="s">
        <v>532</v>
      </c>
      <c r="U122" s="394">
        <v>15</v>
      </c>
      <c r="V122" s="394">
        <v>5</v>
      </c>
      <c r="W122" s="394">
        <v>0.7</v>
      </c>
      <c r="X122" s="394">
        <v>0.7</v>
      </c>
      <c r="Y122" s="394">
        <v>0.7</v>
      </c>
      <c r="Z122" s="397">
        <v>1700</v>
      </c>
      <c r="AA122" s="397" t="s">
        <v>533</v>
      </c>
      <c r="AB122" s="397">
        <v>0.85</v>
      </c>
      <c r="AC122" s="397" t="s">
        <v>534</v>
      </c>
      <c r="AD122" s="397" t="s">
        <v>535</v>
      </c>
      <c r="AE122" s="397">
        <v>220</v>
      </c>
      <c r="AF122" s="398" t="s">
        <v>556</v>
      </c>
      <c r="AG122" s="398"/>
    </row>
    <row r="123" spans="1:33" ht="15.75">
      <c r="A123" s="393" t="s">
        <v>671</v>
      </c>
      <c r="B123" s="394">
        <v>26</v>
      </c>
      <c r="C123" s="394">
        <v>119</v>
      </c>
      <c r="D123" s="394" t="s">
        <v>585</v>
      </c>
      <c r="E123" s="394">
        <v>1.5</v>
      </c>
      <c r="F123" s="395">
        <v>45328.796527777777</v>
      </c>
      <c r="G123" s="394">
        <v>1</v>
      </c>
      <c r="H123" s="394">
        <v>51.374099999999999</v>
      </c>
      <c r="I123" s="394">
        <v>7.6632499999999997</v>
      </c>
      <c r="J123" s="394">
        <v>-16.750299999999999</v>
      </c>
      <c r="K123" s="394">
        <v>-15.9025</v>
      </c>
      <c r="L123" s="394">
        <v>1013.68</v>
      </c>
      <c r="M123" s="394">
        <v>136.50049999999999</v>
      </c>
      <c r="N123" s="394">
        <v>17795.79</v>
      </c>
      <c r="O123" s="394">
        <v>17761.05</v>
      </c>
      <c r="P123" s="396">
        <v>2004.75</v>
      </c>
      <c r="Q123" s="396">
        <f t="shared" si="10"/>
        <v>2046.8630186209621</v>
      </c>
      <c r="R123" s="399">
        <f t="shared" si="11"/>
        <v>3.7368842240445401</v>
      </c>
      <c r="S123" s="396">
        <f t="shared" si="12"/>
        <v>2050.5999028450065</v>
      </c>
      <c r="T123" s="394" t="s">
        <v>542</v>
      </c>
      <c r="U123" s="394">
        <v>15</v>
      </c>
      <c r="V123" s="394">
        <v>5</v>
      </c>
      <c r="W123" s="394">
        <v>0.7</v>
      </c>
      <c r="X123" s="394">
        <v>0.7</v>
      </c>
      <c r="Y123" s="394">
        <v>0.7</v>
      </c>
      <c r="Z123" s="397">
        <v>1700</v>
      </c>
      <c r="AA123" s="397" t="s">
        <v>533</v>
      </c>
      <c r="AB123" s="397">
        <v>0.85</v>
      </c>
      <c r="AC123" s="397" t="s">
        <v>534</v>
      </c>
      <c r="AD123" s="397" t="s">
        <v>535</v>
      </c>
      <c r="AE123" s="397">
        <v>220</v>
      </c>
      <c r="AF123" s="398" t="s">
        <v>556</v>
      </c>
      <c r="AG123" s="398"/>
    </row>
    <row r="124" spans="1:33" ht="15.75">
      <c r="A124" s="393" t="s">
        <v>672</v>
      </c>
      <c r="B124" s="394">
        <v>26</v>
      </c>
      <c r="C124" s="394">
        <v>119</v>
      </c>
      <c r="D124" s="394" t="s">
        <v>585</v>
      </c>
      <c r="E124" s="394">
        <v>1.5</v>
      </c>
      <c r="F124" s="395">
        <v>45328.800000000003</v>
      </c>
      <c r="G124" s="394">
        <v>1</v>
      </c>
      <c r="H124" s="394">
        <v>51.370800000000003</v>
      </c>
      <c r="I124" s="394">
        <v>7.79305</v>
      </c>
      <c r="J124" s="394">
        <v>-16.538</v>
      </c>
      <c r="K124" s="394">
        <v>-15.700699999999999</v>
      </c>
      <c r="L124" s="394">
        <v>1003.62</v>
      </c>
      <c r="M124" s="394">
        <v>114.0003</v>
      </c>
      <c r="N124" s="394">
        <v>17769.29</v>
      </c>
      <c r="O124" s="394">
        <v>17761.05</v>
      </c>
      <c r="P124" s="396">
        <v>2004.75</v>
      </c>
      <c r="Q124" s="396">
        <f t="shared" si="10"/>
        <v>2046.8630186209621</v>
      </c>
      <c r="R124" s="399">
        <f t="shared" si="11"/>
        <v>3.7368842240445401</v>
      </c>
      <c r="S124" s="396">
        <f t="shared" si="12"/>
        <v>2050.5999028450065</v>
      </c>
      <c r="T124" s="394" t="s">
        <v>532</v>
      </c>
      <c r="U124" s="394">
        <v>15</v>
      </c>
      <c r="V124" s="394">
        <v>5</v>
      </c>
      <c r="W124" s="394">
        <v>0.7</v>
      </c>
      <c r="X124" s="394">
        <v>0.7</v>
      </c>
      <c r="Y124" s="394">
        <v>0.7</v>
      </c>
      <c r="Z124" s="397">
        <v>1700</v>
      </c>
      <c r="AA124" s="397" t="s">
        <v>533</v>
      </c>
      <c r="AB124" s="397">
        <v>0.85</v>
      </c>
      <c r="AC124" s="397" t="s">
        <v>534</v>
      </c>
      <c r="AD124" s="397" t="s">
        <v>535</v>
      </c>
      <c r="AE124" s="397">
        <v>220</v>
      </c>
      <c r="AF124" s="398" t="s">
        <v>556</v>
      </c>
      <c r="AG124" s="398"/>
    </row>
    <row r="125" spans="1:33" ht="15.75">
      <c r="A125" s="393" t="s">
        <v>673</v>
      </c>
      <c r="B125" s="394">
        <v>26</v>
      </c>
      <c r="C125" s="394">
        <v>119</v>
      </c>
      <c r="D125" s="394" t="s">
        <v>585</v>
      </c>
      <c r="E125" s="394">
        <v>1.5</v>
      </c>
      <c r="F125" s="395">
        <v>45328.803472222222</v>
      </c>
      <c r="G125" s="394">
        <v>1</v>
      </c>
      <c r="H125" s="394">
        <v>51.377400000000002</v>
      </c>
      <c r="I125" s="394">
        <v>7.7416600000000004</v>
      </c>
      <c r="J125" s="394">
        <v>-16.741299999999999</v>
      </c>
      <c r="K125" s="394">
        <v>-15.9064</v>
      </c>
      <c r="L125" s="394">
        <v>1003.68</v>
      </c>
      <c r="M125" s="394">
        <v>114.9995</v>
      </c>
      <c r="N125" s="394">
        <v>17749.88</v>
      </c>
      <c r="O125" s="394">
        <v>17761.05</v>
      </c>
      <c r="P125" s="396">
        <v>2004.75</v>
      </c>
      <c r="Q125" s="396">
        <f t="shared" si="10"/>
        <v>2046.8630186209621</v>
      </c>
      <c r="R125" s="399">
        <f t="shared" si="11"/>
        <v>3.7368842240445401</v>
      </c>
      <c r="S125" s="396">
        <f t="shared" si="12"/>
        <v>2050.5999028450065</v>
      </c>
      <c r="T125" s="394" t="s">
        <v>532</v>
      </c>
      <c r="U125" s="394">
        <v>15</v>
      </c>
      <c r="V125" s="394">
        <v>5</v>
      </c>
      <c r="W125" s="394">
        <v>0.7</v>
      </c>
      <c r="X125" s="394">
        <v>0.7</v>
      </c>
      <c r="Y125" s="394">
        <v>0.7</v>
      </c>
      <c r="Z125" s="397">
        <v>1700</v>
      </c>
      <c r="AA125" s="397" t="s">
        <v>533</v>
      </c>
      <c r="AB125" s="397">
        <v>0.85</v>
      </c>
      <c r="AC125" s="397" t="s">
        <v>534</v>
      </c>
      <c r="AD125" s="397" t="s">
        <v>535</v>
      </c>
      <c r="AE125" s="397">
        <v>220</v>
      </c>
      <c r="AF125" s="398" t="s">
        <v>556</v>
      </c>
      <c r="AG125" s="398"/>
    </row>
    <row r="126" spans="1:33" ht="15.75">
      <c r="A126" s="393" t="s">
        <v>674</v>
      </c>
      <c r="B126" s="394">
        <v>26</v>
      </c>
      <c r="C126" s="394">
        <v>119</v>
      </c>
      <c r="D126" s="394" t="s">
        <v>585</v>
      </c>
      <c r="E126" s="394">
        <v>1.5</v>
      </c>
      <c r="F126" s="395">
        <v>45328.806944444441</v>
      </c>
      <c r="G126" s="394">
        <v>1</v>
      </c>
      <c r="H126" s="394">
        <v>51.377400000000002</v>
      </c>
      <c r="I126" s="394">
        <v>7.73332</v>
      </c>
      <c r="J126" s="394">
        <v>-16.704699999999999</v>
      </c>
      <c r="K126" s="394">
        <v>-15.860799999999999</v>
      </c>
      <c r="L126" s="394">
        <v>994.01400000000001</v>
      </c>
      <c r="M126" s="394">
        <v>142.00049999999999</v>
      </c>
      <c r="N126" s="394">
        <v>17716.72</v>
      </c>
      <c r="O126" s="394">
        <v>17761.05</v>
      </c>
      <c r="P126" s="396">
        <v>2004.75</v>
      </c>
      <c r="Q126" s="396">
        <f t="shared" si="10"/>
        <v>2046.8630186209621</v>
      </c>
      <c r="R126" s="399">
        <f t="shared" si="11"/>
        <v>3.7368842240445401</v>
      </c>
      <c r="S126" s="396">
        <f t="shared" si="12"/>
        <v>2050.5999028450065</v>
      </c>
      <c r="T126" s="394" t="s">
        <v>542</v>
      </c>
      <c r="U126" s="394">
        <v>15</v>
      </c>
      <c r="V126" s="394">
        <v>5</v>
      </c>
      <c r="W126" s="394">
        <v>0.7</v>
      </c>
      <c r="X126" s="394">
        <v>0.7</v>
      </c>
      <c r="Y126" s="394">
        <v>0.7</v>
      </c>
      <c r="Z126" s="397">
        <v>1700</v>
      </c>
      <c r="AA126" s="397" t="s">
        <v>533</v>
      </c>
      <c r="AB126" s="397">
        <v>0.85</v>
      </c>
      <c r="AC126" s="397" t="s">
        <v>534</v>
      </c>
      <c r="AD126" s="397" t="s">
        <v>535</v>
      </c>
      <c r="AE126" s="397">
        <v>220</v>
      </c>
      <c r="AF126" s="398" t="s">
        <v>556</v>
      </c>
      <c r="AG126" s="398"/>
    </row>
    <row r="127" spans="1:33" ht="15.75">
      <c r="A127" s="393" t="s">
        <v>675</v>
      </c>
      <c r="B127" s="394">
        <v>26</v>
      </c>
      <c r="C127" s="394">
        <v>119</v>
      </c>
      <c r="D127" s="394" t="s">
        <v>585</v>
      </c>
      <c r="E127" s="394">
        <v>1.5</v>
      </c>
      <c r="F127" s="395">
        <v>45328.810416666667</v>
      </c>
      <c r="G127" s="394">
        <v>1</v>
      </c>
      <c r="H127" s="394">
        <v>51.370800000000003</v>
      </c>
      <c r="I127" s="394">
        <v>7.7786600000000004</v>
      </c>
      <c r="J127" s="394">
        <v>-16.704699999999999</v>
      </c>
      <c r="K127" s="394">
        <v>-15.869</v>
      </c>
      <c r="L127" s="394">
        <v>998.47900000000004</v>
      </c>
      <c r="M127" s="394">
        <v>116.4996</v>
      </c>
      <c r="N127" s="394">
        <v>17763.98</v>
      </c>
      <c r="O127" s="394">
        <v>17761.05</v>
      </c>
      <c r="P127" s="396">
        <v>2004.75</v>
      </c>
      <c r="Q127" s="396">
        <f t="shared" si="10"/>
        <v>2046.8630186209621</v>
      </c>
      <c r="R127" s="399">
        <f t="shared" si="11"/>
        <v>3.7368842240445401</v>
      </c>
      <c r="S127" s="396">
        <f t="shared" si="12"/>
        <v>2050.5999028450065</v>
      </c>
      <c r="T127" s="394" t="s">
        <v>532</v>
      </c>
      <c r="U127" s="394">
        <v>15</v>
      </c>
      <c r="V127" s="394">
        <v>5</v>
      </c>
      <c r="W127" s="394">
        <v>0.7</v>
      </c>
      <c r="X127" s="394">
        <v>0.7</v>
      </c>
      <c r="Y127" s="394">
        <v>0.7</v>
      </c>
      <c r="Z127" s="397">
        <v>1700</v>
      </c>
      <c r="AA127" s="397" t="s">
        <v>533</v>
      </c>
      <c r="AB127" s="397">
        <v>0.85</v>
      </c>
      <c r="AC127" s="397" t="s">
        <v>534</v>
      </c>
      <c r="AD127" s="397" t="s">
        <v>535</v>
      </c>
      <c r="AE127" s="397">
        <v>220</v>
      </c>
      <c r="AF127" s="398" t="s">
        <v>556</v>
      </c>
      <c r="AG127" s="398"/>
    </row>
    <row r="128" spans="1:33" ht="15.75">
      <c r="A128" s="401" t="s">
        <v>676</v>
      </c>
      <c r="B128" s="402">
        <v>27</v>
      </c>
      <c r="C128" s="402">
        <v>326</v>
      </c>
      <c r="D128" s="402" t="s">
        <v>591</v>
      </c>
      <c r="E128" s="402">
        <v>1.5</v>
      </c>
      <c r="F128" s="403">
        <v>45328.814583333333</v>
      </c>
      <c r="G128" s="402">
        <v>1</v>
      </c>
      <c r="H128" s="402">
        <v>51.374099999999999</v>
      </c>
      <c r="I128" s="402">
        <v>7.67605</v>
      </c>
      <c r="J128" s="402">
        <v>-16.749600000000001</v>
      </c>
      <c r="K128" s="402">
        <v>-15.9335</v>
      </c>
      <c r="L128" s="402">
        <v>1002.14</v>
      </c>
      <c r="M128" s="402">
        <v>116.5009</v>
      </c>
      <c r="N128" s="402">
        <v>17701.28</v>
      </c>
      <c r="O128" s="402">
        <v>17714.13</v>
      </c>
      <c r="P128" s="404">
        <v>1999.5</v>
      </c>
      <c r="Q128" s="404">
        <f t="shared" si="10"/>
        <v>2041.5027338733578</v>
      </c>
      <c r="R128" s="405">
        <f t="shared" si="11"/>
        <v>3.0834399881460839</v>
      </c>
      <c r="S128" s="404">
        <f t="shared" si="12"/>
        <v>2044.5861738615038</v>
      </c>
      <c r="T128" s="402" t="s">
        <v>532</v>
      </c>
      <c r="U128" s="402">
        <v>15</v>
      </c>
      <c r="V128" s="402">
        <v>5</v>
      </c>
      <c r="W128" s="402">
        <v>0.7</v>
      </c>
      <c r="X128" s="402">
        <v>0.7</v>
      </c>
      <c r="Y128" s="402">
        <v>0.7</v>
      </c>
      <c r="Z128" s="406">
        <v>1700</v>
      </c>
      <c r="AA128" s="406" t="s">
        <v>533</v>
      </c>
      <c r="AB128" s="406">
        <v>0.85</v>
      </c>
      <c r="AC128" s="406" t="s">
        <v>534</v>
      </c>
      <c r="AD128" s="406" t="s">
        <v>535</v>
      </c>
      <c r="AE128" s="406">
        <v>220</v>
      </c>
      <c r="AF128" s="407" t="s">
        <v>556</v>
      </c>
      <c r="AG128" s="407"/>
    </row>
    <row r="129" spans="1:33" ht="15.75">
      <c r="A129" s="401" t="s">
        <v>677</v>
      </c>
      <c r="B129" s="402">
        <v>27</v>
      </c>
      <c r="C129" s="402">
        <v>326</v>
      </c>
      <c r="D129" s="402" t="s">
        <v>591</v>
      </c>
      <c r="E129" s="402">
        <v>1.5</v>
      </c>
      <c r="F129" s="403">
        <v>45328.818055555559</v>
      </c>
      <c r="G129" s="402">
        <v>1</v>
      </c>
      <c r="H129" s="402">
        <v>51.370800000000003</v>
      </c>
      <c r="I129" s="402">
        <v>7.7015200000000004</v>
      </c>
      <c r="J129" s="402">
        <v>-16.7437</v>
      </c>
      <c r="K129" s="402">
        <v>-15.904999999999999</v>
      </c>
      <c r="L129" s="402">
        <v>995.08299999999997</v>
      </c>
      <c r="M129" s="402">
        <v>122.0004</v>
      </c>
      <c r="N129" s="402">
        <v>17667.5</v>
      </c>
      <c r="O129" s="402">
        <v>17714.13</v>
      </c>
      <c r="P129" s="404">
        <v>1999.5</v>
      </c>
      <c r="Q129" s="404">
        <f t="shared" si="10"/>
        <v>2041.5027338733578</v>
      </c>
      <c r="R129" s="405">
        <f t="shared" si="11"/>
        <v>3.0834399881460839</v>
      </c>
      <c r="S129" s="404">
        <f t="shared" si="12"/>
        <v>2044.5861738615038</v>
      </c>
      <c r="T129" s="402" t="s">
        <v>542</v>
      </c>
      <c r="U129" s="402">
        <v>15</v>
      </c>
      <c r="V129" s="402">
        <v>5</v>
      </c>
      <c r="W129" s="402">
        <v>0.7</v>
      </c>
      <c r="X129" s="402">
        <v>0.7</v>
      </c>
      <c r="Y129" s="402">
        <v>0.7</v>
      </c>
      <c r="Z129" s="406">
        <v>1700</v>
      </c>
      <c r="AA129" s="406" t="s">
        <v>533</v>
      </c>
      <c r="AB129" s="406">
        <v>0.85</v>
      </c>
      <c r="AC129" s="406" t="s">
        <v>534</v>
      </c>
      <c r="AD129" s="406" t="s">
        <v>535</v>
      </c>
      <c r="AE129" s="406">
        <v>220</v>
      </c>
      <c r="AF129" s="407" t="s">
        <v>556</v>
      </c>
      <c r="AG129" s="407"/>
    </row>
    <row r="130" spans="1:33" ht="15.75">
      <c r="A130" s="401" t="s">
        <v>678</v>
      </c>
      <c r="B130" s="402">
        <v>27</v>
      </c>
      <c r="C130" s="402">
        <v>326</v>
      </c>
      <c r="D130" s="402" t="s">
        <v>591</v>
      </c>
      <c r="E130" s="402">
        <v>1.5</v>
      </c>
      <c r="F130" s="403">
        <v>45328.822222222225</v>
      </c>
      <c r="G130" s="402">
        <v>1</v>
      </c>
      <c r="H130" s="402">
        <v>51.370800000000003</v>
      </c>
      <c r="I130" s="402">
        <v>7.7073799999999997</v>
      </c>
      <c r="J130" s="402">
        <v>-16.8139</v>
      </c>
      <c r="K130" s="402">
        <v>-16.0505</v>
      </c>
      <c r="L130" s="402">
        <v>994.90700000000004</v>
      </c>
      <c r="M130" s="402">
        <v>140.00120000000001</v>
      </c>
      <c r="N130" s="402">
        <v>17728.330000000002</v>
      </c>
      <c r="O130" s="402">
        <v>17714.13</v>
      </c>
      <c r="P130" s="404">
        <v>1999.5</v>
      </c>
      <c r="Q130" s="404">
        <f t="shared" si="10"/>
        <v>2041.5027338733578</v>
      </c>
      <c r="R130" s="405">
        <f t="shared" si="11"/>
        <v>3.0834399881460839</v>
      </c>
      <c r="S130" s="404">
        <f t="shared" si="12"/>
        <v>2044.5861738615038</v>
      </c>
      <c r="T130" s="402" t="s">
        <v>532</v>
      </c>
      <c r="U130" s="402">
        <v>15</v>
      </c>
      <c r="V130" s="402">
        <v>5</v>
      </c>
      <c r="W130" s="402">
        <v>0.7</v>
      </c>
      <c r="X130" s="402">
        <v>0.7</v>
      </c>
      <c r="Y130" s="402">
        <v>0.7</v>
      </c>
      <c r="Z130" s="406">
        <v>1700</v>
      </c>
      <c r="AA130" s="406" t="s">
        <v>533</v>
      </c>
      <c r="AB130" s="406">
        <v>0.85</v>
      </c>
      <c r="AC130" s="406" t="s">
        <v>534</v>
      </c>
      <c r="AD130" s="406" t="s">
        <v>535</v>
      </c>
      <c r="AE130" s="406">
        <v>220</v>
      </c>
      <c r="AF130" s="407" t="s">
        <v>556</v>
      </c>
      <c r="AG130" s="407"/>
    </row>
    <row r="131" spans="1:33" ht="15.75">
      <c r="A131" s="401" t="s">
        <v>679</v>
      </c>
      <c r="B131" s="402">
        <v>27</v>
      </c>
      <c r="C131" s="402">
        <v>326</v>
      </c>
      <c r="D131" s="402" t="s">
        <v>591</v>
      </c>
      <c r="E131" s="402">
        <v>1.5</v>
      </c>
      <c r="F131" s="403">
        <v>45328.825694444444</v>
      </c>
      <c r="G131" s="402">
        <v>1</v>
      </c>
      <c r="H131" s="402">
        <v>51.374099999999999</v>
      </c>
      <c r="I131" s="402">
        <v>7.7152099999999999</v>
      </c>
      <c r="J131" s="402">
        <v>-16.843699999999998</v>
      </c>
      <c r="K131" s="402">
        <v>-16.038</v>
      </c>
      <c r="L131" s="402">
        <v>996.87800000000004</v>
      </c>
      <c r="M131" s="402">
        <v>138.9999</v>
      </c>
      <c r="N131" s="402">
        <v>17712.8</v>
      </c>
      <c r="O131" s="402">
        <v>17714.13</v>
      </c>
      <c r="P131" s="404">
        <v>1999.5</v>
      </c>
      <c r="Q131" s="404">
        <f t="shared" si="10"/>
        <v>2041.5027338733578</v>
      </c>
      <c r="R131" s="405">
        <f t="shared" si="11"/>
        <v>3.0834399881460839</v>
      </c>
      <c r="S131" s="404">
        <f t="shared" si="12"/>
        <v>2044.5861738615038</v>
      </c>
      <c r="T131" s="402" t="s">
        <v>532</v>
      </c>
      <c r="U131" s="402">
        <v>15</v>
      </c>
      <c r="V131" s="402">
        <v>5</v>
      </c>
      <c r="W131" s="402">
        <v>0.7</v>
      </c>
      <c r="X131" s="402">
        <v>0.7</v>
      </c>
      <c r="Y131" s="402">
        <v>0.7</v>
      </c>
      <c r="Z131" s="406">
        <v>1700</v>
      </c>
      <c r="AA131" s="406" t="s">
        <v>533</v>
      </c>
      <c r="AB131" s="406">
        <v>0.85</v>
      </c>
      <c r="AC131" s="406" t="s">
        <v>534</v>
      </c>
      <c r="AD131" s="406" t="s">
        <v>535</v>
      </c>
      <c r="AE131" s="406">
        <v>220</v>
      </c>
      <c r="AF131" s="407" t="s">
        <v>556</v>
      </c>
      <c r="AG131" s="407"/>
    </row>
    <row r="132" spans="1:33" ht="15.75">
      <c r="A132" s="401" t="s">
        <v>680</v>
      </c>
      <c r="B132" s="402">
        <v>28</v>
      </c>
      <c r="C132" s="402">
        <v>327</v>
      </c>
      <c r="D132" s="402" t="s">
        <v>601</v>
      </c>
      <c r="E132" s="402">
        <v>1.5</v>
      </c>
      <c r="F132" s="403">
        <v>45328.829861111109</v>
      </c>
      <c r="G132" s="402">
        <v>1</v>
      </c>
      <c r="H132" s="402">
        <v>51.377400000000002</v>
      </c>
      <c r="I132" s="402">
        <v>7.7350599999999998</v>
      </c>
      <c r="J132" s="402">
        <v>-16.807500000000001</v>
      </c>
      <c r="K132" s="402">
        <v>-15.962</v>
      </c>
      <c r="L132" s="402">
        <v>981.15499999999997</v>
      </c>
      <c r="M132" s="402">
        <v>143.0009</v>
      </c>
      <c r="N132" s="402">
        <v>17736.41</v>
      </c>
      <c r="O132" s="402">
        <v>17722.599999999999</v>
      </c>
      <c r="P132" s="404">
        <v>2000.45</v>
      </c>
      <c r="Q132" s="404">
        <f t="shared" si="10"/>
        <v>2042.4726901610195</v>
      </c>
      <c r="R132" s="405">
        <f t="shared" si="11"/>
        <v>2.4299957522476285</v>
      </c>
      <c r="S132" s="404">
        <f t="shared" si="12"/>
        <v>2044.9026859132671</v>
      </c>
      <c r="T132" s="402" t="s">
        <v>532</v>
      </c>
      <c r="U132" s="402">
        <v>15</v>
      </c>
      <c r="V132" s="402">
        <v>5</v>
      </c>
      <c r="W132" s="402">
        <v>0.7</v>
      </c>
      <c r="X132" s="402">
        <v>0.7</v>
      </c>
      <c r="Y132" s="402">
        <v>0.7</v>
      </c>
      <c r="Z132" s="406">
        <v>1700</v>
      </c>
      <c r="AA132" s="406" t="s">
        <v>533</v>
      </c>
      <c r="AB132" s="406">
        <v>0.85</v>
      </c>
      <c r="AC132" s="406" t="s">
        <v>534</v>
      </c>
      <c r="AD132" s="406" t="s">
        <v>535</v>
      </c>
      <c r="AE132" s="406">
        <v>220</v>
      </c>
      <c r="AF132" s="407" t="s">
        <v>556</v>
      </c>
      <c r="AG132" s="407"/>
    </row>
    <row r="133" spans="1:33" ht="15.75">
      <c r="A133" s="401" t="s">
        <v>681</v>
      </c>
      <c r="B133" s="402">
        <v>28</v>
      </c>
      <c r="C133" s="402">
        <v>327</v>
      </c>
      <c r="D133" s="402" t="s">
        <v>601</v>
      </c>
      <c r="E133" s="402">
        <v>1.5</v>
      </c>
      <c r="F133" s="403">
        <v>45328.834027777775</v>
      </c>
      <c r="G133" s="402">
        <v>1</v>
      </c>
      <c r="H133" s="402">
        <v>51.377400000000002</v>
      </c>
      <c r="I133" s="402">
        <v>7.6446300000000003</v>
      </c>
      <c r="J133" s="402">
        <v>-16.811900000000001</v>
      </c>
      <c r="K133" s="402">
        <v>-15.964700000000001</v>
      </c>
      <c r="L133" s="402">
        <v>978.36900000000003</v>
      </c>
      <c r="M133" s="402">
        <v>172.50030000000001</v>
      </c>
      <c r="N133" s="402">
        <v>17720.64</v>
      </c>
      <c r="O133" s="402">
        <v>17722.599999999999</v>
      </c>
      <c r="P133" s="404">
        <v>2000.45</v>
      </c>
      <c r="Q133" s="404">
        <f t="shared" si="10"/>
        <v>2042.4726901610195</v>
      </c>
      <c r="R133" s="405">
        <f t="shared" si="11"/>
        <v>2.4299957522476285</v>
      </c>
      <c r="S133" s="404">
        <f t="shared" si="12"/>
        <v>2044.9026859132671</v>
      </c>
      <c r="T133" s="402" t="s">
        <v>532</v>
      </c>
      <c r="U133" s="402">
        <v>15</v>
      </c>
      <c r="V133" s="402">
        <v>5</v>
      </c>
      <c r="W133" s="402">
        <v>0.7</v>
      </c>
      <c r="X133" s="402">
        <v>0.7</v>
      </c>
      <c r="Y133" s="402">
        <v>0.7</v>
      </c>
      <c r="Z133" s="406">
        <v>1700</v>
      </c>
      <c r="AA133" s="406" t="s">
        <v>533</v>
      </c>
      <c r="AB133" s="406">
        <v>0.85</v>
      </c>
      <c r="AC133" s="406" t="s">
        <v>534</v>
      </c>
      <c r="AD133" s="406" t="s">
        <v>535</v>
      </c>
      <c r="AE133" s="406">
        <v>220</v>
      </c>
      <c r="AF133" s="407" t="s">
        <v>556</v>
      </c>
      <c r="AG133" s="407"/>
    </row>
    <row r="134" spans="1:33" ht="15.75">
      <c r="A134" s="401" t="s">
        <v>682</v>
      </c>
      <c r="B134" s="402">
        <v>28</v>
      </c>
      <c r="C134" s="402">
        <v>327</v>
      </c>
      <c r="D134" s="402" t="s">
        <v>601</v>
      </c>
      <c r="E134" s="402">
        <v>1.5</v>
      </c>
      <c r="F134" s="403">
        <v>45328.838194444441</v>
      </c>
      <c r="G134" s="402">
        <v>1</v>
      </c>
      <c r="H134" s="402">
        <v>51.377400000000002</v>
      </c>
      <c r="I134" s="402">
        <v>7.7190700000000003</v>
      </c>
      <c r="J134" s="402">
        <v>-16.9589</v>
      </c>
      <c r="K134" s="402">
        <v>-16.120899999999999</v>
      </c>
      <c r="L134" s="402">
        <v>986.673</v>
      </c>
      <c r="M134" s="402">
        <v>113.50109999999999</v>
      </c>
      <c r="N134" s="402">
        <v>17710.759999999998</v>
      </c>
      <c r="O134" s="402">
        <v>17722.599999999999</v>
      </c>
      <c r="P134" s="404">
        <v>2000.45</v>
      </c>
      <c r="Q134" s="404">
        <f t="shared" si="10"/>
        <v>2042.4726901610195</v>
      </c>
      <c r="R134" s="405">
        <f t="shared" si="11"/>
        <v>2.4299957522476285</v>
      </c>
      <c r="S134" s="404">
        <f t="shared" si="12"/>
        <v>2044.9026859132671</v>
      </c>
      <c r="T134" s="402" t="s">
        <v>532</v>
      </c>
      <c r="U134" s="402">
        <v>15</v>
      </c>
      <c r="V134" s="402">
        <v>5</v>
      </c>
      <c r="W134" s="402">
        <v>0.7</v>
      </c>
      <c r="X134" s="402">
        <v>0.7</v>
      </c>
      <c r="Y134" s="402">
        <v>0.7</v>
      </c>
      <c r="Z134" s="406">
        <v>1700</v>
      </c>
      <c r="AA134" s="406" t="s">
        <v>533</v>
      </c>
      <c r="AB134" s="406">
        <v>0.85</v>
      </c>
      <c r="AC134" s="406" t="s">
        <v>534</v>
      </c>
      <c r="AD134" s="406" t="s">
        <v>535</v>
      </c>
      <c r="AE134" s="406">
        <v>220</v>
      </c>
      <c r="AF134" s="407" t="s">
        <v>556</v>
      </c>
      <c r="AG134" s="407"/>
    </row>
    <row r="135" spans="1:33" ht="15.75">
      <c r="A135" s="393" t="s">
        <v>683</v>
      </c>
      <c r="B135" s="394">
        <v>29</v>
      </c>
      <c r="C135" s="394" t="s">
        <v>541</v>
      </c>
      <c r="D135" s="394" t="s">
        <v>531</v>
      </c>
      <c r="E135" s="394">
        <v>1.5</v>
      </c>
      <c r="F135" s="395">
        <v>45328.841666666667</v>
      </c>
      <c r="G135" s="394">
        <v>1</v>
      </c>
      <c r="H135" s="394">
        <v>51.370800000000003</v>
      </c>
      <c r="I135" s="394">
        <v>7.54176</v>
      </c>
      <c r="J135" s="394">
        <v>-16.8581</v>
      </c>
      <c r="K135" s="394">
        <v>-16.0242</v>
      </c>
      <c r="L135" s="394">
        <v>993.1</v>
      </c>
      <c r="M135" s="394">
        <v>140.00020000000001</v>
      </c>
      <c r="N135" s="394">
        <v>17932.47</v>
      </c>
      <c r="O135" s="394">
        <v>17922.75</v>
      </c>
      <c r="P135" s="396">
        <v>2022.86</v>
      </c>
      <c r="Q135" s="396">
        <f t="shared" si="10"/>
        <v>2065.3534484836509</v>
      </c>
      <c r="R135" s="399">
        <f t="shared" si="11"/>
        <v>1.7765515163491727</v>
      </c>
      <c r="S135" s="396">
        <f t="shared" si="12"/>
        <v>2067.13</v>
      </c>
      <c r="T135" s="394" t="s">
        <v>532</v>
      </c>
      <c r="U135" s="394">
        <v>15</v>
      </c>
      <c r="V135" s="394">
        <v>5</v>
      </c>
      <c r="W135" s="394">
        <v>0.7</v>
      </c>
      <c r="X135" s="394">
        <v>0.7</v>
      </c>
      <c r="Y135" s="394">
        <v>0.7</v>
      </c>
      <c r="Z135" s="397">
        <v>1700</v>
      </c>
      <c r="AA135" s="397" t="s">
        <v>533</v>
      </c>
      <c r="AB135" s="397">
        <v>0.85</v>
      </c>
      <c r="AC135" s="397" t="s">
        <v>534</v>
      </c>
      <c r="AD135" s="397" t="s">
        <v>535</v>
      </c>
      <c r="AE135" s="397">
        <v>220</v>
      </c>
      <c r="AF135" s="398" t="s">
        <v>556</v>
      </c>
      <c r="AG135" s="400"/>
    </row>
    <row r="136" spans="1:33" ht="15.75">
      <c r="A136" s="393" t="s">
        <v>684</v>
      </c>
      <c r="B136" s="394">
        <v>29</v>
      </c>
      <c r="C136" s="394" t="s">
        <v>541</v>
      </c>
      <c r="D136" s="394" t="s">
        <v>531</v>
      </c>
      <c r="E136" s="394">
        <v>1.5</v>
      </c>
      <c r="F136" s="395">
        <v>45328.845833333333</v>
      </c>
      <c r="G136" s="394">
        <v>1</v>
      </c>
      <c r="H136" s="394">
        <v>51.3675</v>
      </c>
      <c r="I136" s="394">
        <v>7.4704100000000002</v>
      </c>
      <c r="J136" s="394">
        <v>-16.8477</v>
      </c>
      <c r="K136" s="394">
        <v>-16.002400000000002</v>
      </c>
      <c r="L136" s="394">
        <v>997.44100000000003</v>
      </c>
      <c r="M136" s="394">
        <v>202.4999</v>
      </c>
      <c r="N136" s="394">
        <v>17910.05</v>
      </c>
      <c r="O136" s="394">
        <v>17922.75</v>
      </c>
      <c r="P136" s="396">
        <v>2022.86</v>
      </c>
      <c r="Q136" s="396">
        <f t="shared" si="10"/>
        <v>2065.3534484836509</v>
      </c>
      <c r="R136" s="399">
        <f t="shared" ref="R136:R139" si="13">2067.13-Q136</f>
        <v>1.7765515163491727</v>
      </c>
      <c r="S136" s="396">
        <f t="shared" si="12"/>
        <v>2067.13</v>
      </c>
      <c r="T136" s="394" t="s">
        <v>532</v>
      </c>
      <c r="U136" s="394">
        <v>15</v>
      </c>
      <c r="V136" s="394">
        <v>5</v>
      </c>
      <c r="W136" s="394">
        <v>0.7</v>
      </c>
      <c r="X136" s="394">
        <v>0.7</v>
      </c>
      <c r="Y136" s="394">
        <v>0.7</v>
      </c>
      <c r="Z136" s="397">
        <v>1700</v>
      </c>
      <c r="AA136" s="397" t="s">
        <v>533</v>
      </c>
      <c r="AB136" s="397">
        <v>0.85</v>
      </c>
      <c r="AC136" s="397" t="s">
        <v>534</v>
      </c>
      <c r="AD136" s="397" t="s">
        <v>535</v>
      </c>
      <c r="AE136" s="397">
        <v>220</v>
      </c>
      <c r="AF136" s="398" t="s">
        <v>556</v>
      </c>
      <c r="AG136" s="400"/>
    </row>
    <row r="137" spans="1:33" ht="15.75">
      <c r="A137" s="393" t="s">
        <v>685</v>
      </c>
      <c r="B137" s="394">
        <v>29</v>
      </c>
      <c r="C137" s="394" t="s">
        <v>541</v>
      </c>
      <c r="D137" s="394" t="s">
        <v>531</v>
      </c>
      <c r="E137" s="394">
        <v>1.5</v>
      </c>
      <c r="F137" s="395">
        <v>45328.85</v>
      </c>
      <c r="G137" s="394">
        <v>1</v>
      </c>
      <c r="H137" s="394">
        <v>51.380699999999997</v>
      </c>
      <c r="I137" s="394">
        <v>7.6324899999999998</v>
      </c>
      <c r="J137" s="394">
        <v>-16.888000000000002</v>
      </c>
      <c r="K137" s="394">
        <v>-16.055800000000001</v>
      </c>
      <c r="L137" s="394">
        <v>977.24300000000005</v>
      </c>
      <c r="M137" s="394">
        <v>140.50020000000001</v>
      </c>
      <c r="N137" s="394">
        <v>17768.240000000002</v>
      </c>
      <c r="O137" s="394">
        <v>17922.75</v>
      </c>
      <c r="P137" s="396">
        <v>2022.86</v>
      </c>
      <c r="Q137" s="396">
        <f t="shared" si="10"/>
        <v>2065.3534484836509</v>
      </c>
      <c r="R137" s="399">
        <f t="shared" si="13"/>
        <v>1.7765515163491727</v>
      </c>
      <c r="S137" s="396">
        <f t="shared" si="12"/>
        <v>2067.13</v>
      </c>
      <c r="T137" s="394" t="s">
        <v>542</v>
      </c>
      <c r="U137" s="394">
        <v>15</v>
      </c>
      <c r="V137" s="394">
        <v>5</v>
      </c>
      <c r="W137" s="394">
        <v>0.7</v>
      </c>
      <c r="X137" s="394">
        <v>0.7</v>
      </c>
      <c r="Y137" s="394">
        <v>0.7</v>
      </c>
      <c r="Z137" s="397">
        <v>1700</v>
      </c>
      <c r="AA137" s="397" t="s">
        <v>533</v>
      </c>
      <c r="AB137" s="397">
        <v>0.85</v>
      </c>
      <c r="AC137" s="397" t="s">
        <v>534</v>
      </c>
      <c r="AD137" s="397" t="s">
        <v>535</v>
      </c>
      <c r="AE137" s="397">
        <v>220</v>
      </c>
      <c r="AF137" s="398" t="s">
        <v>556</v>
      </c>
      <c r="AG137" s="400"/>
    </row>
    <row r="138" spans="1:33" ht="15.75">
      <c r="A138" s="393" t="s">
        <v>686</v>
      </c>
      <c r="B138" s="394">
        <v>29</v>
      </c>
      <c r="C138" s="394" t="s">
        <v>541</v>
      </c>
      <c r="D138" s="394" t="s">
        <v>531</v>
      </c>
      <c r="E138" s="394">
        <v>1.5</v>
      </c>
      <c r="F138" s="395">
        <v>45328.854166666664</v>
      </c>
      <c r="G138" s="394">
        <v>1</v>
      </c>
      <c r="H138" s="394">
        <v>51.377400000000002</v>
      </c>
      <c r="I138" s="394">
        <v>7.7110000000000003</v>
      </c>
      <c r="J138" s="394">
        <v>-16.776399999999999</v>
      </c>
      <c r="K138" s="394">
        <v>-15.9291</v>
      </c>
      <c r="L138" s="394">
        <v>985.12699999999995</v>
      </c>
      <c r="M138" s="394">
        <v>114.50020000000001</v>
      </c>
      <c r="N138" s="394">
        <v>17865.060000000001</v>
      </c>
      <c r="O138" s="394">
        <v>17922.75</v>
      </c>
      <c r="P138" s="396">
        <v>2022.86</v>
      </c>
      <c r="Q138" s="396">
        <f t="shared" si="10"/>
        <v>2065.3534484836509</v>
      </c>
      <c r="R138" s="399">
        <f t="shared" si="13"/>
        <v>1.7765515163491727</v>
      </c>
      <c r="S138" s="396">
        <f t="shared" si="12"/>
        <v>2067.13</v>
      </c>
      <c r="T138" s="394" t="s">
        <v>542</v>
      </c>
      <c r="U138" s="394">
        <v>15</v>
      </c>
      <c r="V138" s="394">
        <v>5</v>
      </c>
      <c r="W138" s="394">
        <v>0.7</v>
      </c>
      <c r="X138" s="394">
        <v>0.7</v>
      </c>
      <c r="Y138" s="394">
        <v>0.7</v>
      </c>
      <c r="Z138" s="397">
        <v>1700</v>
      </c>
      <c r="AA138" s="397" t="s">
        <v>533</v>
      </c>
      <c r="AB138" s="397">
        <v>0.85</v>
      </c>
      <c r="AC138" s="397" t="s">
        <v>534</v>
      </c>
      <c r="AD138" s="397" t="s">
        <v>535</v>
      </c>
      <c r="AE138" s="397">
        <v>220</v>
      </c>
      <c r="AF138" s="398" t="s">
        <v>556</v>
      </c>
      <c r="AG138" s="400"/>
    </row>
    <row r="139" spans="1:33" ht="15.75">
      <c r="A139" s="393" t="s">
        <v>687</v>
      </c>
      <c r="B139" s="394">
        <v>29</v>
      </c>
      <c r="C139" s="394" t="s">
        <v>541</v>
      </c>
      <c r="D139" s="394" t="s">
        <v>531</v>
      </c>
      <c r="E139" s="394">
        <v>1.5</v>
      </c>
      <c r="F139" s="395">
        <v>45328.857638888891</v>
      </c>
      <c r="G139" s="394">
        <v>1</v>
      </c>
      <c r="H139" s="394">
        <v>51.377400000000002</v>
      </c>
      <c r="I139" s="394">
        <v>7.6726799999999997</v>
      </c>
      <c r="J139" s="394">
        <v>-16.904299999999999</v>
      </c>
      <c r="K139" s="394">
        <v>-16.061</v>
      </c>
      <c r="L139" s="394">
        <v>995.75</v>
      </c>
      <c r="M139" s="394">
        <v>132.99969999999999</v>
      </c>
      <c r="N139" s="394">
        <v>17925.740000000002</v>
      </c>
      <c r="O139" s="394">
        <v>17922.75</v>
      </c>
      <c r="P139" s="396">
        <v>2022.86</v>
      </c>
      <c r="Q139" s="396">
        <f t="shared" si="10"/>
        <v>2065.3534484836509</v>
      </c>
      <c r="R139" s="399">
        <f t="shared" si="13"/>
        <v>1.7765515163491727</v>
      </c>
      <c r="S139" s="396">
        <f t="shared" si="12"/>
        <v>2067.13</v>
      </c>
      <c r="T139" s="394" t="s">
        <v>532</v>
      </c>
      <c r="U139" s="394">
        <v>15</v>
      </c>
      <c r="V139" s="394">
        <v>5</v>
      </c>
      <c r="W139" s="394">
        <v>0.7</v>
      </c>
      <c r="X139" s="394">
        <v>0.7</v>
      </c>
      <c r="Y139" s="394">
        <v>0.7</v>
      </c>
      <c r="Z139" s="397">
        <v>1700</v>
      </c>
      <c r="AA139" s="397" t="s">
        <v>533</v>
      </c>
      <c r="AB139" s="397">
        <v>0.85</v>
      </c>
      <c r="AC139" s="397" t="s">
        <v>534</v>
      </c>
      <c r="AD139" s="397" t="s">
        <v>535</v>
      </c>
      <c r="AE139" s="397">
        <v>220</v>
      </c>
      <c r="AF139" s="398" t="s">
        <v>556</v>
      </c>
      <c r="AG139" s="400"/>
    </row>
    <row r="140" spans="1:33" ht="15.75">
      <c r="A140" s="408" t="s">
        <v>528</v>
      </c>
      <c r="B140" s="408" t="s">
        <v>529</v>
      </c>
      <c r="C140" s="408" t="s">
        <v>530</v>
      </c>
      <c r="D140" s="408" t="s">
        <v>531</v>
      </c>
      <c r="E140" s="408">
        <v>1</v>
      </c>
      <c r="F140" s="409">
        <v>45330.369444444441</v>
      </c>
      <c r="G140" s="408">
        <v>1</v>
      </c>
      <c r="H140" s="408">
        <v>51.377400000000002</v>
      </c>
      <c r="I140" s="408">
        <v>11.329000000000001</v>
      </c>
      <c r="J140" s="408">
        <v>-15.9331</v>
      </c>
      <c r="K140" s="408">
        <v>-15.0983</v>
      </c>
      <c r="L140" s="408">
        <v>892.60900000000004</v>
      </c>
      <c r="M140" s="408">
        <v>98.498660000000001</v>
      </c>
      <c r="N140" s="408">
        <v>11565.45</v>
      </c>
      <c r="O140" s="408">
        <v>11565.45</v>
      </c>
      <c r="P140" s="410">
        <v>1966.6790000000001</v>
      </c>
      <c r="Q140" s="396" t="s">
        <v>18</v>
      </c>
      <c r="R140" s="396" t="s">
        <v>18</v>
      </c>
      <c r="S140" s="396" t="s">
        <v>18</v>
      </c>
      <c r="T140" s="408" t="s">
        <v>532</v>
      </c>
      <c r="U140" s="408">
        <v>15</v>
      </c>
      <c r="V140" s="408">
        <v>5</v>
      </c>
      <c r="W140" s="408">
        <v>0.7</v>
      </c>
      <c r="X140" s="408">
        <v>0.7</v>
      </c>
      <c r="Y140" s="408">
        <v>0.7</v>
      </c>
      <c r="Z140" s="411">
        <v>1700</v>
      </c>
      <c r="AA140" s="411" t="s">
        <v>533</v>
      </c>
      <c r="AB140" s="411">
        <v>0.85</v>
      </c>
      <c r="AC140" s="411" t="s">
        <v>534</v>
      </c>
      <c r="AD140" s="411" t="s">
        <v>535</v>
      </c>
      <c r="AE140" s="411">
        <v>220</v>
      </c>
      <c r="AF140" s="398"/>
      <c r="AG140" s="398"/>
    </row>
    <row r="141" spans="1:33" ht="15.75">
      <c r="A141" s="408" t="s">
        <v>536</v>
      </c>
      <c r="B141" s="408" t="s">
        <v>529</v>
      </c>
      <c r="C141" s="408" t="s">
        <v>530</v>
      </c>
      <c r="D141" s="408" t="s">
        <v>531</v>
      </c>
      <c r="E141" s="408">
        <v>1</v>
      </c>
      <c r="F141" s="409">
        <v>45330.37222222222</v>
      </c>
      <c r="G141" s="408">
        <v>1</v>
      </c>
      <c r="H141" s="408">
        <v>51.370800000000003</v>
      </c>
      <c r="I141" s="408">
        <v>9.7304700000000004</v>
      </c>
      <c r="J141" s="408">
        <v>-16.318300000000001</v>
      </c>
      <c r="K141" s="408">
        <v>-15.478899999999999</v>
      </c>
      <c r="L141" s="408">
        <v>888.2</v>
      </c>
      <c r="M141" s="408">
        <v>103.501</v>
      </c>
      <c r="N141" s="408">
        <v>11524.89</v>
      </c>
      <c r="O141" s="408">
        <v>11524.89</v>
      </c>
      <c r="P141" s="410">
        <v>1959.866</v>
      </c>
      <c r="Q141" s="396" t="s">
        <v>18</v>
      </c>
      <c r="R141" s="396" t="s">
        <v>18</v>
      </c>
      <c r="S141" s="396" t="s">
        <v>18</v>
      </c>
      <c r="T141" s="408" t="s">
        <v>532</v>
      </c>
      <c r="U141" s="408">
        <v>15</v>
      </c>
      <c r="V141" s="408">
        <v>5</v>
      </c>
      <c r="W141" s="408">
        <v>0.7</v>
      </c>
      <c r="X141" s="408">
        <v>0.7</v>
      </c>
      <c r="Y141" s="408">
        <v>0.7</v>
      </c>
      <c r="Z141" s="411">
        <v>1700</v>
      </c>
      <c r="AA141" s="411" t="s">
        <v>533</v>
      </c>
      <c r="AB141" s="411">
        <v>0.85</v>
      </c>
      <c r="AC141" s="411" t="s">
        <v>534</v>
      </c>
      <c r="AD141" s="411" t="s">
        <v>535</v>
      </c>
      <c r="AE141" s="411">
        <v>220</v>
      </c>
      <c r="AF141" s="398"/>
      <c r="AG141" s="398"/>
    </row>
    <row r="142" spans="1:33" ht="15.75">
      <c r="A142" s="408" t="s">
        <v>537</v>
      </c>
      <c r="B142" s="408" t="s">
        <v>529</v>
      </c>
      <c r="C142" s="408" t="s">
        <v>530</v>
      </c>
      <c r="D142" s="408" t="s">
        <v>531</v>
      </c>
      <c r="E142" s="408">
        <v>1</v>
      </c>
      <c r="F142" s="409">
        <v>45330.375</v>
      </c>
      <c r="G142" s="408">
        <v>1</v>
      </c>
      <c r="H142" s="408">
        <v>51.370800000000003</v>
      </c>
      <c r="I142" s="408">
        <v>8.9054900000000004</v>
      </c>
      <c r="J142" s="408">
        <v>-16.3447</v>
      </c>
      <c r="K142" s="408">
        <v>-15.5129</v>
      </c>
      <c r="L142" s="408">
        <v>897.07399999999996</v>
      </c>
      <c r="M142" s="408">
        <v>104.5008</v>
      </c>
      <c r="N142" s="408">
        <v>11553.36</v>
      </c>
      <c r="O142" s="408">
        <v>11553.36</v>
      </c>
      <c r="P142" s="410">
        <v>1964.6489999999999</v>
      </c>
      <c r="Q142" s="396" t="s">
        <v>18</v>
      </c>
      <c r="R142" s="396" t="s">
        <v>18</v>
      </c>
      <c r="S142" s="396" t="s">
        <v>18</v>
      </c>
      <c r="T142" s="408" t="s">
        <v>532</v>
      </c>
      <c r="U142" s="408">
        <v>15</v>
      </c>
      <c r="V142" s="408">
        <v>5</v>
      </c>
      <c r="W142" s="408">
        <v>0.7</v>
      </c>
      <c r="X142" s="408">
        <v>0.7</v>
      </c>
      <c r="Y142" s="408">
        <v>0.7</v>
      </c>
      <c r="Z142" s="411">
        <v>1700</v>
      </c>
      <c r="AA142" s="411" t="s">
        <v>533</v>
      </c>
      <c r="AB142" s="411">
        <v>0.85</v>
      </c>
      <c r="AC142" s="411" t="s">
        <v>534</v>
      </c>
      <c r="AD142" s="411" t="s">
        <v>535</v>
      </c>
      <c r="AE142" s="411">
        <v>220</v>
      </c>
      <c r="AF142" s="398"/>
      <c r="AG142" s="398"/>
    </row>
    <row r="143" spans="1:33" ht="15.75">
      <c r="A143" s="408" t="s">
        <v>538</v>
      </c>
      <c r="B143" s="408" t="s">
        <v>529</v>
      </c>
      <c r="C143" s="408" t="s">
        <v>530</v>
      </c>
      <c r="D143" s="408" t="s">
        <v>531</v>
      </c>
      <c r="E143" s="408">
        <v>1</v>
      </c>
      <c r="F143" s="409">
        <v>45330.378472222219</v>
      </c>
      <c r="G143" s="408">
        <v>1</v>
      </c>
      <c r="H143" s="408">
        <v>51.370800000000003</v>
      </c>
      <c r="I143" s="408">
        <v>8.4647400000000008</v>
      </c>
      <c r="J143" s="408">
        <v>-16.361999999999998</v>
      </c>
      <c r="K143" s="408">
        <v>-15.5158</v>
      </c>
      <c r="L143" s="408">
        <v>890.029</v>
      </c>
      <c r="M143" s="408">
        <v>88.998940000000005</v>
      </c>
      <c r="N143" s="408">
        <v>11526.84</v>
      </c>
      <c r="O143" s="408">
        <v>11526.84</v>
      </c>
      <c r="P143" s="410">
        <v>1960.194</v>
      </c>
      <c r="Q143" s="396" t="s">
        <v>18</v>
      </c>
      <c r="R143" s="396" t="s">
        <v>18</v>
      </c>
      <c r="S143" s="396" t="s">
        <v>18</v>
      </c>
      <c r="T143" s="408" t="s">
        <v>532</v>
      </c>
      <c r="U143" s="408">
        <v>15</v>
      </c>
      <c r="V143" s="408">
        <v>5</v>
      </c>
      <c r="W143" s="408">
        <v>0.7</v>
      </c>
      <c r="X143" s="408">
        <v>0.7</v>
      </c>
      <c r="Y143" s="408">
        <v>0.7</v>
      </c>
      <c r="Z143" s="411">
        <v>1700</v>
      </c>
      <c r="AA143" s="411" t="s">
        <v>533</v>
      </c>
      <c r="AB143" s="411">
        <v>0.85</v>
      </c>
      <c r="AC143" s="411" t="s">
        <v>534</v>
      </c>
      <c r="AD143" s="411" t="s">
        <v>535</v>
      </c>
      <c r="AE143" s="411">
        <v>220</v>
      </c>
      <c r="AF143" s="398"/>
      <c r="AG143" s="398"/>
    </row>
    <row r="144" spans="1:33" ht="15.75">
      <c r="A144" s="408" t="s">
        <v>688</v>
      </c>
      <c r="B144" s="408" t="s">
        <v>529</v>
      </c>
      <c r="C144" s="408" t="s">
        <v>530</v>
      </c>
      <c r="D144" s="408" t="s">
        <v>531</v>
      </c>
      <c r="E144" s="408">
        <v>1</v>
      </c>
      <c r="F144" s="409">
        <v>45330.381249999999</v>
      </c>
      <c r="G144" s="408">
        <v>1</v>
      </c>
      <c r="H144" s="408">
        <v>51.370800000000003</v>
      </c>
      <c r="I144" s="408">
        <v>8.2553999999999998</v>
      </c>
      <c r="J144" s="408">
        <v>-16.493500000000001</v>
      </c>
      <c r="K144" s="408">
        <v>-15.651400000000001</v>
      </c>
      <c r="L144" s="408">
        <v>906.46299999999997</v>
      </c>
      <c r="M144" s="408">
        <v>113.0008</v>
      </c>
      <c r="N144" s="408">
        <v>11546.64</v>
      </c>
      <c r="O144" s="408">
        <v>11546.64</v>
      </c>
      <c r="P144" s="410">
        <v>1963.52</v>
      </c>
      <c r="Q144" s="396" t="s">
        <v>18</v>
      </c>
      <c r="R144" s="396" t="s">
        <v>18</v>
      </c>
      <c r="S144" s="396" t="s">
        <v>18</v>
      </c>
      <c r="T144" s="408" t="s">
        <v>532</v>
      </c>
      <c r="U144" s="408">
        <v>15</v>
      </c>
      <c r="V144" s="408">
        <v>5</v>
      </c>
      <c r="W144" s="408">
        <v>0.7</v>
      </c>
      <c r="X144" s="408">
        <v>0.7</v>
      </c>
      <c r="Y144" s="408">
        <v>0.7</v>
      </c>
      <c r="Z144" s="411">
        <v>1700</v>
      </c>
      <c r="AA144" s="411" t="s">
        <v>533</v>
      </c>
      <c r="AB144" s="411">
        <v>0.85</v>
      </c>
      <c r="AC144" s="411" t="s">
        <v>534</v>
      </c>
      <c r="AD144" s="411" t="s">
        <v>535</v>
      </c>
      <c r="AE144" s="411">
        <v>220</v>
      </c>
      <c r="AF144" s="398"/>
      <c r="AG144" s="398"/>
    </row>
    <row r="145" spans="1:33" ht="15.75">
      <c r="A145" s="408" t="s">
        <v>555</v>
      </c>
      <c r="B145" s="408" t="s">
        <v>529</v>
      </c>
      <c r="C145" s="408" t="s">
        <v>689</v>
      </c>
      <c r="D145" s="408" t="s">
        <v>531</v>
      </c>
      <c r="E145" s="408">
        <v>1</v>
      </c>
      <c r="F145" s="409">
        <v>45330.384722222225</v>
      </c>
      <c r="G145" s="408">
        <v>1</v>
      </c>
      <c r="H145" s="408">
        <v>51.374099999999999</v>
      </c>
      <c r="I145" s="408">
        <v>8.1504600000000007</v>
      </c>
      <c r="J145" s="408">
        <v>-16.563700000000001</v>
      </c>
      <c r="K145" s="408">
        <v>-15.7157</v>
      </c>
      <c r="L145" s="408">
        <v>898.505</v>
      </c>
      <c r="M145" s="408">
        <v>109.99979999999999</v>
      </c>
      <c r="N145" s="408">
        <v>11562.32</v>
      </c>
      <c r="O145" s="408">
        <v>11562.32</v>
      </c>
      <c r="P145" s="410">
        <v>1966.153</v>
      </c>
      <c r="Q145" s="396" t="s">
        <v>18</v>
      </c>
      <c r="R145" s="396" t="s">
        <v>18</v>
      </c>
      <c r="S145" s="396" t="s">
        <v>18</v>
      </c>
      <c r="T145" s="408" t="s">
        <v>532</v>
      </c>
      <c r="U145" s="408">
        <v>15</v>
      </c>
      <c r="V145" s="408">
        <v>5</v>
      </c>
      <c r="W145" s="408">
        <v>0.7</v>
      </c>
      <c r="X145" s="408">
        <v>0.7</v>
      </c>
      <c r="Y145" s="408">
        <v>0.7</v>
      </c>
      <c r="Z145" s="411">
        <v>1700</v>
      </c>
      <c r="AA145" s="411" t="s">
        <v>533</v>
      </c>
      <c r="AB145" s="411">
        <v>0.85</v>
      </c>
      <c r="AC145" s="411" t="s">
        <v>534</v>
      </c>
      <c r="AD145" s="411" t="s">
        <v>535</v>
      </c>
      <c r="AE145" s="411">
        <v>220</v>
      </c>
      <c r="AF145" s="398"/>
      <c r="AG145" s="398"/>
    </row>
    <row r="146" spans="1:33" ht="15.75">
      <c r="A146" s="408" t="s">
        <v>690</v>
      </c>
      <c r="B146" s="408" t="s">
        <v>540</v>
      </c>
      <c r="C146" s="408" t="s">
        <v>689</v>
      </c>
      <c r="D146" s="408" t="s">
        <v>531</v>
      </c>
      <c r="E146" s="408">
        <v>1.2</v>
      </c>
      <c r="F146" s="409">
        <v>45330.390277777777</v>
      </c>
      <c r="G146" s="408">
        <v>1</v>
      </c>
      <c r="H146" s="408">
        <v>51.370800000000003</v>
      </c>
      <c r="I146" s="408">
        <v>8.1317199999999996</v>
      </c>
      <c r="J146" s="408">
        <v>-16.5487</v>
      </c>
      <c r="K146" s="408">
        <v>-15.7098</v>
      </c>
      <c r="L146" s="408">
        <v>990.49800000000005</v>
      </c>
      <c r="M146" s="408">
        <v>111.9999</v>
      </c>
      <c r="N146" s="408">
        <v>14142.98</v>
      </c>
      <c r="O146" s="408">
        <v>14285.07</v>
      </c>
      <c r="P146" s="410">
        <v>2075.7950000000001</v>
      </c>
      <c r="Q146" s="410">
        <f t="shared" ref="Q146:Q251" si="14">P146*(2067.5/2076)</f>
        <v>2067.2958393545282</v>
      </c>
      <c r="R146" s="396" t="s">
        <v>18</v>
      </c>
      <c r="S146" s="396" t="s">
        <v>18</v>
      </c>
      <c r="T146" s="408" t="s">
        <v>542</v>
      </c>
      <c r="U146" s="408">
        <v>15</v>
      </c>
      <c r="V146" s="408">
        <v>5</v>
      </c>
      <c r="W146" s="408">
        <v>0.7</v>
      </c>
      <c r="X146" s="408">
        <v>0.7</v>
      </c>
      <c r="Y146" s="408">
        <v>0.7</v>
      </c>
      <c r="Z146" s="411">
        <v>1700</v>
      </c>
      <c r="AA146" s="411" t="s">
        <v>533</v>
      </c>
      <c r="AB146" s="411">
        <v>0.85</v>
      </c>
      <c r="AC146" s="411" t="s">
        <v>534</v>
      </c>
      <c r="AD146" s="411" t="s">
        <v>535</v>
      </c>
      <c r="AE146" s="411">
        <v>220</v>
      </c>
      <c r="AF146" s="398" t="s">
        <v>691</v>
      </c>
      <c r="AG146" s="398"/>
    </row>
    <row r="147" spans="1:33" ht="15.75">
      <c r="A147" s="408" t="s">
        <v>692</v>
      </c>
      <c r="B147" s="408" t="s">
        <v>540</v>
      </c>
      <c r="C147" s="408" t="s">
        <v>689</v>
      </c>
      <c r="D147" s="408" t="s">
        <v>531</v>
      </c>
      <c r="E147" s="408">
        <v>1.2</v>
      </c>
      <c r="F147" s="409">
        <v>45330.393750000003</v>
      </c>
      <c r="G147" s="408">
        <v>1</v>
      </c>
      <c r="H147" s="408">
        <v>51.374099999999999</v>
      </c>
      <c r="I147" s="408">
        <v>8.0492899999999992</v>
      </c>
      <c r="J147" s="408">
        <v>-16.601299999999998</v>
      </c>
      <c r="K147" s="408">
        <v>-15.790699999999999</v>
      </c>
      <c r="L147" s="408">
        <v>971.62400000000002</v>
      </c>
      <c r="M147" s="408">
        <v>101</v>
      </c>
      <c r="N147" s="408">
        <v>14281.87</v>
      </c>
      <c r="O147" s="408">
        <v>14285.07</v>
      </c>
      <c r="P147" s="410">
        <v>2075.7950000000001</v>
      </c>
      <c r="Q147" s="410">
        <f t="shared" si="14"/>
        <v>2067.2958393545282</v>
      </c>
      <c r="R147" s="396" t="s">
        <v>18</v>
      </c>
      <c r="S147" s="396" t="s">
        <v>18</v>
      </c>
      <c r="T147" s="408" t="s">
        <v>532</v>
      </c>
      <c r="U147" s="408">
        <v>15</v>
      </c>
      <c r="V147" s="408">
        <v>5</v>
      </c>
      <c r="W147" s="408">
        <v>0.7</v>
      </c>
      <c r="X147" s="408">
        <v>0.7</v>
      </c>
      <c r="Y147" s="408">
        <v>0.7</v>
      </c>
      <c r="Z147" s="411">
        <v>1700</v>
      </c>
      <c r="AA147" s="411" t="s">
        <v>533</v>
      </c>
      <c r="AB147" s="411">
        <v>0.85</v>
      </c>
      <c r="AC147" s="411" t="s">
        <v>534</v>
      </c>
      <c r="AD147" s="411" t="s">
        <v>535</v>
      </c>
      <c r="AE147" s="411">
        <v>220</v>
      </c>
      <c r="AF147" s="398" t="s">
        <v>691</v>
      </c>
      <c r="AG147" s="398"/>
    </row>
    <row r="148" spans="1:33" ht="15.75">
      <c r="A148" s="408" t="s">
        <v>693</v>
      </c>
      <c r="B148" s="408" t="s">
        <v>540</v>
      </c>
      <c r="C148" s="408" t="s">
        <v>689</v>
      </c>
      <c r="D148" s="408" t="s">
        <v>531</v>
      </c>
      <c r="E148" s="408">
        <v>1.2</v>
      </c>
      <c r="F148" s="409">
        <v>45330.397222222222</v>
      </c>
      <c r="G148" s="408">
        <v>1</v>
      </c>
      <c r="H148" s="408">
        <v>51.370800000000003</v>
      </c>
      <c r="I148" s="408">
        <v>8.0085499999999996</v>
      </c>
      <c r="J148" s="408">
        <v>-16.5822</v>
      </c>
      <c r="K148" s="408">
        <v>-15.7509</v>
      </c>
      <c r="L148" s="408">
        <v>974.46199999999999</v>
      </c>
      <c r="M148" s="408">
        <v>115.5001</v>
      </c>
      <c r="N148" s="408">
        <v>14296.3</v>
      </c>
      <c r="O148" s="408">
        <v>14285.07</v>
      </c>
      <c r="P148" s="410">
        <v>2075.7950000000001</v>
      </c>
      <c r="Q148" s="410">
        <f t="shared" si="14"/>
        <v>2067.2958393545282</v>
      </c>
      <c r="R148" s="396" t="s">
        <v>18</v>
      </c>
      <c r="S148" s="396" t="s">
        <v>18</v>
      </c>
      <c r="T148" s="408" t="s">
        <v>532</v>
      </c>
      <c r="U148" s="408">
        <v>15</v>
      </c>
      <c r="V148" s="408">
        <v>5</v>
      </c>
      <c r="W148" s="408">
        <v>0.7</v>
      </c>
      <c r="X148" s="408">
        <v>0.7</v>
      </c>
      <c r="Y148" s="408">
        <v>0.7</v>
      </c>
      <c r="Z148" s="411">
        <v>1700</v>
      </c>
      <c r="AA148" s="411" t="s">
        <v>533</v>
      </c>
      <c r="AB148" s="411">
        <v>0.85</v>
      </c>
      <c r="AC148" s="411" t="s">
        <v>534</v>
      </c>
      <c r="AD148" s="411" t="s">
        <v>535</v>
      </c>
      <c r="AE148" s="411">
        <v>220</v>
      </c>
      <c r="AF148" s="398" t="s">
        <v>691</v>
      </c>
      <c r="AG148" s="398"/>
    </row>
    <row r="149" spans="1:33" ht="15.75">
      <c r="A149" s="408" t="s">
        <v>694</v>
      </c>
      <c r="B149" s="408" t="s">
        <v>540</v>
      </c>
      <c r="C149" s="408" t="s">
        <v>689</v>
      </c>
      <c r="D149" s="408" t="s">
        <v>531</v>
      </c>
      <c r="E149" s="408">
        <v>1.2</v>
      </c>
      <c r="F149" s="409">
        <v>45330.400694444441</v>
      </c>
      <c r="G149" s="408">
        <v>1</v>
      </c>
      <c r="H149" s="408">
        <v>51.374099999999999</v>
      </c>
      <c r="I149" s="408">
        <v>7.9921300000000004</v>
      </c>
      <c r="J149" s="408">
        <v>-16.561699999999998</v>
      </c>
      <c r="K149" s="408">
        <v>-15.718400000000001</v>
      </c>
      <c r="L149" s="408">
        <v>970.01400000000001</v>
      </c>
      <c r="M149" s="408">
        <v>108.50020000000001</v>
      </c>
      <c r="N149" s="408">
        <v>14277.04</v>
      </c>
      <c r="O149" s="408">
        <v>14285.07</v>
      </c>
      <c r="P149" s="410">
        <v>2075.7950000000001</v>
      </c>
      <c r="Q149" s="410">
        <f t="shared" si="14"/>
        <v>2067.2958393545282</v>
      </c>
      <c r="R149" s="396" t="s">
        <v>18</v>
      </c>
      <c r="S149" s="396" t="s">
        <v>18</v>
      </c>
      <c r="T149" s="408" t="s">
        <v>532</v>
      </c>
      <c r="U149" s="408">
        <v>15</v>
      </c>
      <c r="V149" s="408">
        <v>5</v>
      </c>
      <c r="W149" s="408">
        <v>0.7</v>
      </c>
      <c r="X149" s="408">
        <v>0.7</v>
      </c>
      <c r="Y149" s="408">
        <v>0.7</v>
      </c>
      <c r="Z149" s="411">
        <v>1700</v>
      </c>
      <c r="AA149" s="411" t="s">
        <v>533</v>
      </c>
      <c r="AB149" s="411">
        <v>0.85</v>
      </c>
      <c r="AC149" s="411" t="s">
        <v>534</v>
      </c>
      <c r="AD149" s="411" t="s">
        <v>535</v>
      </c>
      <c r="AE149" s="411">
        <v>220</v>
      </c>
      <c r="AF149" s="398" t="s">
        <v>691</v>
      </c>
      <c r="AG149" s="398"/>
    </row>
    <row r="150" spans="1:33" ht="15.75">
      <c r="A150" s="408" t="s">
        <v>695</v>
      </c>
      <c r="B150" s="408" t="s">
        <v>547</v>
      </c>
      <c r="C150" s="408" t="s">
        <v>689</v>
      </c>
      <c r="D150" s="408" t="s">
        <v>531</v>
      </c>
      <c r="E150" s="408">
        <v>1.5</v>
      </c>
      <c r="F150" s="409">
        <v>45330.404166666667</v>
      </c>
      <c r="G150" s="408">
        <v>1</v>
      </c>
      <c r="H150" s="408">
        <v>51.374099999999999</v>
      </c>
      <c r="I150" s="408">
        <v>8.0674200000000003</v>
      </c>
      <c r="J150" s="408">
        <v>-16.4831</v>
      </c>
      <c r="K150" s="408">
        <v>-15.643800000000001</v>
      </c>
      <c r="L150" s="408">
        <v>990.92700000000002</v>
      </c>
      <c r="M150" s="408">
        <v>110.502</v>
      </c>
      <c r="N150" s="408">
        <v>17898.46</v>
      </c>
      <c r="O150" s="408">
        <v>17859.7</v>
      </c>
      <c r="P150" s="410">
        <v>2075.7950000000001</v>
      </c>
      <c r="Q150" s="410">
        <f t="shared" si="14"/>
        <v>2067.2958393545282</v>
      </c>
      <c r="R150" s="396" t="s">
        <v>18</v>
      </c>
      <c r="S150" s="396" t="s">
        <v>18</v>
      </c>
      <c r="T150" s="408" t="s">
        <v>542</v>
      </c>
      <c r="U150" s="408">
        <v>15</v>
      </c>
      <c r="V150" s="408">
        <v>5</v>
      </c>
      <c r="W150" s="408">
        <v>0.7</v>
      </c>
      <c r="X150" s="408">
        <v>0.7</v>
      </c>
      <c r="Y150" s="408">
        <v>0.7</v>
      </c>
      <c r="Z150" s="411">
        <v>1700</v>
      </c>
      <c r="AA150" s="411" t="s">
        <v>533</v>
      </c>
      <c r="AB150" s="411">
        <v>0.85</v>
      </c>
      <c r="AC150" s="411" t="s">
        <v>534</v>
      </c>
      <c r="AD150" s="411" t="s">
        <v>535</v>
      </c>
      <c r="AE150" s="411">
        <v>220</v>
      </c>
      <c r="AF150" s="398" t="s">
        <v>691</v>
      </c>
      <c r="AG150" s="398"/>
    </row>
    <row r="151" spans="1:33" ht="15.75">
      <c r="A151" s="408" t="s">
        <v>696</v>
      </c>
      <c r="B151" s="408" t="s">
        <v>547</v>
      </c>
      <c r="C151" s="408" t="s">
        <v>689</v>
      </c>
      <c r="D151" s="408" t="s">
        <v>531</v>
      </c>
      <c r="E151" s="408">
        <v>1.5</v>
      </c>
      <c r="F151" s="409">
        <v>45330.407638888886</v>
      </c>
      <c r="G151" s="408">
        <v>1</v>
      </c>
      <c r="H151" s="408">
        <v>51.374099999999999</v>
      </c>
      <c r="I151" s="408">
        <v>8.0131499999999996</v>
      </c>
      <c r="J151" s="408">
        <v>-16.599900000000002</v>
      </c>
      <c r="K151" s="408">
        <v>-15.7521</v>
      </c>
      <c r="L151" s="408">
        <v>991.00900000000001</v>
      </c>
      <c r="M151" s="408">
        <v>154</v>
      </c>
      <c r="N151" s="408">
        <v>17861.560000000001</v>
      </c>
      <c r="O151" s="408">
        <v>17859.7</v>
      </c>
      <c r="P151" s="410">
        <v>2075.7950000000001</v>
      </c>
      <c r="Q151" s="410">
        <f t="shared" si="14"/>
        <v>2067.2958393545282</v>
      </c>
      <c r="R151" s="396" t="s">
        <v>18</v>
      </c>
      <c r="S151" s="396" t="s">
        <v>18</v>
      </c>
      <c r="T151" s="408" t="s">
        <v>532</v>
      </c>
      <c r="U151" s="408">
        <v>15</v>
      </c>
      <c r="V151" s="408">
        <v>5</v>
      </c>
      <c r="W151" s="408">
        <v>0.7</v>
      </c>
      <c r="X151" s="408">
        <v>0.7</v>
      </c>
      <c r="Y151" s="408">
        <v>0.7</v>
      </c>
      <c r="Z151" s="411">
        <v>1700</v>
      </c>
      <c r="AA151" s="411" t="s">
        <v>533</v>
      </c>
      <c r="AB151" s="411">
        <v>0.85</v>
      </c>
      <c r="AC151" s="411" t="s">
        <v>534</v>
      </c>
      <c r="AD151" s="411" t="s">
        <v>535</v>
      </c>
      <c r="AE151" s="411">
        <v>220</v>
      </c>
      <c r="AF151" s="398" t="s">
        <v>691</v>
      </c>
      <c r="AG151" s="398"/>
    </row>
    <row r="152" spans="1:33" ht="15.75">
      <c r="A152" s="408" t="s">
        <v>697</v>
      </c>
      <c r="B152" s="408" t="s">
        <v>547</v>
      </c>
      <c r="C152" s="408" t="s">
        <v>689</v>
      </c>
      <c r="D152" s="408" t="s">
        <v>531</v>
      </c>
      <c r="E152" s="408">
        <v>1.5</v>
      </c>
      <c r="F152" s="409">
        <v>45330.411805555559</v>
      </c>
      <c r="G152" s="408">
        <v>1</v>
      </c>
      <c r="H152" s="408">
        <v>51.370800000000003</v>
      </c>
      <c r="I152" s="408">
        <v>8.0308899999999994</v>
      </c>
      <c r="J152" s="408">
        <v>-16.661100000000001</v>
      </c>
      <c r="K152" s="408">
        <v>-15.814399999999999</v>
      </c>
      <c r="L152" s="408">
        <v>981.3</v>
      </c>
      <c r="M152" s="408">
        <v>192.9999</v>
      </c>
      <c r="N152" s="408">
        <v>17872.5</v>
      </c>
      <c r="O152" s="408">
        <v>17859.7</v>
      </c>
      <c r="P152" s="410">
        <v>2075.7950000000001</v>
      </c>
      <c r="Q152" s="410">
        <f t="shared" si="14"/>
        <v>2067.2958393545282</v>
      </c>
      <c r="R152" s="396" t="s">
        <v>18</v>
      </c>
      <c r="S152" s="396" t="s">
        <v>18</v>
      </c>
      <c r="T152" s="408" t="s">
        <v>532</v>
      </c>
      <c r="U152" s="408">
        <v>15</v>
      </c>
      <c r="V152" s="408">
        <v>5</v>
      </c>
      <c r="W152" s="408">
        <v>0.7</v>
      </c>
      <c r="X152" s="408">
        <v>0.7</v>
      </c>
      <c r="Y152" s="408">
        <v>0.7</v>
      </c>
      <c r="Z152" s="411">
        <v>1700</v>
      </c>
      <c r="AA152" s="411" t="s">
        <v>533</v>
      </c>
      <c r="AB152" s="411">
        <v>0.85</v>
      </c>
      <c r="AC152" s="411" t="s">
        <v>534</v>
      </c>
      <c r="AD152" s="411" t="s">
        <v>535</v>
      </c>
      <c r="AE152" s="411">
        <v>220</v>
      </c>
      <c r="AF152" s="398" t="s">
        <v>691</v>
      </c>
      <c r="AG152" s="398"/>
    </row>
    <row r="153" spans="1:33" ht="15.75">
      <c r="A153" s="408" t="s">
        <v>698</v>
      </c>
      <c r="B153" s="408" t="s">
        <v>547</v>
      </c>
      <c r="C153" s="408" t="s">
        <v>689</v>
      </c>
      <c r="D153" s="408" t="s">
        <v>531</v>
      </c>
      <c r="E153" s="408">
        <v>1.5</v>
      </c>
      <c r="F153" s="409">
        <v>45330.415972222225</v>
      </c>
      <c r="G153" s="408">
        <v>1</v>
      </c>
      <c r="H153" s="408">
        <v>51.374099999999999</v>
      </c>
      <c r="I153" s="408">
        <v>8.0782600000000002</v>
      </c>
      <c r="J153" s="408">
        <v>-16.445799999999998</v>
      </c>
      <c r="K153" s="408">
        <v>-15.6876</v>
      </c>
      <c r="L153" s="408">
        <v>993.23299999999995</v>
      </c>
      <c r="M153" s="408">
        <v>166.499</v>
      </c>
      <c r="N153" s="408">
        <v>17798.98</v>
      </c>
      <c r="O153" s="408">
        <v>17859.7</v>
      </c>
      <c r="P153" s="410">
        <v>2075.7950000000001</v>
      </c>
      <c r="Q153" s="410">
        <f t="shared" si="14"/>
        <v>2067.2958393545282</v>
      </c>
      <c r="R153" s="396" t="s">
        <v>18</v>
      </c>
      <c r="S153" s="396" t="s">
        <v>18</v>
      </c>
      <c r="T153" s="408" t="s">
        <v>542</v>
      </c>
      <c r="U153" s="408">
        <v>15</v>
      </c>
      <c r="V153" s="408">
        <v>5</v>
      </c>
      <c r="W153" s="408">
        <v>0.7</v>
      </c>
      <c r="X153" s="408">
        <v>0.7</v>
      </c>
      <c r="Y153" s="408">
        <v>0.7</v>
      </c>
      <c r="Z153" s="411">
        <v>1700</v>
      </c>
      <c r="AA153" s="411" t="s">
        <v>533</v>
      </c>
      <c r="AB153" s="411">
        <v>0.85</v>
      </c>
      <c r="AC153" s="411" t="s">
        <v>534</v>
      </c>
      <c r="AD153" s="411" t="s">
        <v>535</v>
      </c>
      <c r="AE153" s="411">
        <v>220</v>
      </c>
      <c r="AF153" s="398" t="s">
        <v>691</v>
      </c>
      <c r="AG153" s="398"/>
    </row>
    <row r="154" spans="1:33" ht="15.75">
      <c r="A154" s="408" t="s">
        <v>699</v>
      </c>
      <c r="B154" s="408" t="s">
        <v>547</v>
      </c>
      <c r="C154" s="408" t="s">
        <v>689</v>
      </c>
      <c r="D154" s="408" t="s">
        <v>531</v>
      </c>
      <c r="E154" s="408">
        <v>1.5</v>
      </c>
      <c r="F154" s="409">
        <v>45330.420138888891</v>
      </c>
      <c r="G154" s="408">
        <v>1</v>
      </c>
      <c r="H154" s="408">
        <v>51.374099999999999</v>
      </c>
      <c r="I154" s="408">
        <v>8.1245200000000004</v>
      </c>
      <c r="J154" s="408">
        <v>-16.6846</v>
      </c>
      <c r="K154" s="408">
        <v>-15.841799999999999</v>
      </c>
      <c r="L154" s="408">
        <v>990.46400000000006</v>
      </c>
      <c r="M154" s="408">
        <v>126.0016</v>
      </c>
      <c r="N154" s="408">
        <v>17845.04</v>
      </c>
      <c r="O154" s="408">
        <v>17859.7</v>
      </c>
      <c r="P154" s="410">
        <v>2075.7950000000001</v>
      </c>
      <c r="Q154" s="410">
        <f t="shared" si="14"/>
        <v>2067.2958393545282</v>
      </c>
      <c r="R154" s="396" t="s">
        <v>18</v>
      </c>
      <c r="S154" s="396" t="s">
        <v>18</v>
      </c>
      <c r="T154" s="408" t="s">
        <v>532</v>
      </c>
      <c r="U154" s="408">
        <v>15</v>
      </c>
      <c r="V154" s="408">
        <v>5</v>
      </c>
      <c r="W154" s="408">
        <v>0.7</v>
      </c>
      <c r="X154" s="408">
        <v>0.7</v>
      </c>
      <c r="Y154" s="408">
        <v>0.7</v>
      </c>
      <c r="Z154" s="411">
        <v>1700</v>
      </c>
      <c r="AA154" s="411" t="s">
        <v>533</v>
      </c>
      <c r="AB154" s="411">
        <v>0.85</v>
      </c>
      <c r="AC154" s="411" t="s">
        <v>534</v>
      </c>
      <c r="AD154" s="411" t="s">
        <v>535</v>
      </c>
      <c r="AE154" s="411">
        <v>220</v>
      </c>
      <c r="AF154" s="398" t="s">
        <v>691</v>
      </c>
      <c r="AG154" s="398"/>
    </row>
    <row r="155" spans="1:33" ht="15.75">
      <c r="A155" s="408" t="s">
        <v>700</v>
      </c>
      <c r="B155" s="408" t="s">
        <v>552</v>
      </c>
      <c r="C155" s="408" t="s">
        <v>689</v>
      </c>
      <c r="D155" s="408" t="s">
        <v>531</v>
      </c>
      <c r="E155" s="408">
        <v>1.8</v>
      </c>
      <c r="F155" s="409">
        <v>45330.423611111109</v>
      </c>
      <c r="G155" s="408">
        <v>1</v>
      </c>
      <c r="H155" s="408">
        <v>51.380699999999997</v>
      </c>
      <c r="I155" s="408">
        <v>8.1990800000000004</v>
      </c>
      <c r="J155" s="408">
        <v>-16.492999999999999</v>
      </c>
      <c r="K155" s="408">
        <v>-15.6783</v>
      </c>
      <c r="L155" s="408">
        <v>1016.67</v>
      </c>
      <c r="M155" s="408">
        <v>147.4999</v>
      </c>
      <c r="N155" s="408">
        <v>21423.52</v>
      </c>
      <c r="O155" s="408">
        <v>21411.87</v>
      </c>
      <c r="P155" s="410">
        <v>2075.7950000000001</v>
      </c>
      <c r="Q155" s="410">
        <f t="shared" si="14"/>
        <v>2067.2958393545282</v>
      </c>
      <c r="R155" s="396" t="s">
        <v>18</v>
      </c>
      <c r="S155" s="396" t="s">
        <v>18</v>
      </c>
      <c r="T155" s="408" t="s">
        <v>532</v>
      </c>
      <c r="U155" s="408">
        <v>15</v>
      </c>
      <c r="V155" s="408">
        <v>5</v>
      </c>
      <c r="W155" s="408">
        <v>0.7</v>
      </c>
      <c r="X155" s="408">
        <v>0.7</v>
      </c>
      <c r="Y155" s="408">
        <v>0.7</v>
      </c>
      <c r="Z155" s="411">
        <v>1700</v>
      </c>
      <c r="AA155" s="411" t="s">
        <v>533</v>
      </c>
      <c r="AB155" s="411">
        <v>0.85</v>
      </c>
      <c r="AC155" s="411" t="s">
        <v>534</v>
      </c>
      <c r="AD155" s="411" t="s">
        <v>535</v>
      </c>
      <c r="AE155" s="411">
        <v>220</v>
      </c>
      <c r="AF155" s="398" t="s">
        <v>691</v>
      </c>
      <c r="AG155" s="398"/>
    </row>
    <row r="156" spans="1:33" ht="15.75">
      <c r="A156" s="408" t="s">
        <v>701</v>
      </c>
      <c r="B156" s="408" t="s">
        <v>552</v>
      </c>
      <c r="C156" s="408" t="s">
        <v>689</v>
      </c>
      <c r="D156" s="408" t="s">
        <v>531</v>
      </c>
      <c r="E156" s="408">
        <v>1.8</v>
      </c>
      <c r="F156" s="409">
        <v>45330.427777777775</v>
      </c>
      <c r="G156" s="408">
        <v>1</v>
      </c>
      <c r="H156" s="408">
        <v>51.374099999999999</v>
      </c>
      <c r="I156" s="408">
        <v>8.1603700000000003</v>
      </c>
      <c r="J156" s="408">
        <v>-16.397400000000001</v>
      </c>
      <c r="K156" s="408">
        <v>-15.5662</v>
      </c>
      <c r="L156" s="408">
        <v>1007.86</v>
      </c>
      <c r="M156" s="408">
        <v>124.4988</v>
      </c>
      <c r="N156" s="408">
        <v>21408.34</v>
      </c>
      <c r="O156" s="408">
        <v>21411.87</v>
      </c>
      <c r="P156" s="410">
        <v>2075.7950000000001</v>
      </c>
      <c r="Q156" s="410">
        <f t="shared" si="14"/>
        <v>2067.2958393545282</v>
      </c>
      <c r="R156" s="396" t="s">
        <v>18</v>
      </c>
      <c r="S156" s="396" t="s">
        <v>18</v>
      </c>
      <c r="T156" s="408" t="s">
        <v>532</v>
      </c>
      <c r="U156" s="408">
        <v>15</v>
      </c>
      <c r="V156" s="408">
        <v>5</v>
      </c>
      <c r="W156" s="408">
        <v>0.7</v>
      </c>
      <c r="X156" s="408">
        <v>0.7</v>
      </c>
      <c r="Y156" s="408">
        <v>0.7</v>
      </c>
      <c r="Z156" s="411">
        <v>1700</v>
      </c>
      <c r="AA156" s="411" t="s">
        <v>533</v>
      </c>
      <c r="AB156" s="411">
        <v>0.85</v>
      </c>
      <c r="AC156" s="411" t="s">
        <v>534</v>
      </c>
      <c r="AD156" s="411" t="s">
        <v>535</v>
      </c>
      <c r="AE156" s="411">
        <v>220</v>
      </c>
      <c r="AF156" s="398" t="s">
        <v>691</v>
      </c>
      <c r="AG156" s="398"/>
    </row>
    <row r="157" spans="1:33" ht="15.75">
      <c r="A157" s="408" t="s">
        <v>702</v>
      </c>
      <c r="B157" s="408" t="s">
        <v>552</v>
      </c>
      <c r="C157" s="408" t="s">
        <v>689</v>
      </c>
      <c r="D157" s="408" t="s">
        <v>531</v>
      </c>
      <c r="E157" s="408">
        <v>1.8</v>
      </c>
      <c r="F157" s="409">
        <v>45330.431250000001</v>
      </c>
      <c r="G157" s="408">
        <v>1</v>
      </c>
      <c r="H157" s="408">
        <v>51.377400000000002</v>
      </c>
      <c r="I157" s="408">
        <v>8.08047</v>
      </c>
      <c r="J157" s="408">
        <v>-16.6708</v>
      </c>
      <c r="K157" s="408">
        <v>-15.850099999999999</v>
      </c>
      <c r="L157" s="408">
        <v>1014.8</v>
      </c>
      <c r="M157" s="408">
        <v>203.49770000000001</v>
      </c>
      <c r="N157" s="408">
        <v>21403.75</v>
      </c>
      <c r="O157" s="408">
        <v>21411.87</v>
      </c>
      <c r="P157" s="410">
        <v>2075.7950000000001</v>
      </c>
      <c r="Q157" s="410">
        <f t="shared" si="14"/>
        <v>2067.2958393545282</v>
      </c>
      <c r="R157" s="396" t="s">
        <v>18</v>
      </c>
      <c r="S157" s="396" t="s">
        <v>18</v>
      </c>
      <c r="T157" s="408" t="s">
        <v>532</v>
      </c>
      <c r="U157" s="408">
        <v>15</v>
      </c>
      <c r="V157" s="408">
        <v>5</v>
      </c>
      <c r="W157" s="408">
        <v>0.7</v>
      </c>
      <c r="X157" s="408">
        <v>0.7</v>
      </c>
      <c r="Y157" s="408">
        <v>0.7</v>
      </c>
      <c r="Z157" s="411">
        <v>1700</v>
      </c>
      <c r="AA157" s="411" t="s">
        <v>533</v>
      </c>
      <c r="AB157" s="411">
        <v>0.85</v>
      </c>
      <c r="AC157" s="411" t="s">
        <v>534</v>
      </c>
      <c r="AD157" s="411" t="s">
        <v>535</v>
      </c>
      <c r="AE157" s="411">
        <v>220</v>
      </c>
      <c r="AF157" s="398" t="s">
        <v>691</v>
      </c>
      <c r="AG157" s="398"/>
    </row>
    <row r="158" spans="1:33" ht="15.75">
      <c r="A158" s="408" t="s">
        <v>564</v>
      </c>
      <c r="B158" s="408">
        <v>2</v>
      </c>
      <c r="C158" s="408" t="s">
        <v>689</v>
      </c>
      <c r="D158" s="408" t="s">
        <v>531</v>
      </c>
      <c r="E158" s="408">
        <v>1.5</v>
      </c>
      <c r="F158" s="409">
        <v>45330.436111111114</v>
      </c>
      <c r="G158" s="408">
        <v>1</v>
      </c>
      <c r="H158" s="408">
        <v>51.374099999999999</v>
      </c>
      <c r="I158" s="408">
        <v>8.1423699999999997</v>
      </c>
      <c r="J158" s="408">
        <v>-16.562999999999999</v>
      </c>
      <c r="K158" s="408">
        <v>-15.7286</v>
      </c>
      <c r="L158" s="408">
        <v>1002.59</v>
      </c>
      <c r="M158" s="408">
        <v>104.4997</v>
      </c>
      <c r="N158" s="408">
        <v>17809.72</v>
      </c>
      <c r="O158" s="408">
        <v>17824.11</v>
      </c>
      <c r="P158" s="410">
        <v>2071.6619999999998</v>
      </c>
      <c r="Q158" s="410">
        <f t="shared" si="14"/>
        <v>2063.1797615606934</v>
      </c>
      <c r="R158" s="410">
        <f t="shared" ref="R158:R159" si="15">2067.13-Q158</f>
        <v>3.9502384393067587</v>
      </c>
      <c r="S158" s="396">
        <f t="shared" ref="S158:S251" si="16">Q158+R158</f>
        <v>2067.13</v>
      </c>
      <c r="T158" s="408" t="s">
        <v>532</v>
      </c>
      <c r="U158" s="408">
        <v>15</v>
      </c>
      <c r="V158" s="408">
        <v>5</v>
      </c>
      <c r="W158" s="408">
        <v>0.7</v>
      </c>
      <c r="X158" s="408">
        <v>0.7</v>
      </c>
      <c r="Y158" s="408">
        <v>0.7</v>
      </c>
      <c r="Z158" s="411">
        <v>1700</v>
      </c>
      <c r="AA158" s="411" t="s">
        <v>533</v>
      </c>
      <c r="AB158" s="411">
        <v>0.85</v>
      </c>
      <c r="AC158" s="411" t="s">
        <v>534</v>
      </c>
      <c r="AD158" s="411" t="s">
        <v>535</v>
      </c>
      <c r="AE158" s="411">
        <v>220</v>
      </c>
      <c r="AF158" s="398" t="s">
        <v>691</v>
      </c>
      <c r="AG158" s="407"/>
    </row>
    <row r="159" spans="1:33" ht="15.75">
      <c r="A159" s="408" t="s">
        <v>566</v>
      </c>
      <c r="B159" s="408">
        <v>2</v>
      </c>
      <c r="C159" s="408" t="s">
        <v>689</v>
      </c>
      <c r="D159" s="408" t="s">
        <v>531</v>
      </c>
      <c r="E159" s="408">
        <v>1.5</v>
      </c>
      <c r="F159" s="409">
        <v>45330.439583333333</v>
      </c>
      <c r="G159" s="408">
        <v>1</v>
      </c>
      <c r="H159" s="408">
        <v>51.370800000000003</v>
      </c>
      <c r="I159" s="408">
        <v>8.1817499999999992</v>
      </c>
      <c r="J159" s="408">
        <v>-16.603100000000001</v>
      </c>
      <c r="K159" s="408">
        <v>-15.7645</v>
      </c>
      <c r="L159" s="408">
        <v>1008.92</v>
      </c>
      <c r="M159" s="408">
        <v>104.0008</v>
      </c>
      <c r="N159" s="408">
        <v>17828.28</v>
      </c>
      <c r="O159" s="408">
        <v>17824.11</v>
      </c>
      <c r="P159" s="410">
        <v>2071.6619999999998</v>
      </c>
      <c r="Q159" s="410">
        <f t="shared" si="14"/>
        <v>2063.1797615606934</v>
      </c>
      <c r="R159" s="410">
        <f t="shared" si="15"/>
        <v>3.9502384393067587</v>
      </c>
      <c r="S159" s="396">
        <f t="shared" si="16"/>
        <v>2067.13</v>
      </c>
      <c r="T159" s="408" t="s">
        <v>532</v>
      </c>
      <c r="U159" s="408">
        <v>15</v>
      </c>
      <c r="V159" s="408">
        <v>5</v>
      </c>
      <c r="W159" s="408">
        <v>0.7</v>
      </c>
      <c r="X159" s="408">
        <v>0.7</v>
      </c>
      <c r="Y159" s="408">
        <v>0.7</v>
      </c>
      <c r="Z159" s="411">
        <v>1700</v>
      </c>
      <c r="AA159" s="411" t="s">
        <v>533</v>
      </c>
      <c r="AB159" s="411">
        <v>0.85</v>
      </c>
      <c r="AC159" s="411" t="s">
        <v>534</v>
      </c>
      <c r="AD159" s="411" t="s">
        <v>535</v>
      </c>
      <c r="AE159" s="411">
        <v>220</v>
      </c>
      <c r="AF159" s="398" t="s">
        <v>691</v>
      </c>
      <c r="AG159" s="407"/>
    </row>
    <row r="160" spans="1:33" ht="15.75">
      <c r="A160" s="408" t="s">
        <v>567</v>
      </c>
      <c r="B160" s="408">
        <v>2</v>
      </c>
      <c r="C160" s="408" t="s">
        <v>689</v>
      </c>
      <c r="D160" s="408" t="s">
        <v>531</v>
      </c>
      <c r="E160" s="408">
        <v>1.5</v>
      </c>
      <c r="F160" s="409">
        <v>45330.442361111112</v>
      </c>
      <c r="G160" s="408">
        <v>1</v>
      </c>
      <c r="H160" s="408">
        <v>51.377400000000002</v>
      </c>
      <c r="I160" s="408">
        <v>8.2225099999999998</v>
      </c>
      <c r="J160" s="408">
        <v>-16.4482</v>
      </c>
      <c r="K160" s="408">
        <v>-15.612299999999999</v>
      </c>
      <c r="L160" s="408">
        <v>997.67399999999998</v>
      </c>
      <c r="M160" s="408">
        <v>147.99930000000001</v>
      </c>
      <c r="N160" s="408">
        <v>17834.34</v>
      </c>
      <c r="O160" s="408">
        <v>17824.11</v>
      </c>
      <c r="P160" s="410">
        <v>2071.6619999999998</v>
      </c>
      <c r="Q160" s="410">
        <f t="shared" si="14"/>
        <v>2063.1797615606934</v>
      </c>
      <c r="R160" s="410">
        <f t="shared" ref="R160:R190" si="17">((B160-B$160)/(B$190-B$160))*R$191+((1-((B160-B$160)/(B$190-B$160)))*R$159)</f>
        <v>3.9502384393067587</v>
      </c>
      <c r="S160" s="396">
        <f t="shared" si="16"/>
        <v>2067.13</v>
      </c>
      <c r="T160" s="408" t="s">
        <v>532</v>
      </c>
      <c r="U160" s="408">
        <v>15</v>
      </c>
      <c r="V160" s="408">
        <v>5</v>
      </c>
      <c r="W160" s="408">
        <v>0.7</v>
      </c>
      <c r="X160" s="408">
        <v>0.7</v>
      </c>
      <c r="Y160" s="408">
        <v>0.7</v>
      </c>
      <c r="Z160" s="411">
        <v>1700</v>
      </c>
      <c r="AA160" s="411" t="s">
        <v>533</v>
      </c>
      <c r="AB160" s="411">
        <v>0.85</v>
      </c>
      <c r="AC160" s="411" t="s">
        <v>534</v>
      </c>
      <c r="AD160" s="411" t="s">
        <v>535</v>
      </c>
      <c r="AE160" s="411">
        <v>220</v>
      </c>
      <c r="AF160" s="398" t="s">
        <v>691</v>
      </c>
      <c r="AG160" s="407"/>
    </row>
    <row r="161" spans="1:33" ht="15.75">
      <c r="A161" s="408" t="s">
        <v>568</v>
      </c>
      <c r="B161" s="408">
        <v>3</v>
      </c>
      <c r="C161" s="408">
        <v>235</v>
      </c>
      <c r="D161" s="408" t="s">
        <v>561</v>
      </c>
      <c r="E161" s="408">
        <v>1.5</v>
      </c>
      <c r="F161" s="409">
        <v>45330.447222222225</v>
      </c>
      <c r="G161" s="408">
        <v>1</v>
      </c>
      <c r="H161" s="408">
        <v>51.374099999999999</v>
      </c>
      <c r="I161" s="408">
        <v>8.0331200000000003</v>
      </c>
      <c r="J161" s="408">
        <v>-16.552900000000001</v>
      </c>
      <c r="K161" s="408">
        <v>-15.7065</v>
      </c>
      <c r="L161" s="408">
        <v>970.96799999999996</v>
      </c>
      <c r="M161" s="408">
        <v>109</v>
      </c>
      <c r="N161" s="408">
        <v>17581.18</v>
      </c>
      <c r="O161" s="408">
        <v>17587.21</v>
      </c>
      <c r="P161" s="410">
        <v>2044.1469999999999</v>
      </c>
      <c r="Q161" s="410">
        <f t="shared" si="14"/>
        <v>2035.7774193159923</v>
      </c>
      <c r="R161" s="410">
        <f t="shared" si="17"/>
        <v>4.0348904142585722</v>
      </c>
      <c r="S161" s="396">
        <f t="shared" si="16"/>
        <v>2039.8123097302509</v>
      </c>
      <c r="T161" s="408" t="s">
        <v>532</v>
      </c>
      <c r="U161" s="408">
        <v>15</v>
      </c>
      <c r="V161" s="408">
        <v>5</v>
      </c>
      <c r="W161" s="408">
        <v>0.7</v>
      </c>
      <c r="X161" s="408">
        <v>0.7</v>
      </c>
      <c r="Y161" s="408">
        <v>0.7</v>
      </c>
      <c r="Z161" s="411">
        <v>1700</v>
      </c>
      <c r="AA161" s="411" t="s">
        <v>533</v>
      </c>
      <c r="AB161" s="411">
        <v>0.85</v>
      </c>
      <c r="AC161" s="411" t="s">
        <v>534</v>
      </c>
      <c r="AD161" s="411" t="s">
        <v>535</v>
      </c>
      <c r="AE161" s="411">
        <v>220</v>
      </c>
      <c r="AF161" s="398" t="s">
        <v>691</v>
      </c>
      <c r="AG161" s="398"/>
    </row>
    <row r="162" spans="1:33" ht="15.75">
      <c r="A162" s="408" t="s">
        <v>570</v>
      </c>
      <c r="B162" s="408">
        <v>3</v>
      </c>
      <c r="C162" s="408">
        <v>235</v>
      </c>
      <c r="D162" s="408" t="s">
        <v>561</v>
      </c>
      <c r="E162" s="408">
        <v>1.5</v>
      </c>
      <c r="F162" s="409">
        <v>45330.450694444444</v>
      </c>
      <c r="G162" s="408">
        <v>1</v>
      </c>
      <c r="H162" s="408">
        <v>51.370800000000003</v>
      </c>
      <c r="I162" s="408">
        <v>7.99986</v>
      </c>
      <c r="J162" s="408">
        <v>-16.5075</v>
      </c>
      <c r="K162" s="408">
        <v>-15.674099999999999</v>
      </c>
      <c r="L162" s="408">
        <v>977.53300000000002</v>
      </c>
      <c r="M162" s="408">
        <v>120.50020000000001</v>
      </c>
      <c r="N162" s="408">
        <v>17603.400000000001</v>
      </c>
      <c r="O162" s="408">
        <v>17587.21</v>
      </c>
      <c r="P162" s="410">
        <v>2044.1469999999999</v>
      </c>
      <c r="Q162" s="410">
        <f t="shared" si="14"/>
        <v>2035.7774193159923</v>
      </c>
      <c r="R162" s="410">
        <f t="shared" si="17"/>
        <v>4.0348904142585722</v>
      </c>
      <c r="S162" s="396">
        <f t="shared" si="16"/>
        <v>2039.8123097302509</v>
      </c>
      <c r="T162" s="408" t="s">
        <v>532</v>
      </c>
      <c r="U162" s="408">
        <v>15</v>
      </c>
      <c r="V162" s="408">
        <v>5</v>
      </c>
      <c r="W162" s="408">
        <v>0.7</v>
      </c>
      <c r="X162" s="408">
        <v>0.7</v>
      </c>
      <c r="Y162" s="408">
        <v>0.7</v>
      </c>
      <c r="Z162" s="411">
        <v>1700</v>
      </c>
      <c r="AA162" s="411" t="s">
        <v>533</v>
      </c>
      <c r="AB162" s="411">
        <v>0.85</v>
      </c>
      <c r="AC162" s="411" t="s">
        <v>534</v>
      </c>
      <c r="AD162" s="411" t="s">
        <v>535</v>
      </c>
      <c r="AE162" s="411">
        <v>220</v>
      </c>
      <c r="AF162" s="398" t="s">
        <v>691</v>
      </c>
      <c r="AG162" s="398"/>
    </row>
    <row r="163" spans="1:33" ht="15.75">
      <c r="A163" s="408" t="s">
        <v>571</v>
      </c>
      <c r="B163" s="408">
        <v>3</v>
      </c>
      <c r="C163" s="408">
        <v>235</v>
      </c>
      <c r="D163" s="408" t="s">
        <v>561</v>
      </c>
      <c r="E163" s="408">
        <v>1.5</v>
      </c>
      <c r="F163" s="409">
        <v>45330.45416666667</v>
      </c>
      <c r="G163" s="408">
        <v>1</v>
      </c>
      <c r="H163" s="408">
        <v>51.377400000000002</v>
      </c>
      <c r="I163" s="408">
        <v>7.9778799999999999</v>
      </c>
      <c r="J163" s="408">
        <v>-16.4755</v>
      </c>
      <c r="K163" s="408">
        <v>-15.6404</v>
      </c>
      <c r="L163" s="408">
        <v>982.03499999999997</v>
      </c>
      <c r="M163" s="408">
        <v>118.5009</v>
      </c>
      <c r="N163" s="408">
        <v>17577.04</v>
      </c>
      <c r="O163" s="408">
        <v>17587.21</v>
      </c>
      <c r="P163" s="410">
        <v>2044.1469999999999</v>
      </c>
      <c r="Q163" s="410">
        <f t="shared" si="14"/>
        <v>2035.7774193159923</v>
      </c>
      <c r="R163" s="410">
        <f t="shared" si="17"/>
        <v>4.0348904142585722</v>
      </c>
      <c r="S163" s="396">
        <f t="shared" si="16"/>
        <v>2039.8123097302509</v>
      </c>
      <c r="T163" s="408" t="s">
        <v>532</v>
      </c>
      <c r="U163" s="408">
        <v>15</v>
      </c>
      <c r="V163" s="408">
        <v>5</v>
      </c>
      <c r="W163" s="408">
        <v>0.7</v>
      </c>
      <c r="X163" s="408">
        <v>0.7</v>
      </c>
      <c r="Y163" s="408">
        <v>0.7</v>
      </c>
      <c r="Z163" s="411">
        <v>1700</v>
      </c>
      <c r="AA163" s="411" t="s">
        <v>533</v>
      </c>
      <c r="AB163" s="411">
        <v>0.85</v>
      </c>
      <c r="AC163" s="411" t="s">
        <v>534</v>
      </c>
      <c r="AD163" s="411" t="s">
        <v>535</v>
      </c>
      <c r="AE163" s="411">
        <v>220</v>
      </c>
      <c r="AF163" s="398" t="s">
        <v>691</v>
      </c>
      <c r="AG163" s="398"/>
    </row>
    <row r="164" spans="1:33" ht="15.75">
      <c r="A164" s="408" t="s">
        <v>574</v>
      </c>
      <c r="B164" s="408">
        <v>4</v>
      </c>
      <c r="C164" s="408">
        <v>236</v>
      </c>
      <c r="D164" s="408" t="s">
        <v>565</v>
      </c>
      <c r="E164" s="408">
        <v>1.5</v>
      </c>
      <c r="F164" s="409">
        <v>45330.458333333336</v>
      </c>
      <c r="G164" s="408">
        <v>1</v>
      </c>
      <c r="H164" s="408">
        <v>51.370800000000003</v>
      </c>
      <c r="I164" s="408">
        <v>8.0251699999999992</v>
      </c>
      <c r="J164" s="408">
        <v>-16.518899999999999</v>
      </c>
      <c r="K164" s="408">
        <v>-15.6717</v>
      </c>
      <c r="L164" s="408">
        <v>980.24599999999998</v>
      </c>
      <c r="M164" s="408">
        <v>130.4991</v>
      </c>
      <c r="N164" s="408">
        <v>17652.34</v>
      </c>
      <c r="O164" s="408">
        <v>17659.490000000002</v>
      </c>
      <c r="P164" s="410">
        <v>2052.5419999999999</v>
      </c>
      <c r="Q164" s="410">
        <f t="shared" si="14"/>
        <v>2044.1380467244701</v>
      </c>
      <c r="R164" s="410">
        <f t="shared" si="17"/>
        <v>4.1195423892103866</v>
      </c>
      <c r="S164" s="396">
        <f t="shared" si="16"/>
        <v>2048.2575891136803</v>
      </c>
      <c r="T164" s="408" t="s">
        <v>532</v>
      </c>
      <c r="U164" s="408">
        <v>15</v>
      </c>
      <c r="V164" s="408">
        <v>5</v>
      </c>
      <c r="W164" s="408">
        <v>0.7</v>
      </c>
      <c r="X164" s="408">
        <v>0.7</v>
      </c>
      <c r="Y164" s="408">
        <v>0.7</v>
      </c>
      <c r="Z164" s="411">
        <v>1700</v>
      </c>
      <c r="AA164" s="411" t="s">
        <v>533</v>
      </c>
      <c r="AB164" s="411">
        <v>0.85</v>
      </c>
      <c r="AC164" s="411" t="s">
        <v>534</v>
      </c>
      <c r="AD164" s="411" t="s">
        <v>535</v>
      </c>
      <c r="AE164" s="411">
        <v>220</v>
      </c>
      <c r="AF164" s="398" t="s">
        <v>691</v>
      </c>
      <c r="AG164" s="398"/>
    </row>
    <row r="165" spans="1:33" ht="15.75">
      <c r="A165" s="408" t="s">
        <v>576</v>
      </c>
      <c r="B165" s="408">
        <v>4</v>
      </c>
      <c r="C165" s="408">
        <v>236</v>
      </c>
      <c r="D165" s="408" t="s">
        <v>565</v>
      </c>
      <c r="E165" s="408">
        <v>1.5</v>
      </c>
      <c r="F165" s="409">
        <v>45330.461805555555</v>
      </c>
      <c r="G165" s="408">
        <v>1</v>
      </c>
      <c r="H165" s="408">
        <v>51.374099999999999</v>
      </c>
      <c r="I165" s="408">
        <v>8.0977099999999993</v>
      </c>
      <c r="J165" s="408">
        <v>-16.423999999999999</v>
      </c>
      <c r="K165" s="408">
        <v>-15.5861</v>
      </c>
      <c r="L165" s="408">
        <v>973.17200000000003</v>
      </c>
      <c r="M165" s="408">
        <v>119.5001</v>
      </c>
      <c r="N165" s="408">
        <v>17601.34</v>
      </c>
      <c r="O165" s="408">
        <v>17659.490000000002</v>
      </c>
      <c r="P165" s="410">
        <v>2052.5419999999999</v>
      </c>
      <c r="Q165" s="410">
        <f t="shared" si="14"/>
        <v>2044.1380467244701</v>
      </c>
      <c r="R165" s="410">
        <f t="shared" si="17"/>
        <v>4.1195423892103866</v>
      </c>
      <c r="S165" s="396">
        <f t="shared" si="16"/>
        <v>2048.2575891136803</v>
      </c>
      <c r="T165" s="408" t="s">
        <v>542</v>
      </c>
      <c r="U165" s="408">
        <v>15</v>
      </c>
      <c r="V165" s="408">
        <v>5</v>
      </c>
      <c r="W165" s="408">
        <v>0.7</v>
      </c>
      <c r="X165" s="408">
        <v>0.7</v>
      </c>
      <c r="Y165" s="408">
        <v>0.7</v>
      </c>
      <c r="Z165" s="411">
        <v>1700</v>
      </c>
      <c r="AA165" s="411" t="s">
        <v>533</v>
      </c>
      <c r="AB165" s="411">
        <v>0.85</v>
      </c>
      <c r="AC165" s="411" t="s">
        <v>534</v>
      </c>
      <c r="AD165" s="411" t="s">
        <v>535</v>
      </c>
      <c r="AE165" s="411">
        <v>220</v>
      </c>
      <c r="AF165" s="398" t="s">
        <v>691</v>
      </c>
      <c r="AG165" s="398"/>
    </row>
    <row r="166" spans="1:33" ht="15.75">
      <c r="A166" s="408" t="s">
        <v>577</v>
      </c>
      <c r="B166" s="408">
        <v>4</v>
      </c>
      <c r="C166" s="408">
        <v>236</v>
      </c>
      <c r="D166" s="408" t="s">
        <v>565</v>
      </c>
      <c r="E166" s="408">
        <v>1.5</v>
      </c>
      <c r="F166" s="409">
        <v>45330.465277777781</v>
      </c>
      <c r="G166" s="408">
        <v>1</v>
      </c>
      <c r="H166" s="408">
        <v>51.377400000000002</v>
      </c>
      <c r="I166" s="408">
        <v>8.0059900000000006</v>
      </c>
      <c r="J166" s="408">
        <v>-16.627400000000002</v>
      </c>
      <c r="K166" s="408">
        <v>-15.787800000000001</v>
      </c>
      <c r="L166" s="408">
        <v>982.16099999999994</v>
      </c>
      <c r="M166" s="408">
        <v>123</v>
      </c>
      <c r="N166" s="408">
        <v>17662.490000000002</v>
      </c>
      <c r="O166" s="408">
        <v>17659.490000000002</v>
      </c>
      <c r="P166" s="410">
        <v>2052.5419999999999</v>
      </c>
      <c r="Q166" s="410">
        <f t="shared" si="14"/>
        <v>2044.1380467244701</v>
      </c>
      <c r="R166" s="410">
        <f t="shared" si="17"/>
        <v>4.1195423892103866</v>
      </c>
      <c r="S166" s="396">
        <f t="shared" si="16"/>
        <v>2048.2575891136803</v>
      </c>
      <c r="T166" s="408" t="s">
        <v>532</v>
      </c>
      <c r="U166" s="408">
        <v>15</v>
      </c>
      <c r="V166" s="408">
        <v>5</v>
      </c>
      <c r="W166" s="408">
        <v>0.7</v>
      </c>
      <c r="X166" s="408">
        <v>0.7</v>
      </c>
      <c r="Y166" s="408">
        <v>0.7</v>
      </c>
      <c r="Z166" s="411">
        <v>1700</v>
      </c>
      <c r="AA166" s="411" t="s">
        <v>533</v>
      </c>
      <c r="AB166" s="411">
        <v>0.85</v>
      </c>
      <c r="AC166" s="411" t="s">
        <v>534</v>
      </c>
      <c r="AD166" s="411" t="s">
        <v>535</v>
      </c>
      <c r="AE166" s="411">
        <v>220</v>
      </c>
      <c r="AF166" s="398" t="s">
        <v>691</v>
      </c>
      <c r="AG166" s="398"/>
    </row>
    <row r="167" spans="1:33" ht="15.75">
      <c r="A167" s="408" t="s">
        <v>703</v>
      </c>
      <c r="B167" s="408">
        <v>4</v>
      </c>
      <c r="C167" s="408">
        <v>236</v>
      </c>
      <c r="D167" s="408" t="s">
        <v>565</v>
      </c>
      <c r="E167" s="408">
        <v>1.5</v>
      </c>
      <c r="F167" s="409">
        <v>45330.46875</v>
      </c>
      <c r="G167" s="408">
        <v>1</v>
      </c>
      <c r="H167" s="408">
        <v>51.370800000000003</v>
      </c>
      <c r="I167" s="408">
        <v>7.9697899999999997</v>
      </c>
      <c r="J167" s="408">
        <v>-16.6098</v>
      </c>
      <c r="K167" s="408">
        <v>-15.764200000000001</v>
      </c>
      <c r="L167" s="408">
        <v>997.101</v>
      </c>
      <c r="M167" s="408">
        <v>119.9988</v>
      </c>
      <c r="N167" s="408">
        <v>17663.64</v>
      </c>
      <c r="O167" s="408">
        <v>17659.490000000002</v>
      </c>
      <c r="P167" s="410">
        <v>2052.5419999999999</v>
      </c>
      <c r="Q167" s="410">
        <f t="shared" si="14"/>
        <v>2044.1380467244701</v>
      </c>
      <c r="R167" s="410">
        <f t="shared" si="17"/>
        <v>4.1195423892103866</v>
      </c>
      <c r="S167" s="396">
        <f t="shared" si="16"/>
        <v>2048.2575891136803</v>
      </c>
      <c r="T167" s="408" t="s">
        <v>532</v>
      </c>
      <c r="U167" s="408">
        <v>15</v>
      </c>
      <c r="V167" s="408">
        <v>5</v>
      </c>
      <c r="W167" s="408">
        <v>0.7</v>
      </c>
      <c r="X167" s="408">
        <v>0.7</v>
      </c>
      <c r="Y167" s="408">
        <v>0.7</v>
      </c>
      <c r="Z167" s="411">
        <v>1700</v>
      </c>
      <c r="AA167" s="411" t="s">
        <v>533</v>
      </c>
      <c r="AB167" s="411">
        <v>0.85</v>
      </c>
      <c r="AC167" s="411" t="s">
        <v>534</v>
      </c>
      <c r="AD167" s="411" t="s">
        <v>535</v>
      </c>
      <c r="AE167" s="411">
        <v>220</v>
      </c>
      <c r="AF167" s="398" t="s">
        <v>691</v>
      </c>
      <c r="AG167" s="398"/>
    </row>
    <row r="168" spans="1:33" ht="15.75">
      <c r="A168" s="408" t="s">
        <v>578</v>
      </c>
      <c r="B168" s="408">
        <v>5</v>
      </c>
      <c r="C168" s="408">
        <v>131</v>
      </c>
      <c r="D168" s="408" t="s">
        <v>569</v>
      </c>
      <c r="E168" s="408">
        <v>1.5</v>
      </c>
      <c r="F168" s="409">
        <v>45330.472916666666</v>
      </c>
      <c r="G168" s="408">
        <v>1</v>
      </c>
      <c r="H168" s="408">
        <v>51.370800000000003</v>
      </c>
      <c r="I168" s="408">
        <v>7.9046099999999999</v>
      </c>
      <c r="J168" s="408">
        <v>-16.533899999999999</v>
      </c>
      <c r="K168" s="408">
        <v>-15.687200000000001</v>
      </c>
      <c r="L168" s="408">
        <v>1001.97</v>
      </c>
      <c r="M168" s="408">
        <v>115.0004</v>
      </c>
      <c r="N168" s="408">
        <v>17771.91</v>
      </c>
      <c r="O168" s="408">
        <v>17776</v>
      </c>
      <c r="P168" s="410">
        <v>2066.0729999999999</v>
      </c>
      <c r="Q168" s="410">
        <f t="shared" si="14"/>
        <v>2057.6136452312139</v>
      </c>
      <c r="R168" s="410">
        <f t="shared" si="17"/>
        <v>4.204194364162201</v>
      </c>
      <c r="S168" s="396">
        <f t="shared" si="16"/>
        <v>2061.817839595376</v>
      </c>
      <c r="T168" s="408" t="s">
        <v>532</v>
      </c>
      <c r="U168" s="408">
        <v>15</v>
      </c>
      <c r="V168" s="408">
        <v>5</v>
      </c>
      <c r="W168" s="408">
        <v>0.7</v>
      </c>
      <c r="X168" s="408">
        <v>0.7</v>
      </c>
      <c r="Y168" s="408">
        <v>0.7</v>
      </c>
      <c r="Z168" s="411">
        <v>1700</v>
      </c>
      <c r="AA168" s="411" t="s">
        <v>533</v>
      </c>
      <c r="AB168" s="411">
        <v>0.85</v>
      </c>
      <c r="AC168" s="411" t="s">
        <v>534</v>
      </c>
      <c r="AD168" s="411" t="s">
        <v>535</v>
      </c>
      <c r="AE168" s="411">
        <v>220</v>
      </c>
      <c r="AF168" s="398" t="s">
        <v>691</v>
      </c>
      <c r="AG168" s="398"/>
    </row>
    <row r="169" spans="1:33" ht="15.75">
      <c r="A169" s="408" t="s">
        <v>580</v>
      </c>
      <c r="B169" s="408">
        <v>5</v>
      </c>
      <c r="C169" s="408">
        <v>131</v>
      </c>
      <c r="D169" s="408" t="s">
        <v>569</v>
      </c>
      <c r="E169" s="408">
        <v>1.5</v>
      </c>
      <c r="F169" s="409">
        <v>45330.476388888892</v>
      </c>
      <c r="G169" s="408">
        <v>1</v>
      </c>
      <c r="H169" s="408">
        <v>51.374099999999999</v>
      </c>
      <c r="I169" s="408">
        <v>7.9659000000000004</v>
      </c>
      <c r="J169" s="408">
        <v>-16.4328</v>
      </c>
      <c r="K169" s="408">
        <v>-15.5982</v>
      </c>
      <c r="L169" s="408">
        <v>996.82799999999997</v>
      </c>
      <c r="M169" s="408">
        <v>124.49979999999999</v>
      </c>
      <c r="N169" s="408">
        <v>17787.400000000001</v>
      </c>
      <c r="O169" s="408">
        <v>17776</v>
      </c>
      <c r="P169" s="410">
        <v>2066.0729999999999</v>
      </c>
      <c r="Q169" s="410">
        <f t="shared" si="14"/>
        <v>2057.6136452312139</v>
      </c>
      <c r="R169" s="410">
        <f t="shared" si="17"/>
        <v>4.204194364162201</v>
      </c>
      <c r="S169" s="396">
        <f t="shared" si="16"/>
        <v>2061.817839595376</v>
      </c>
      <c r="T169" s="408" t="s">
        <v>532</v>
      </c>
      <c r="U169" s="408">
        <v>15</v>
      </c>
      <c r="V169" s="408">
        <v>5</v>
      </c>
      <c r="W169" s="408">
        <v>0.7</v>
      </c>
      <c r="X169" s="408">
        <v>0.7</v>
      </c>
      <c r="Y169" s="408">
        <v>0.7</v>
      </c>
      <c r="Z169" s="411">
        <v>1700</v>
      </c>
      <c r="AA169" s="411" t="s">
        <v>533</v>
      </c>
      <c r="AB169" s="411">
        <v>0.85</v>
      </c>
      <c r="AC169" s="411" t="s">
        <v>534</v>
      </c>
      <c r="AD169" s="411" t="s">
        <v>535</v>
      </c>
      <c r="AE169" s="411">
        <v>220</v>
      </c>
      <c r="AF169" s="398" t="s">
        <v>691</v>
      </c>
      <c r="AG169" s="398"/>
    </row>
    <row r="170" spans="1:33" ht="15.75">
      <c r="A170" s="408" t="s">
        <v>581</v>
      </c>
      <c r="B170" s="408">
        <v>5</v>
      </c>
      <c r="C170" s="408">
        <v>131</v>
      </c>
      <c r="D170" s="408" t="s">
        <v>569</v>
      </c>
      <c r="E170" s="408">
        <v>1.5</v>
      </c>
      <c r="F170" s="409">
        <v>45330.479861111111</v>
      </c>
      <c r="G170" s="408">
        <v>1</v>
      </c>
      <c r="H170" s="408">
        <v>51.374099999999999</v>
      </c>
      <c r="I170" s="408">
        <v>7.9538099999999998</v>
      </c>
      <c r="J170" s="408">
        <v>-16.376899999999999</v>
      </c>
      <c r="K170" s="408">
        <v>-15.5421</v>
      </c>
      <c r="L170" s="408">
        <v>990.93100000000004</v>
      </c>
      <c r="M170" s="408">
        <v>145.99950000000001</v>
      </c>
      <c r="N170" s="408">
        <v>17768.669999999998</v>
      </c>
      <c r="O170" s="408">
        <v>17776</v>
      </c>
      <c r="P170" s="410">
        <v>2066.0729999999999</v>
      </c>
      <c r="Q170" s="410">
        <f t="shared" si="14"/>
        <v>2057.6136452312139</v>
      </c>
      <c r="R170" s="410">
        <f t="shared" si="17"/>
        <v>4.204194364162201</v>
      </c>
      <c r="S170" s="396">
        <f t="shared" si="16"/>
        <v>2061.817839595376</v>
      </c>
      <c r="T170" s="408" t="s">
        <v>532</v>
      </c>
      <c r="U170" s="408">
        <v>15</v>
      </c>
      <c r="V170" s="408">
        <v>5</v>
      </c>
      <c r="W170" s="408">
        <v>0.7</v>
      </c>
      <c r="X170" s="408">
        <v>0.7</v>
      </c>
      <c r="Y170" s="408">
        <v>0.7</v>
      </c>
      <c r="Z170" s="411">
        <v>1700</v>
      </c>
      <c r="AA170" s="411" t="s">
        <v>533</v>
      </c>
      <c r="AB170" s="411">
        <v>0.85</v>
      </c>
      <c r="AC170" s="411" t="s">
        <v>534</v>
      </c>
      <c r="AD170" s="411" t="s">
        <v>535</v>
      </c>
      <c r="AE170" s="411">
        <v>220</v>
      </c>
      <c r="AF170" s="398" t="s">
        <v>691</v>
      </c>
      <c r="AG170" s="398"/>
    </row>
    <row r="171" spans="1:33" ht="15.75">
      <c r="A171" s="408" t="s">
        <v>584</v>
      </c>
      <c r="B171" s="408">
        <v>6</v>
      </c>
      <c r="C171" s="408">
        <v>132</v>
      </c>
      <c r="D171" s="408" t="s">
        <v>575</v>
      </c>
      <c r="E171" s="408">
        <v>1.5</v>
      </c>
      <c r="F171" s="409">
        <v>45330.484722222223</v>
      </c>
      <c r="G171" s="408">
        <v>1</v>
      </c>
      <c r="H171" s="408">
        <v>51.370800000000003</v>
      </c>
      <c r="I171" s="408">
        <v>7.9494699999999998</v>
      </c>
      <c r="J171" s="408">
        <v>-16.552499999999998</v>
      </c>
      <c r="K171" s="408">
        <v>-15.711</v>
      </c>
      <c r="L171" s="408">
        <v>986.76</v>
      </c>
      <c r="M171" s="408">
        <v>115.9988</v>
      </c>
      <c r="N171" s="408">
        <v>17739.240000000002</v>
      </c>
      <c r="O171" s="408">
        <v>17747.89</v>
      </c>
      <c r="P171" s="410">
        <v>2062.8090000000002</v>
      </c>
      <c r="Q171" s="410">
        <f t="shared" si="14"/>
        <v>2054.3630093930637</v>
      </c>
      <c r="R171" s="410">
        <f t="shared" si="17"/>
        <v>4.2888463391140146</v>
      </c>
      <c r="S171" s="396">
        <f t="shared" si="16"/>
        <v>2058.6518557321779</v>
      </c>
      <c r="T171" s="408" t="s">
        <v>532</v>
      </c>
      <c r="U171" s="408">
        <v>15</v>
      </c>
      <c r="V171" s="408">
        <v>5</v>
      </c>
      <c r="W171" s="408">
        <v>0.7</v>
      </c>
      <c r="X171" s="408">
        <v>0.7</v>
      </c>
      <c r="Y171" s="408">
        <v>0.7</v>
      </c>
      <c r="Z171" s="411">
        <v>1700</v>
      </c>
      <c r="AA171" s="411" t="s">
        <v>533</v>
      </c>
      <c r="AB171" s="411">
        <v>0.85</v>
      </c>
      <c r="AC171" s="411" t="s">
        <v>534</v>
      </c>
      <c r="AD171" s="411" t="s">
        <v>535</v>
      </c>
      <c r="AE171" s="411">
        <v>220</v>
      </c>
      <c r="AF171" s="398" t="s">
        <v>691</v>
      </c>
      <c r="AG171" s="398"/>
    </row>
    <row r="172" spans="1:33" ht="15.75">
      <c r="A172" s="408" t="s">
        <v>586</v>
      </c>
      <c r="B172" s="408">
        <v>6</v>
      </c>
      <c r="C172" s="408">
        <v>132</v>
      </c>
      <c r="D172" s="408" t="s">
        <v>575</v>
      </c>
      <c r="E172" s="408">
        <v>1.5</v>
      </c>
      <c r="F172" s="409">
        <v>45330.488194444442</v>
      </c>
      <c r="G172" s="408">
        <v>1</v>
      </c>
      <c r="H172" s="408">
        <v>51.374099999999999</v>
      </c>
      <c r="I172" s="408">
        <v>7.99953</v>
      </c>
      <c r="J172" s="408">
        <v>-16.508500000000002</v>
      </c>
      <c r="K172" s="408">
        <v>-15.6586</v>
      </c>
      <c r="L172" s="408">
        <v>987.39</v>
      </c>
      <c r="M172" s="408">
        <v>118.501</v>
      </c>
      <c r="N172" s="408">
        <v>17741.43</v>
      </c>
      <c r="O172" s="408">
        <v>17747.89</v>
      </c>
      <c r="P172" s="410">
        <v>2062.8090000000002</v>
      </c>
      <c r="Q172" s="410">
        <f t="shared" si="14"/>
        <v>2054.3630093930637</v>
      </c>
      <c r="R172" s="410">
        <f t="shared" si="17"/>
        <v>4.2888463391140146</v>
      </c>
      <c r="S172" s="396">
        <f t="shared" si="16"/>
        <v>2058.6518557321779</v>
      </c>
      <c r="T172" s="408" t="s">
        <v>532</v>
      </c>
      <c r="U172" s="408">
        <v>15</v>
      </c>
      <c r="V172" s="408">
        <v>5</v>
      </c>
      <c r="W172" s="408">
        <v>0.7</v>
      </c>
      <c r="X172" s="408">
        <v>0.7</v>
      </c>
      <c r="Y172" s="408">
        <v>0.7</v>
      </c>
      <c r="Z172" s="411">
        <v>1700</v>
      </c>
      <c r="AA172" s="411" t="s">
        <v>533</v>
      </c>
      <c r="AB172" s="411">
        <v>0.85</v>
      </c>
      <c r="AC172" s="411" t="s">
        <v>534</v>
      </c>
      <c r="AD172" s="411" t="s">
        <v>535</v>
      </c>
      <c r="AE172" s="411">
        <v>220</v>
      </c>
      <c r="AF172" s="398" t="s">
        <v>691</v>
      </c>
      <c r="AG172" s="398"/>
    </row>
    <row r="173" spans="1:33" ht="15.75">
      <c r="A173" s="408" t="s">
        <v>587</v>
      </c>
      <c r="B173" s="408">
        <v>6</v>
      </c>
      <c r="C173" s="408">
        <v>132</v>
      </c>
      <c r="D173" s="408" t="s">
        <v>575</v>
      </c>
      <c r="E173" s="408">
        <v>1.5</v>
      </c>
      <c r="F173" s="409">
        <v>45330.491666666669</v>
      </c>
      <c r="G173" s="408">
        <v>1</v>
      </c>
      <c r="H173" s="408">
        <v>51.377400000000002</v>
      </c>
      <c r="I173" s="408">
        <v>7.99153</v>
      </c>
      <c r="J173" s="408">
        <v>-16.504899999999999</v>
      </c>
      <c r="K173" s="408">
        <v>-15.673999999999999</v>
      </c>
      <c r="L173" s="408">
        <v>976.27</v>
      </c>
      <c r="M173" s="408">
        <v>128.00110000000001</v>
      </c>
      <c r="N173" s="408">
        <v>17763.009999999998</v>
      </c>
      <c r="O173" s="408">
        <v>17747.89</v>
      </c>
      <c r="P173" s="410">
        <v>2062.8090000000002</v>
      </c>
      <c r="Q173" s="410">
        <f t="shared" si="14"/>
        <v>2054.3630093930637</v>
      </c>
      <c r="R173" s="410">
        <f t="shared" si="17"/>
        <v>4.2888463391140146</v>
      </c>
      <c r="S173" s="396">
        <f t="shared" si="16"/>
        <v>2058.6518557321779</v>
      </c>
      <c r="T173" s="408" t="s">
        <v>532</v>
      </c>
      <c r="U173" s="408">
        <v>15</v>
      </c>
      <c r="V173" s="408">
        <v>5</v>
      </c>
      <c r="W173" s="408">
        <v>0.7</v>
      </c>
      <c r="X173" s="408">
        <v>0.7</v>
      </c>
      <c r="Y173" s="408">
        <v>0.7</v>
      </c>
      <c r="Z173" s="411">
        <v>1700</v>
      </c>
      <c r="AA173" s="411" t="s">
        <v>533</v>
      </c>
      <c r="AB173" s="411">
        <v>0.85</v>
      </c>
      <c r="AC173" s="411" t="s">
        <v>534</v>
      </c>
      <c r="AD173" s="411" t="s">
        <v>535</v>
      </c>
      <c r="AE173" s="411">
        <v>220</v>
      </c>
      <c r="AF173" s="398" t="s">
        <v>691</v>
      </c>
      <c r="AG173" s="398"/>
    </row>
    <row r="174" spans="1:33" ht="15.75">
      <c r="A174" s="408" t="s">
        <v>590</v>
      </c>
      <c r="B174" s="408">
        <v>7</v>
      </c>
      <c r="C174" s="408">
        <v>209</v>
      </c>
      <c r="D174" s="408" t="s">
        <v>579</v>
      </c>
      <c r="E174" s="408">
        <v>1.5</v>
      </c>
      <c r="F174" s="409">
        <v>45330.495833333334</v>
      </c>
      <c r="G174" s="408">
        <v>1</v>
      </c>
      <c r="H174" s="408">
        <v>51.377400000000002</v>
      </c>
      <c r="I174" s="408">
        <v>7.9005000000000001</v>
      </c>
      <c r="J174" s="408">
        <v>-16.533999999999999</v>
      </c>
      <c r="K174" s="408">
        <v>-15.684900000000001</v>
      </c>
      <c r="L174" s="408">
        <v>989.39300000000003</v>
      </c>
      <c r="M174" s="408">
        <v>114.00060000000001</v>
      </c>
      <c r="N174" s="408">
        <v>17579.099999999999</v>
      </c>
      <c r="O174" s="408">
        <v>17623.38</v>
      </c>
      <c r="P174" s="410">
        <v>2048.348</v>
      </c>
      <c r="Q174" s="410">
        <f t="shared" si="14"/>
        <v>2039.9612186897882</v>
      </c>
      <c r="R174" s="410">
        <f t="shared" si="17"/>
        <v>4.373498314065829</v>
      </c>
      <c r="S174" s="396">
        <f t="shared" si="16"/>
        <v>2044.3347170038539</v>
      </c>
      <c r="T174" s="408" t="s">
        <v>542</v>
      </c>
      <c r="U174" s="408">
        <v>15</v>
      </c>
      <c r="V174" s="408">
        <v>5</v>
      </c>
      <c r="W174" s="408">
        <v>0.7</v>
      </c>
      <c r="X174" s="408">
        <v>0.7</v>
      </c>
      <c r="Y174" s="408">
        <v>0.7</v>
      </c>
      <c r="Z174" s="411">
        <v>1700</v>
      </c>
      <c r="AA174" s="411" t="s">
        <v>533</v>
      </c>
      <c r="AB174" s="411">
        <v>0.85</v>
      </c>
      <c r="AC174" s="411" t="s">
        <v>534</v>
      </c>
      <c r="AD174" s="411" t="s">
        <v>535</v>
      </c>
      <c r="AE174" s="411">
        <v>220</v>
      </c>
      <c r="AF174" s="398" t="s">
        <v>691</v>
      </c>
      <c r="AG174" s="398"/>
    </row>
    <row r="175" spans="1:33" ht="15.75">
      <c r="A175" s="408" t="s">
        <v>593</v>
      </c>
      <c r="B175" s="408">
        <v>7</v>
      </c>
      <c r="C175" s="408">
        <v>209</v>
      </c>
      <c r="D175" s="408" t="s">
        <v>579</v>
      </c>
      <c r="E175" s="408">
        <v>1.5</v>
      </c>
      <c r="F175" s="409">
        <v>45330.499305555553</v>
      </c>
      <c r="G175" s="408">
        <v>1</v>
      </c>
      <c r="H175" s="408">
        <v>51.374099999999999</v>
      </c>
      <c r="I175" s="408">
        <v>7.9752799999999997</v>
      </c>
      <c r="J175" s="408">
        <v>-16.430099999999999</v>
      </c>
      <c r="K175" s="408">
        <v>-15.588100000000001</v>
      </c>
      <c r="L175" s="408">
        <v>989.94799999999998</v>
      </c>
      <c r="M175" s="408">
        <v>115.0009</v>
      </c>
      <c r="N175" s="408">
        <v>17628.37</v>
      </c>
      <c r="O175" s="408">
        <v>17623.38</v>
      </c>
      <c r="P175" s="410">
        <v>2048.348</v>
      </c>
      <c r="Q175" s="410">
        <f t="shared" si="14"/>
        <v>2039.9612186897882</v>
      </c>
      <c r="R175" s="410">
        <f t="shared" si="17"/>
        <v>4.373498314065829</v>
      </c>
      <c r="S175" s="396">
        <f t="shared" si="16"/>
        <v>2044.3347170038539</v>
      </c>
      <c r="T175" s="408" t="s">
        <v>532</v>
      </c>
      <c r="U175" s="408">
        <v>15</v>
      </c>
      <c r="V175" s="408">
        <v>5</v>
      </c>
      <c r="W175" s="408">
        <v>0.7</v>
      </c>
      <c r="X175" s="408">
        <v>0.7</v>
      </c>
      <c r="Y175" s="408">
        <v>0.7</v>
      </c>
      <c r="Z175" s="411">
        <v>1700</v>
      </c>
      <c r="AA175" s="411" t="s">
        <v>533</v>
      </c>
      <c r="AB175" s="411">
        <v>0.85</v>
      </c>
      <c r="AC175" s="411" t="s">
        <v>534</v>
      </c>
      <c r="AD175" s="411" t="s">
        <v>535</v>
      </c>
      <c r="AE175" s="411">
        <v>220</v>
      </c>
      <c r="AF175" s="398" t="s">
        <v>691</v>
      </c>
      <c r="AG175" s="398"/>
    </row>
    <row r="176" spans="1:33" ht="15.75">
      <c r="A176" s="408" t="s">
        <v>594</v>
      </c>
      <c r="B176" s="408">
        <v>7</v>
      </c>
      <c r="C176" s="408">
        <v>209</v>
      </c>
      <c r="D176" s="408" t="s">
        <v>579</v>
      </c>
      <c r="E176" s="408">
        <v>1.5</v>
      </c>
      <c r="F176" s="409">
        <v>45330.50277777778</v>
      </c>
      <c r="G176" s="408">
        <v>1</v>
      </c>
      <c r="H176" s="408">
        <v>51.377400000000002</v>
      </c>
      <c r="I176" s="408">
        <v>7.9604699999999999</v>
      </c>
      <c r="J176" s="408">
        <v>-16.549600000000002</v>
      </c>
      <c r="K176" s="408">
        <v>-15.701700000000001</v>
      </c>
      <c r="L176" s="408">
        <v>980.899</v>
      </c>
      <c r="M176" s="408">
        <v>120.5014</v>
      </c>
      <c r="N176" s="408">
        <v>17604.52</v>
      </c>
      <c r="O176" s="408">
        <v>17623.38</v>
      </c>
      <c r="P176" s="410">
        <v>2048.348</v>
      </c>
      <c r="Q176" s="410">
        <f t="shared" si="14"/>
        <v>2039.9612186897882</v>
      </c>
      <c r="R176" s="410">
        <f t="shared" si="17"/>
        <v>4.373498314065829</v>
      </c>
      <c r="S176" s="396">
        <f t="shared" si="16"/>
        <v>2044.3347170038539</v>
      </c>
      <c r="T176" s="408" t="s">
        <v>532</v>
      </c>
      <c r="U176" s="408">
        <v>15</v>
      </c>
      <c r="V176" s="408">
        <v>5</v>
      </c>
      <c r="W176" s="408">
        <v>0.7</v>
      </c>
      <c r="X176" s="408">
        <v>0.7</v>
      </c>
      <c r="Y176" s="408">
        <v>0.7</v>
      </c>
      <c r="Z176" s="411">
        <v>1700</v>
      </c>
      <c r="AA176" s="411" t="s">
        <v>533</v>
      </c>
      <c r="AB176" s="411">
        <v>0.85</v>
      </c>
      <c r="AC176" s="411" t="s">
        <v>534</v>
      </c>
      <c r="AD176" s="411" t="s">
        <v>535</v>
      </c>
      <c r="AE176" s="411">
        <v>220</v>
      </c>
      <c r="AF176" s="398" t="s">
        <v>691</v>
      </c>
      <c r="AG176" s="398"/>
    </row>
    <row r="177" spans="1:33" ht="15.75">
      <c r="A177" s="408" t="s">
        <v>595</v>
      </c>
      <c r="B177" s="408">
        <v>7</v>
      </c>
      <c r="C177" s="408">
        <v>209</v>
      </c>
      <c r="D177" s="408" t="s">
        <v>579</v>
      </c>
      <c r="E177" s="408">
        <v>1.5</v>
      </c>
      <c r="F177" s="409">
        <v>45330.506249999999</v>
      </c>
      <c r="G177" s="408">
        <v>1</v>
      </c>
      <c r="H177" s="408">
        <v>51.370800000000003</v>
      </c>
      <c r="I177" s="408">
        <v>7.9156300000000002</v>
      </c>
      <c r="J177" s="408">
        <v>-16.549900000000001</v>
      </c>
      <c r="K177" s="408">
        <v>-15.734999999999999</v>
      </c>
      <c r="L177" s="408">
        <v>987.00199999999995</v>
      </c>
      <c r="M177" s="408">
        <v>126.00060000000001</v>
      </c>
      <c r="N177" s="408">
        <v>17637.240000000002</v>
      </c>
      <c r="O177" s="408">
        <v>17623.38</v>
      </c>
      <c r="P177" s="410">
        <v>2048.348</v>
      </c>
      <c r="Q177" s="410">
        <f t="shared" si="14"/>
        <v>2039.9612186897882</v>
      </c>
      <c r="R177" s="410">
        <f t="shared" si="17"/>
        <v>4.373498314065829</v>
      </c>
      <c r="S177" s="396">
        <f t="shared" si="16"/>
        <v>2044.3347170038539</v>
      </c>
      <c r="T177" s="408" t="s">
        <v>532</v>
      </c>
      <c r="U177" s="408">
        <v>15</v>
      </c>
      <c r="V177" s="408">
        <v>5</v>
      </c>
      <c r="W177" s="408">
        <v>0.7</v>
      </c>
      <c r="X177" s="408">
        <v>0.7</v>
      </c>
      <c r="Y177" s="408">
        <v>0.7</v>
      </c>
      <c r="Z177" s="411">
        <v>1700</v>
      </c>
      <c r="AA177" s="411" t="s">
        <v>533</v>
      </c>
      <c r="AB177" s="411">
        <v>0.85</v>
      </c>
      <c r="AC177" s="411" t="s">
        <v>534</v>
      </c>
      <c r="AD177" s="411" t="s">
        <v>535</v>
      </c>
      <c r="AE177" s="411">
        <v>220</v>
      </c>
      <c r="AF177" s="398" t="s">
        <v>691</v>
      </c>
      <c r="AG177" s="398"/>
    </row>
    <row r="178" spans="1:33" ht="15.75">
      <c r="A178" s="408" t="s">
        <v>600</v>
      </c>
      <c r="B178" s="408">
        <v>8</v>
      </c>
      <c r="C178" s="408">
        <v>210</v>
      </c>
      <c r="D178" s="408" t="s">
        <v>585</v>
      </c>
      <c r="E178" s="408">
        <v>1.5</v>
      </c>
      <c r="F178" s="409">
        <v>45330.510416666664</v>
      </c>
      <c r="G178" s="408">
        <v>1</v>
      </c>
      <c r="H178" s="408">
        <v>51.374099999999999</v>
      </c>
      <c r="I178" s="408">
        <v>7.9703999999999997</v>
      </c>
      <c r="J178" s="408">
        <v>-16.578700000000001</v>
      </c>
      <c r="K178" s="408">
        <v>-15.7432</v>
      </c>
      <c r="L178" s="408">
        <v>994.86099999999999</v>
      </c>
      <c r="M178" s="408">
        <v>137.0008</v>
      </c>
      <c r="N178" s="408">
        <v>17728.259999999998</v>
      </c>
      <c r="O178" s="408">
        <v>17715.830000000002</v>
      </c>
      <c r="P178" s="410">
        <v>2059.085</v>
      </c>
      <c r="Q178" s="410">
        <f t="shared" si="14"/>
        <v>2050.654256984586</v>
      </c>
      <c r="R178" s="410">
        <f t="shared" si="17"/>
        <v>4.4581502890176425</v>
      </c>
      <c r="S178" s="396">
        <f t="shared" si="16"/>
        <v>2055.1124072736038</v>
      </c>
      <c r="T178" s="408" t="s">
        <v>532</v>
      </c>
      <c r="U178" s="408">
        <v>15</v>
      </c>
      <c r="V178" s="408">
        <v>5</v>
      </c>
      <c r="W178" s="408">
        <v>0.7</v>
      </c>
      <c r="X178" s="408">
        <v>0.7</v>
      </c>
      <c r="Y178" s="408">
        <v>0.7</v>
      </c>
      <c r="Z178" s="411">
        <v>1700</v>
      </c>
      <c r="AA178" s="411" t="s">
        <v>533</v>
      </c>
      <c r="AB178" s="411">
        <v>0.85</v>
      </c>
      <c r="AC178" s="411" t="s">
        <v>534</v>
      </c>
      <c r="AD178" s="411" t="s">
        <v>535</v>
      </c>
      <c r="AE178" s="411">
        <v>220</v>
      </c>
      <c r="AF178" s="398" t="s">
        <v>691</v>
      </c>
      <c r="AG178" s="398"/>
    </row>
    <row r="179" spans="1:33" ht="15.75">
      <c r="A179" s="408" t="s">
        <v>602</v>
      </c>
      <c r="B179" s="408">
        <v>8</v>
      </c>
      <c r="C179" s="408">
        <v>210</v>
      </c>
      <c r="D179" s="408" t="s">
        <v>585</v>
      </c>
      <c r="E179" s="408">
        <v>1.5</v>
      </c>
      <c r="F179" s="409">
        <v>45330.513888888891</v>
      </c>
      <c r="G179" s="408">
        <v>1</v>
      </c>
      <c r="H179" s="408">
        <v>51.377400000000002</v>
      </c>
      <c r="I179" s="408">
        <v>7.9672400000000003</v>
      </c>
      <c r="J179" s="408">
        <v>-16.659500000000001</v>
      </c>
      <c r="K179" s="408">
        <v>-15.8924</v>
      </c>
      <c r="L179" s="408">
        <v>981.68499999999995</v>
      </c>
      <c r="M179" s="408">
        <v>154.99950000000001</v>
      </c>
      <c r="N179" s="408">
        <v>17697.14</v>
      </c>
      <c r="O179" s="408">
        <v>17715.830000000002</v>
      </c>
      <c r="P179" s="410">
        <v>2059.085</v>
      </c>
      <c r="Q179" s="410">
        <f t="shared" si="14"/>
        <v>2050.654256984586</v>
      </c>
      <c r="R179" s="410">
        <f t="shared" si="17"/>
        <v>4.4581502890176425</v>
      </c>
      <c r="S179" s="396">
        <f t="shared" si="16"/>
        <v>2055.1124072736038</v>
      </c>
      <c r="T179" s="408" t="s">
        <v>532</v>
      </c>
      <c r="U179" s="408">
        <v>15</v>
      </c>
      <c r="V179" s="408">
        <v>5</v>
      </c>
      <c r="W179" s="408">
        <v>0.7</v>
      </c>
      <c r="X179" s="408">
        <v>0.7</v>
      </c>
      <c r="Y179" s="408">
        <v>0.7</v>
      </c>
      <c r="Z179" s="411">
        <v>1700</v>
      </c>
      <c r="AA179" s="411" t="s">
        <v>533</v>
      </c>
      <c r="AB179" s="411">
        <v>0.85</v>
      </c>
      <c r="AC179" s="411" t="s">
        <v>534</v>
      </c>
      <c r="AD179" s="411" t="s">
        <v>535</v>
      </c>
      <c r="AE179" s="411">
        <v>220</v>
      </c>
      <c r="AF179" s="398" t="s">
        <v>691</v>
      </c>
      <c r="AG179" s="398"/>
    </row>
    <row r="180" spans="1:33" ht="15.75">
      <c r="A180" s="408" t="s">
        <v>603</v>
      </c>
      <c r="B180" s="408">
        <v>8</v>
      </c>
      <c r="C180" s="408">
        <v>210</v>
      </c>
      <c r="D180" s="408" t="s">
        <v>585</v>
      </c>
      <c r="E180" s="408">
        <v>1.5</v>
      </c>
      <c r="F180" s="409">
        <v>45330.518055555556</v>
      </c>
      <c r="G180" s="408">
        <v>1</v>
      </c>
      <c r="H180" s="408">
        <v>51.380699999999997</v>
      </c>
      <c r="I180" s="408">
        <v>7.9268099999999997</v>
      </c>
      <c r="J180" s="408">
        <v>-16.565799999999999</v>
      </c>
      <c r="K180" s="408">
        <v>-15.731299999999999</v>
      </c>
      <c r="L180" s="408">
        <v>998.51400000000001</v>
      </c>
      <c r="M180" s="408">
        <v>115.4996</v>
      </c>
      <c r="N180" s="408">
        <v>17722.080000000002</v>
      </c>
      <c r="O180" s="408">
        <v>17715.830000000002</v>
      </c>
      <c r="P180" s="410">
        <v>2059.085</v>
      </c>
      <c r="Q180" s="410">
        <f t="shared" si="14"/>
        <v>2050.654256984586</v>
      </c>
      <c r="R180" s="410">
        <f t="shared" si="17"/>
        <v>4.4581502890176425</v>
      </c>
      <c r="S180" s="396">
        <f t="shared" si="16"/>
        <v>2055.1124072736038</v>
      </c>
      <c r="T180" s="408" t="s">
        <v>532</v>
      </c>
      <c r="U180" s="408">
        <v>15</v>
      </c>
      <c r="V180" s="408">
        <v>5</v>
      </c>
      <c r="W180" s="408">
        <v>0.7</v>
      </c>
      <c r="X180" s="408">
        <v>0.7</v>
      </c>
      <c r="Y180" s="408">
        <v>0.7</v>
      </c>
      <c r="Z180" s="411">
        <v>1700</v>
      </c>
      <c r="AA180" s="411" t="s">
        <v>533</v>
      </c>
      <c r="AB180" s="411">
        <v>0.85</v>
      </c>
      <c r="AC180" s="411" t="s">
        <v>534</v>
      </c>
      <c r="AD180" s="411" t="s">
        <v>535</v>
      </c>
      <c r="AE180" s="411">
        <v>220</v>
      </c>
      <c r="AF180" s="398" t="s">
        <v>691</v>
      </c>
      <c r="AG180" s="398"/>
    </row>
    <row r="181" spans="1:33" ht="15.75">
      <c r="A181" s="408" t="s">
        <v>605</v>
      </c>
      <c r="B181" s="408">
        <v>9</v>
      </c>
      <c r="C181" s="408">
        <v>183</v>
      </c>
      <c r="D181" s="408" t="s">
        <v>591</v>
      </c>
      <c r="E181" s="408">
        <v>1.5</v>
      </c>
      <c r="F181" s="409">
        <v>45330.522222222222</v>
      </c>
      <c r="G181" s="408">
        <v>1</v>
      </c>
      <c r="H181" s="408">
        <v>51.377400000000002</v>
      </c>
      <c r="I181" s="408">
        <v>7.8600099999999999</v>
      </c>
      <c r="J181" s="408">
        <v>-16.604199999999999</v>
      </c>
      <c r="K181" s="408">
        <v>-15.7555</v>
      </c>
      <c r="L181" s="408">
        <v>1003.13</v>
      </c>
      <c r="M181" s="408">
        <v>136.4999</v>
      </c>
      <c r="N181" s="408">
        <v>17894.55</v>
      </c>
      <c r="O181" s="408">
        <v>17936.36</v>
      </c>
      <c r="P181" s="410">
        <v>2084.7539999999999</v>
      </c>
      <c r="Q181" s="410">
        <f t="shared" si="14"/>
        <v>2076.2181575144509</v>
      </c>
      <c r="R181" s="410">
        <f t="shared" si="17"/>
        <v>4.542802263969457</v>
      </c>
      <c r="S181" s="396">
        <f t="shared" si="16"/>
        <v>2080.7609597784203</v>
      </c>
      <c r="T181" s="408" t="s">
        <v>542</v>
      </c>
      <c r="U181" s="408">
        <v>15</v>
      </c>
      <c r="V181" s="408">
        <v>5</v>
      </c>
      <c r="W181" s="408">
        <v>0.7</v>
      </c>
      <c r="X181" s="408">
        <v>0.7</v>
      </c>
      <c r="Y181" s="408">
        <v>0.7</v>
      </c>
      <c r="Z181" s="411">
        <v>1700</v>
      </c>
      <c r="AA181" s="411" t="s">
        <v>533</v>
      </c>
      <c r="AB181" s="411">
        <v>0.85</v>
      </c>
      <c r="AC181" s="411" t="s">
        <v>534</v>
      </c>
      <c r="AD181" s="411" t="s">
        <v>535</v>
      </c>
      <c r="AE181" s="411">
        <v>220</v>
      </c>
      <c r="AF181" s="398" t="s">
        <v>691</v>
      </c>
      <c r="AG181" s="398"/>
    </row>
    <row r="182" spans="1:33" ht="15.75">
      <c r="A182" s="408" t="s">
        <v>606</v>
      </c>
      <c r="B182" s="408">
        <v>9</v>
      </c>
      <c r="C182" s="408">
        <v>183</v>
      </c>
      <c r="D182" s="408" t="s">
        <v>591</v>
      </c>
      <c r="E182" s="408">
        <v>1.5</v>
      </c>
      <c r="F182" s="409">
        <v>45330.525694444441</v>
      </c>
      <c r="G182" s="408">
        <v>1</v>
      </c>
      <c r="H182" s="408">
        <v>51.377400000000002</v>
      </c>
      <c r="I182" s="408">
        <v>7.9235899999999999</v>
      </c>
      <c r="J182" s="408">
        <v>-16.629300000000001</v>
      </c>
      <c r="K182" s="408">
        <v>-15.792199999999999</v>
      </c>
      <c r="L182" s="408">
        <v>1004.37</v>
      </c>
      <c r="M182" s="408">
        <v>114.4996</v>
      </c>
      <c r="N182" s="408">
        <v>17947.810000000001</v>
      </c>
      <c r="O182" s="408">
        <v>17936.36</v>
      </c>
      <c r="P182" s="410">
        <v>2084.7539999999999</v>
      </c>
      <c r="Q182" s="410">
        <f t="shared" si="14"/>
        <v>2076.2181575144509</v>
      </c>
      <c r="R182" s="410">
        <f t="shared" si="17"/>
        <v>4.542802263969457</v>
      </c>
      <c r="S182" s="396">
        <f t="shared" si="16"/>
        <v>2080.7609597784203</v>
      </c>
      <c r="T182" s="408" t="s">
        <v>532</v>
      </c>
      <c r="U182" s="408">
        <v>15</v>
      </c>
      <c r="V182" s="408">
        <v>5</v>
      </c>
      <c r="W182" s="408">
        <v>0.7</v>
      </c>
      <c r="X182" s="408">
        <v>0.7</v>
      </c>
      <c r="Y182" s="408">
        <v>0.7</v>
      </c>
      <c r="Z182" s="411">
        <v>1700</v>
      </c>
      <c r="AA182" s="411" t="s">
        <v>533</v>
      </c>
      <c r="AB182" s="411">
        <v>0.85</v>
      </c>
      <c r="AC182" s="411" t="s">
        <v>534</v>
      </c>
      <c r="AD182" s="411" t="s">
        <v>535</v>
      </c>
      <c r="AE182" s="411">
        <v>220</v>
      </c>
      <c r="AF182" s="398" t="s">
        <v>691</v>
      </c>
      <c r="AG182" s="398"/>
    </row>
    <row r="183" spans="1:33" ht="15.75">
      <c r="A183" s="408" t="s">
        <v>607</v>
      </c>
      <c r="B183" s="408">
        <v>9</v>
      </c>
      <c r="C183" s="408">
        <v>183</v>
      </c>
      <c r="D183" s="408" t="s">
        <v>591</v>
      </c>
      <c r="E183" s="408">
        <v>1.5</v>
      </c>
      <c r="F183" s="409">
        <v>45330.529166666667</v>
      </c>
      <c r="G183" s="408">
        <v>1</v>
      </c>
      <c r="H183" s="408">
        <v>51.370800000000003</v>
      </c>
      <c r="I183" s="408">
        <v>7.9396000000000004</v>
      </c>
      <c r="J183" s="408">
        <v>-16.594799999999999</v>
      </c>
      <c r="K183" s="408">
        <v>-15.762600000000001</v>
      </c>
      <c r="L183" s="408">
        <v>1001.14</v>
      </c>
      <c r="M183" s="408">
        <v>121.501</v>
      </c>
      <c r="N183" s="408">
        <v>17943.509999999998</v>
      </c>
      <c r="O183" s="408">
        <v>17936.36</v>
      </c>
      <c r="P183" s="410">
        <v>2084.7539999999999</v>
      </c>
      <c r="Q183" s="410">
        <f t="shared" si="14"/>
        <v>2076.2181575144509</v>
      </c>
      <c r="R183" s="410">
        <f t="shared" si="17"/>
        <v>4.542802263969457</v>
      </c>
      <c r="S183" s="396">
        <f t="shared" si="16"/>
        <v>2080.7609597784203</v>
      </c>
      <c r="T183" s="408" t="s">
        <v>532</v>
      </c>
      <c r="U183" s="408">
        <v>15</v>
      </c>
      <c r="V183" s="408">
        <v>5</v>
      </c>
      <c r="W183" s="408">
        <v>0.7</v>
      </c>
      <c r="X183" s="408">
        <v>0.7</v>
      </c>
      <c r="Y183" s="408">
        <v>0.7</v>
      </c>
      <c r="Z183" s="411">
        <v>1700</v>
      </c>
      <c r="AA183" s="411" t="s">
        <v>533</v>
      </c>
      <c r="AB183" s="411">
        <v>0.85</v>
      </c>
      <c r="AC183" s="411" t="s">
        <v>534</v>
      </c>
      <c r="AD183" s="411" t="s">
        <v>535</v>
      </c>
      <c r="AE183" s="411">
        <v>220</v>
      </c>
      <c r="AF183" s="398" t="s">
        <v>691</v>
      </c>
      <c r="AG183" s="398"/>
    </row>
    <row r="184" spans="1:33" ht="15.75">
      <c r="A184" s="408" t="s">
        <v>608</v>
      </c>
      <c r="B184" s="408">
        <v>9</v>
      </c>
      <c r="C184" s="408">
        <v>183</v>
      </c>
      <c r="D184" s="408" t="s">
        <v>591</v>
      </c>
      <c r="E184" s="408">
        <v>1.5</v>
      </c>
      <c r="F184" s="409">
        <v>45330.532638888886</v>
      </c>
      <c r="G184" s="408">
        <v>1</v>
      </c>
      <c r="H184" s="408">
        <v>51.374099999999999</v>
      </c>
      <c r="I184" s="408">
        <v>8.0534999999999997</v>
      </c>
      <c r="J184" s="408">
        <v>-16.635100000000001</v>
      </c>
      <c r="K184" s="408">
        <v>-15.7971</v>
      </c>
      <c r="L184" s="408">
        <v>997.95899999999995</v>
      </c>
      <c r="M184" s="408">
        <v>120.5001</v>
      </c>
      <c r="N184" s="408">
        <v>17917.759999999998</v>
      </c>
      <c r="O184" s="408">
        <v>17936.36</v>
      </c>
      <c r="P184" s="410">
        <v>2084.7539999999999</v>
      </c>
      <c r="Q184" s="410">
        <f t="shared" si="14"/>
        <v>2076.2181575144509</v>
      </c>
      <c r="R184" s="410">
        <f t="shared" si="17"/>
        <v>4.542802263969457</v>
      </c>
      <c r="S184" s="396">
        <f t="shared" si="16"/>
        <v>2080.7609597784203</v>
      </c>
      <c r="T184" s="408" t="s">
        <v>532</v>
      </c>
      <c r="U184" s="408">
        <v>15</v>
      </c>
      <c r="V184" s="408">
        <v>5</v>
      </c>
      <c r="W184" s="408">
        <v>0.7</v>
      </c>
      <c r="X184" s="408">
        <v>0.7</v>
      </c>
      <c r="Y184" s="408">
        <v>0.7</v>
      </c>
      <c r="Z184" s="411">
        <v>1700</v>
      </c>
      <c r="AA184" s="411" t="s">
        <v>533</v>
      </c>
      <c r="AB184" s="411">
        <v>0.85</v>
      </c>
      <c r="AC184" s="411" t="s">
        <v>534</v>
      </c>
      <c r="AD184" s="411" t="s">
        <v>535</v>
      </c>
      <c r="AE184" s="411">
        <v>220</v>
      </c>
      <c r="AF184" s="398" t="s">
        <v>691</v>
      </c>
      <c r="AG184" s="398"/>
    </row>
    <row r="185" spans="1:33" ht="15.75">
      <c r="A185" s="408" t="s">
        <v>609</v>
      </c>
      <c r="B185" s="408">
        <v>10</v>
      </c>
      <c r="C185" s="408">
        <v>184</v>
      </c>
      <c r="D185" s="408" t="s">
        <v>601</v>
      </c>
      <c r="E185" s="408">
        <v>1.5</v>
      </c>
      <c r="F185" s="409">
        <v>45330.536805555559</v>
      </c>
      <c r="G185" s="408">
        <v>1</v>
      </c>
      <c r="H185" s="408">
        <v>51.377400000000002</v>
      </c>
      <c r="I185" s="408">
        <v>7.9155100000000003</v>
      </c>
      <c r="J185" s="408">
        <v>-16.424900000000001</v>
      </c>
      <c r="K185" s="408">
        <v>-15.579599999999999</v>
      </c>
      <c r="L185" s="408">
        <v>998.18299999999999</v>
      </c>
      <c r="M185" s="408">
        <v>130.50020000000001</v>
      </c>
      <c r="N185" s="408">
        <v>17912.98</v>
      </c>
      <c r="O185" s="408">
        <v>17920.189999999999</v>
      </c>
      <c r="P185" s="410">
        <v>2082.8649999999998</v>
      </c>
      <c r="Q185" s="410">
        <f t="shared" si="14"/>
        <v>2074.3368918593446</v>
      </c>
      <c r="R185" s="410">
        <f t="shared" si="17"/>
        <v>4.6274542389212705</v>
      </c>
      <c r="S185" s="396">
        <f t="shared" si="16"/>
        <v>2078.9643460982661</v>
      </c>
      <c r="T185" s="408" t="s">
        <v>532</v>
      </c>
      <c r="U185" s="408">
        <v>15</v>
      </c>
      <c r="V185" s="408">
        <v>5</v>
      </c>
      <c r="W185" s="408">
        <v>0.7</v>
      </c>
      <c r="X185" s="408">
        <v>0.7</v>
      </c>
      <c r="Y185" s="408">
        <v>0.7</v>
      </c>
      <c r="Z185" s="411">
        <v>1700</v>
      </c>
      <c r="AA185" s="411" t="s">
        <v>533</v>
      </c>
      <c r="AB185" s="411">
        <v>0.85</v>
      </c>
      <c r="AC185" s="411" t="s">
        <v>534</v>
      </c>
      <c r="AD185" s="411" t="s">
        <v>535</v>
      </c>
      <c r="AE185" s="411">
        <v>220</v>
      </c>
      <c r="AF185" s="398" t="s">
        <v>691</v>
      </c>
      <c r="AG185" s="398"/>
    </row>
    <row r="186" spans="1:33" ht="15.75">
      <c r="A186" s="408" t="s">
        <v>610</v>
      </c>
      <c r="B186" s="408">
        <v>10</v>
      </c>
      <c r="C186" s="408">
        <v>184</v>
      </c>
      <c r="D186" s="408" t="s">
        <v>601</v>
      </c>
      <c r="E186" s="408">
        <v>1.5</v>
      </c>
      <c r="F186" s="409">
        <v>45330.540277777778</v>
      </c>
      <c r="G186" s="408">
        <v>1</v>
      </c>
      <c r="H186" s="408">
        <v>51.377400000000002</v>
      </c>
      <c r="I186" s="408">
        <v>8.0017300000000002</v>
      </c>
      <c r="J186" s="408">
        <v>-16.326599999999999</v>
      </c>
      <c r="K186" s="408">
        <v>-15.492000000000001</v>
      </c>
      <c r="L186" s="408">
        <v>999.28300000000002</v>
      </c>
      <c r="M186" s="408">
        <v>117</v>
      </c>
      <c r="N186" s="408">
        <v>17926.52</v>
      </c>
      <c r="O186" s="408">
        <v>17920.189999999999</v>
      </c>
      <c r="P186" s="410">
        <v>2082.8649999999998</v>
      </c>
      <c r="Q186" s="410">
        <f t="shared" si="14"/>
        <v>2074.3368918593446</v>
      </c>
      <c r="R186" s="410">
        <f t="shared" si="17"/>
        <v>4.6274542389212705</v>
      </c>
      <c r="S186" s="396">
        <f t="shared" si="16"/>
        <v>2078.9643460982661</v>
      </c>
      <c r="T186" s="408" t="s">
        <v>532</v>
      </c>
      <c r="U186" s="408">
        <v>15</v>
      </c>
      <c r="V186" s="408">
        <v>5</v>
      </c>
      <c r="W186" s="408">
        <v>0.7</v>
      </c>
      <c r="X186" s="408">
        <v>0.7</v>
      </c>
      <c r="Y186" s="408">
        <v>0.7</v>
      </c>
      <c r="Z186" s="411">
        <v>1700</v>
      </c>
      <c r="AA186" s="411" t="s">
        <v>533</v>
      </c>
      <c r="AB186" s="411">
        <v>0.85</v>
      </c>
      <c r="AC186" s="411" t="s">
        <v>534</v>
      </c>
      <c r="AD186" s="411" t="s">
        <v>535</v>
      </c>
      <c r="AE186" s="411">
        <v>220</v>
      </c>
      <c r="AF186" s="398" t="s">
        <v>691</v>
      </c>
      <c r="AG186" s="398"/>
    </row>
    <row r="187" spans="1:33" ht="15.75">
      <c r="A187" s="408" t="s">
        <v>611</v>
      </c>
      <c r="B187" s="408">
        <v>10</v>
      </c>
      <c r="C187" s="408">
        <v>184</v>
      </c>
      <c r="D187" s="408" t="s">
        <v>601</v>
      </c>
      <c r="E187" s="408">
        <v>1.5</v>
      </c>
      <c r="F187" s="409">
        <v>45330.544444444444</v>
      </c>
      <c r="G187" s="408">
        <v>1</v>
      </c>
      <c r="H187" s="408">
        <v>51.370800000000003</v>
      </c>
      <c r="I187" s="408">
        <v>7.8948299999999998</v>
      </c>
      <c r="J187" s="408">
        <v>-16.362500000000001</v>
      </c>
      <c r="K187" s="408">
        <v>-15.5174</v>
      </c>
      <c r="L187" s="408">
        <v>1011.87</v>
      </c>
      <c r="M187" s="408">
        <v>115.9988</v>
      </c>
      <c r="N187" s="408">
        <v>17965.16</v>
      </c>
      <c r="O187" s="408">
        <v>17920.189999999999</v>
      </c>
      <c r="P187" s="410">
        <v>2082.8649999999998</v>
      </c>
      <c r="Q187" s="410">
        <f t="shared" si="14"/>
        <v>2074.3368918593446</v>
      </c>
      <c r="R187" s="410">
        <f t="shared" si="17"/>
        <v>4.6274542389212705</v>
      </c>
      <c r="S187" s="396">
        <f t="shared" si="16"/>
        <v>2078.9643460982661</v>
      </c>
      <c r="T187" s="408" t="s">
        <v>542</v>
      </c>
      <c r="U187" s="408">
        <v>15</v>
      </c>
      <c r="V187" s="408">
        <v>5</v>
      </c>
      <c r="W187" s="408">
        <v>0.7</v>
      </c>
      <c r="X187" s="408">
        <v>0.7</v>
      </c>
      <c r="Y187" s="408">
        <v>0.7</v>
      </c>
      <c r="Z187" s="411">
        <v>1700</v>
      </c>
      <c r="AA187" s="411" t="s">
        <v>533</v>
      </c>
      <c r="AB187" s="411">
        <v>0.85</v>
      </c>
      <c r="AC187" s="411" t="s">
        <v>534</v>
      </c>
      <c r="AD187" s="411" t="s">
        <v>535</v>
      </c>
      <c r="AE187" s="411">
        <v>220</v>
      </c>
      <c r="AF187" s="398" t="s">
        <v>691</v>
      </c>
      <c r="AG187" s="398"/>
    </row>
    <row r="188" spans="1:33" ht="15.75">
      <c r="A188" s="408" t="s">
        <v>612</v>
      </c>
      <c r="B188" s="408">
        <v>10</v>
      </c>
      <c r="C188" s="408">
        <v>184</v>
      </c>
      <c r="D188" s="408" t="s">
        <v>601</v>
      </c>
      <c r="E188" s="408">
        <v>1.5</v>
      </c>
      <c r="F188" s="409">
        <v>45330.54791666667</v>
      </c>
      <c r="G188" s="408">
        <v>1</v>
      </c>
      <c r="H188" s="408">
        <v>51.374099999999999</v>
      </c>
      <c r="I188" s="408">
        <v>7.7410800000000002</v>
      </c>
      <c r="J188" s="408">
        <v>-16.4695</v>
      </c>
      <c r="K188" s="408">
        <v>-15.619899999999999</v>
      </c>
      <c r="L188" s="408">
        <v>994.48</v>
      </c>
      <c r="M188" s="408">
        <v>209.49889999999999</v>
      </c>
      <c r="N188" s="408">
        <v>17950.98</v>
      </c>
      <c r="O188" s="408">
        <v>17920.189999999999</v>
      </c>
      <c r="P188" s="410">
        <v>2082.8649999999998</v>
      </c>
      <c r="Q188" s="410">
        <f t="shared" si="14"/>
        <v>2074.3368918593446</v>
      </c>
      <c r="R188" s="410">
        <f t="shared" si="17"/>
        <v>4.6274542389212705</v>
      </c>
      <c r="S188" s="396">
        <f t="shared" si="16"/>
        <v>2078.9643460982661</v>
      </c>
      <c r="T188" s="408" t="s">
        <v>542</v>
      </c>
      <c r="U188" s="408">
        <v>15</v>
      </c>
      <c r="V188" s="408">
        <v>5</v>
      </c>
      <c r="W188" s="408">
        <v>0.7</v>
      </c>
      <c r="X188" s="408">
        <v>0.7</v>
      </c>
      <c r="Y188" s="408">
        <v>0.7</v>
      </c>
      <c r="Z188" s="411">
        <v>1700</v>
      </c>
      <c r="AA188" s="411" t="s">
        <v>533</v>
      </c>
      <c r="AB188" s="411">
        <v>0.85</v>
      </c>
      <c r="AC188" s="411" t="s">
        <v>534</v>
      </c>
      <c r="AD188" s="411" t="s">
        <v>535</v>
      </c>
      <c r="AE188" s="411">
        <v>220</v>
      </c>
      <c r="AF188" s="398" t="s">
        <v>691</v>
      </c>
      <c r="AG188" s="398"/>
    </row>
    <row r="189" spans="1:33" ht="15.75">
      <c r="A189" s="408" t="s">
        <v>704</v>
      </c>
      <c r="B189" s="408">
        <v>10</v>
      </c>
      <c r="C189" s="408">
        <v>184</v>
      </c>
      <c r="D189" s="408" t="s">
        <v>601</v>
      </c>
      <c r="E189" s="408">
        <v>1.5</v>
      </c>
      <c r="F189" s="409">
        <v>45330.552083333336</v>
      </c>
      <c r="G189" s="408">
        <v>1</v>
      </c>
      <c r="H189" s="408">
        <v>51.370800000000003</v>
      </c>
      <c r="I189" s="408">
        <v>7.8715700000000002</v>
      </c>
      <c r="J189" s="408">
        <v>-16.5318</v>
      </c>
      <c r="K189" s="408">
        <v>-15.6937</v>
      </c>
      <c r="L189" s="408">
        <v>1008</v>
      </c>
      <c r="M189" s="408">
        <v>123.49979999999999</v>
      </c>
      <c r="N189" s="408">
        <v>17921.07</v>
      </c>
      <c r="O189" s="408">
        <v>17920.189999999999</v>
      </c>
      <c r="P189" s="410">
        <v>2082.8649999999998</v>
      </c>
      <c r="Q189" s="410">
        <f t="shared" si="14"/>
        <v>2074.3368918593446</v>
      </c>
      <c r="R189" s="410">
        <f t="shared" si="17"/>
        <v>4.6274542389212705</v>
      </c>
      <c r="S189" s="396">
        <f t="shared" si="16"/>
        <v>2078.9643460982661</v>
      </c>
      <c r="T189" s="408" t="s">
        <v>532</v>
      </c>
      <c r="U189" s="408">
        <v>15</v>
      </c>
      <c r="V189" s="408">
        <v>5</v>
      </c>
      <c r="W189" s="408">
        <v>0.7</v>
      </c>
      <c r="X189" s="408">
        <v>0.7</v>
      </c>
      <c r="Y189" s="408">
        <v>0.7</v>
      </c>
      <c r="Z189" s="411">
        <v>1700</v>
      </c>
      <c r="AA189" s="411" t="s">
        <v>533</v>
      </c>
      <c r="AB189" s="411">
        <v>0.85</v>
      </c>
      <c r="AC189" s="411" t="s">
        <v>534</v>
      </c>
      <c r="AD189" s="411" t="s">
        <v>535</v>
      </c>
      <c r="AE189" s="411">
        <v>220</v>
      </c>
      <c r="AF189" s="398" t="s">
        <v>691</v>
      </c>
      <c r="AG189" s="398"/>
    </row>
    <row r="190" spans="1:33" ht="15.75">
      <c r="A190" s="408" t="s">
        <v>613</v>
      </c>
      <c r="B190" s="408">
        <v>11</v>
      </c>
      <c r="C190" s="408" t="s">
        <v>689</v>
      </c>
      <c r="D190" s="408" t="s">
        <v>531</v>
      </c>
      <c r="E190" s="408">
        <v>1.5</v>
      </c>
      <c r="F190" s="409">
        <v>45330.556250000001</v>
      </c>
      <c r="G190" s="408">
        <v>1</v>
      </c>
      <c r="H190" s="408">
        <v>51.370800000000003</v>
      </c>
      <c r="I190" s="408">
        <v>7.80403</v>
      </c>
      <c r="J190" s="408">
        <v>-16.5244</v>
      </c>
      <c r="K190" s="408">
        <v>-15.675800000000001</v>
      </c>
      <c r="L190" s="408">
        <v>991.48699999999997</v>
      </c>
      <c r="M190" s="408">
        <v>124.5003</v>
      </c>
      <c r="N190" s="408">
        <v>17848.810000000001</v>
      </c>
      <c r="O190" s="408">
        <v>17817.53</v>
      </c>
      <c r="P190" s="410">
        <v>2070.8969999999999</v>
      </c>
      <c r="Q190" s="410">
        <f t="shared" si="14"/>
        <v>2062.417893786127</v>
      </c>
      <c r="R190" s="410">
        <f t="shared" si="17"/>
        <v>4.7121062138730849</v>
      </c>
      <c r="S190" s="396">
        <f t="shared" si="16"/>
        <v>2067.13</v>
      </c>
      <c r="T190" s="408" t="s">
        <v>542</v>
      </c>
      <c r="U190" s="408">
        <v>15</v>
      </c>
      <c r="V190" s="408">
        <v>5</v>
      </c>
      <c r="W190" s="408">
        <v>0.7</v>
      </c>
      <c r="X190" s="408">
        <v>0.7</v>
      </c>
      <c r="Y190" s="408">
        <v>0.7</v>
      </c>
      <c r="Z190" s="411">
        <v>1700</v>
      </c>
      <c r="AA190" s="411" t="s">
        <v>533</v>
      </c>
      <c r="AB190" s="411">
        <v>0.85</v>
      </c>
      <c r="AC190" s="411" t="s">
        <v>534</v>
      </c>
      <c r="AD190" s="411" t="s">
        <v>535</v>
      </c>
      <c r="AE190" s="411">
        <v>220</v>
      </c>
      <c r="AF190" s="398" t="s">
        <v>691</v>
      </c>
      <c r="AG190" s="407"/>
    </row>
    <row r="191" spans="1:33" ht="15.75">
      <c r="A191" s="408" t="s">
        <v>614</v>
      </c>
      <c r="B191" s="408">
        <v>11</v>
      </c>
      <c r="C191" s="408" t="s">
        <v>689</v>
      </c>
      <c r="D191" s="408" t="s">
        <v>531</v>
      </c>
      <c r="E191" s="408">
        <v>1.5</v>
      </c>
      <c r="F191" s="409">
        <v>45330.55972222222</v>
      </c>
      <c r="G191" s="408">
        <v>1</v>
      </c>
      <c r="H191" s="408">
        <v>51.370800000000003</v>
      </c>
      <c r="I191" s="408">
        <v>7.9505800000000004</v>
      </c>
      <c r="J191" s="408">
        <v>-16.532800000000002</v>
      </c>
      <c r="K191" s="408">
        <v>-15.688700000000001</v>
      </c>
      <c r="L191" s="408">
        <v>997.46199999999999</v>
      </c>
      <c r="M191" s="408">
        <v>123.4987</v>
      </c>
      <c r="N191" s="408">
        <v>17827.509999999998</v>
      </c>
      <c r="O191" s="408">
        <v>17817.53</v>
      </c>
      <c r="P191" s="410">
        <v>2070.8969999999999</v>
      </c>
      <c r="Q191" s="410">
        <f t="shared" si="14"/>
        <v>2062.417893786127</v>
      </c>
      <c r="R191" s="410">
        <f t="shared" ref="R191:R192" si="18">2067.13-Q191</f>
        <v>4.7121062138730849</v>
      </c>
      <c r="S191" s="396">
        <f t="shared" si="16"/>
        <v>2067.13</v>
      </c>
      <c r="T191" s="408" t="s">
        <v>532</v>
      </c>
      <c r="U191" s="408">
        <v>15</v>
      </c>
      <c r="V191" s="408">
        <v>5</v>
      </c>
      <c r="W191" s="408">
        <v>0.7</v>
      </c>
      <c r="X191" s="408">
        <v>0.7</v>
      </c>
      <c r="Y191" s="408">
        <v>0.7</v>
      </c>
      <c r="Z191" s="411">
        <v>1700</v>
      </c>
      <c r="AA191" s="411" t="s">
        <v>533</v>
      </c>
      <c r="AB191" s="411">
        <v>0.85</v>
      </c>
      <c r="AC191" s="411" t="s">
        <v>534</v>
      </c>
      <c r="AD191" s="411" t="s">
        <v>535</v>
      </c>
      <c r="AE191" s="411">
        <v>220</v>
      </c>
      <c r="AF191" s="398" t="s">
        <v>691</v>
      </c>
      <c r="AG191" s="407"/>
    </row>
    <row r="192" spans="1:33" ht="15.75">
      <c r="A192" s="408" t="s">
        <v>615</v>
      </c>
      <c r="B192" s="408">
        <v>11</v>
      </c>
      <c r="C192" s="408" t="s">
        <v>689</v>
      </c>
      <c r="D192" s="408" t="s">
        <v>531</v>
      </c>
      <c r="E192" s="408">
        <v>1.5</v>
      </c>
      <c r="F192" s="409">
        <v>45330.563888888886</v>
      </c>
      <c r="G192" s="408">
        <v>1</v>
      </c>
      <c r="H192" s="408">
        <v>51.370800000000003</v>
      </c>
      <c r="I192" s="408">
        <v>7.9400899999999996</v>
      </c>
      <c r="J192" s="408">
        <v>-16.4771</v>
      </c>
      <c r="K192" s="408">
        <v>-15.643000000000001</v>
      </c>
      <c r="L192" s="408">
        <v>1006.12</v>
      </c>
      <c r="M192" s="408">
        <v>122.0004</v>
      </c>
      <c r="N192" s="408">
        <v>17805.349999999999</v>
      </c>
      <c r="O192" s="408">
        <v>17817.53</v>
      </c>
      <c r="P192" s="410">
        <v>2070.8969999999999</v>
      </c>
      <c r="Q192" s="410">
        <f t="shared" si="14"/>
        <v>2062.417893786127</v>
      </c>
      <c r="R192" s="410">
        <f t="shared" si="18"/>
        <v>4.7121062138730849</v>
      </c>
      <c r="S192" s="396">
        <f t="shared" si="16"/>
        <v>2067.13</v>
      </c>
      <c r="T192" s="408" t="s">
        <v>532</v>
      </c>
      <c r="U192" s="408">
        <v>15</v>
      </c>
      <c r="V192" s="408">
        <v>5</v>
      </c>
      <c r="W192" s="408">
        <v>0.7</v>
      </c>
      <c r="X192" s="408">
        <v>0.7</v>
      </c>
      <c r="Y192" s="408">
        <v>0.7</v>
      </c>
      <c r="Z192" s="411">
        <v>1700</v>
      </c>
      <c r="AA192" s="411" t="s">
        <v>533</v>
      </c>
      <c r="AB192" s="411">
        <v>0.85</v>
      </c>
      <c r="AC192" s="411" t="s">
        <v>534</v>
      </c>
      <c r="AD192" s="411" t="s">
        <v>535</v>
      </c>
      <c r="AE192" s="411">
        <v>220</v>
      </c>
      <c r="AF192" s="398" t="s">
        <v>691</v>
      </c>
      <c r="AG192" s="407"/>
    </row>
    <row r="193" spans="1:33" ht="15.75">
      <c r="A193" s="408" t="s">
        <v>616</v>
      </c>
      <c r="B193" s="408">
        <v>11</v>
      </c>
      <c r="C193" s="408" t="s">
        <v>689</v>
      </c>
      <c r="D193" s="408" t="s">
        <v>531</v>
      </c>
      <c r="E193" s="408">
        <v>1.5</v>
      </c>
      <c r="F193" s="409">
        <v>45330.567361111112</v>
      </c>
      <c r="G193" s="408">
        <v>1</v>
      </c>
      <c r="H193" s="408">
        <v>51.374099999999999</v>
      </c>
      <c r="I193" s="408">
        <v>7.9717399999999996</v>
      </c>
      <c r="J193" s="408">
        <v>-16.631</v>
      </c>
      <c r="K193" s="408">
        <v>-15.794</v>
      </c>
      <c r="L193" s="408">
        <v>998.93700000000001</v>
      </c>
      <c r="M193" s="408">
        <v>114.49890000000001</v>
      </c>
      <c r="N193" s="408">
        <v>17819.73</v>
      </c>
      <c r="O193" s="408">
        <v>17817.53</v>
      </c>
      <c r="P193" s="410">
        <v>2070.8969999999999</v>
      </c>
      <c r="Q193" s="410">
        <f t="shared" si="14"/>
        <v>2062.417893786127</v>
      </c>
      <c r="R193" s="410">
        <f t="shared" ref="R193:R226" si="19">((B193-B$193)/(B$226-B$193))*R$227+((1-((B193-B$193)/(B$226-B$193)))*R$192)</f>
        <v>4.7121062138730849</v>
      </c>
      <c r="S193" s="396">
        <f t="shared" si="16"/>
        <v>2067.13</v>
      </c>
      <c r="T193" s="408" t="s">
        <v>532</v>
      </c>
      <c r="U193" s="408">
        <v>15</v>
      </c>
      <c r="V193" s="408">
        <v>5</v>
      </c>
      <c r="W193" s="408">
        <v>0.7</v>
      </c>
      <c r="X193" s="408">
        <v>0.7</v>
      </c>
      <c r="Y193" s="408">
        <v>0.7</v>
      </c>
      <c r="Z193" s="411">
        <v>1700</v>
      </c>
      <c r="AA193" s="411" t="s">
        <v>533</v>
      </c>
      <c r="AB193" s="411">
        <v>0.85</v>
      </c>
      <c r="AC193" s="411" t="s">
        <v>534</v>
      </c>
      <c r="AD193" s="411" t="s">
        <v>535</v>
      </c>
      <c r="AE193" s="411">
        <v>220</v>
      </c>
      <c r="AF193" s="398" t="s">
        <v>691</v>
      </c>
      <c r="AG193" s="407"/>
    </row>
    <row r="194" spans="1:33" ht="15.75">
      <c r="A194" s="408" t="s">
        <v>618</v>
      </c>
      <c r="B194" s="408">
        <v>12</v>
      </c>
      <c r="C194" s="408">
        <v>248</v>
      </c>
      <c r="D194" s="408" t="s">
        <v>561</v>
      </c>
      <c r="E194" s="408">
        <v>1.5</v>
      </c>
      <c r="F194" s="409">
        <v>45330.571527777778</v>
      </c>
      <c r="G194" s="408">
        <v>1</v>
      </c>
      <c r="H194" s="408">
        <v>51.370800000000003</v>
      </c>
      <c r="I194" s="408">
        <v>7.9799899999999999</v>
      </c>
      <c r="J194" s="408">
        <v>-16.500399999999999</v>
      </c>
      <c r="K194" s="408">
        <v>-15.6576</v>
      </c>
      <c r="L194" s="408">
        <v>1001.2</v>
      </c>
      <c r="M194" s="408">
        <v>117.49890000000001</v>
      </c>
      <c r="N194" s="408">
        <v>17745.95</v>
      </c>
      <c r="O194" s="408">
        <v>17753.16</v>
      </c>
      <c r="P194" s="410">
        <v>2063.4209999999998</v>
      </c>
      <c r="Q194" s="410">
        <f t="shared" si="14"/>
        <v>2054.9725036127165</v>
      </c>
      <c r="R194" s="410">
        <f t="shared" si="19"/>
        <v>4.5391506101479226</v>
      </c>
      <c r="S194" s="396">
        <f t="shared" si="16"/>
        <v>2059.5116542228643</v>
      </c>
      <c r="T194" s="408" t="s">
        <v>532</v>
      </c>
      <c r="U194" s="408">
        <v>15</v>
      </c>
      <c r="V194" s="408">
        <v>5</v>
      </c>
      <c r="W194" s="408">
        <v>0.7</v>
      </c>
      <c r="X194" s="408">
        <v>0.7</v>
      </c>
      <c r="Y194" s="408">
        <v>0.7</v>
      </c>
      <c r="Z194" s="411">
        <v>1700</v>
      </c>
      <c r="AA194" s="411" t="s">
        <v>533</v>
      </c>
      <c r="AB194" s="411">
        <v>0.85</v>
      </c>
      <c r="AC194" s="411" t="s">
        <v>534</v>
      </c>
      <c r="AD194" s="411" t="s">
        <v>535</v>
      </c>
      <c r="AE194" s="411">
        <v>220</v>
      </c>
      <c r="AF194" s="398" t="s">
        <v>691</v>
      </c>
      <c r="AG194" s="398"/>
    </row>
    <row r="195" spans="1:33" ht="15.75">
      <c r="A195" s="408" t="s">
        <v>619</v>
      </c>
      <c r="B195" s="408">
        <v>12</v>
      </c>
      <c r="C195" s="408">
        <v>248</v>
      </c>
      <c r="D195" s="408" t="s">
        <v>561</v>
      </c>
      <c r="E195" s="408">
        <v>1.5</v>
      </c>
      <c r="F195" s="409">
        <v>45330.574999999997</v>
      </c>
      <c r="G195" s="408">
        <v>1</v>
      </c>
      <c r="H195" s="408">
        <v>51.377400000000002</v>
      </c>
      <c r="I195" s="408">
        <v>7.8838999999999997</v>
      </c>
      <c r="J195" s="408">
        <v>-16.484999999999999</v>
      </c>
      <c r="K195" s="408">
        <v>-15.6455</v>
      </c>
      <c r="L195" s="408">
        <v>979.39499999999998</v>
      </c>
      <c r="M195" s="408">
        <v>196.49889999999999</v>
      </c>
      <c r="N195" s="408">
        <v>17743.11</v>
      </c>
      <c r="O195" s="408">
        <v>17753.16</v>
      </c>
      <c r="P195" s="410">
        <v>2063.4209999999998</v>
      </c>
      <c r="Q195" s="410">
        <f t="shared" si="14"/>
        <v>2054.9725036127165</v>
      </c>
      <c r="R195" s="410">
        <f t="shared" si="19"/>
        <v>4.5391506101479226</v>
      </c>
      <c r="S195" s="396">
        <f t="shared" si="16"/>
        <v>2059.5116542228643</v>
      </c>
      <c r="T195" s="408" t="s">
        <v>532</v>
      </c>
      <c r="U195" s="408">
        <v>15</v>
      </c>
      <c r="V195" s="408">
        <v>5</v>
      </c>
      <c r="W195" s="408">
        <v>0.7</v>
      </c>
      <c r="X195" s="408">
        <v>0.7</v>
      </c>
      <c r="Y195" s="408">
        <v>0.7</v>
      </c>
      <c r="Z195" s="411">
        <v>1700</v>
      </c>
      <c r="AA195" s="411" t="s">
        <v>533</v>
      </c>
      <c r="AB195" s="411">
        <v>0.85</v>
      </c>
      <c r="AC195" s="411" t="s">
        <v>534</v>
      </c>
      <c r="AD195" s="411" t="s">
        <v>535</v>
      </c>
      <c r="AE195" s="411">
        <v>220</v>
      </c>
      <c r="AF195" s="398" t="s">
        <v>691</v>
      </c>
      <c r="AG195" s="398"/>
    </row>
    <row r="196" spans="1:33" ht="15.75">
      <c r="A196" s="408" t="s">
        <v>620</v>
      </c>
      <c r="B196" s="408">
        <v>12</v>
      </c>
      <c r="C196" s="408">
        <v>248</v>
      </c>
      <c r="D196" s="408" t="s">
        <v>561</v>
      </c>
      <c r="E196" s="408">
        <v>1.5</v>
      </c>
      <c r="F196" s="409">
        <v>45330.57916666667</v>
      </c>
      <c r="G196" s="408">
        <v>1</v>
      </c>
      <c r="H196" s="408">
        <v>51.374099999999999</v>
      </c>
      <c r="I196" s="408">
        <v>7.8875400000000004</v>
      </c>
      <c r="J196" s="408">
        <v>-16.7425</v>
      </c>
      <c r="K196" s="408">
        <v>-15.893000000000001</v>
      </c>
      <c r="L196" s="408">
        <v>976.44200000000001</v>
      </c>
      <c r="M196" s="408">
        <v>124</v>
      </c>
      <c r="N196" s="408">
        <v>17796.71</v>
      </c>
      <c r="O196" s="408">
        <v>17753.16</v>
      </c>
      <c r="P196" s="410">
        <v>2063.4209999999998</v>
      </c>
      <c r="Q196" s="410">
        <f t="shared" si="14"/>
        <v>2054.9725036127165</v>
      </c>
      <c r="R196" s="410">
        <f t="shared" si="19"/>
        <v>4.5391506101479226</v>
      </c>
      <c r="S196" s="396">
        <f t="shared" si="16"/>
        <v>2059.5116542228643</v>
      </c>
      <c r="T196" s="408" t="s">
        <v>542</v>
      </c>
      <c r="U196" s="408">
        <v>15</v>
      </c>
      <c r="V196" s="408">
        <v>5</v>
      </c>
      <c r="W196" s="408">
        <v>0.7</v>
      </c>
      <c r="X196" s="408">
        <v>0.7</v>
      </c>
      <c r="Y196" s="408">
        <v>0.7</v>
      </c>
      <c r="Z196" s="411">
        <v>1700</v>
      </c>
      <c r="AA196" s="411" t="s">
        <v>533</v>
      </c>
      <c r="AB196" s="411">
        <v>0.85</v>
      </c>
      <c r="AC196" s="411" t="s">
        <v>534</v>
      </c>
      <c r="AD196" s="411" t="s">
        <v>535</v>
      </c>
      <c r="AE196" s="411">
        <v>220</v>
      </c>
      <c r="AF196" s="398" t="s">
        <v>691</v>
      </c>
      <c r="AG196" s="398"/>
    </row>
    <row r="197" spans="1:33" ht="15.75">
      <c r="A197" s="408" t="s">
        <v>705</v>
      </c>
      <c r="B197" s="408">
        <v>12</v>
      </c>
      <c r="C197" s="408">
        <v>248</v>
      </c>
      <c r="D197" s="408" t="s">
        <v>561</v>
      </c>
      <c r="E197" s="408">
        <v>1.5</v>
      </c>
      <c r="F197" s="409">
        <v>45330.582638888889</v>
      </c>
      <c r="G197" s="408">
        <v>1</v>
      </c>
      <c r="H197" s="408">
        <v>51.370800000000003</v>
      </c>
      <c r="I197" s="408">
        <v>7.8946800000000001</v>
      </c>
      <c r="J197" s="408">
        <v>-16.621700000000001</v>
      </c>
      <c r="K197" s="408">
        <v>-15.7814</v>
      </c>
      <c r="L197" s="408">
        <v>981.851</v>
      </c>
      <c r="M197" s="408">
        <v>142.00020000000001</v>
      </c>
      <c r="N197" s="408">
        <v>17710.3</v>
      </c>
      <c r="O197" s="408">
        <v>17753.16</v>
      </c>
      <c r="P197" s="410">
        <v>2063.4209999999998</v>
      </c>
      <c r="Q197" s="410">
        <f t="shared" si="14"/>
        <v>2054.9725036127165</v>
      </c>
      <c r="R197" s="410">
        <f t="shared" si="19"/>
        <v>4.5391506101479226</v>
      </c>
      <c r="S197" s="396">
        <f t="shared" si="16"/>
        <v>2059.5116542228643</v>
      </c>
      <c r="T197" s="408" t="s">
        <v>542</v>
      </c>
      <c r="U197" s="408">
        <v>15</v>
      </c>
      <c r="V197" s="408">
        <v>5</v>
      </c>
      <c r="W197" s="408">
        <v>0.7</v>
      </c>
      <c r="X197" s="408">
        <v>0.7</v>
      </c>
      <c r="Y197" s="408">
        <v>0.7</v>
      </c>
      <c r="Z197" s="411">
        <v>1700</v>
      </c>
      <c r="AA197" s="411" t="s">
        <v>533</v>
      </c>
      <c r="AB197" s="411">
        <v>0.85</v>
      </c>
      <c r="AC197" s="411" t="s">
        <v>534</v>
      </c>
      <c r="AD197" s="411" t="s">
        <v>535</v>
      </c>
      <c r="AE197" s="411">
        <v>220</v>
      </c>
      <c r="AF197" s="398" t="s">
        <v>691</v>
      </c>
      <c r="AG197" s="398"/>
    </row>
    <row r="198" spans="1:33" ht="15.75">
      <c r="A198" s="408" t="s">
        <v>706</v>
      </c>
      <c r="B198" s="408">
        <v>12</v>
      </c>
      <c r="C198" s="408">
        <v>248</v>
      </c>
      <c r="D198" s="408" t="s">
        <v>561</v>
      </c>
      <c r="E198" s="408">
        <v>1.5</v>
      </c>
      <c r="F198" s="409">
        <v>45330.586805555555</v>
      </c>
      <c r="G198" s="408">
        <v>1</v>
      </c>
      <c r="H198" s="408">
        <v>51.370800000000003</v>
      </c>
      <c r="I198" s="408">
        <v>7.8933999999999997</v>
      </c>
      <c r="J198" s="408">
        <v>-16.645900000000001</v>
      </c>
      <c r="K198" s="408">
        <v>-15.7973</v>
      </c>
      <c r="L198" s="408">
        <v>988.48800000000006</v>
      </c>
      <c r="M198" s="408">
        <v>118.0003</v>
      </c>
      <c r="N198" s="408">
        <v>17770.419999999998</v>
      </c>
      <c r="O198" s="408">
        <v>17753.16</v>
      </c>
      <c r="P198" s="410">
        <v>2063.4209999999998</v>
      </c>
      <c r="Q198" s="410">
        <f t="shared" si="14"/>
        <v>2054.9725036127165</v>
      </c>
      <c r="R198" s="410">
        <f t="shared" si="19"/>
        <v>4.5391506101479226</v>
      </c>
      <c r="S198" s="396">
        <f t="shared" si="16"/>
        <v>2059.5116542228643</v>
      </c>
      <c r="T198" s="408" t="s">
        <v>532</v>
      </c>
      <c r="U198" s="408">
        <v>15</v>
      </c>
      <c r="V198" s="408">
        <v>5</v>
      </c>
      <c r="W198" s="408">
        <v>0.7</v>
      </c>
      <c r="X198" s="408">
        <v>0.7</v>
      </c>
      <c r="Y198" s="408">
        <v>0.7</v>
      </c>
      <c r="Z198" s="411">
        <v>1700</v>
      </c>
      <c r="AA198" s="411" t="s">
        <v>533</v>
      </c>
      <c r="AB198" s="411">
        <v>0.85</v>
      </c>
      <c r="AC198" s="411" t="s">
        <v>534</v>
      </c>
      <c r="AD198" s="411" t="s">
        <v>535</v>
      </c>
      <c r="AE198" s="411">
        <v>220</v>
      </c>
      <c r="AF198" s="398" t="s">
        <v>691</v>
      </c>
      <c r="AG198" s="398"/>
    </row>
    <row r="199" spans="1:33" ht="15.75">
      <c r="A199" s="408" t="s">
        <v>621</v>
      </c>
      <c r="B199" s="408">
        <v>13</v>
      </c>
      <c r="C199" s="408">
        <v>249</v>
      </c>
      <c r="D199" s="408" t="s">
        <v>565</v>
      </c>
      <c r="E199" s="408">
        <v>1.5</v>
      </c>
      <c r="F199" s="409">
        <v>45330.59097222222</v>
      </c>
      <c r="G199" s="408">
        <v>1</v>
      </c>
      <c r="H199" s="408">
        <v>51.374099999999999</v>
      </c>
      <c r="I199" s="408">
        <v>7.9241999999999999</v>
      </c>
      <c r="J199" s="408">
        <v>-16.595400000000001</v>
      </c>
      <c r="K199" s="408">
        <v>-15.761200000000001</v>
      </c>
      <c r="L199" s="408">
        <v>985.52599999999995</v>
      </c>
      <c r="M199" s="408">
        <v>112.50069999999999</v>
      </c>
      <c r="N199" s="408">
        <v>17928.45</v>
      </c>
      <c r="O199" s="408">
        <v>17865.43</v>
      </c>
      <c r="P199" s="410">
        <v>2076.4639999999999</v>
      </c>
      <c r="Q199" s="410">
        <f t="shared" si="14"/>
        <v>2067.9621001926785</v>
      </c>
      <c r="R199" s="410">
        <f t="shared" si="19"/>
        <v>4.3661950064227613</v>
      </c>
      <c r="S199" s="396">
        <f t="shared" si="16"/>
        <v>2072.3282951991014</v>
      </c>
      <c r="T199" s="408" t="s">
        <v>542</v>
      </c>
      <c r="U199" s="408">
        <v>15</v>
      </c>
      <c r="V199" s="408">
        <v>5</v>
      </c>
      <c r="W199" s="408">
        <v>0.7</v>
      </c>
      <c r="X199" s="408">
        <v>0.7</v>
      </c>
      <c r="Y199" s="408">
        <v>0.7</v>
      </c>
      <c r="Z199" s="411">
        <v>1700</v>
      </c>
      <c r="AA199" s="411" t="s">
        <v>533</v>
      </c>
      <c r="AB199" s="411">
        <v>0.85</v>
      </c>
      <c r="AC199" s="411" t="s">
        <v>534</v>
      </c>
      <c r="AD199" s="411" t="s">
        <v>535</v>
      </c>
      <c r="AE199" s="411">
        <v>220</v>
      </c>
      <c r="AF199" s="398" t="s">
        <v>691</v>
      </c>
      <c r="AG199" s="398"/>
    </row>
    <row r="200" spans="1:33" ht="15.75">
      <c r="A200" s="408" t="s">
        <v>622</v>
      </c>
      <c r="B200" s="408">
        <v>13</v>
      </c>
      <c r="C200" s="408">
        <v>249</v>
      </c>
      <c r="D200" s="408" t="s">
        <v>565</v>
      </c>
      <c r="E200" s="408">
        <v>1.5</v>
      </c>
      <c r="F200" s="409">
        <v>45330.594444444447</v>
      </c>
      <c r="G200" s="408">
        <v>1</v>
      </c>
      <c r="H200" s="408">
        <v>51.374099999999999</v>
      </c>
      <c r="I200" s="408">
        <v>7.9635699999999998</v>
      </c>
      <c r="J200" s="408">
        <v>-16.584800000000001</v>
      </c>
      <c r="K200" s="408">
        <v>-15.751200000000001</v>
      </c>
      <c r="L200" s="408">
        <v>996.64400000000001</v>
      </c>
      <c r="M200" s="408">
        <v>157.9999</v>
      </c>
      <c r="N200" s="408">
        <v>17867.240000000002</v>
      </c>
      <c r="O200" s="408">
        <v>17865.43</v>
      </c>
      <c r="P200" s="410">
        <v>2076.4639999999999</v>
      </c>
      <c r="Q200" s="410">
        <f t="shared" si="14"/>
        <v>2067.9621001926785</v>
      </c>
      <c r="R200" s="410">
        <f t="shared" si="19"/>
        <v>4.3661950064227613</v>
      </c>
      <c r="S200" s="396">
        <f t="shared" si="16"/>
        <v>2072.3282951991014</v>
      </c>
      <c r="T200" s="408" t="s">
        <v>532</v>
      </c>
      <c r="U200" s="408">
        <v>15</v>
      </c>
      <c r="V200" s="408">
        <v>5</v>
      </c>
      <c r="W200" s="408">
        <v>0.7</v>
      </c>
      <c r="X200" s="408">
        <v>0.7</v>
      </c>
      <c r="Y200" s="408">
        <v>0.7</v>
      </c>
      <c r="Z200" s="411">
        <v>1700</v>
      </c>
      <c r="AA200" s="411" t="s">
        <v>533</v>
      </c>
      <c r="AB200" s="411">
        <v>0.85</v>
      </c>
      <c r="AC200" s="411" t="s">
        <v>534</v>
      </c>
      <c r="AD200" s="411" t="s">
        <v>535</v>
      </c>
      <c r="AE200" s="411">
        <v>220</v>
      </c>
      <c r="AF200" s="398" t="s">
        <v>691</v>
      </c>
      <c r="AG200" s="398"/>
    </row>
    <row r="201" spans="1:33" ht="15.75">
      <c r="A201" s="408" t="s">
        <v>623</v>
      </c>
      <c r="B201" s="408">
        <v>13</v>
      </c>
      <c r="C201" s="408">
        <v>249</v>
      </c>
      <c r="D201" s="408" t="s">
        <v>565</v>
      </c>
      <c r="E201" s="408">
        <v>1.5</v>
      </c>
      <c r="F201" s="409">
        <v>45330.597916666666</v>
      </c>
      <c r="G201" s="408">
        <v>1</v>
      </c>
      <c r="H201" s="408">
        <v>51.374099999999999</v>
      </c>
      <c r="I201" s="408">
        <v>7.8450300000000004</v>
      </c>
      <c r="J201" s="408">
        <v>-16.541499999999999</v>
      </c>
      <c r="K201" s="408">
        <v>-15.737299999999999</v>
      </c>
      <c r="L201" s="408">
        <v>994.58199999999999</v>
      </c>
      <c r="M201" s="408">
        <v>151.49950000000001</v>
      </c>
      <c r="N201" s="408">
        <v>17937.64</v>
      </c>
      <c r="O201" s="408">
        <v>17865.43</v>
      </c>
      <c r="P201" s="410">
        <v>2076.4639999999999</v>
      </c>
      <c r="Q201" s="410">
        <f t="shared" si="14"/>
        <v>2067.9621001926785</v>
      </c>
      <c r="R201" s="410">
        <f t="shared" si="19"/>
        <v>4.3661950064227613</v>
      </c>
      <c r="S201" s="396">
        <f t="shared" si="16"/>
        <v>2072.3282951991014</v>
      </c>
      <c r="T201" s="408" t="s">
        <v>542</v>
      </c>
      <c r="U201" s="408">
        <v>15</v>
      </c>
      <c r="V201" s="408">
        <v>5</v>
      </c>
      <c r="W201" s="408">
        <v>0.7</v>
      </c>
      <c r="X201" s="408">
        <v>0.7</v>
      </c>
      <c r="Y201" s="408">
        <v>0.7</v>
      </c>
      <c r="Z201" s="411">
        <v>1700</v>
      </c>
      <c r="AA201" s="411" t="s">
        <v>533</v>
      </c>
      <c r="AB201" s="411">
        <v>0.85</v>
      </c>
      <c r="AC201" s="411" t="s">
        <v>534</v>
      </c>
      <c r="AD201" s="411" t="s">
        <v>535</v>
      </c>
      <c r="AE201" s="411">
        <v>220</v>
      </c>
      <c r="AF201" s="398" t="s">
        <v>691</v>
      </c>
      <c r="AG201" s="398"/>
    </row>
    <row r="202" spans="1:33" ht="15.75">
      <c r="A202" s="408" t="s">
        <v>624</v>
      </c>
      <c r="B202" s="408">
        <v>13</v>
      </c>
      <c r="C202" s="408">
        <v>249</v>
      </c>
      <c r="D202" s="408" t="s">
        <v>565</v>
      </c>
      <c r="E202" s="408">
        <v>1.5</v>
      </c>
      <c r="F202" s="409">
        <v>45330.602083333331</v>
      </c>
      <c r="G202" s="408">
        <v>1</v>
      </c>
      <c r="H202" s="408">
        <v>51.377400000000002</v>
      </c>
      <c r="I202" s="408">
        <v>7.8582000000000001</v>
      </c>
      <c r="J202" s="408">
        <v>-16.604700000000001</v>
      </c>
      <c r="K202" s="408">
        <v>-15.7666</v>
      </c>
      <c r="L202" s="408">
        <v>990.70100000000002</v>
      </c>
      <c r="M202" s="408">
        <v>116.9996</v>
      </c>
      <c r="N202" s="408">
        <v>17867.189999999999</v>
      </c>
      <c r="O202" s="408">
        <v>17865.43</v>
      </c>
      <c r="P202" s="410">
        <v>2076.4639999999999</v>
      </c>
      <c r="Q202" s="410">
        <f t="shared" si="14"/>
        <v>2067.9621001926785</v>
      </c>
      <c r="R202" s="410">
        <f t="shared" si="19"/>
        <v>4.3661950064227613</v>
      </c>
      <c r="S202" s="396">
        <f t="shared" si="16"/>
        <v>2072.3282951991014</v>
      </c>
      <c r="T202" s="408" t="s">
        <v>532</v>
      </c>
      <c r="U202" s="408">
        <v>15</v>
      </c>
      <c r="V202" s="408">
        <v>5</v>
      </c>
      <c r="W202" s="408">
        <v>0.7</v>
      </c>
      <c r="X202" s="408">
        <v>0.7</v>
      </c>
      <c r="Y202" s="408">
        <v>0.7</v>
      </c>
      <c r="Z202" s="411">
        <v>1700</v>
      </c>
      <c r="AA202" s="411" t="s">
        <v>533</v>
      </c>
      <c r="AB202" s="411">
        <v>0.85</v>
      </c>
      <c r="AC202" s="411" t="s">
        <v>534</v>
      </c>
      <c r="AD202" s="411" t="s">
        <v>535</v>
      </c>
      <c r="AE202" s="411">
        <v>220</v>
      </c>
      <c r="AF202" s="398" t="s">
        <v>691</v>
      </c>
      <c r="AG202" s="398"/>
    </row>
    <row r="203" spans="1:33" ht="15.75">
      <c r="A203" s="408" t="s">
        <v>707</v>
      </c>
      <c r="B203" s="408">
        <v>13</v>
      </c>
      <c r="C203" s="408">
        <v>249</v>
      </c>
      <c r="D203" s="408" t="s">
        <v>565</v>
      </c>
      <c r="E203" s="408">
        <v>1.5</v>
      </c>
      <c r="F203" s="409">
        <v>45330.605555555558</v>
      </c>
      <c r="G203" s="408">
        <v>1</v>
      </c>
      <c r="H203" s="408">
        <v>51.377400000000002</v>
      </c>
      <c r="I203" s="408">
        <v>7.8915899999999999</v>
      </c>
      <c r="J203" s="408">
        <v>-16.474699999999999</v>
      </c>
      <c r="K203" s="408">
        <v>-15.638299999999999</v>
      </c>
      <c r="L203" s="408">
        <v>997.17499999999995</v>
      </c>
      <c r="M203" s="408">
        <v>115.5003</v>
      </c>
      <c r="N203" s="408">
        <v>17861.849999999999</v>
      </c>
      <c r="O203" s="408">
        <v>17865.43</v>
      </c>
      <c r="P203" s="410">
        <v>2076.4639999999999</v>
      </c>
      <c r="Q203" s="410">
        <f t="shared" si="14"/>
        <v>2067.9621001926785</v>
      </c>
      <c r="R203" s="410">
        <f t="shared" si="19"/>
        <v>4.3661950064227613</v>
      </c>
      <c r="S203" s="396">
        <f t="shared" si="16"/>
        <v>2072.3282951991014</v>
      </c>
      <c r="T203" s="408" t="s">
        <v>532</v>
      </c>
      <c r="U203" s="408">
        <v>15</v>
      </c>
      <c r="V203" s="408">
        <v>5</v>
      </c>
      <c r="W203" s="408">
        <v>0.7</v>
      </c>
      <c r="X203" s="408">
        <v>0.7</v>
      </c>
      <c r="Y203" s="408">
        <v>0.7</v>
      </c>
      <c r="Z203" s="411">
        <v>1700</v>
      </c>
      <c r="AA203" s="411" t="s">
        <v>533</v>
      </c>
      <c r="AB203" s="411">
        <v>0.85</v>
      </c>
      <c r="AC203" s="411" t="s">
        <v>534</v>
      </c>
      <c r="AD203" s="411" t="s">
        <v>535</v>
      </c>
      <c r="AE203" s="411">
        <v>220</v>
      </c>
      <c r="AF203" s="398" t="s">
        <v>691</v>
      </c>
      <c r="AG203" s="398"/>
    </row>
    <row r="204" spans="1:33" ht="15.75">
      <c r="A204" s="408" t="s">
        <v>625</v>
      </c>
      <c r="B204" s="408">
        <v>14</v>
      </c>
      <c r="C204" s="408">
        <v>196</v>
      </c>
      <c r="D204" s="408" t="s">
        <v>569</v>
      </c>
      <c r="E204" s="408">
        <v>1.5</v>
      </c>
      <c r="F204" s="409">
        <v>45330.609722222223</v>
      </c>
      <c r="G204" s="408">
        <v>1</v>
      </c>
      <c r="H204" s="408">
        <v>51.370800000000003</v>
      </c>
      <c r="I204" s="408">
        <v>7.8833200000000003</v>
      </c>
      <c r="J204" s="408">
        <v>-16.5381</v>
      </c>
      <c r="K204" s="408">
        <v>-15.6906</v>
      </c>
      <c r="L204" s="408">
        <v>993.93200000000002</v>
      </c>
      <c r="M204" s="408">
        <v>115.5</v>
      </c>
      <c r="N204" s="408">
        <v>17743.39</v>
      </c>
      <c r="O204" s="408">
        <v>17750.72</v>
      </c>
      <c r="P204" s="410">
        <v>2063.1370000000002</v>
      </c>
      <c r="Q204" s="410">
        <f t="shared" si="14"/>
        <v>2054.6896664258193</v>
      </c>
      <c r="R204" s="410">
        <f t="shared" si="19"/>
        <v>4.1932394026975999</v>
      </c>
      <c r="S204" s="396">
        <f t="shared" si="16"/>
        <v>2058.8829058285169</v>
      </c>
      <c r="T204" s="408" t="s">
        <v>532</v>
      </c>
      <c r="U204" s="408">
        <v>15</v>
      </c>
      <c r="V204" s="408">
        <v>5</v>
      </c>
      <c r="W204" s="408">
        <v>0.7</v>
      </c>
      <c r="X204" s="408">
        <v>0.7</v>
      </c>
      <c r="Y204" s="408">
        <v>0.7</v>
      </c>
      <c r="Z204" s="411">
        <v>1700</v>
      </c>
      <c r="AA204" s="411" t="s">
        <v>533</v>
      </c>
      <c r="AB204" s="411">
        <v>0.85</v>
      </c>
      <c r="AC204" s="411" t="s">
        <v>534</v>
      </c>
      <c r="AD204" s="411" t="s">
        <v>535</v>
      </c>
      <c r="AE204" s="411">
        <v>220</v>
      </c>
      <c r="AF204" s="398" t="s">
        <v>691</v>
      </c>
      <c r="AG204" s="398"/>
    </row>
    <row r="205" spans="1:33" ht="15.75">
      <c r="A205" s="408" t="s">
        <v>626</v>
      </c>
      <c r="B205" s="408">
        <v>14</v>
      </c>
      <c r="C205" s="408">
        <v>196</v>
      </c>
      <c r="D205" s="408" t="s">
        <v>569</v>
      </c>
      <c r="E205" s="408">
        <v>1.5</v>
      </c>
      <c r="F205" s="409">
        <v>45330.613194444442</v>
      </c>
      <c r="G205" s="408">
        <v>1</v>
      </c>
      <c r="H205" s="408">
        <v>51.370800000000003</v>
      </c>
      <c r="I205" s="408">
        <v>7.9306900000000002</v>
      </c>
      <c r="J205" s="408">
        <v>-16.557500000000001</v>
      </c>
      <c r="K205" s="408">
        <v>-15.821400000000001</v>
      </c>
      <c r="L205" s="408">
        <v>988.99599999999998</v>
      </c>
      <c r="M205" s="408">
        <v>152.4991</v>
      </c>
      <c r="N205" s="408">
        <v>17752.849999999999</v>
      </c>
      <c r="O205" s="408">
        <v>17750.72</v>
      </c>
      <c r="P205" s="410">
        <v>2063.1370000000002</v>
      </c>
      <c r="Q205" s="410">
        <f t="shared" si="14"/>
        <v>2054.6896664258193</v>
      </c>
      <c r="R205" s="410">
        <f t="shared" si="19"/>
        <v>4.1932394026975999</v>
      </c>
      <c r="S205" s="396">
        <f t="shared" si="16"/>
        <v>2058.8829058285169</v>
      </c>
      <c r="T205" s="408" t="s">
        <v>532</v>
      </c>
      <c r="U205" s="408">
        <v>15</v>
      </c>
      <c r="V205" s="408">
        <v>5</v>
      </c>
      <c r="W205" s="408">
        <v>0.7</v>
      </c>
      <c r="X205" s="408">
        <v>0.7</v>
      </c>
      <c r="Y205" s="408">
        <v>0.7</v>
      </c>
      <c r="Z205" s="411">
        <v>1700</v>
      </c>
      <c r="AA205" s="411" t="s">
        <v>533</v>
      </c>
      <c r="AB205" s="411">
        <v>0.85</v>
      </c>
      <c r="AC205" s="411" t="s">
        <v>534</v>
      </c>
      <c r="AD205" s="411" t="s">
        <v>535</v>
      </c>
      <c r="AE205" s="411">
        <v>220</v>
      </c>
      <c r="AF205" s="398" t="s">
        <v>691</v>
      </c>
      <c r="AG205" s="398"/>
    </row>
    <row r="206" spans="1:33" ht="15.75">
      <c r="A206" s="408" t="s">
        <v>627</v>
      </c>
      <c r="B206" s="408">
        <v>14</v>
      </c>
      <c r="C206" s="408">
        <v>196</v>
      </c>
      <c r="D206" s="408" t="s">
        <v>569</v>
      </c>
      <c r="E206" s="408">
        <v>1.5</v>
      </c>
      <c r="F206" s="409">
        <v>45330.617361111108</v>
      </c>
      <c r="G206" s="408">
        <v>1</v>
      </c>
      <c r="H206" s="408">
        <v>51.380699999999997</v>
      </c>
      <c r="I206" s="408">
        <v>7.8667400000000001</v>
      </c>
      <c r="J206" s="408">
        <v>-16.591699999999999</v>
      </c>
      <c r="K206" s="408">
        <v>-15.757300000000001</v>
      </c>
      <c r="L206" s="408">
        <v>990.50900000000001</v>
      </c>
      <c r="M206" s="408">
        <v>124.9984</v>
      </c>
      <c r="N206" s="408">
        <v>17755.91</v>
      </c>
      <c r="O206" s="408">
        <v>17750.72</v>
      </c>
      <c r="P206" s="410">
        <v>2063.1370000000002</v>
      </c>
      <c r="Q206" s="410">
        <f t="shared" si="14"/>
        <v>2054.6896664258193</v>
      </c>
      <c r="R206" s="410">
        <f t="shared" si="19"/>
        <v>4.1932394026975999</v>
      </c>
      <c r="S206" s="396">
        <f t="shared" si="16"/>
        <v>2058.8829058285169</v>
      </c>
      <c r="T206" s="408" t="s">
        <v>532</v>
      </c>
      <c r="U206" s="408">
        <v>15</v>
      </c>
      <c r="V206" s="408">
        <v>5</v>
      </c>
      <c r="W206" s="408">
        <v>0.7</v>
      </c>
      <c r="X206" s="408">
        <v>0.7</v>
      </c>
      <c r="Y206" s="408">
        <v>0.7</v>
      </c>
      <c r="Z206" s="411">
        <v>1700</v>
      </c>
      <c r="AA206" s="411" t="s">
        <v>533</v>
      </c>
      <c r="AB206" s="411">
        <v>0.85</v>
      </c>
      <c r="AC206" s="411" t="s">
        <v>534</v>
      </c>
      <c r="AD206" s="411" t="s">
        <v>535</v>
      </c>
      <c r="AE206" s="411">
        <v>220</v>
      </c>
      <c r="AF206" s="398" t="s">
        <v>691</v>
      </c>
      <c r="AG206" s="398"/>
    </row>
    <row r="207" spans="1:33" ht="15.75">
      <c r="A207" s="408" t="s">
        <v>629</v>
      </c>
      <c r="B207" s="408">
        <v>15</v>
      </c>
      <c r="C207" s="408">
        <v>197</v>
      </c>
      <c r="D207" s="408" t="s">
        <v>575</v>
      </c>
      <c r="E207" s="408">
        <v>1.5</v>
      </c>
      <c r="F207" s="409">
        <v>45330.621527777781</v>
      </c>
      <c r="G207" s="408">
        <v>1</v>
      </c>
      <c r="H207" s="408">
        <v>51.374099999999999</v>
      </c>
      <c r="I207" s="408">
        <v>7.8403099999999997</v>
      </c>
      <c r="J207" s="408">
        <v>-16.534300000000002</v>
      </c>
      <c r="K207" s="408">
        <v>-15.688800000000001</v>
      </c>
      <c r="L207" s="408">
        <v>982.10400000000004</v>
      </c>
      <c r="M207" s="408">
        <v>116.4982</v>
      </c>
      <c r="N207" s="408">
        <v>17792.419999999998</v>
      </c>
      <c r="O207" s="408">
        <v>17803.84</v>
      </c>
      <c r="P207" s="410">
        <v>2069.3069999999998</v>
      </c>
      <c r="Q207" s="410">
        <f t="shared" si="14"/>
        <v>2060.8344039017338</v>
      </c>
      <c r="R207" s="410">
        <f t="shared" si="19"/>
        <v>4.0202837989724385</v>
      </c>
      <c r="S207" s="396">
        <f t="shared" si="16"/>
        <v>2064.8546877007061</v>
      </c>
      <c r="T207" s="408" t="s">
        <v>532</v>
      </c>
      <c r="U207" s="408">
        <v>15</v>
      </c>
      <c r="V207" s="408">
        <v>5</v>
      </c>
      <c r="W207" s="408">
        <v>0.7</v>
      </c>
      <c r="X207" s="408">
        <v>0.7</v>
      </c>
      <c r="Y207" s="408">
        <v>0.7</v>
      </c>
      <c r="Z207" s="411">
        <v>1700</v>
      </c>
      <c r="AA207" s="411" t="s">
        <v>533</v>
      </c>
      <c r="AB207" s="411">
        <v>0.85</v>
      </c>
      <c r="AC207" s="411" t="s">
        <v>534</v>
      </c>
      <c r="AD207" s="411" t="s">
        <v>535</v>
      </c>
      <c r="AE207" s="411">
        <v>220</v>
      </c>
      <c r="AF207" s="398" t="s">
        <v>691</v>
      </c>
      <c r="AG207" s="398"/>
    </row>
    <row r="208" spans="1:33" ht="15.75">
      <c r="A208" s="408" t="s">
        <v>630</v>
      </c>
      <c r="B208" s="408">
        <v>15</v>
      </c>
      <c r="C208" s="408">
        <v>197</v>
      </c>
      <c r="D208" s="408" t="s">
        <v>575</v>
      </c>
      <c r="E208" s="408">
        <v>1.5</v>
      </c>
      <c r="F208" s="409">
        <v>45330.625</v>
      </c>
      <c r="G208" s="408">
        <v>1</v>
      </c>
      <c r="H208" s="408">
        <v>51.370800000000003</v>
      </c>
      <c r="I208" s="408">
        <v>7.8521200000000002</v>
      </c>
      <c r="J208" s="408">
        <v>-16.432500000000001</v>
      </c>
      <c r="K208" s="408">
        <v>-15.5854</v>
      </c>
      <c r="L208" s="408">
        <v>988.73900000000003</v>
      </c>
      <c r="M208" s="408">
        <v>116.5008</v>
      </c>
      <c r="N208" s="408">
        <v>17802.150000000001</v>
      </c>
      <c r="O208" s="408">
        <v>17803.84</v>
      </c>
      <c r="P208" s="410">
        <v>2069.3069999999998</v>
      </c>
      <c r="Q208" s="410">
        <f t="shared" si="14"/>
        <v>2060.8344039017338</v>
      </c>
      <c r="R208" s="410">
        <f t="shared" si="19"/>
        <v>4.0202837989724385</v>
      </c>
      <c r="S208" s="396">
        <f t="shared" si="16"/>
        <v>2064.8546877007061</v>
      </c>
      <c r="T208" s="408" t="s">
        <v>532</v>
      </c>
      <c r="U208" s="408">
        <v>15</v>
      </c>
      <c r="V208" s="408">
        <v>5</v>
      </c>
      <c r="W208" s="408">
        <v>0.7</v>
      </c>
      <c r="X208" s="408">
        <v>0.7</v>
      </c>
      <c r="Y208" s="408">
        <v>0.7</v>
      </c>
      <c r="Z208" s="411">
        <v>1700</v>
      </c>
      <c r="AA208" s="411" t="s">
        <v>533</v>
      </c>
      <c r="AB208" s="411">
        <v>0.85</v>
      </c>
      <c r="AC208" s="411" t="s">
        <v>534</v>
      </c>
      <c r="AD208" s="411" t="s">
        <v>535</v>
      </c>
      <c r="AE208" s="411">
        <v>220</v>
      </c>
      <c r="AF208" s="398" t="s">
        <v>691</v>
      </c>
      <c r="AG208" s="398"/>
    </row>
    <row r="209" spans="1:33" ht="15.75">
      <c r="A209" s="408" t="s">
        <v>631</v>
      </c>
      <c r="B209" s="408">
        <v>15</v>
      </c>
      <c r="C209" s="408">
        <v>197</v>
      </c>
      <c r="D209" s="408" t="s">
        <v>575</v>
      </c>
      <c r="E209" s="408">
        <v>1.5</v>
      </c>
      <c r="F209" s="409">
        <v>45330.628472222219</v>
      </c>
      <c r="G209" s="408">
        <v>1</v>
      </c>
      <c r="H209" s="408">
        <v>51.374099999999999</v>
      </c>
      <c r="I209" s="408">
        <v>7.7608600000000001</v>
      </c>
      <c r="J209" s="408">
        <v>-16.466000000000001</v>
      </c>
      <c r="K209" s="408">
        <v>-15.6205</v>
      </c>
      <c r="L209" s="408">
        <v>988.48800000000006</v>
      </c>
      <c r="M209" s="408">
        <v>118.99939999999999</v>
      </c>
      <c r="N209" s="408">
        <v>17816.939999999999</v>
      </c>
      <c r="O209" s="408">
        <v>17803.84</v>
      </c>
      <c r="P209" s="410">
        <v>2069.3069999999998</v>
      </c>
      <c r="Q209" s="410">
        <f t="shared" si="14"/>
        <v>2060.8344039017338</v>
      </c>
      <c r="R209" s="410">
        <f t="shared" si="19"/>
        <v>4.0202837989724385</v>
      </c>
      <c r="S209" s="396">
        <f t="shared" si="16"/>
        <v>2064.8546877007061</v>
      </c>
      <c r="T209" s="408" t="s">
        <v>532</v>
      </c>
      <c r="U209" s="408">
        <v>15</v>
      </c>
      <c r="V209" s="408">
        <v>5</v>
      </c>
      <c r="W209" s="408">
        <v>0.7</v>
      </c>
      <c r="X209" s="408">
        <v>0.7</v>
      </c>
      <c r="Y209" s="408">
        <v>0.7</v>
      </c>
      <c r="Z209" s="411">
        <v>1700</v>
      </c>
      <c r="AA209" s="411" t="s">
        <v>533</v>
      </c>
      <c r="AB209" s="411">
        <v>0.85</v>
      </c>
      <c r="AC209" s="411" t="s">
        <v>534</v>
      </c>
      <c r="AD209" s="411" t="s">
        <v>535</v>
      </c>
      <c r="AE209" s="411">
        <v>220</v>
      </c>
      <c r="AF209" s="398" t="s">
        <v>691</v>
      </c>
      <c r="AG209" s="398"/>
    </row>
    <row r="210" spans="1:33" ht="15.75">
      <c r="A210" s="408" t="s">
        <v>633</v>
      </c>
      <c r="B210" s="408">
        <v>16</v>
      </c>
      <c r="C210" s="408">
        <v>274</v>
      </c>
      <c r="D210" s="408" t="s">
        <v>579</v>
      </c>
      <c r="E210" s="408">
        <v>1.5</v>
      </c>
      <c r="F210" s="409">
        <v>45330.632638888892</v>
      </c>
      <c r="G210" s="408">
        <v>1</v>
      </c>
      <c r="H210" s="408">
        <v>51.377400000000002</v>
      </c>
      <c r="I210" s="408">
        <v>7.8074599999999998</v>
      </c>
      <c r="J210" s="408">
        <v>-16.509599999999999</v>
      </c>
      <c r="K210" s="408">
        <v>-15.6723</v>
      </c>
      <c r="L210" s="408">
        <v>996.38</v>
      </c>
      <c r="M210" s="408">
        <v>158.49969999999999</v>
      </c>
      <c r="N210" s="408">
        <v>17776.97</v>
      </c>
      <c r="O210" s="408">
        <v>17767.060000000001</v>
      </c>
      <c r="P210" s="410">
        <v>2065.0360000000001</v>
      </c>
      <c r="Q210" s="410">
        <f t="shared" si="14"/>
        <v>2056.5808911368017</v>
      </c>
      <c r="R210" s="410">
        <f t="shared" si="19"/>
        <v>3.8473281952472762</v>
      </c>
      <c r="S210" s="396">
        <f t="shared" si="16"/>
        <v>2060.4282193320491</v>
      </c>
      <c r="T210" s="408" t="s">
        <v>532</v>
      </c>
      <c r="U210" s="408">
        <v>15</v>
      </c>
      <c r="V210" s="408">
        <v>5</v>
      </c>
      <c r="W210" s="408">
        <v>0.7</v>
      </c>
      <c r="X210" s="408">
        <v>0.7</v>
      </c>
      <c r="Y210" s="408">
        <v>0.7</v>
      </c>
      <c r="Z210" s="411">
        <v>1700</v>
      </c>
      <c r="AA210" s="411" t="s">
        <v>533</v>
      </c>
      <c r="AB210" s="411">
        <v>0.85</v>
      </c>
      <c r="AC210" s="411" t="s">
        <v>534</v>
      </c>
      <c r="AD210" s="411" t="s">
        <v>535</v>
      </c>
      <c r="AE210" s="411">
        <v>220</v>
      </c>
      <c r="AF210" s="398" t="s">
        <v>691</v>
      </c>
      <c r="AG210" s="398"/>
    </row>
    <row r="211" spans="1:33" ht="15.75">
      <c r="A211" s="408" t="s">
        <v>634</v>
      </c>
      <c r="B211" s="408">
        <v>16</v>
      </c>
      <c r="C211" s="408">
        <v>274</v>
      </c>
      <c r="D211" s="408" t="s">
        <v>579</v>
      </c>
      <c r="E211" s="408">
        <v>1.5</v>
      </c>
      <c r="F211" s="409">
        <v>45330.636111111111</v>
      </c>
      <c r="G211" s="408">
        <v>1</v>
      </c>
      <c r="H211" s="408">
        <v>51.374099999999999</v>
      </c>
      <c r="I211" s="408">
        <v>7.8468900000000001</v>
      </c>
      <c r="J211" s="408">
        <v>-16.504300000000001</v>
      </c>
      <c r="K211" s="408">
        <v>-15.6747</v>
      </c>
      <c r="L211" s="408">
        <v>996.01300000000003</v>
      </c>
      <c r="M211" s="408">
        <v>153.0001</v>
      </c>
      <c r="N211" s="408">
        <v>17774.87</v>
      </c>
      <c r="O211" s="408">
        <v>17767.060000000001</v>
      </c>
      <c r="P211" s="410">
        <v>2065.0360000000001</v>
      </c>
      <c r="Q211" s="410">
        <f t="shared" si="14"/>
        <v>2056.5808911368017</v>
      </c>
      <c r="R211" s="410">
        <f t="shared" si="19"/>
        <v>3.8473281952472762</v>
      </c>
      <c r="S211" s="396">
        <f t="shared" si="16"/>
        <v>2060.4282193320491</v>
      </c>
      <c r="T211" s="408" t="s">
        <v>532</v>
      </c>
      <c r="U211" s="408">
        <v>15</v>
      </c>
      <c r="V211" s="408">
        <v>5</v>
      </c>
      <c r="W211" s="408">
        <v>0.7</v>
      </c>
      <c r="X211" s="408">
        <v>0.7</v>
      </c>
      <c r="Y211" s="408">
        <v>0.7</v>
      </c>
      <c r="Z211" s="411">
        <v>1700</v>
      </c>
      <c r="AA211" s="411" t="s">
        <v>533</v>
      </c>
      <c r="AB211" s="411">
        <v>0.85</v>
      </c>
      <c r="AC211" s="411" t="s">
        <v>534</v>
      </c>
      <c r="AD211" s="411" t="s">
        <v>535</v>
      </c>
      <c r="AE211" s="411">
        <v>220</v>
      </c>
      <c r="AF211" s="398" t="s">
        <v>691</v>
      </c>
      <c r="AG211" s="398"/>
    </row>
    <row r="212" spans="1:33" ht="15.75">
      <c r="A212" s="408" t="s">
        <v>635</v>
      </c>
      <c r="B212" s="408">
        <v>16</v>
      </c>
      <c r="C212" s="408">
        <v>274</v>
      </c>
      <c r="D212" s="408" t="s">
        <v>579</v>
      </c>
      <c r="E212" s="408">
        <v>1.5</v>
      </c>
      <c r="F212" s="409">
        <v>45330.640277777777</v>
      </c>
      <c r="G212" s="408">
        <v>1</v>
      </c>
      <c r="H212" s="408">
        <v>51.374099999999999</v>
      </c>
      <c r="I212" s="408">
        <v>7.89283</v>
      </c>
      <c r="J212" s="408">
        <v>-16.406099999999999</v>
      </c>
      <c r="K212" s="408">
        <v>-15.559699999999999</v>
      </c>
      <c r="L212" s="408">
        <v>981.01</v>
      </c>
      <c r="M212" s="408">
        <v>123.99979999999999</v>
      </c>
      <c r="N212" s="408">
        <v>17749.349999999999</v>
      </c>
      <c r="O212" s="408">
        <v>17767.060000000001</v>
      </c>
      <c r="P212" s="410">
        <v>2065.0360000000001</v>
      </c>
      <c r="Q212" s="410">
        <f t="shared" si="14"/>
        <v>2056.5808911368017</v>
      </c>
      <c r="R212" s="410">
        <f t="shared" si="19"/>
        <v>3.8473281952472762</v>
      </c>
      <c r="S212" s="396">
        <f t="shared" si="16"/>
        <v>2060.4282193320491</v>
      </c>
      <c r="T212" s="408" t="s">
        <v>532</v>
      </c>
      <c r="U212" s="408">
        <v>15</v>
      </c>
      <c r="V212" s="408">
        <v>5</v>
      </c>
      <c r="W212" s="408">
        <v>0.7</v>
      </c>
      <c r="X212" s="408">
        <v>0.7</v>
      </c>
      <c r="Y212" s="408">
        <v>0.7</v>
      </c>
      <c r="Z212" s="411">
        <v>1700</v>
      </c>
      <c r="AA212" s="411" t="s">
        <v>533</v>
      </c>
      <c r="AB212" s="411">
        <v>0.85</v>
      </c>
      <c r="AC212" s="411" t="s">
        <v>534</v>
      </c>
      <c r="AD212" s="411" t="s">
        <v>535</v>
      </c>
      <c r="AE212" s="411">
        <v>220</v>
      </c>
      <c r="AF212" s="398" t="s">
        <v>691</v>
      </c>
      <c r="AG212" s="398"/>
    </row>
    <row r="213" spans="1:33" ht="15.75">
      <c r="A213" s="408" t="s">
        <v>638</v>
      </c>
      <c r="B213" s="408">
        <v>17</v>
      </c>
      <c r="C213" s="408">
        <v>275</v>
      </c>
      <c r="D213" s="408" t="s">
        <v>585</v>
      </c>
      <c r="E213" s="408">
        <v>1.5</v>
      </c>
      <c r="F213" s="409">
        <v>45330.644444444442</v>
      </c>
      <c r="G213" s="408">
        <v>1</v>
      </c>
      <c r="H213" s="408">
        <v>51.370800000000003</v>
      </c>
      <c r="I213" s="408">
        <v>7.84687</v>
      </c>
      <c r="J213" s="408">
        <v>-16.170200000000001</v>
      </c>
      <c r="K213" s="408">
        <v>-15.3521</v>
      </c>
      <c r="L213" s="408">
        <v>999.08100000000002</v>
      </c>
      <c r="M213" s="408">
        <v>113.9996</v>
      </c>
      <c r="N213" s="408">
        <v>17775.560000000001</v>
      </c>
      <c r="O213" s="408">
        <v>17778.419999999998</v>
      </c>
      <c r="P213" s="410">
        <v>2066.355</v>
      </c>
      <c r="Q213" s="410">
        <f t="shared" si="14"/>
        <v>2057.8944906069364</v>
      </c>
      <c r="R213" s="410">
        <f t="shared" si="19"/>
        <v>3.6743725915221148</v>
      </c>
      <c r="S213" s="396">
        <f t="shared" si="16"/>
        <v>2061.5688631984585</v>
      </c>
      <c r="T213" s="408" t="s">
        <v>532</v>
      </c>
      <c r="U213" s="408">
        <v>15</v>
      </c>
      <c r="V213" s="408">
        <v>5</v>
      </c>
      <c r="W213" s="408">
        <v>0.7</v>
      </c>
      <c r="X213" s="408">
        <v>0.7</v>
      </c>
      <c r="Y213" s="408">
        <v>0.7</v>
      </c>
      <c r="Z213" s="411">
        <v>1700</v>
      </c>
      <c r="AA213" s="411" t="s">
        <v>533</v>
      </c>
      <c r="AB213" s="411">
        <v>0.85</v>
      </c>
      <c r="AC213" s="411" t="s">
        <v>534</v>
      </c>
      <c r="AD213" s="411" t="s">
        <v>535</v>
      </c>
      <c r="AE213" s="411">
        <v>220</v>
      </c>
      <c r="AF213" s="398" t="s">
        <v>691</v>
      </c>
      <c r="AG213" s="398"/>
    </row>
    <row r="214" spans="1:33" ht="15.75">
      <c r="A214" s="408" t="s">
        <v>639</v>
      </c>
      <c r="B214" s="408">
        <v>17</v>
      </c>
      <c r="C214" s="408">
        <v>275</v>
      </c>
      <c r="D214" s="408" t="s">
        <v>585</v>
      </c>
      <c r="E214" s="408">
        <v>1.5</v>
      </c>
      <c r="F214" s="409">
        <v>45330.647916666669</v>
      </c>
      <c r="G214" s="408">
        <v>1</v>
      </c>
      <c r="H214" s="408">
        <v>51.370800000000003</v>
      </c>
      <c r="I214" s="408">
        <v>7.95261</v>
      </c>
      <c r="J214" s="408">
        <v>-16.1845</v>
      </c>
      <c r="K214" s="408">
        <v>-15.341900000000001</v>
      </c>
      <c r="L214" s="408">
        <v>986.55700000000002</v>
      </c>
      <c r="M214" s="408">
        <v>125.5004</v>
      </c>
      <c r="N214" s="408">
        <v>17746.759999999998</v>
      </c>
      <c r="O214" s="408">
        <v>17778.419999999998</v>
      </c>
      <c r="P214" s="410">
        <v>2066.355</v>
      </c>
      <c r="Q214" s="410">
        <f t="shared" si="14"/>
        <v>2057.8944906069364</v>
      </c>
      <c r="R214" s="410">
        <f t="shared" si="19"/>
        <v>3.6743725915221148</v>
      </c>
      <c r="S214" s="396">
        <f t="shared" si="16"/>
        <v>2061.5688631984585</v>
      </c>
      <c r="T214" s="408" t="s">
        <v>542</v>
      </c>
      <c r="U214" s="408">
        <v>15</v>
      </c>
      <c r="V214" s="408">
        <v>5</v>
      </c>
      <c r="W214" s="408">
        <v>0.7</v>
      </c>
      <c r="X214" s="408">
        <v>0.7</v>
      </c>
      <c r="Y214" s="408">
        <v>0.7</v>
      </c>
      <c r="Z214" s="411">
        <v>1700</v>
      </c>
      <c r="AA214" s="411" t="s">
        <v>533</v>
      </c>
      <c r="AB214" s="411">
        <v>0.85</v>
      </c>
      <c r="AC214" s="411" t="s">
        <v>534</v>
      </c>
      <c r="AD214" s="411" t="s">
        <v>535</v>
      </c>
      <c r="AE214" s="411">
        <v>220</v>
      </c>
      <c r="AF214" s="398" t="s">
        <v>691</v>
      </c>
      <c r="AG214" s="398"/>
    </row>
    <row r="215" spans="1:33" ht="15.75">
      <c r="A215" s="408" t="s">
        <v>640</v>
      </c>
      <c r="B215" s="408">
        <v>17</v>
      </c>
      <c r="C215" s="408">
        <v>275</v>
      </c>
      <c r="D215" s="408" t="s">
        <v>585</v>
      </c>
      <c r="E215" s="408">
        <v>1.5</v>
      </c>
      <c r="F215" s="409">
        <v>45330.651388888888</v>
      </c>
      <c r="G215" s="408">
        <v>1</v>
      </c>
      <c r="H215" s="408">
        <v>51.374099999999999</v>
      </c>
      <c r="I215" s="408">
        <v>7.95648</v>
      </c>
      <c r="J215" s="408">
        <v>-16.211099999999998</v>
      </c>
      <c r="K215" s="408">
        <v>-15.3744</v>
      </c>
      <c r="L215" s="408">
        <v>986.06799999999998</v>
      </c>
      <c r="M215" s="408">
        <v>113.9984</v>
      </c>
      <c r="N215" s="408">
        <v>17779.400000000001</v>
      </c>
      <c r="O215" s="408">
        <v>17778.419999999998</v>
      </c>
      <c r="P215" s="410">
        <v>2066.355</v>
      </c>
      <c r="Q215" s="410">
        <f t="shared" si="14"/>
        <v>2057.8944906069364</v>
      </c>
      <c r="R215" s="410">
        <f t="shared" si="19"/>
        <v>3.6743725915221148</v>
      </c>
      <c r="S215" s="396">
        <f t="shared" si="16"/>
        <v>2061.5688631984585</v>
      </c>
      <c r="T215" s="408" t="s">
        <v>532</v>
      </c>
      <c r="U215" s="408">
        <v>15</v>
      </c>
      <c r="V215" s="408">
        <v>5</v>
      </c>
      <c r="W215" s="408">
        <v>0.7</v>
      </c>
      <c r="X215" s="408">
        <v>0.7</v>
      </c>
      <c r="Y215" s="408">
        <v>0.7</v>
      </c>
      <c r="Z215" s="411">
        <v>1700</v>
      </c>
      <c r="AA215" s="411" t="s">
        <v>533</v>
      </c>
      <c r="AB215" s="411">
        <v>0.85</v>
      </c>
      <c r="AC215" s="411" t="s">
        <v>534</v>
      </c>
      <c r="AD215" s="411" t="s">
        <v>535</v>
      </c>
      <c r="AE215" s="411">
        <v>220</v>
      </c>
      <c r="AF215" s="398" t="s">
        <v>691</v>
      </c>
      <c r="AG215" s="398"/>
    </row>
    <row r="216" spans="1:33" ht="15.75">
      <c r="A216" s="408" t="s">
        <v>641</v>
      </c>
      <c r="B216" s="408">
        <v>17</v>
      </c>
      <c r="C216" s="408">
        <v>275</v>
      </c>
      <c r="D216" s="408" t="s">
        <v>585</v>
      </c>
      <c r="E216" s="408">
        <v>1.5</v>
      </c>
      <c r="F216" s="409">
        <v>45330.654861111114</v>
      </c>
      <c r="G216" s="408">
        <v>1</v>
      </c>
      <c r="H216" s="408">
        <v>51.374099999999999</v>
      </c>
      <c r="I216" s="408">
        <v>7.8738099999999998</v>
      </c>
      <c r="J216" s="408">
        <v>-16.3614</v>
      </c>
      <c r="K216" s="408">
        <v>-15.516299999999999</v>
      </c>
      <c r="L216" s="408">
        <v>1005.27</v>
      </c>
      <c r="M216" s="408">
        <v>117.50060000000001</v>
      </c>
      <c r="N216" s="408">
        <v>17780.310000000001</v>
      </c>
      <c r="O216" s="408">
        <v>17778.419999999998</v>
      </c>
      <c r="P216" s="410">
        <v>2066.355</v>
      </c>
      <c r="Q216" s="410">
        <f t="shared" si="14"/>
        <v>2057.8944906069364</v>
      </c>
      <c r="R216" s="410">
        <f t="shared" si="19"/>
        <v>3.6743725915221148</v>
      </c>
      <c r="S216" s="396">
        <f t="shared" si="16"/>
        <v>2061.5688631984585</v>
      </c>
      <c r="T216" s="408" t="s">
        <v>532</v>
      </c>
      <c r="U216" s="408">
        <v>15</v>
      </c>
      <c r="V216" s="408">
        <v>5</v>
      </c>
      <c r="W216" s="408">
        <v>0.7</v>
      </c>
      <c r="X216" s="408">
        <v>0.7</v>
      </c>
      <c r="Y216" s="408">
        <v>0.7</v>
      </c>
      <c r="Z216" s="411">
        <v>1700</v>
      </c>
      <c r="AA216" s="411" t="s">
        <v>533</v>
      </c>
      <c r="AB216" s="411">
        <v>0.85</v>
      </c>
      <c r="AC216" s="411" t="s">
        <v>534</v>
      </c>
      <c r="AD216" s="411" t="s">
        <v>535</v>
      </c>
      <c r="AE216" s="411">
        <v>220</v>
      </c>
      <c r="AF216" s="398" t="s">
        <v>691</v>
      </c>
      <c r="AG216" s="398"/>
    </row>
    <row r="217" spans="1:33" ht="15.75">
      <c r="A217" s="408" t="s">
        <v>643</v>
      </c>
      <c r="B217" s="408">
        <v>18</v>
      </c>
      <c r="C217" s="408">
        <v>261</v>
      </c>
      <c r="D217" s="408" t="s">
        <v>591</v>
      </c>
      <c r="E217" s="408">
        <v>1.5</v>
      </c>
      <c r="F217" s="409">
        <v>45330.65902777778</v>
      </c>
      <c r="G217" s="408">
        <v>1</v>
      </c>
      <c r="H217" s="408">
        <v>51.374099999999999</v>
      </c>
      <c r="I217" s="408">
        <v>7.7267700000000001</v>
      </c>
      <c r="J217" s="408">
        <v>-16.344999999999999</v>
      </c>
      <c r="K217" s="408">
        <v>-15.4991</v>
      </c>
      <c r="L217" s="408">
        <v>1004.28</v>
      </c>
      <c r="M217" s="408">
        <v>120.4999</v>
      </c>
      <c r="N217" s="408">
        <v>17944.580000000002</v>
      </c>
      <c r="O217" s="408">
        <v>17948.84</v>
      </c>
      <c r="P217" s="410">
        <v>2086.2130000000002</v>
      </c>
      <c r="Q217" s="410">
        <f t="shared" si="14"/>
        <v>2077.6711837668595</v>
      </c>
      <c r="R217" s="410">
        <f t="shared" si="19"/>
        <v>3.501416987796953</v>
      </c>
      <c r="S217" s="396">
        <f t="shared" si="16"/>
        <v>2081.1726007546563</v>
      </c>
      <c r="T217" s="408" t="s">
        <v>532</v>
      </c>
      <c r="U217" s="408">
        <v>15</v>
      </c>
      <c r="V217" s="408">
        <v>5</v>
      </c>
      <c r="W217" s="408">
        <v>0.7</v>
      </c>
      <c r="X217" s="408">
        <v>0.7</v>
      </c>
      <c r="Y217" s="408">
        <v>0.7</v>
      </c>
      <c r="Z217" s="411">
        <v>1700</v>
      </c>
      <c r="AA217" s="411" t="s">
        <v>533</v>
      </c>
      <c r="AB217" s="411">
        <v>0.85</v>
      </c>
      <c r="AC217" s="411" t="s">
        <v>534</v>
      </c>
      <c r="AD217" s="411" t="s">
        <v>535</v>
      </c>
      <c r="AE217" s="411">
        <v>220</v>
      </c>
      <c r="AF217" s="398" t="s">
        <v>691</v>
      </c>
      <c r="AG217" s="398"/>
    </row>
    <row r="218" spans="1:33" ht="15.75">
      <c r="A218" s="408" t="s">
        <v>644</v>
      </c>
      <c r="B218" s="408">
        <v>18</v>
      </c>
      <c r="C218" s="408">
        <v>261</v>
      </c>
      <c r="D218" s="408" t="s">
        <v>591</v>
      </c>
      <c r="E218" s="408">
        <v>1.5</v>
      </c>
      <c r="F218" s="409">
        <v>45330.662499999999</v>
      </c>
      <c r="G218" s="408">
        <v>1</v>
      </c>
      <c r="H218" s="408">
        <v>51.377400000000002</v>
      </c>
      <c r="I218" s="408">
        <v>7.7770999999999999</v>
      </c>
      <c r="J218" s="408">
        <v>-16.325299999999999</v>
      </c>
      <c r="K218" s="408">
        <v>-15.5052</v>
      </c>
      <c r="L218" s="408">
        <v>1012.64</v>
      </c>
      <c r="M218" s="408">
        <v>171.49950000000001</v>
      </c>
      <c r="N218" s="408">
        <v>17978.7</v>
      </c>
      <c r="O218" s="408">
        <v>17948.84</v>
      </c>
      <c r="P218" s="410">
        <v>2086.2130000000002</v>
      </c>
      <c r="Q218" s="410">
        <f t="shared" si="14"/>
        <v>2077.6711837668595</v>
      </c>
      <c r="R218" s="410">
        <f t="shared" si="19"/>
        <v>3.501416987796953</v>
      </c>
      <c r="S218" s="396">
        <f t="shared" si="16"/>
        <v>2081.1726007546563</v>
      </c>
      <c r="T218" s="408" t="s">
        <v>542</v>
      </c>
      <c r="U218" s="408">
        <v>15</v>
      </c>
      <c r="V218" s="408">
        <v>5</v>
      </c>
      <c r="W218" s="408">
        <v>0.7</v>
      </c>
      <c r="X218" s="408">
        <v>0.7</v>
      </c>
      <c r="Y218" s="408">
        <v>0.7</v>
      </c>
      <c r="Z218" s="411">
        <v>1700</v>
      </c>
      <c r="AA218" s="411" t="s">
        <v>533</v>
      </c>
      <c r="AB218" s="411">
        <v>0.85</v>
      </c>
      <c r="AC218" s="411" t="s">
        <v>534</v>
      </c>
      <c r="AD218" s="411" t="s">
        <v>535</v>
      </c>
      <c r="AE218" s="411">
        <v>220</v>
      </c>
      <c r="AF218" s="398" t="s">
        <v>691</v>
      </c>
      <c r="AG218" s="398"/>
    </row>
    <row r="219" spans="1:33" ht="15.75">
      <c r="A219" s="408" t="s">
        <v>645</v>
      </c>
      <c r="B219" s="408">
        <v>18</v>
      </c>
      <c r="C219" s="408">
        <v>261</v>
      </c>
      <c r="D219" s="408" t="s">
        <v>591</v>
      </c>
      <c r="E219" s="408">
        <v>1.5</v>
      </c>
      <c r="F219" s="409">
        <v>45330.666666666664</v>
      </c>
      <c r="G219" s="408">
        <v>1</v>
      </c>
      <c r="H219" s="408">
        <v>51.374099999999999</v>
      </c>
      <c r="I219" s="408">
        <v>7.9654699999999998</v>
      </c>
      <c r="J219" s="408">
        <v>-16.469799999999999</v>
      </c>
      <c r="K219" s="408">
        <v>-15.6328</v>
      </c>
      <c r="L219" s="408">
        <v>989.97799999999995</v>
      </c>
      <c r="M219" s="408">
        <v>134.4992</v>
      </c>
      <c r="N219" s="408">
        <v>17940.37</v>
      </c>
      <c r="O219" s="408">
        <v>17948.84</v>
      </c>
      <c r="P219" s="410">
        <v>2086.2130000000002</v>
      </c>
      <c r="Q219" s="410">
        <f t="shared" si="14"/>
        <v>2077.6711837668595</v>
      </c>
      <c r="R219" s="410">
        <f t="shared" si="19"/>
        <v>3.501416987796953</v>
      </c>
      <c r="S219" s="396">
        <f t="shared" si="16"/>
        <v>2081.1726007546563</v>
      </c>
      <c r="T219" s="408" t="s">
        <v>532</v>
      </c>
      <c r="U219" s="408">
        <v>15</v>
      </c>
      <c r="V219" s="408">
        <v>5</v>
      </c>
      <c r="W219" s="408">
        <v>0.7</v>
      </c>
      <c r="X219" s="408">
        <v>0.7</v>
      </c>
      <c r="Y219" s="408">
        <v>0.7</v>
      </c>
      <c r="Z219" s="411">
        <v>1700</v>
      </c>
      <c r="AA219" s="411" t="s">
        <v>533</v>
      </c>
      <c r="AB219" s="411">
        <v>0.85</v>
      </c>
      <c r="AC219" s="411" t="s">
        <v>534</v>
      </c>
      <c r="AD219" s="411" t="s">
        <v>535</v>
      </c>
      <c r="AE219" s="411">
        <v>220</v>
      </c>
      <c r="AF219" s="398" t="s">
        <v>691</v>
      </c>
      <c r="AG219" s="398"/>
    </row>
    <row r="220" spans="1:33" ht="15.75">
      <c r="A220" s="408" t="s">
        <v>708</v>
      </c>
      <c r="B220" s="408">
        <v>18</v>
      </c>
      <c r="C220" s="408">
        <v>261</v>
      </c>
      <c r="D220" s="408" t="s">
        <v>591</v>
      </c>
      <c r="E220" s="408">
        <v>1.5</v>
      </c>
      <c r="F220" s="409">
        <v>45330.670138888891</v>
      </c>
      <c r="G220" s="408">
        <v>1</v>
      </c>
      <c r="H220" s="408">
        <v>51.370800000000003</v>
      </c>
      <c r="I220" s="408">
        <v>7.9405599999999996</v>
      </c>
      <c r="J220" s="408">
        <v>-16.3599</v>
      </c>
      <c r="K220" s="408">
        <v>-15.563499999999999</v>
      </c>
      <c r="L220" s="408">
        <v>997.48599999999999</v>
      </c>
      <c r="M220" s="408">
        <v>146.9991</v>
      </c>
      <c r="N220" s="408">
        <v>17995.53</v>
      </c>
      <c r="O220" s="408">
        <v>17948.84</v>
      </c>
      <c r="P220" s="410">
        <v>2086.2130000000002</v>
      </c>
      <c r="Q220" s="410">
        <f t="shared" si="14"/>
        <v>2077.6711837668595</v>
      </c>
      <c r="R220" s="410">
        <f t="shared" si="19"/>
        <v>3.501416987796953</v>
      </c>
      <c r="S220" s="396">
        <f t="shared" si="16"/>
        <v>2081.1726007546563</v>
      </c>
      <c r="T220" s="408" t="s">
        <v>542</v>
      </c>
      <c r="U220" s="408">
        <v>15</v>
      </c>
      <c r="V220" s="408">
        <v>5</v>
      </c>
      <c r="W220" s="408">
        <v>0.7</v>
      </c>
      <c r="X220" s="408">
        <v>0.7</v>
      </c>
      <c r="Y220" s="408">
        <v>0.7</v>
      </c>
      <c r="Z220" s="411">
        <v>1700</v>
      </c>
      <c r="AA220" s="411" t="s">
        <v>533</v>
      </c>
      <c r="AB220" s="411">
        <v>0.85</v>
      </c>
      <c r="AC220" s="411" t="s">
        <v>534</v>
      </c>
      <c r="AD220" s="411" t="s">
        <v>535</v>
      </c>
      <c r="AE220" s="411">
        <v>220</v>
      </c>
      <c r="AF220" s="398" t="s">
        <v>691</v>
      </c>
      <c r="AG220" s="398"/>
    </row>
    <row r="221" spans="1:33" ht="15.75">
      <c r="A221" s="408" t="s">
        <v>709</v>
      </c>
      <c r="B221" s="408">
        <v>18</v>
      </c>
      <c r="C221" s="408">
        <v>261</v>
      </c>
      <c r="D221" s="408" t="s">
        <v>591</v>
      </c>
      <c r="E221" s="408">
        <v>1.5</v>
      </c>
      <c r="F221" s="409">
        <v>45330.674305555556</v>
      </c>
      <c r="G221" s="408">
        <v>1</v>
      </c>
      <c r="H221" s="408">
        <v>51.374099999999999</v>
      </c>
      <c r="I221" s="408">
        <v>7.9580099999999998</v>
      </c>
      <c r="J221" s="408">
        <v>-16.254200000000001</v>
      </c>
      <c r="K221" s="408">
        <v>-15.4818</v>
      </c>
      <c r="L221" s="408">
        <v>996.98199999999997</v>
      </c>
      <c r="M221" s="408">
        <v>148.00059999999999</v>
      </c>
      <c r="N221" s="408">
        <v>17961.580000000002</v>
      </c>
      <c r="O221" s="408">
        <v>17948.84</v>
      </c>
      <c r="P221" s="410">
        <v>2086.2130000000002</v>
      </c>
      <c r="Q221" s="410">
        <f t="shared" si="14"/>
        <v>2077.6711837668595</v>
      </c>
      <c r="R221" s="410">
        <f t="shared" si="19"/>
        <v>3.501416987796953</v>
      </c>
      <c r="S221" s="396">
        <f t="shared" si="16"/>
        <v>2081.1726007546563</v>
      </c>
      <c r="T221" s="408" t="s">
        <v>532</v>
      </c>
      <c r="U221" s="408">
        <v>15</v>
      </c>
      <c r="V221" s="408">
        <v>5</v>
      </c>
      <c r="W221" s="408">
        <v>0.7</v>
      </c>
      <c r="X221" s="408">
        <v>0.7</v>
      </c>
      <c r="Y221" s="408">
        <v>0.7</v>
      </c>
      <c r="Z221" s="411">
        <v>1700</v>
      </c>
      <c r="AA221" s="411" t="s">
        <v>533</v>
      </c>
      <c r="AB221" s="411">
        <v>0.85</v>
      </c>
      <c r="AC221" s="411" t="s">
        <v>534</v>
      </c>
      <c r="AD221" s="411" t="s">
        <v>535</v>
      </c>
      <c r="AE221" s="411">
        <v>220</v>
      </c>
      <c r="AF221" s="398" t="s">
        <v>691</v>
      </c>
      <c r="AG221" s="398"/>
    </row>
    <row r="222" spans="1:33" ht="15.75">
      <c r="A222" s="408" t="s">
        <v>646</v>
      </c>
      <c r="B222" s="408">
        <v>19</v>
      </c>
      <c r="C222" s="408">
        <v>262</v>
      </c>
      <c r="D222" s="408" t="s">
        <v>601</v>
      </c>
      <c r="E222" s="408">
        <v>1.5</v>
      </c>
      <c r="F222" s="409">
        <v>45330.678472222222</v>
      </c>
      <c r="G222" s="408">
        <v>1</v>
      </c>
      <c r="H222" s="408">
        <v>51.377400000000002</v>
      </c>
      <c r="I222" s="408">
        <v>7.7856899999999998</v>
      </c>
      <c r="J222" s="408">
        <v>-16.5839</v>
      </c>
      <c r="K222" s="408">
        <v>-15.734299999999999</v>
      </c>
      <c r="L222" s="408">
        <v>996.49400000000003</v>
      </c>
      <c r="M222" s="408">
        <v>206.00049999999999</v>
      </c>
      <c r="N222" s="408">
        <v>18000.080000000002</v>
      </c>
      <c r="O222" s="408">
        <v>17996.88</v>
      </c>
      <c r="P222" s="410">
        <v>2091.828</v>
      </c>
      <c r="Q222" s="410">
        <f t="shared" si="14"/>
        <v>2083.2631936416187</v>
      </c>
      <c r="R222" s="410">
        <f t="shared" si="19"/>
        <v>3.3284613840717916</v>
      </c>
      <c r="S222" s="396">
        <f t="shared" si="16"/>
        <v>2086.5916550256907</v>
      </c>
      <c r="T222" s="408" t="s">
        <v>532</v>
      </c>
      <c r="U222" s="408">
        <v>15</v>
      </c>
      <c r="V222" s="408">
        <v>5</v>
      </c>
      <c r="W222" s="408">
        <v>0.7</v>
      </c>
      <c r="X222" s="408">
        <v>0.7</v>
      </c>
      <c r="Y222" s="408">
        <v>0.7</v>
      </c>
      <c r="Z222" s="411">
        <v>1700</v>
      </c>
      <c r="AA222" s="411" t="s">
        <v>533</v>
      </c>
      <c r="AB222" s="411">
        <v>0.85</v>
      </c>
      <c r="AC222" s="411" t="s">
        <v>534</v>
      </c>
      <c r="AD222" s="411" t="s">
        <v>535</v>
      </c>
      <c r="AE222" s="411">
        <v>220</v>
      </c>
      <c r="AF222" s="398" t="s">
        <v>691</v>
      </c>
      <c r="AG222" s="398"/>
    </row>
    <row r="223" spans="1:33" ht="15.75">
      <c r="A223" s="408" t="s">
        <v>647</v>
      </c>
      <c r="B223" s="408">
        <v>19</v>
      </c>
      <c r="C223" s="408">
        <v>262</v>
      </c>
      <c r="D223" s="408" t="s">
        <v>601</v>
      </c>
      <c r="E223" s="408">
        <v>1.5</v>
      </c>
      <c r="F223" s="409">
        <v>45330.683333333334</v>
      </c>
      <c r="G223" s="408">
        <v>1</v>
      </c>
      <c r="H223" s="408">
        <v>51.370800000000003</v>
      </c>
      <c r="I223" s="408">
        <v>7.8276599999999998</v>
      </c>
      <c r="J223" s="408">
        <v>-16.491</v>
      </c>
      <c r="K223" s="408">
        <v>-15.642799999999999</v>
      </c>
      <c r="L223" s="408">
        <v>1006.45</v>
      </c>
      <c r="M223" s="408">
        <v>121.5009</v>
      </c>
      <c r="N223" s="408">
        <v>17954.97</v>
      </c>
      <c r="O223" s="408">
        <v>17996.88</v>
      </c>
      <c r="P223" s="410">
        <v>2091.828</v>
      </c>
      <c r="Q223" s="410">
        <f t="shared" si="14"/>
        <v>2083.2631936416187</v>
      </c>
      <c r="R223" s="410">
        <f t="shared" si="19"/>
        <v>3.3284613840717916</v>
      </c>
      <c r="S223" s="396">
        <f t="shared" si="16"/>
        <v>2086.5916550256907</v>
      </c>
      <c r="T223" s="408" t="s">
        <v>542</v>
      </c>
      <c r="U223" s="408">
        <v>15</v>
      </c>
      <c r="V223" s="408">
        <v>5</v>
      </c>
      <c r="W223" s="408">
        <v>0.7</v>
      </c>
      <c r="X223" s="408">
        <v>0.7</v>
      </c>
      <c r="Y223" s="408">
        <v>0.7</v>
      </c>
      <c r="Z223" s="411">
        <v>1700</v>
      </c>
      <c r="AA223" s="411" t="s">
        <v>533</v>
      </c>
      <c r="AB223" s="411">
        <v>0.85</v>
      </c>
      <c r="AC223" s="411" t="s">
        <v>534</v>
      </c>
      <c r="AD223" s="411" t="s">
        <v>535</v>
      </c>
      <c r="AE223" s="411">
        <v>220</v>
      </c>
      <c r="AF223" s="398" t="s">
        <v>691</v>
      </c>
      <c r="AG223" s="398"/>
    </row>
    <row r="224" spans="1:33" ht="15.75">
      <c r="A224" s="408" t="s">
        <v>648</v>
      </c>
      <c r="B224" s="408">
        <v>19</v>
      </c>
      <c r="C224" s="408">
        <v>262</v>
      </c>
      <c r="D224" s="408" t="s">
        <v>601</v>
      </c>
      <c r="E224" s="408">
        <v>1.5</v>
      </c>
      <c r="F224" s="409">
        <v>45330.686805555553</v>
      </c>
      <c r="G224" s="408">
        <v>1</v>
      </c>
      <c r="H224" s="408">
        <v>51.370800000000003</v>
      </c>
      <c r="I224" s="408">
        <v>7.7589899999999998</v>
      </c>
      <c r="J224" s="408">
        <v>-16.4648</v>
      </c>
      <c r="K224" s="408">
        <v>-15.6198</v>
      </c>
      <c r="L224" s="408">
        <v>995.68</v>
      </c>
      <c r="M224" s="408">
        <v>133.49940000000001</v>
      </c>
      <c r="N224" s="408">
        <v>17990.189999999999</v>
      </c>
      <c r="O224" s="408">
        <v>17996.88</v>
      </c>
      <c r="P224" s="410">
        <v>2091.828</v>
      </c>
      <c r="Q224" s="410">
        <f t="shared" si="14"/>
        <v>2083.2631936416187</v>
      </c>
      <c r="R224" s="410">
        <f t="shared" si="19"/>
        <v>3.3284613840717916</v>
      </c>
      <c r="S224" s="396">
        <f t="shared" si="16"/>
        <v>2086.5916550256907</v>
      </c>
      <c r="T224" s="408" t="s">
        <v>532</v>
      </c>
      <c r="U224" s="408">
        <v>15</v>
      </c>
      <c r="V224" s="408">
        <v>5</v>
      </c>
      <c r="W224" s="408">
        <v>0.7</v>
      </c>
      <c r="X224" s="408">
        <v>0.7</v>
      </c>
      <c r="Y224" s="408">
        <v>0.7</v>
      </c>
      <c r="Z224" s="411">
        <v>1700</v>
      </c>
      <c r="AA224" s="411" t="s">
        <v>533</v>
      </c>
      <c r="AB224" s="411">
        <v>0.85</v>
      </c>
      <c r="AC224" s="411" t="s">
        <v>534</v>
      </c>
      <c r="AD224" s="411" t="s">
        <v>535</v>
      </c>
      <c r="AE224" s="411">
        <v>220</v>
      </c>
      <c r="AF224" s="398" t="s">
        <v>691</v>
      </c>
      <c r="AG224" s="398"/>
    </row>
    <row r="225" spans="1:33" ht="15.75">
      <c r="A225" s="408" t="s">
        <v>649</v>
      </c>
      <c r="B225" s="408">
        <v>19</v>
      </c>
      <c r="C225" s="408">
        <v>262</v>
      </c>
      <c r="D225" s="408" t="s">
        <v>601</v>
      </c>
      <c r="E225" s="408">
        <v>1.5</v>
      </c>
      <c r="F225" s="409">
        <v>45330.69027777778</v>
      </c>
      <c r="G225" s="408">
        <v>1</v>
      </c>
      <c r="H225" s="408">
        <v>51.370800000000003</v>
      </c>
      <c r="I225" s="408">
        <v>7.8203500000000004</v>
      </c>
      <c r="J225" s="408">
        <v>-16.559699999999999</v>
      </c>
      <c r="K225" s="408">
        <v>-15.710800000000001</v>
      </c>
      <c r="L225" s="408">
        <v>1009.13</v>
      </c>
      <c r="M225" s="408">
        <v>125.4992</v>
      </c>
      <c r="N225" s="408">
        <v>18000.38</v>
      </c>
      <c r="O225" s="408">
        <v>17996.88</v>
      </c>
      <c r="P225" s="410">
        <v>2091.828</v>
      </c>
      <c r="Q225" s="410">
        <f t="shared" si="14"/>
        <v>2083.2631936416187</v>
      </c>
      <c r="R225" s="410">
        <f t="shared" si="19"/>
        <v>3.3284613840717916</v>
      </c>
      <c r="S225" s="396">
        <f t="shared" si="16"/>
        <v>2086.5916550256907</v>
      </c>
      <c r="T225" s="408" t="s">
        <v>532</v>
      </c>
      <c r="U225" s="408">
        <v>15</v>
      </c>
      <c r="V225" s="408">
        <v>5</v>
      </c>
      <c r="W225" s="408">
        <v>0.7</v>
      </c>
      <c r="X225" s="408">
        <v>0.7</v>
      </c>
      <c r="Y225" s="408">
        <v>0.7</v>
      </c>
      <c r="Z225" s="411">
        <v>1700</v>
      </c>
      <c r="AA225" s="411" t="s">
        <v>533</v>
      </c>
      <c r="AB225" s="411">
        <v>0.85</v>
      </c>
      <c r="AC225" s="411" t="s">
        <v>534</v>
      </c>
      <c r="AD225" s="411" t="s">
        <v>535</v>
      </c>
      <c r="AE225" s="411">
        <v>220</v>
      </c>
      <c r="AF225" s="398" t="s">
        <v>691</v>
      </c>
      <c r="AG225" s="398"/>
    </row>
    <row r="226" spans="1:33" ht="15.75">
      <c r="A226" s="408" t="s">
        <v>651</v>
      </c>
      <c r="B226" s="408">
        <v>20</v>
      </c>
      <c r="C226" s="408" t="s">
        <v>689</v>
      </c>
      <c r="D226" s="408" t="s">
        <v>531</v>
      </c>
      <c r="E226" s="408">
        <v>1.5</v>
      </c>
      <c r="F226" s="409">
        <v>45330.694444444445</v>
      </c>
      <c r="G226" s="408">
        <v>1</v>
      </c>
      <c r="H226" s="408">
        <v>51.374099999999999</v>
      </c>
      <c r="I226" s="408">
        <v>7.8290899999999999</v>
      </c>
      <c r="J226" s="408">
        <v>-16.3476</v>
      </c>
      <c r="K226" s="408">
        <v>-15.498699999999999</v>
      </c>
      <c r="L226" s="408">
        <v>1003.52</v>
      </c>
      <c r="M226" s="408">
        <v>113.49930000000001</v>
      </c>
      <c r="N226" s="408">
        <v>17834.439999999999</v>
      </c>
      <c r="O226" s="408">
        <v>17830.990000000002</v>
      </c>
      <c r="P226" s="410">
        <v>2072.46</v>
      </c>
      <c r="Q226" s="410">
        <f t="shared" si="14"/>
        <v>2063.9744942196535</v>
      </c>
      <c r="R226" s="410">
        <f t="shared" si="19"/>
        <v>3.1555057803466298</v>
      </c>
      <c r="S226" s="396">
        <f t="shared" si="16"/>
        <v>2067.13</v>
      </c>
      <c r="T226" s="408" t="s">
        <v>532</v>
      </c>
      <c r="U226" s="408">
        <v>15</v>
      </c>
      <c r="V226" s="408">
        <v>5</v>
      </c>
      <c r="W226" s="408">
        <v>0.7</v>
      </c>
      <c r="X226" s="408">
        <v>0.7</v>
      </c>
      <c r="Y226" s="408">
        <v>0.7</v>
      </c>
      <c r="Z226" s="411">
        <v>1700</v>
      </c>
      <c r="AA226" s="411" t="s">
        <v>533</v>
      </c>
      <c r="AB226" s="411">
        <v>0.85</v>
      </c>
      <c r="AC226" s="411" t="s">
        <v>534</v>
      </c>
      <c r="AD226" s="411" t="s">
        <v>535</v>
      </c>
      <c r="AE226" s="411">
        <v>220</v>
      </c>
      <c r="AF226" s="398" t="s">
        <v>691</v>
      </c>
      <c r="AG226" s="407"/>
    </row>
    <row r="227" spans="1:33" ht="15.75">
      <c r="A227" s="408" t="s">
        <v>652</v>
      </c>
      <c r="B227" s="408">
        <v>20</v>
      </c>
      <c r="C227" s="408" t="s">
        <v>689</v>
      </c>
      <c r="D227" s="408" t="s">
        <v>531</v>
      </c>
      <c r="E227" s="408">
        <v>1.5</v>
      </c>
      <c r="F227" s="409">
        <v>45330.697916666664</v>
      </c>
      <c r="G227" s="408">
        <v>1</v>
      </c>
      <c r="H227" s="408">
        <v>51.374099999999999</v>
      </c>
      <c r="I227" s="408">
        <v>8.0164399999999993</v>
      </c>
      <c r="J227" s="408">
        <v>-16.367799999999999</v>
      </c>
      <c r="K227" s="408">
        <v>-15.549200000000001</v>
      </c>
      <c r="L227" s="408">
        <v>985.46600000000001</v>
      </c>
      <c r="M227" s="408">
        <v>124.4987</v>
      </c>
      <c r="N227" s="408">
        <v>17828.11</v>
      </c>
      <c r="O227" s="408">
        <v>17830.990000000002</v>
      </c>
      <c r="P227" s="410">
        <v>2072.46</v>
      </c>
      <c r="Q227" s="410">
        <f t="shared" si="14"/>
        <v>2063.9744942196535</v>
      </c>
      <c r="R227" s="410">
        <f t="shared" ref="R227:R228" si="20">2067.13-Q227</f>
        <v>3.1555057803466298</v>
      </c>
      <c r="S227" s="396">
        <f t="shared" si="16"/>
        <v>2067.13</v>
      </c>
      <c r="T227" s="408" t="s">
        <v>532</v>
      </c>
      <c r="U227" s="408">
        <v>15</v>
      </c>
      <c r="V227" s="408">
        <v>5</v>
      </c>
      <c r="W227" s="408">
        <v>0.7</v>
      </c>
      <c r="X227" s="408">
        <v>0.7</v>
      </c>
      <c r="Y227" s="408">
        <v>0.7</v>
      </c>
      <c r="Z227" s="411">
        <v>1700</v>
      </c>
      <c r="AA227" s="411" t="s">
        <v>533</v>
      </c>
      <c r="AB227" s="411">
        <v>0.85</v>
      </c>
      <c r="AC227" s="411" t="s">
        <v>534</v>
      </c>
      <c r="AD227" s="411" t="s">
        <v>535</v>
      </c>
      <c r="AE227" s="411">
        <v>220</v>
      </c>
      <c r="AF227" s="398" t="s">
        <v>691</v>
      </c>
      <c r="AG227" s="407"/>
    </row>
    <row r="228" spans="1:33" ht="15.75">
      <c r="A228" s="408" t="s">
        <v>653</v>
      </c>
      <c r="B228" s="408">
        <v>20</v>
      </c>
      <c r="C228" s="408" t="s">
        <v>689</v>
      </c>
      <c r="D228" s="408" t="s">
        <v>531</v>
      </c>
      <c r="E228" s="408">
        <v>1.5</v>
      </c>
      <c r="F228" s="409">
        <v>45330.70208333333</v>
      </c>
      <c r="G228" s="408">
        <v>1</v>
      </c>
      <c r="H228" s="408">
        <v>51.370800000000003</v>
      </c>
      <c r="I228" s="408">
        <v>7.9666300000000003</v>
      </c>
      <c r="J228" s="408">
        <v>-16.3339</v>
      </c>
      <c r="K228" s="408">
        <v>-15.504</v>
      </c>
      <c r="L228" s="408">
        <v>994.60799999999995</v>
      </c>
      <c r="M228" s="408">
        <v>161.999</v>
      </c>
      <c r="N228" s="408">
        <v>17865.93</v>
      </c>
      <c r="O228" s="408">
        <v>17830.990000000002</v>
      </c>
      <c r="P228" s="410">
        <v>2072.46</v>
      </c>
      <c r="Q228" s="410">
        <f t="shared" si="14"/>
        <v>2063.9744942196535</v>
      </c>
      <c r="R228" s="410">
        <f t="shared" si="20"/>
        <v>3.1555057803466298</v>
      </c>
      <c r="S228" s="396">
        <f t="shared" si="16"/>
        <v>2067.13</v>
      </c>
      <c r="T228" s="408" t="s">
        <v>542</v>
      </c>
      <c r="U228" s="408">
        <v>15</v>
      </c>
      <c r="V228" s="408">
        <v>5</v>
      </c>
      <c r="W228" s="408">
        <v>0.7</v>
      </c>
      <c r="X228" s="408">
        <v>0.7</v>
      </c>
      <c r="Y228" s="408">
        <v>0.7</v>
      </c>
      <c r="Z228" s="411">
        <v>1700</v>
      </c>
      <c r="AA228" s="411" t="s">
        <v>533</v>
      </c>
      <c r="AB228" s="411">
        <v>0.85</v>
      </c>
      <c r="AC228" s="411" t="s">
        <v>534</v>
      </c>
      <c r="AD228" s="411" t="s">
        <v>535</v>
      </c>
      <c r="AE228" s="411">
        <v>220</v>
      </c>
      <c r="AF228" s="398" t="s">
        <v>691</v>
      </c>
      <c r="AG228" s="407"/>
    </row>
    <row r="229" spans="1:33" ht="15.75">
      <c r="A229" s="408" t="s">
        <v>654</v>
      </c>
      <c r="B229" s="408">
        <v>20</v>
      </c>
      <c r="C229" s="408" t="s">
        <v>689</v>
      </c>
      <c r="D229" s="408" t="s">
        <v>531</v>
      </c>
      <c r="E229" s="408">
        <v>1.5</v>
      </c>
      <c r="F229" s="409">
        <v>45330.705555555556</v>
      </c>
      <c r="G229" s="408">
        <v>1</v>
      </c>
      <c r="H229" s="408">
        <v>51.377400000000002</v>
      </c>
      <c r="I229" s="408">
        <v>8.1776599999999995</v>
      </c>
      <c r="J229" s="408">
        <v>-16.301600000000001</v>
      </c>
      <c r="K229" s="408">
        <v>-15.451700000000001</v>
      </c>
      <c r="L229" s="408">
        <v>1000.08</v>
      </c>
      <c r="M229" s="408">
        <v>123.50069999999999</v>
      </c>
      <c r="N229" s="408">
        <v>17830.419999999998</v>
      </c>
      <c r="O229" s="408">
        <v>17830.990000000002</v>
      </c>
      <c r="P229" s="410">
        <v>2072.46</v>
      </c>
      <c r="Q229" s="410">
        <f t="shared" si="14"/>
        <v>2063.9744942196535</v>
      </c>
      <c r="R229" s="410">
        <f t="shared" ref="R229:R251" si="21">((B229-B$229)/(B$263-B$229))*R$264+((1-((B229-B$229)/(B$263-B$229)))*R$228)</f>
        <v>3.1555057803466298</v>
      </c>
      <c r="S229" s="396">
        <f t="shared" si="16"/>
        <v>2067.13</v>
      </c>
      <c r="T229" s="408" t="s">
        <v>532</v>
      </c>
      <c r="U229" s="408">
        <v>15</v>
      </c>
      <c r="V229" s="408">
        <v>5</v>
      </c>
      <c r="W229" s="408">
        <v>0.7</v>
      </c>
      <c r="X229" s="408">
        <v>0.7</v>
      </c>
      <c r="Y229" s="408">
        <v>0.7</v>
      </c>
      <c r="Z229" s="411">
        <v>1700</v>
      </c>
      <c r="AA229" s="411" t="s">
        <v>533</v>
      </c>
      <c r="AB229" s="411">
        <v>0.85</v>
      </c>
      <c r="AC229" s="411" t="s">
        <v>534</v>
      </c>
      <c r="AD229" s="411" t="s">
        <v>535</v>
      </c>
      <c r="AE229" s="411">
        <v>220</v>
      </c>
      <c r="AF229" s="398" t="s">
        <v>691</v>
      </c>
      <c r="AG229" s="407"/>
    </row>
    <row r="230" spans="1:33" ht="15.75">
      <c r="A230" s="408" t="s">
        <v>660</v>
      </c>
      <c r="B230" s="408">
        <v>21</v>
      </c>
      <c r="C230" s="408">
        <v>287</v>
      </c>
      <c r="D230" s="408" t="s">
        <v>561</v>
      </c>
      <c r="E230" s="408">
        <v>1.5</v>
      </c>
      <c r="F230" s="412">
        <v>45330.709722222222</v>
      </c>
      <c r="G230" s="408">
        <v>1</v>
      </c>
      <c r="H230" s="408">
        <v>51.374099999999999</v>
      </c>
      <c r="I230" s="408">
        <v>8.1181800000000006</v>
      </c>
      <c r="J230" s="408">
        <v>-16.4011</v>
      </c>
      <c r="K230" s="408">
        <v>-15.5573</v>
      </c>
      <c r="L230" s="408">
        <v>996.79899999999998</v>
      </c>
      <c r="M230" s="408">
        <v>111.0009</v>
      </c>
      <c r="N230" s="408">
        <v>17863.580000000002</v>
      </c>
      <c r="O230" s="408">
        <v>17852.91</v>
      </c>
      <c r="P230" s="410">
        <v>2075.0059999999999</v>
      </c>
      <c r="Q230" s="410">
        <f t="shared" si="14"/>
        <v>2066.5100698458573</v>
      </c>
      <c r="R230" s="410">
        <f t="shared" si="21"/>
        <v>2.7481803949902113</v>
      </c>
      <c r="S230" s="396">
        <f t="shared" si="16"/>
        <v>2069.2582502408477</v>
      </c>
      <c r="T230" s="408" t="s">
        <v>532</v>
      </c>
      <c r="U230" s="408">
        <v>15</v>
      </c>
      <c r="V230" s="408">
        <v>5</v>
      </c>
      <c r="W230" s="408">
        <v>0.7</v>
      </c>
      <c r="X230" s="408">
        <v>0.7</v>
      </c>
      <c r="Y230" s="408">
        <v>0.7</v>
      </c>
      <c r="Z230" s="411">
        <v>1700</v>
      </c>
      <c r="AA230" s="411" t="s">
        <v>533</v>
      </c>
      <c r="AB230" s="411">
        <v>0.85</v>
      </c>
      <c r="AC230" s="411" t="s">
        <v>534</v>
      </c>
      <c r="AD230" s="411" t="s">
        <v>535</v>
      </c>
      <c r="AE230" s="411">
        <v>220</v>
      </c>
      <c r="AF230" s="398" t="s">
        <v>691</v>
      </c>
      <c r="AG230" s="398"/>
    </row>
    <row r="231" spans="1:33" ht="15.75">
      <c r="A231" s="408" t="s">
        <v>661</v>
      </c>
      <c r="B231" s="408">
        <v>21</v>
      </c>
      <c r="C231" s="408">
        <v>287</v>
      </c>
      <c r="D231" s="408" t="s">
        <v>561</v>
      </c>
      <c r="E231" s="408">
        <v>1.5</v>
      </c>
      <c r="F231" s="412">
        <v>45330.713194444441</v>
      </c>
      <c r="G231" s="408">
        <v>1</v>
      </c>
      <c r="H231" s="408">
        <v>51.377400000000002</v>
      </c>
      <c r="I231" s="408">
        <v>7.9635400000000001</v>
      </c>
      <c r="J231" s="408">
        <v>-16.311599999999999</v>
      </c>
      <c r="K231" s="408">
        <v>-15.4718</v>
      </c>
      <c r="L231" s="408">
        <v>994.99800000000005</v>
      </c>
      <c r="M231" s="408">
        <v>119.9996</v>
      </c>
      <c r="N231" s="408">
        <v>17853.18</v>
      </c>
      <c r="O231" s="408">
        <v>17852.91</v>
      </c>
      <c r="P231" s="410">
        <v>2075.0059999999999</v>
      </c>
      <c r="Q231" s="410">
        <f t="shared" si="14"/>
        <v>2066.5100698458573</v>
      </c>
      <c r="R231" s="410">
        <f t="shared" si="21"/>
        <v>2.7481803949902113</v>
      </c>
      <c r="S231" s="396">
        <f t="shared" si="16"/>
        <v>2069.2582502408477</v>
      </c>
      <c r="T231" s="408" t="s">
        <v>532</v>
      </c>
      <c r="U231" s="408">
        <v>15</v>
      </c>
      <c r="V231" s="408">
        <v>5</v>
      </c>
      <c r="W231" s="408">
        <v>0.7</v>
      </c>
      <c r="X231" s="408">
        <v>0.7</v>
      </c>
      <c r="Y231" s="408">
        <v>0.7</v>
      </c>
      <c r="Z231" s="411">
        <v>1700</v>
      </c>
      <c r="AA231" s="411" t="s">
        <v>533</v>
      </c>
      <c r="AB231" s="411">
        <v>0.85</v>
      </c>
      <c r="AC231" s="411" t="s">
        <v>534</v>
      </c>
      <c r="AD231" s="411" t="s">
        <v>535</v>
      </c>
      <c r="AE231" s="411">
        <v>220</v>
      </c>
      <c r="AF231" s="398" t="s">
        <v>691</v>
      </c>
      <c r="AG231" s="398"/>
    </row>
    <row r="232" spans="1:33" ht="15.75">
      <c r="A232" s="408" t="s">
        <v>662</v>
      </c>
      <c r="B232" s="408">
        <v>21</v>
      </c>
      <c r="C232" s="408">
        <v>287</v>
      </c>
      <c r="D232" s="408" t="s">
        <v>561</v>
      </c>
      <c r="E232" s="408">
        <v>1.5</v>
      </c>
      <c r="F232" s="412">
        <v>45330.716666666667</v>
      </c>
      <c r="G232" s="408">
        <v>1</v>
      </c>
      <c r="H232" s="408">
        <v>51.374099999999999</v>
      </c>
      <c r="I232" s="408">
        <v>7.8940299999999999</v>
      </c>
      <c r="J232" s="408">
        <v>-16.346399999999999</v>
      </c>
      <c r="K232" s="408">
        <v>-15.5198</v>
      </c>
      <c r="L232" s="408">
        <v>996.82500000000005</v>
      </c>
      <c r="M232" s="408">
        <v>122.4991</v>
      </c>
      <c r="N232" s="408">
        <v>17841.96</v>
      </c>
      <c r="O232" s="408">
        <v>17852.91</v>
      </c>
      <c r="P232" s="410">
        <v>2075.0059999999999</v>
      </c>
      <c r="Q232" s="410">
        <f t="shared" si="14"/>
        <v>2066.5100698458573</v>
      </c>
      <c r="R232" s="410">
        <f t="shared" si="21"/>
        <v>2.7481803949902113</v>
      </c>
      <c r="S232" s="396">
        <f t="shared" si="16"/>
        <v>2069.2582502408477</v>
      </c>
      <c r="T232" s="408" t="s">
        <v>532</v>
      </c>
      <c r="U232" s="408">
        <v>15</v>
      </c>
      <c r="V232" s="408">
        <v>5</v>
      </c>
      <c r="W232" s="408">
        <v>0.7</v>
      </c>
      <c r="X232" s="408">
        <v>0.7</v>
      </c>
      <c r="Y232" s="408">
        <v>0.7</v>
      </c>
      <c r="Z232" s="411">
        <v>1700</v>
      </c>
      <c r="AA232" s="411" t="s">
        <v>533</v>
      </c>
      <c r="AB232" s="411">
        <v>0.85</v>
      </c>
      <c r="AC232" s="411" t="s">
        <v>534</v>
      </c>
      <c r="AD232" s="411" t="s">
        <v>535</v>
      </c>
      <c r="AE232" s="411">
        <v>220</v>
      </c>
      <c r="AF232" s="398" t="s">
        <v>691</v>
      </c>
      <c r="AG232" s="398"/>
    </row>
    <row r="233" spans="1:33" ht="15.75">
      <c r="A233" s="408" t="s">
        <v>663</v>
      </c>
      <c r="B233" s="408">
        <v>22</v>
      </c>
      <c r="C233" s="408">
        <v>288</v>
      </c>
      <c r="D233" s="408" t="s">
        <v>565</v>
      </c>
      <c r="E233" s="408">
        <v>1.5</v>
      </c>
      <c r="F233" s="412">
        <v>45330.720833333333</v>
      </c>
      <c r="G233" s="408">
        <v>1</v>
      </c>
      <c r="H233" s="408">
        <v>51.374099999999999</v>
      </c>
      <c r="I233" s="408">
        <v>7.8871900000000004</v>
      </c>
      <c r="J233" s="408">
        <v>-16.2029</v>
      </c>
      <c r="K233" s="408">
        <v>-15.3545</v>
      </c>
      <c r="L233" s="408">
        <v>994.59799999999996</v>
      </c>
      <c r="M233" s="408">
        <v>113.9999</v>
      </c>
      <c r="N233" s="408">
        <v>17832.22</v>
      </c>
      <c r="O233" s="408">
        <v>17836.2</v>
      </c>
      <c r="P233" s="410">
        <v>2073.0650000000001</v>
      </c>
      <c r="Q233" s="410">
        <f t="shared" si="14"/>
        <v>2064.5770171001927</v>
      </c>
      <c r="R233" s="410">
        <f t="shared" si="21"/>
        <v>2.3408550096337928</v>
      </c>
      <c r="S233" s="396">
        <f t="shared" si="16"/>
        <v>2066.9178721098265</v>
      </c>
      <c r="T233" s="408" t="s">
        <v>532</v>
      </c>
      <c r="U233" s="408">
        <v>15</v>
      </c>
      <c r="V233" s="408">
        <v>5</v>
      </c>
      <c r="W233" s="408">
        <v>0.7</v>
      </c>
      <c r="X233" s="408">
        <v>0.7</v>
      </c>
      <c r="Y233" s="408">
        <v>0.7</v>
      </c>
      <c r="Z233" s="411">
        <v>1700</v>
      </c>
      <c r="AA233" s="411" t="s">
        <v>533</v>
      </c>
      <c r="AB233" s="411">
        <v>0.85</v>
      </c>
      <c r="AC233" s="411" t="s">
        <v>534</v>
      </c>
      <c r="AD233" s="411" t="s">
        <v>535</v>
      </c>
      <c r="AE233" s="411">
        <v>220</v>
      </c>
      <c r="AF233" s="398" t="s">
        <v>691</v>
      </c>
      <c r="AG233" s="398"/>
    </row>
    <row r="234" spans="1:33" ht="15.75">
      <c r="A234" s="408" t="s">
        <v>664</v>
      </c>
      <c r="B234" s="408">
        <v>22</v>
      </c>
      <c r="C234" s="408">
        <v>288</v>
      </c>
      <c r="D234" s="408" t="s">
        <v>565</v>
      </c>
      <c r="E234" s="408">
        <v>1.5</v>
      </c>
      <c r="F234" s="412">
        <v>45330.724305555559</v>
      </c>
      <c r="G234" s="408">
        <v>1</v>
      </c>
      <c r="H234" s="408">
        <v>51.374099999999999</v>
      </c>
      <c r="I234" s="408">
        <v>7.8177399999999997</v>
      </c>
      <c r="J234" s="408">
        <v>-16.348700000000001</v>
      </c>
      <c r="K234" s="408">
        <v>-15.5097</v>
      </c>
      <c r="L234" s="408">
        <v>993.71199999999999</v>
      </c>
      <c r="M234" s="408">
        <v>124.4995</v>
      </c>
      <c r="N234" s="408">
        <v>17827.8</v>
      </c>
      <c r="O234" s="408">
        <v>17836.2</v>
      </c>
      <c r="P234" s="410">
        <v>2073.0650000000001</v>
      </c>
      <c r="Q234" s="410">
        <f t="shared" si="14"/>
        <v>2064.5770171001927</v>
      </c>
      <c r="R234" s="410">
        <f t="shared" si="21"/>
        <v>2.3408550096337928</v>
      </c>
      <c r="S234" s="396">
        <f t="shared" si="16"/>
        <v>2066.9178721098265</v>
      </c>
      <c r="T234" s="408" t="s">
        <v>532</v>
      </c>
      <c r="U234" s="408">
        <v>15</v>
      </c>
      <c r="V234" s="408">
        <v>5</v>
      </c>
      <c r="W234" s="408">
        <v>0.7</v>
      </c>
      <c r="X234" s="408">
        <v>0.7</v>
      </c>
      <c r="Y234" s="408">
        <v>0.7</v>
      </c>
      <c r="Z234" s="411">
        <v>1700</v>
      </c>
      <c r="AA234" s="411" t="s">
        <v>533</v>
      </c>
      <c r="AB234" s="411">
        <v>0.85</v>
      </c>
      <c r="AC234" s="411" t="s">
        <v>534</v>
      </c>
      <c r="AD234" s="411" t="s">
        <v>535</v>
      </c>
      <c r="AE234" s="411">
        <v>220</v>
      </c>
      <c r="AF234" s="398" t="s">
        <v>691</v>
      </c>
      <c r="AG234" s="398"/>
    </row>
    <row r="235" spans="1:33" ht="15.75">
      <c r="A235" s="408" t="s">
        <v>665</v>
      </c>
      <c r="B235" s="408">
        <v>22</v>
      </c>
      <c r="C235" s="408">
        <v>288</v>
      </c>
      <c r="D235" s="408" t="s">
        <v>565</v>
      </c>
      <c r="E235" s="408">
        <v>1.5</v>
      </c>
      <c r="F235" s="412">
        <v>45330.727777777778</v>
      </c>
      <c r="G235" s="408">
        <v>1</v>
      </c>
      <c r="H235" s="408">
        <v>51.374099999999999</v>
      </c>
      <c r="I235" s="408">
        <v>7.8242900000000004</v>
      </c>
      <c r="J235" s="408">
        <v>-16.4038</v>
      </c>
      <c r="K235" s="408">
        <v>-15.5573</v>
      </c>
      <c r="L235" s="408">
        <v>1002.83</v>
      </c>
      <c r="M235" s="408">
        <v>122.5</v>
      </c>
      <c r="N235" s="408">
        <v>17848.580000000002</v>
      </c>
      <c r="O235" s="408">
        <v>17836.2</v>
      </c>
      <c r="P235" s="410">
        <v>2073.0650000000001</v>
      </c>
      <c r="Q235" s="410">
        <f t="shared" si="14"/>
        <v>2064.5770171001927</v>
      </c>
      <c r="R235" s="410">
        <f t="shared" si="21"/>
        <v>2.3408550096337928</v>
      </c>
      <c r="S235" s="396">
        <f t="shared" si="16"/>
        <v>2066.9178721098265</v>
      </c>
      <c r="T235" s="408" t="s">
        <v>532</v>
      </c>
      <c r="U235" s="408">
        <v>15</v>
      </c>
      <c r="V235" s="408">
        <v>5</v>
      </c>
      <c r="W235" s="408">
        <v>0.7</v>
      </c>
      <c r="X235" s="408">
        <v>0.7</v>
      </c>
      <c r="Y235" s="408">
        <v>0.7</v>
      </c>
      <c r="Z235" s="411">
        <v>1700</v>
      </c>
      <c r="AA235" s="411" t="s">
        <v>533</v>
      </c>
      <c r="AB235" s="411">
        <v>0.85</v>
      </c>
      <c r="AC235" s="411" t="s">
        <v>534</v>
      </c>
      <c r="AD235" s="411" t="s">
        <v>535</v>
      </c>
      <c r="AE235" s="411">
        <v>220</v>
      </c>
      <c r="AF235" s="398" t="s">
        <v>691</v>
      </c>
      <c r="AG235" s="398"/>
    </row>
    <row r="236" spans="1:33" ht="15.75">
      <c r="A236" s="408" t="s">
        <v>666</v>
      </c>
      <c r="B236" s="408">
        <v>23</v>
      </c>
      <c r="C236" s="408">
        <v>313</v>
      </c>
      <c r="D236" s="408" t="s">
        <v>569</v>
      </c>
      <c r="E236" s="408">
        <v>1.5</v>
      </c>
      <c r="F236" s="412">
        <v>45330.731944444444</v>
      </c>
      <c r="G236" s="408">
        <v>1</v>
      </c>
      <c r="H236" s="408">
        <v>51.374099999999999</v>
      </c>
      <c r="I236" s="408">
        <v>7.8294600000000001</v>
      </c>
      <c r="J236" s="408">
        <v>-16.232399999999998</v>
      </c>
      <c r="K236" s="408">
        <v>-15.385999999999999</v>
      </c>
      <c r="L236" s="408">
        <v>1001.08</v>
      </c>
      <c r="M236" s="408">
        <v>116.49930000000001</v>
      </c>
      <c r="N236" s="408">
        <v>17913.810000000001</v>
      </c>
      <c r="O236" s="408">
        <v>17906.080000000002</v>
      </c>
      <c r="P236" s="410">
        <v>2081.2159999999999</v>
      </c>
      <c r="Q236" s="410">
        <f t="shared" si="14"/>
        <v>2072.6946435452792</v>
      </c>
      <c r="R236" s="410">
        <f t="shared" si="21"/>
        <v>1.9335296242773745</v>
      </c>
      <c r="S236" s="396">
        <f t="shared" si="16"/>
        <v>2074.6281731695567</v>
      </c>
      <c r="T236" s="408" t="s">
        <v>532</v>
      </c>
      <c r="U236" s="408">
        <v>15</v>
      </c>
      <c r="V236" s="408">
        <v>5</v>
      </c>
      <c r="W236" s="408">
        <v>0.7</v>
      </c>
      <c r="X236" s="408">
        <v>0.7</v>
      </c>
      <c r="Y236" s="408">
        <v>0.7</v>
      </c>
      <c r="Z236" s="411">
        <v>1700</v>
      </c>
      <c r="AA236" s="411" t="s">
        <v>533</v>
      </c>
      <c r="AB236" s="411">
        <v>0.85</v>
      </c>
      <c r="AC236" s="411" t="s">
        <v>534</v>
      </c>
      <c r="AD236" s="411" t="s">
        <v>535</v>
      </c>
      <c r="AE236" s="411">
        <v>220</v>
      </c>
      <c r="AF236" s="398" t="s">
        <v>691</v>
      </c>
      <c r="AG236" s="398"/>
    </row>
    <row r="237" spans="1:33" ht="15.75">
      <c r="A237" s="408" t="s">
        <v>667</v>
      </c>
      <c r="B237" s="408">
        <v>23</v>
      </c>
      <c r="C237" s="408">
        <v>313</v>
      </c>
      <c r="D237" s="408" t="s">
        <v>569</v>
      </c>
      <c r="E237" s="408">
        <v>1.5</v>
      </c>
      <c r="F237" s="412">
        <v>45330.73541666667</v>
      </c>
      <c r="G237" s="408">
        <v>1</v>
      </c>
      <c r="H237" s="408">
        <v>51.374099999999999</v>
      </c>
      <c r="I237" s="408">
        <v>7.8707900000000004</v>
      </c>
      <c r="J237" s="408">
        <v>-16.286899999999999</v>
      </c>
      <c r="K237" s="408">
        <v>-15.4384</v>
      </c>
      <c r="L237" s="408">
        <v>986.61</v>
      </c>
      <c r="M237" s="408">
        <v>117.5</v>
      </c>
      <c r="N237" s="408">
        <v>17902.62</v>
      </c>
      <c r="O237" s="408">
        <v>17906.080000000002</v>
      </c>
      <c r="P237" s="410">
        <v>2081.2159999999999</v>
      </c>
      <c r="Q237" s="410">
        <f t="shared" si="14"/>
        <v>2072.6946435452792</v>
      </c>
      <c r="R237" s="410">
        <f t="shared" si="21"/>
        <v>1.9335296242773745</v>
      </c>
      <c r="S237" s="396">
        <f t="shared" si="16"/>
        <v>2074.6281731695567</v>
      </c>
      <c r="T237" s="408" t="s">
        <v>532</v>
      </c>
      <c r="U237" s="408">
        <v>15</v>
      </c>
      <c r="V237" s="408">
        <v>5</v>
      </c>
      <c r="W237" s="408">
        <v>0.7</v>
      </c>
      <c r="X237" s="408">
        <v>0.7</v>
      </c>
      <c r="Y237" s="408">
        <v>0.7</v>
      </c>
      <c r="Z237" s="411">
        <v>1700</v>
      </c>
      <c r="AA237" s="411" t="s">
        <v>533</v>
      </c>
      <c r="AB237" s="411">
        <v>0.85</v>
      </c>
      <c r="AC237" s="411" t="s">
        <v>534</v>
      </c>
      <c r="AD237" s="411" t="s">
        <v>535</v>
      </c>
      <c r="AE237" s="411">
        <v>220</v>
      </c>
      <c r="AF237" s="398" t="s">
        <v>691</v>
      </c>
      <c r="AG237" s="398"/>
    </row>
    <row r="238" spans="1:33" ht="15.75">
      <c r="A238" s="408" t="s">
        <v>668</v>
      </c>
      <c r="B238" s="408">
        <v>23</v>
      </c>
      <c r="C238" s="408">
        <v>313</v>
      </c>
      <c r="D238" s="408" t="s">
        <v>569</v>
      </c>
      <c r="E238" s="408">
        <v>1.5</v>
      </c>
      <c r="F238" s="412">
        <v>45330.739583333336</v>
      </c>
      <c r="G238" s="408">
        <v>1</v>
      </c>
      <c r="H238" s="408">
        <v>51.374099999999999</v>
      </c>
      <c r="I238" s="408">
        <v>7.80769</v>
      </c>
      <c r="J238" s="408">
        <v>-16.348400000000002</v>
      </c>
      <c r="K238" s="408">
        <v>-15.528</v>
      </c>
      <c r="L238" s="408">
        <v>995.83799999999997</v>
      </c>
      <c r="M238" s="408">
        <v>128.50030000000001</v>
      </c>
      <c r="N238" s="408">
        <v>17901.82</v>
      </c>
      <c r="O238" s="408">
        <v>17906.080000000002</v>
      </c>
      <c r="P238" s="410">
        <v>2081.2159999999999</v>
      </c>
      <c r="Q238" s="410">
        <f t="shared" si="14"/>
        <v>2072.6946435452792</v>
      </c>
      <c r="R238" s="410">
        <f t="shared" si="21"/>
        <v>1.9335296242773745</v>
      </c>
      <c r="S238" s="396">
        <f t="shared" si="16"/>
        <v>2074.6281731695567</v>
      </c>
      <c r="T238" s="408" t="s">
        <v>532</v>
      </c>
      <c r="U238" s="408">
        <v>15</v>
      </c>
      <c r="V238" s="408">
        <v>5</v>
      </c>
      <c r="W238" s="408">
        <v>0.7</v>
      </c>
      <c r="X238" s="408">
        <v>0.7</v>
      </c>
      <c r="Y238" s="408">
        <v>0.7</v>
      </c>
      <c r="Z238" s="411">
        <v>1700</v>
      </c>
      <c r="AA238" s="411" t="s">
        <v>533</v>
      </c>
      <c r="AB238" s="411">
        <v>0.85</v>
      </c>
      <c r="AC238" s="411" t="s">
        <v>534</v>
      </c>
      <c r="AD238" s="411" t="s">
        <v>535</v>
      </c>
      <c r="AE238" s="411">
        <v>220</v>
      </c>
      <c r="AF238" s="398" t="s">
        <v>691</v>
      </c>
      <c r="AG238" s="398"/>
    </row>
    <row r="239" spans="1:33" ht="15.75">
      <c r="A239" s="408" t="s">
        <v>671</v>
      </c>
      <c r="B239" s="408">
        <v>24</v>
      </c>
      <c r="C239" s="408">
        <v>314</v>
      </c>
      <c r="D239" s="408" t="s">
        <v>575</v>
      </c>
      <c r="E239" s="408">
        <v>1.5</v>
      </c>
      <c r="F239" s="412">
        <v>45330.743055555555</v>
      </c>
      <c r="G239" s="408">
        <v>1</v>
      </c>
      <c r="H239" s="408">
        <v>51.374099999999999</v>
      </c>
      <c r="I239" s="408">
        <v>7.6835199999999997</v>
      </c>
      <c r="J239" s="408">
        <v>-16.506799999999998</v>
      </c>
      <c r="K239" s="408">
        <v>-15.7021</v>
      </c>
      <c r="L239" s="408">
        <v>998.99400000000003</v>
      </c>
      <c r="M239" s="408">
        <v>154.9999</v>
      </c>
      <c r="N239" s="408">
        <v>17960.939999999999</v>
      </c>
      <c r="O239" s="408">
        <v>17953.52</v>
      </c>
      <c r="P239" s="410">
        <v>2086.7600000000002</v>
      </c>
      <c r="Q239" s="410">
        <f t="shared" si="14"/>
        <v>2078.2159441233143</v>
      </c>
      <c r="R239" s="410">
        <f t="shared" si="21"/>
        <v>1.5262042389209556</v>
      </c>
      <c r="S239" s="396">
        <f t="shared" si="16"/>
        <v>2079.7421483622352</v>
      </c>
      <c r="T239" s="408" t="s">
        <v>532</v>
      </c>
      <c r="U239" s="408">
        <v>15</v>
      </c>
      <c r="V239" s="408">
        <v>5</v>
      </c>
      <c r="W239" s="408">
        <v>0.7</v>
      </c>
      <c r="X239" s="408">
        <v>0.7</v>
      </c>
      <c r="Y239" s="408">
        <v>0.7</v>
      </c>
      <c r="Z239" s="411">
        <v>1700</v>
      </c>
      <c r="AA239" s="411" t="s">
        <v>533</v>
      </c>
      <c r="AB239" s="411">
        <v>0.85</v>
      </c>
      <c r="AC239" s="411" t="s">
        <v>534</v>
      </c>
      <c r="AD239" s="411" t="s">
        <v>535</v>
      </c>
      <c r="AE239" s="411">
        <v>220</v>
      </c>
      <c r="AF239" s="398" t="s">
        <v>691</v>
      </c>
      <c r="AG239" s="398"/>
    </row>
    <row r="240" spans="1:33" ht="15.75">
      <c r="A240" s="408" t="s">
        <v>672</v>
      </c>
      <c r="B240" s="408">
        <v>24</v>
      </c>
      <c r="C240" s="408">
        <v>314</v>
      </c>
      <c r="D240" s="408" t="s">
        <v>575</v>
      </c>
      <c r="E240" s="408">
        <v>1.5</v>
      </c>
      <c r="F240" s="412">
        <v>45330.74722222222</v>
      </c>
      <c r="G240" s="408">
        <v>1</v>
      </c>
      <c r="H240" s="408">
        <v>51.374099999999999</v>
      </c>
      <c r="I240" s="408">
        <v>7.7817100000000003</v>
      </c>
      <c r="J240" s="408">
        <v>-16.3123</v>
      </c>
      <c r="K240" s="408">
        <v>-15.4703</v>
      </c>
      <c r="L240" s="408">
        <v>1004.44</v>
      </c>
      <c r="M240" s="408">
        <v>120.0003</v>
      </c>
      <c r="N240" s="408">
        <v>17919.009999999998</v>
      </c>
      <c r="O240" s="408">
        <v>17953.52</v>
      </c>
      <c r="P240" s="410">
        <v>2086.7600000000002</v>
      </c>
      <c r="Q240" s="410">
        <f t="shared" si="14"/>
        <v>2078.2159441233143</v>
      </c>
      <c r="R240" s="410">
        <f t="shared" si="21"/>
        <v>1.5262042389209556</v>
      </c>
      <c r="S240" s="396">
        <f t="shared" si="16"/>
        <v>2079.7421483622352</v>
      </c>
      <c r="T240" s="408" t="s">
        <v>542</v>
      </c>
      <c r="U240" s="408">
        <v>15</v>
      </c>
      <c r="V240" s="408">
        <v>5</v>
      </c>
      <c r="W240" s="408">
        <v>0.7</v>
      </c>
      <c r="X240" s="408">
        <v>0.7</v>
      </c>
      <c r="Y240" s="408">
        <v>0.7</v>
      </c>
      <c r="Z240" s="411">
        <v>1700</v>
      </c>
      <c r="AA240" s="411" t="s">
        <v>533</v>
      </c>
      <c r="AB240" s="411">
        <v>0.85</v>
      </c>
      <c r="AC240" s="411" t="s">
        <v>534</v>
      </c>
      <c r="AD240" s="411" t="s">
        <v>535</v>
      </c>
      <c r="AE240" s="411">
        <v>220</v>
      </c>
      <c r="AF240" s="398" t="s">
        <v>691</v>
      </c>
      <c r="AG240" s="398"/>
    </row>
    <row r="241" spans="1:33" ht="15.75">
      <c r="A241" s="408" t="s">
        <v>673</v>
      </c>
      <c r="B241" s="408">
        <v>24</v>
      </c>
      <c r="C241" s="408">
        <v>314</v>
      </c>
      <c r="D241" s="408" t="s">
        <v>575</v>
      </c>
      <c r="E241" s="408">
        <v>1.5</v>
      </c>
      <c r="F241" s="412">
        <v>45330.750694444447</v>
      </c>
      <c r="G241" s="408">
        <v>1</v>
      </c>
      <c r="H241" s="408">
        <v>51.374099999999999</v>
      </c>
      <c r="I241" s="408">
        <v>7.6663600000000001</v>
      </c>
      <c r="J241" s="408">
        <v>-16.312100000000001</v>
      </c>
      <c r="K241" s="408">
        <v>-15.4634</v>
      </c>
      <c r="L241" s="408">
        <v>994.66899999999998</v>
      </c>
      <c r="M241" s="408">
        <v>161.4999</v>
      </c>
      <c r="N241" s="408">
        <v>17957.36</v>
      </c>
      <c r="O241" s="408">
        <v>17953.52</v>
      </c>
      <c r="P241" s="410">
        <v>2086.7600000000002</v>
      </c>
      <c r="Q241" s="410">
        <f t="shared" si="14"/>
        <v>2078.2159441233143</v>
      </c>
      <c r="R241" s="410">
        <f t="shared" si="21"/>
        <v>1.5262042389209556</v>
      </c>
      <c r="S241" s="396">
        <f t="shared" si="16"/>
        <v>2079.7421483622352</v>
      </c>
      <c r="T241" s="408" t="s">
        <v>532</v>
      </c>
      <c r="U241" s="408">
        <v>15</v>
      </c>
      <c r="V241" s="408">
        <v>5</v>
      </c>
      <c r="W241" s="408">
        <v>0.7</v>
      </c>
      <c r="X241" s="408">
        <v>0.7</v>
      </c>
      <c r="Y241" s="408">
        <v>0.7</v>
      </c>
      <c r="Z241" s="411">
        <v>1700</v>
      </c>
      <c r="AA241" s="411" t="s">
        <v>533</v>
      </c>
      <c r="AB241" s="411">
        <v>0.85</v>
      </c>
      <c r="AC241" s="411" t="s">
        <v>534</v>
      </c>
      <c r="AD241" s="411" t="s">
        <v>535</v>
      </c>
      <c r="AE241" s="411">
        <v>220</v>
      </c>
      <c r="AF241" s="398" t="s">
        <v>691</v>
      </c>
      <c r="AG241" s="398"/>
    </row>
    <row r="242" spans="1:33" ht="15.75">
      <c r="A242" s="408" t="s">
        <v>674</v>
      </c>
      <c r="B242" s="408">
        <v>24</v>
      </c>
      <c r="C242" s="408">
        <v>314</v>
      </c>
      <c r="D242" s="408" t="s">
        <v>575</v>
      </c>
      <c r="E242" s="408">
        <v>1.5</v>
      </c>
      <c r="F242" s="412">
        <v>45330.754861111112</v>
      </c>
      <c r="G242" s="408">
        <v>1</v>
      </c>
      <c r="H242" s="408">
        <v>51.370800000000003</v>
      </c>
      <c r="I242" s="408">
        <v>7.6624499999999998</v>
      </c>
      <c r="J242" s="408">
        <v>-16.353000000000002</v>
      </c>
      <c r="K242" s="408">
        <v>-15.5168</v>
      </c>
      <c r="L242" s="408">
        <v>1004.7</v>
      </c>
      <c r="M242" s="408">
        <v>120.50020000000001</v>
      </c>
      <c r="N242" s="408">
        <v>17942.259999999998</v>
      </c>
      <c r="O242" s="408">
        <v>17953.52</v>
      </c>
      <c r="P242" s="410">
        <v>2086.7600000000002</v>
      </c>
      <c r="Q242" s="410">
        <f t="shared" si="14"/>
        <v>2078.2159441233143</v>
      </c>
      <c r="R242" s="410">
        <f t="shared" si="21"/>
        <v>1.5262042389209556</v>
      </c>
      <c r="S242" s="396">
        <f t="shared" si="16"/>
        <v>2079.7421483622352</v>
      </c>
      <c r="T242" s="408" t="s">
        <v>532</v>
      </c>
      <c r="U242" s="408">
        <v>15</v>
      </c>
      <c r="V242" s="408">
        <v>5</v>
      </c>
      <c r="W242" s="408">
        <v>0.7</v>
      </c>
      <c r="X242" s="408">
        <v>0.7</v>
      </c>
      <c r="Y242" s="408">
        <v>0.7</v>
      </c>
      <c r="Z242" s="411">
        <v>1700</v>
      </c>
      <c r="AA242" s="411" t="s">
        <v>533</v>
      </c>
      <c r="AB242" s="411">
        <v>0.85</v>
      </c>
      <c r="AC242" s="411" t="s">
        <v>534</v>
      </c>
      <c r="AD242" s="411" t="s">
        <v>535</v>
      </c>
      <c r="AE242" s="411">
        <v>220</v>
      </c>
      <c r="AF242" s="398" t="s">
        <v>691</v>
      </c>
      <c r="AG242" s="398"/>
    </row>
    <row r="243" spans="1:33" ht="15.75">
      <c r="A243" s="408" t="s">
        <v>676</v>
      </c>
      <c r="B243" s="408">
        <v>25</v>
      </c>
      <c r="C243" s="408">
        <v>300</v>
      </c>
      <c r="D243" s="408" t="s">
        <v>579</v>
      </c>
      <c r="E243" s="408">
        <v>1.5</v>
      </c>
      <c r="F243" s="412">
        <v>45330.759027777778</v>
      </c>
      <c r="G243" s="408">
        <v>1</v>
      </c>
      <c r="H243" s="408">
        <v>51.377400000000002</v>
      </c>
      <c r="I243" s="408">
        <v>7.7008299999999998</v>
      </c>
      <c r="J243" s="408">
        <v>-16.3828</v>
      </c>
      <c r="K243" s="408">
        <v>-15.5387</v>
      </c>
      <c r="L243" s="408">
        <v>994.21199999999999</v>
      </c>
      <c r="M243" s="408">
        <v>127.9997</v>
      </c>
      <c r="N243" s="408">
        <v>17731.650000000001</v>
      </c>
      <c r="O243" s="408">
        <v>17767.150000000001</v>
      </c>
      <c r="P243" s="410">
        <v>2065.0459999999998</v>
      </c>
      <c r="Q243" s="410">
        <f t="shared" si="14"/>
        <v>2056.5908501926783</v>
      </c>
      <c r="R243" s="410">
        <f t="shared" si="21"/>
        <v>1.1188788535645371</v>
      </c>
      <c r="S243" s="396">
        <f t="shared" si="16"/>
        <v>2057.709729046243</v>
      </c>
      <c r="T243" s="408" t="s">
        <v>542</v>
      </c>
      <c r="U243" s="408">
        <v>15</v>
      </c>
      <c r="V243" s="408">
        <v>5</v>
      </c>
      <c r="W243" s="408">
        <v>0.7</v>
      </c>
      <c r="X243" s="408">
        <v>0.7</v>
      </c>
      <c r="Y243" s="408">
        <v>0.7</v>
      </c>
      <c r="Z243" s="411">
        <v>1700</v>
      </c>
      <c r="AA243" s="411" t="s">
        <v>533</v>
      </c>
      <c r="AB243" s="411">
        <v>0.85</v>
      </c>
      <c r="AC243" s="411" t="s">
        <v>534</v>
      </c>
      <c r="AD243" s="411" t="s">
        <v>535</v>
      </c>
      <c r="AE243" s="411">
        <v>220</v>
      </c>
      <c r="AF243" s="398" t="s">
        <v>691</v>
      </c>
      <c r="AG243" s="398"/>
    </row>
    <row r="244" spans="1:33" ht="15.75">
      <c r="A244" s="408" t="s">
        <v>677</v>
      </c>
      <c r="B244" s="408">
        <v>25</v>
      </c>
      <c r="C244" s="408">
        <v>300</v>
      </c>
      <c r="D244" s="408" t="s">
        <v>579</v>
      </c>
      <c r="E244" s="408">
        <v>1.5</v>
      </c>
      <c r="F244" s="412">
        <v>45330.762499999997</v>
      </c>
      <c r="G244" s="408">
        <v>1</v>
      </c>
      <c r="H244" s="408">
        <v>51.374099999999999</v>
      </c>
      <c r="I244" s="408">
        <v>7.7534700000000001</v>
      </c>
      <c r="J244" s="408">
        <v>-16.374600000000001</v>
      </c>
      <c r="K244" s="408">
        <v>-15.527100000000001</v>
      </c>
      <c r="L244" s="408">
        <v>983.34299999999996</v>
      </c>
      <c r="M244" s="408">
        <v>121.5004</v>
      </c>
      <c r="N244" s="408">
        <v>17761.28</v>
      </c>
      <c r="O244" s="408">
        <v>17767.150000000001</v>
      </c>
      <c r="P244" s="410">
        <v>2065.0459999999998</v>
      </c>
      <c r="Q244" s="410">
        <f t="shared" si="14"/>
        <v>2056.5908501926783</v>
      </c>
      <c r="R244" s="410">
        <f t="shared" si="21"/>
        <v>1.1188788535645371</v>
      </c>
      <c r="S244" s="396">
        <f t="shared" si="16"/>
        <v>2057.709729046243</v>
      </c>
      <c r="T244" s="408" t="s">
        <v>532</v>
      </c>
      <c r="U244" s="408">
        <v>15</v>
      </c>
      <c r="V244" s="408">
        <v>5</v>
      </c>
      <c r="W244" s="408">
        <v>0.7</v>
      </c>
      <c r="X244" s="408">
        <v>0.7</v>
      </c>
      <c r="Y244" s="408">
        <v>0.7</v>
      </c>
      <c r="Z244" s="411">
        <v>1700</v>
      </c>
      <c r="AA244" s="411" t="s">
        <v>533</v>
      </c>
      <c r="AB244" s="411">
        <v>0.85</v>
      </c>
      <c r="AC244" s="411" t="s">
        <v>534</v>
      </c>
      <c r="AD244" s="411" t="s">
        <v>535</v>
      </c>
      <c r="AE244" s="411">
        <v>220</v>
      </c>
      <c r="AF244" s="398" t="s">
        <v>691</v>
      </c>
      <c r="AG244" s="398"/>
    </row>
    <row r="245" spans="1:33" ht="15.75">
      <c r="A245" s="408" t="s">
        <v>678</v>
      </c>
      <c r="B245" s="408">
        <v>25</v>
      </c>
      <c r="C245" s="408">
        <v>300</v>
      </c>
      <c r="D245" s="408" t="s">
        <v>579</v>
      </c>
      <c r="E245" s="408">
        <v>1.5</v>
      </c>
      <c r="F245" s="412">
        <v>45330.765972222223</v>
      </c>
      <c r="G245" s="408">
        <v>1</v>
      </c>
      <c r="H245" s="408">
        <v>51.370800000000003</v>
      </c>
      <c r="I245" s="408">
        <v>7.6989200000000002</v>
      </c>
      <c r="J245" s="408">
        <v>-16.187000000000001</v>
      </c>
      <c r="K245" s="408">
        <v>-15.3681</v>
      </c>
      <c r="L245" s="408">
        <v>986.35900000000004</v>
      </c>
      <c r="M245" s="408">
        <v>148.99879999999999</v>
      </c>
      <c r="N245" s="408">
        <v>17782.150000000001</v>
      </c>
      <c r="O245" s="408">
        <v>17767.150000000001</v>
      </c>
      <c r="P245" s="410">
        <v>2065.0459999999998</v>
      </c>
      <c r="Q245" s="410">
        <f t="shared" si="14"/>
        <v>2056.5908501926783</v>
      </c>
      <c r="R245" s="410">
        <f t="shared" si="21"/>
        <v>1.1188788535645371</v>
      </c>
      <c r="S245" s="396">
        <f t="shared" si="16"/>
        <v>2057.709729046243</v>
      </c>
      <c r="T245" s="408" t="s">
        <v>532</v>
      </c>
      <c r="U245" s="408">
        <v>15</v>
      </c>
      <c r="V245" s="408">
        <v>5</v>
      </c>
      <c r="W245" s="408">
        <v>0.7</v>
      </c>
      <c r="X245" s="408">
        <v>0.7</v>
      </c>
      <c r="Y245" s="408">
        <v>0.7</v>
      </c>
      <c r="Z245" s="411">
        <v>1700</v>
      </c>
      <c r="AA245" s="411" t="s">
        <v>533</v>
      </c>
      <c r="AB245" s="411">
        <v>0.85</v>
      </c>
      <c r="AC245" s="411" t="s">
        <v>534</v>
      </c>
      <c r="AD245" s="411" t="s">
        <v>535</v>
      </c>
      <c r="AE245" s="411">
        <v>220</v>
      </c>
      <c r="AF245" s="398" t="s">
        <v>691</v>
      </c>
      <c r="AG245" s="398"/>
    </row>
    <row r="246" spans="1:33" ht="15.75">
      <c r="A246" s="408" t="s">
        <v>679</v>
      </c>
      <c r="B246" s="408">
        <v>25</v>
      </c>
      <c r="C246" s="408">
        <v>300</v>
      </c>
      <c r="D246" s="408" t="s">
        <v>579</v>
      </c>
      <c r="E246" s="408">
        <v>1.5</v>
      </c>
      <c r="F246" s="412">
        <v>45330.770138888889</v>
      </c>
      <c r="G246" s="408">
        <v>1</v>
      </c>
      <c r="H246" s="408">
        <v>51.377400000000002</v>
      </c>
      <c r="I246" s="408">
        <v>7.7493699999999999</v>
      </c>
      <c r="J246" s="408">
        <v>-16.351099999999999</v>
      </c>
      <c r="K246" s="408">
        <v>-15.513199999999999</v>
      </c>
      <c r="L246" s="408">
        <v>970.70600000000002</v>
      </c>
      <c r="M246" s="408">
        <v>120.99939999999999</v>
      </c>
      <c r="N246" s="408">
        <v>17726.28</v>
      </c>
      <c r="O246" s="408">
        <v>17767.150000000001</v>
      </c>
      <c r="P246" s="410">
        <v>2065.0459999999998</v>
      </c>
      <c r="Q246" s="410">
        <f t="shared" si="14"/>
        <v>2056.5908501926783</v>
      </c>
      <c r="R246" s="410">
        <f t="shared" si="21"/>
        <v>1.1188788535645371</v>
      </c>
      <c r="S246" s="396">
        <f t="shared" si="16"/>
        <v>2057.709729046243</v>
      </c>
      <c r="T246" s="408" t="s">
        <v>542</v>
      </c>
      <c r="U246" s="408">
        <v>15</v>
      </c>
      <c r="V246" s="408">
        <v>5</v>
      </c>
      <c r="W246" s="408">
        <v>0.7</v>
      </c>
      <c r="X246" s="408">
        <v>0.7</v>
      </c>
      <c r="Y246" s="408">
        <v>0.7</v>
      </c>
      <c r="Z246" s="411">
        <v>1700</v>
      </c>
      <c r="AA246" s="411" t="s">
        <v>533</v>
      </c>
      <c r="AB246" s="411">
        <v>0.85</v>
      </c>
      <c r="AC246" s="411" t="s">
        <v>534</v>
      </c>
      <c r="AD246" s="411" t="s">
        <v>535</v>
      </c>
      <c r="AE246" s="411">
        <v>220</v>
      </c>
      <c r="AF246" s="398" t="s">
        <v>691</v>
      </c>
      <c r="AG246" s="398"/>
    </row>
    <row r="247" spans="1:33" ht="15.75">
      <c r="A247" s="408" t="s">
        <v>710</v>
      </c>
      <c r="B247" s="408">
        <v>25</v>
      </c>
      <c r="C247" s="408">
        <v>300</v>
      </c>
      <c r="D247" s="408" t="s">
        <v>579</v>
      </c>
      <c r="E247" s="408">
        <v>1.5</v>
      </c>
      <c r="F247" s="412">
        <v>45330.773611111108</v>
      </c>
      <c r="G247" s="408">
        <v>1</v>
      </c>
      <c r="H247" s="408">
        <v>51.377400000000002</v>
      </c>
      <c r="I247" s="408">
        <v>7.7673199999999998</v>
      </c>
      <c r="J247" s="408">
        <v>-16.293800000000001</v>
      </c>
      <c r="K247" s="408">
        <v>-15.459899999999999</v>
      </c>
      <c r="L247" s="408">
        <v>979.92700000000002</v>
      </c>
      <c r="M247" s="408">
        <v>165.5001</v>
      </c>
      <c r="N247" s="408">
        <v>17758.03</v>
      </c>
      <c r="O247" s="408">
        <v>17767.150000000001</v>
      </c>
      <c r="P247" s="410">
        <v>2065.0459999999998</v>
      </c>
      <c r="Q247" s="410">
        <f t="shared" si="14"/>
        <v>2056.5908501926783</v>
      </c>
      <c r="R247" s="410">
        <f t="shared" si="21"/>
        <v>1.1188788535645371</v>
      </c>
      <c r="S247" s="396">
        <f t="shared" si="16"/>
        <v>2057.709729046243</v>
      </c>
      <c r="T247" s="408" t="s">
        <v>532</v>
      </c>
      <c r="U247" s="408">
        <v>15</v>
      </c>
      <c r="V247" s="408">
        <v>5</v>
      </c>
      <c r="W247" s="408">
        <v>0.7</v>
      </c>
      <c r="X247" s="408">
        <v>0.7</v>
      </c>
      <c r="Y247" s="408">
        <v>0.7</v>
      </c>
      <c r="Z247" s="411">
        <v>1700</v>
      </c>
      <c r="AA247" s="411" t="s">
        <v>533</v>
      </c>
      <c r="AB247" s="411">
        <v>0.85</v>
      </c>
      <c r="AC247" s="411" t="s">
        <v>534</v>
      </c>
      <c r="AD247" s="411" t="s">
        <v>535</v>
      </c>
      <c r="AE247" s="411">
        <v>220</v>
      </c>
      <c r="AF247" s="398" t="s">
        <v>691</v>
      </c>
      <c r="AG247" s="398"/>
    </row>
    <row r="248" spans="1:33" ht="15.75">
      <c r="A248" s="408" t="s">
        <v>680</v>
      </c>
      <c r="B248" s="408">
        <v>26</v>
      </c>
      <c r="C248" s="408">
        <v>301</v>
      </c>
      <c r="D248" s="408" t="s">
        <v>585</v>
      </c>
      <c r="E248" s="408">
        <v>1.5</v>
      </c>
      <c r="F248" s="412">
        <v>45330.77847222222</v>
      </c>
      <c r="G248" s="408">
        <v>1</v>
      </c>
      <c r="H248" s="408">
        <v>51.374099999999999</v>
      </c>
      <c r="I248" s="408">
        <v>7.7068300000000001</v>
      </c>
      <c r="J248" s="408">
        <v>-16.468399999999999</v>
      </c>
      <c r="K248" s="408">
        <v>-15.628399999999999</v>
      </c>
      <c r="L248" s="408">
        <v>985.81399999999996</v>
      </c>
      <c r="M248" s="408">
        <v>130.0008</v>
      </c>
      <c r="N248" s="408">
        <v>17758.54</v>
      </c>
      <c r="O248" s="408">
        <v>17726.39</v>
      </c>
      <c r="P248" s="410">
        <v>2060.3119999999999</v>
      </c>
      <c r="Q248" s="410">
        <f t="shared" si="14"/>
        <v>2051.8762331406551</v>
      </c>
      <c r="R248" s="410">
        <f t="shared" si="21"/>
        <v>0.71155346820811871</v>
      </c>
      <c r="S248" s="396">
        <f t="shared" si="16"/>
        <v>2052.5877866088631</v>
      </c>
      <c r="T248" s="408" t="s">
        <v>542</v>
      </c>
      <c r="U248" s="408">
        <v>15</v>
      </c>
      <c r="V248" s="408">
        <v>5</v>
      </c>
      <c r="W248" s="408">
        <v>0.7</v>
      </c>
      <c r="X248" s="408">
        <v>0.7</v>
      </c>
      <c r="Y248" s="408">
        <v>0.7</v>
      </c>
      <c r="Z248" s="411">
        <v>1700</v>
      </c>
      <c r="AA248" s="411" t="s">
        <v>533</v>
      </c>
      <c r="AB248" s="411">
        <v>0.85</v>
      </c>
      <c r="AC248" s="411" t="s">
        <v>534</v>
      </c>
      <c r="AD248" s="411" t="s">
        <v>535</v>
      </c>
      <c r="AE248" s="411">
        <v>220</v>
      </c>
      <c r="AF248" s="398" t="s">
        <v>691</v>
      </c>
      <c r="AG248" s="398"/>
    </row>
    <row r="249" spans="1:33" ht="15.75">
      <c r="A249" s="408" t="s">
        <v>681</v>
      </c>
      <c r="B249" s="408">
        <v>26</v>
      </c>
      <c r="C249" s="408">
        <v>301</v>
      </c>
      <c r="D249" s="408" t="s">
        <v>585</v>
      </c>
      <c r="E249" s="408">
        <v>1.5</v>
      </c>
      <c r="F249" s="412">
        <v>45330.781944444447</v>
      </c>
      <c r="G249" s="408">
        <v>1</v>
      </c>
      <c r="H249" s="408">
        <v>51.377400000000002</v>
      </c>
      <c r="I249" s="408">
        <v>7.6854699999999996</v>
      </c>
      <c r="J249" s="408">
        <v>-16.384699999999999</v>
      </c>
      <c r="K249" s="408">
        <v>-15.536</v>
      </c>
      <c r="L249" s="408">
        <v>984.52700000000004</v>
      </c>
      <c r="M249" s="408">
        <v>126.499</v>
      </c>
      <c r="N249" s="408">
        <v>17721.599999999999</v>
      </c>
      <c r="O249" s="408">
        <v>17726.39</v>
      </c>
      <c r="P249" s="410">
        <v>2060.3119999999999</v>
      </c>
      <c r="Q249" s="410">
        <f t="shared" si="14"/>
        <v>2051.8762331406551</v>
      </c>
      <c r="R249" s="410">
        <f t="shared" si="21"/>
        <v>0.71155346820811871</v>
      </c>
      <c r="S249" s="396">
        <f t="shared" si="16"/>
        <v>2052.5877866088631</v>
      </c>
      <c r="T249" s="408" t="s">
        <v>532</v>
      </c>
      <c r="U249" s="408">
        <v>15</v>
      </c>
      <c r="V249" s="408">
        <v>5</v>
      </c>
      <c r="W249" s="408">
        <v>0.7</v>
      </c>
      <c r="X249" s="408">
        <v>0.7</v>
      </c>
      <c r="Y249" s="408">
        <v>0.7</v>
      </c>
      <c r="Z249" s="411">
        <v>1700</v>
      </c>
      <c r="AA249" s="411" t="s">
        <v>533</v>
      </c>
      <c r="AB249" s="411">
        <v>0.85</v>
      </c>
      <c r="AC249" s="411" t="s">
        <v>534</v>
      </c>
      <c r="AD249" s="411" t="s">
        <v>535</v>
      </c>
      <c r="AE249" s="411">
        <v>220</v>
      </c>
      <c r="AF249" s="398" t="s">
        <v>691</v>
      </c>
      <c r="AG249" s="398"/>
    </row>
    <row r="250" spans="1:33" ht="15.75">
      <c r="A250" s="408" t="s">
        <v>682</v>
      </c>
      <c r="B250" s="408">
        <v>26</v>
      </c>
      <c r="C250" s="408">
        <v>301</v>
      </c>
      <c r="D250" s="408" t="s">
        <v>585</v>
      </c>
      <c r="E250" s="408">
        <v>1.5</v>
      </c>
      <c r="F250" s="412">
        <v>45330.785416666666</v>
      </c>
      <c r="G250" s="408">
        <v>1</v>
      </c>
      <c r="H250" s="408">
        <v>51.374099999999999</v>
      </c>
      <c r="I250" s="408">
        <v>7.5986799999999999</v>
      </c>
      <c r="J250" s="408">
        <v>-16.308700000000002</v>
      </c>
      <c r="K250" s="408">
        <v>-15.4643</v>
      </c>
      <c r="L250" s="408">
        <v>989.68</v>
      </c>
      <c r="M250" s="408">
        <v>115.49809999999999</v>
      </c>
      <c r="N250" s="408">
        <v>17738.13</v>
      </c>
      <c r="O250" s="408">
        <v>17726.39</v>
      </c>
      <c r="P250" s="410">
        <v>2060.3119999999999</v>
      </c>
      <c r="Q250" s="410">
        <f t="shared" si="14"/>
        <v>2051.8762331406551</v>
      </c>
      <c r="R250" s="410">
        <f t="shared" si="21"/>
        <v>0.71155346820811871</v>
      </c>
      <c r="S250" s="396">
        <f t="shared" si="16"/>
        <v>2052.5877866088631</v>
      </c>
      <c r="T250" s="408" t="s">
        <v>532</v>
      </c>
      <c r="U250" s="408">
        <v>15</v>
      </c>
      <c r="V250" s="408">
        <v>5</v>
      </c>
      <c r="W250" s="408">
        <v>0.7</v>
      </c>
      <c r="X250" s="408">
        <v>0.7</v>
      </c>
      <c r="Y250" s="408">
        <v>0.7</v>
      </c>
      <c r="Z250" s="411">
        <v>1700</v>
      </c>
      <c r="AA250" s="411" t="s">
        <v>533</v>
      </c>
      <c r="AB250" s="411">
        <v>0.85</v>
      </c>
      <c r="AC250" s="411" t="s">
        <v>534</v>
      </c>
      <c r="AD250" s="411" t="s">
        <v>535</v>
      </c>
      <c r="AE250" s="411">
        <v>220</v>
      </c>
      <c r="AF250" s="398" t="s">
        <v>691</v>
      </c>
      <c r="AG250" s="398"/>
    </row>
    <row r="251" spans="1:33" ht="15.75">
      <c r="A251" s="408" t="s">
        <v>711</v>
      </c>
      <c r="B251" s="408">
        <v>26</v>
      </c>
      <c r="C251" s="408">
        <v>301</v>
      </c>
      <c r="D251" s="408" t="s">
        <v>585</v>
      </c>
      <c r="E251" s="408">
        <v>1.5</v>
      </c>
      <c r="F251" s="412">
        <v>45330.788888888892</v>
      </c>
      <c r="G251" s="408">
        <v>1</v>
      </c>
      <c r="H251" s="408">
        <v>51.370800000000003</v>
      </c>
      <c r="I251" s="408">
        <v>7.6700299999999997</v>
      </c>
      <c r="J251" s="408">
        <v>-16.3188</v>
      </c>
      <c r="K251" s="408">
        <v>-15.5029</v>
      </c>
      <c r="L251" s="408">
        <v>990.05899999999997</v>
      </c>
      <c r="M251" s="408">
        <v>113.49809999999999</v>
      </c>
      <c r="N251" s="408">
        <v>17719.45</v>
      </c>
      <c r="O251" s="408">
        <v>17726.39</v>
      </c>
      <c r="P251" s="410">
        <v>2060.3119999999999</v>
      </c>
      <c r="Q251" s="410">
        <f t="shared" si="14"/>
        <v>2051.8762331406551</v>
      </c>
      <c r="R251" s="410">
        <f t="shared" si="21"/>
        <v>0.71155346820811871</v>
      </c>
      <c r="S251" s="396">
        <f t="shared" si="16"/>
        <v>2052.5877866088631</v>
      </c>
      <c r="T251" s="408" t="s">
        <v>532</v>
      </c>
      <c r="U251" s="408">
        <v>15</v>
      </c>
      <c r="V251" s="408">
        <v>5</v>
      </c>
      <c r="W251" s="408">
        <v>0.7</v>
      </c>
      <c r="X251" s="408">
        <v>0.7</v>
      </c>
      <c r="Y251" s="408">
        <v>0.7</v>
      </c>
      <c r="Z251" s="411">
        <v>1700</v>
      </c>
      <c r="AA251" s="411" t="s">
        <v>533</v>
      </c>
      <c r="AB251" s="411">
        <v>0.85</v>
      </c>
      <c r="AC251" s="411" t="s">
        <v>534</v>
      </c>
      <c r="AD251" s="411" t="s">
        <v>535</v>
      </c>
      <c r="AE251" s="411">
        <v>220</v>
      </c>
      <c r="AF251" s="398" t="s">
        <v>691</v>
      </c>
      <c r="AG251" s="398"/>
    </row>
    <row r="252" spans="1:33" ht="15.75">
      <c r="A252" s="408" t="s">
        <v>683</v>
      </c>
      <c r="B252" s="408">
        <v>27</v>
      </c>
      <c r="C252" s="408">
        <v>222</v>
      </c>
      <c r="D252" s="408" t="s">
        <v>591</v>
      </c>
      <c r="E252" s="408">
        <v>1.5</v>
      </c>
      <c r="F252" s="412">
        <v>45330.793055555558</v>
      </c>
      <c r="G252" s="408">
        <v>1</v>
      </c>
      <c r="H252" s="408">
        <v>51.370800000000003</v>
      </c>
      <c r="I252" s="408">
        <v>7.7989699999999997</v>
      </c>
      <c r="J252" s="408">
        <v>-16.503900000000002</v>
      </c>
      <c r="K252" s="408">
        <v>-15.6706</v>
      </c>
      <c r="L252" s="408">
        <v>999.423</v>
      </c>
      <c r="M252" s="408">
        <v>132.50049999999999</v>
      </c>
      <c r="N252" s="408">
        <v>17860.86</v>
      </c>
      <c r="O252" s="408">
        <v>0</v>
      </c>
      <c r="P252" s="410">
        <v>0</v>
      </c>
      <c r="Q252" s="396" t="s">
        <v>18</v>
      </c>
      <c r="R252" s="396" t="s">
        <v>18</v>
      </c>
      <c r="S252" s="396" t="s">
        <v>18</v>
      </c>
      <c r="T252" s="408" t="s">
        <v>592</v>
      </c>
      <c r="U252" s="408">
        <v>15</v>
      </c>
      <c r="V252" s="408">
        <v>5</v>
      </c>
      <c r="W252" s="408">
        <v>0.7</v>
      </c>
      <c r="X252" s="408">
        <v>0.7</v>
      </c>
      <c r="Y252" s="408">
        <v>0.7</v>
      </c>
      <c r="Z252" s="411">
        <v>1700</v>
      </c>
      <c r="AA252" s="411" t="s">
        <v>533</v>
      </c>
      <c r="AB252" s="411">
        <v>0.85</v>
      </c>
      <c r="AC252" s="411" t="s">
        <v>534</v>
      </c>
      <c r="AD252" s="411" t="s">
        <v>535</v>
      </c>
      <c r="AE252" s="411">
        <v>220</v>
      </c>
      <c r="AF252" s="398" t="s">
        <v>691</v>
      </c>
      <c r="AG252" s="398"/>
    </row>
    <row r="253" spans="1:33" ht="15.75">
      <c r="A253" s="408" t="s">
        <v>684</v>
      </c>
      <c r="B253" s="408">
        <v>27</v>
      </c>
      <c r="C253" s="408">
        <v>222</v>
      </c>
      <c r="D253" s="408" t="s">
        <v>591</v>
      </c>
      <c r="E253" s="408">
        <v>1.5</v>
      </c>
      <c r="F253" s="412">
        <v>45330.796527777777</v>
      </c>
      <c r="G253" s="408">
        <v>1</v>
      </c>
      <c r="H253" s="408">
        <v>51.380699999999997</v>
      </c>
      <c r="I253" s="408">
        <v>7.6971400000000001</v>
      </c>
      <c r="J253" s="408">
        <v>-16.4771</v>
      </c>
      <c r="K253" s="408">
        <v>-15.635199999999999</v>
      </c>
      <c r="L253" s="408">
        <v>999.23599999999999</v>
      </c>
      <c r="M253" s="408">
        <v>123.5014</v>
      </c>
      <c r="N253" s="408">
        <v>17890.169999999998</v>
      </c>
      <c r="O253" s="408">
        <v>0</v>
      </c>
      <c r="P253" s="410">
        <v>0</v>
      </c>
      <c r="Q253" s="396" t="s">
        <v>18</v>
      </c>
      <c r="R253" s="396" t="s">
        <v>18</v>
      </c>
      <c r="S253" s="396" t="s">
        <v>18</v>
      </c>
      <c r="T253" s="408" t="s">
        <v>592</v>
      </c>
      <c r="U253" s="408">
        <v>15</v>
      </c>
      <c r="V253" s="408">
        <v>5</v>
      </c>
      <c r="W253" s="408">
        <v>0.7</v>
      </c>
      <c r="X253" s="408">
        <v>0.7</v>
      </c>
      <c r="Y253" s="408">
        <v>0.7</v>
      </c>
      <c r="Z253" s="411">
        <v>1700</v>
      </c>
      <c r="AA253" s="411" t="s">
        <v>533</v>
      </c>
      <c r="AB253" s="411">
        <v>0.85</v>
      </c>
      <c r="AC253" s="411" t="s">
        <v>534</v>
      </c>
      <c r="AD253" s="411" t="s">
        <v>535</v>
      </c>
      <c r="AE253" s="411">
        <v>220</v>
      </c>
      <c r="AF253" s="398" t="s">
        <v>691</v>
      </c>
      <c r="AG253" s="398"/>
    </row>
    <row r="254" spans="1:33" ht="15.75">
      <c r="A254" s="408" t="s">
        <v>685</v>
      </c>
      <c r="B254" s="408">
        <v>27</v>
      </c>
      <c r="C254" s="408">
        <v>222</v>
      </c>
      <c r="D254" s="408" t="s">
        <v>591</v>
      </c>
      <c r="E254" s="408">
        <v>1.5</v>
      </c>
      <c r="F254" s="412">
        <v>45330.800694444442</v>
      </c>
      <c r="G254" s="408">
        <v>1</v>
      </c>
      <c r="H254" s="408">
        <v>51.3675</v>
      </c>
      <c r="I254" s="408">
        <v>7.7260499999999999</v>
      </c>
      <c r="J254" s="408">
        <v>-16.6022</v>
      </c>
      <c r="K254" s="408">
        <v>-15.753399999999999</v>
      </c>
      <c r="L254" s="408">
        <v>995.31500000000005</v>
      </c>
      <c r="M254" s="408">
        <v>175.5001</v>
      </c>
      <c r="N254" s="408">
        <v>17963.5</v>
      </c>
      <c r="O254" s="408">
        <v>0</v>
      </c>
      <c r="P254" s="410">
        <v>0</v>
      </c>
      <c r="Q254" s="396" t="s">
        <v>18</v>
      </c>
      <c r="R254" s="396" t="s">
        <v>18</v>
      </c>
      <c r="S254" s="396" t="s">
        <v>18</v>
      </c>
      <c r="T254" s="408" t="s">
        <v>592</v>
      </c>
      <c r="U254" s="408">
        <v>15</v>
      </c>
      <c r="V254" s="408">
        <v>5</v>
      </c>
      <c r="W254" s="408">
        <v>0.7</v>
      </c>
      <c r="X254" s="408">
        <v>0.7</v>
      </c>
      <c r="Y254" s="408">
        <v>0.7</v>
      </c>
      <c r="Z254" s="411">
        <v>1700</v>
      </c>
      <c r="AA254" s="411" t="s">
        <v>533</v>
      </c>
      <c r="AB254" s="411">
        <v>0.85</v>
      </c>
      <c r="AC254" s="411" t="s">
        <v>534</v>
      </c>
      <c r="AD254" s="411" t="s">
        <v>535</v>
      </c>
      <c r="AE254" s="411">
        <v>220</v>
      </c>
      <c r="AF254" s="398" t="s">
        <v>691</v>
      </c>
      <c r="AG254" s="398"/>
    </row>
    <row r="255" spans="1:33" ht="15.75">
      <c r="A255" s="408" t="s">
        <v>686</v>
      </c>
      <c r="B255" s="408">
        <v>27</v>
      </c>
      <c r="C255" s="408">
        <v>222</v>
      </c>
      <c r="D255" s="408" t="s">
        <v>591</v>
      </c>
      <c r="E255" s="408">
        <v>1.5</v>
      </c>
      <c r="F255" s="412">
        <v>45330.804861111108</v>
      </c>
      <c r="G255" s="408">
        <v>1</v>
      </c>
      <c r="H255" s="408">
        <v>51.374099999999999</v>
      </c>
      <c r="I255" s="408">
        <v>7.7960799999999999</v>
      </c>
      <c r="J255" s="408">
        <v>-16.4726</v>
      </c>
      <c r="K255" s="408">
        <v>-15.6435</v>
      </c>
      <c r="L255" s="408">
        <v>987.66399999999999</v>
      </c>
      <c r="M255" s="408">
        <v>132.4999</v>
      </c>
      <c r="N255" s="408">
        <v>17943.37</v>
      </c>
      <c r="O255" s="408">
        <v>0</v>
      </c>
      <c r="P255" s="410">
        <v>0</v>
      </c>
      <c r="Q255" s="396" t="s">
        <v>18</v>
      </c>
      <c r="R255" s="396" t="s">
        <v>18</v>
      </c>
      <c r="S255" s="396" t="s">
        <v>18</v>
      </c>
      <c r="T255" s="408" t="s">
        <v>592</v>
      </c>
      <c r="U255" s="408">
        <v>15</v>
      </c>
      <c r="V255" s="408">
        <v>5</v>
      </c>
      <c r="W255" s="408">
        <v>0.7</v>
      </c>
      <c r="X255" s="408">
        <v>0.7</v>
      </c>
      <c r="Y255" s="408">
        <v>0.7</v>
      </c>
      <c r="Z255" s="411">
        <v>1700</v>
      </c>
      <c r="AA255" s="411" t="s">
        <v>533</v>
      </c>
      <c r="AB255" s="411">
        <v>0.85</v>
      </c>
      <c r="AC255" s="411" t="s">
        <v>534</v>
      </c>
      <c r="AD255" s="411" t="s">
        <v>535</v>
      </c>
      <c r="AE255" s="411">
        <v>220</v>
      </c>
      <c r="AF255" s="398" t="s">
        <v>691</v>
      </c>
      <c r="AG255" s="398"/>
    </row>
    <row r="256" spans="1:33" ht="15.75">
      <c r="A256" s="408" t="s">
        <v>687</v>
      </c>
      <c r="B256" s="408">
        <v>27</v>
      </c>
      <c r="C256" s="408">
        <v>222</v>
      </c>
      <c r="D256" s="408" t="s">
        <v>591</v>
      </c>
      <c r="E256" s="408">
        <v>1.5</v>
      </c>
      <c r="F256" s="412">
        <v>45330.808333333334</v>
      </c>
      <c r="G256" s="408">
        <v>1</v>
      </c>
      <c r="H256" s="408">
        <v>51.377400000000002</v>
      </c>
      <c r="I256" s="408">
        <v>7.7671999999999999</v>
      </c>
      <c r="J256" s="408">
        <v>-16.361499999999999</v>
      </c>
      <c r="K256" s="408">
        <v>-15.523</v>
      </c>
      <c r="L256" s="408">
        <v>1006.51</v>
      </c>
      <c r="M256" s="408">
        <v>119</v>
      </c>
      <c r="N256" s="408">
        <v>17919.919999999998</v>
      </c>
      <c r="O256" s="408">
        <v>0</v>
      </c>
      <c r="P256" s="410">
        <v>0</v>
      </c>
      <c r="Q256" s="396" t="s">
        <v>18</v>
      </c>
      <c r="R256" s="396" t="s">
        <v>18</v>
      </c>
      <c r="S256" s="396" t="s">
        <v>18</v>
      </c>
      <c r="T256" s="408" t="s">
        <v>592</v>
      </c>
      <c r="U256" s="408">
        <v>15</v>
      </c>
      <c r="V256" s="408">
        <v>5</v>
      </c>
      <c r="W256" s="408">
        <v>0.7</v>
      </c>
      <c r="X256" s="408">
        <v>0.7</v>
      </c>
      <c r="Y256" s="408">
        <v>0.7</v>
      </c>
      <c r="Z256" s="411">
        <v>1700</v>
      </c>
      <c r="AA256" s="411" t="s">
        <v>533</v>
      </c>
      <c r="AB256" s="411">
        <v>0.85</v>
      </c>
      <c r="AC256" s="411" t="s">
        <v>534</v>
      </c>
      <c r="AD256" s="411" t="s">
        <v>535</v>
      </c>
      <c r="AE256" s="411">
        <v>220</v>
      </c>
      <c r="AF256" s="398" t="s">
        <v>691</v>
      </c>
      <c r="AG256" s="398"/>
    </row>
    <row r="257" spans="1:33" ht="15.75">
      <c r="A257" s="408" t="s">
        <v>712</v>
      </c>
      <c r="B257" s="408">
        <v>27</v>
      </c>
      <c r="C257" s="408">
        <v>222</v>
      </c>
      <c r="D257" s="408" t="s">
        <v>591</v>
      </c>
      <c r="E257" s="408">
        <v>1.5</v>
      </c>
      <c r="F257" s="412">
        <v>45330.811805555553</v>
      </c>
      <c r="G257" s="408">
        <v>2</v>
      </c>
      <c r="H257" s="408">
        <v>51.377400000000002</v>
      </c>
      <c r="I257" s="408">
        <v>7.6954799999999999</v>
      </c>
      <c r="J257" s="408">
        <v>-16.436699999999998</v>
      </c>
      <c r="K257" s="408">
        <v>-15.5877</v>
      </c>
      <c r="L257" s="408">
        <v>997.68899999999996</v>
      </c>
      <c r="M257" s="408">
        <v>116.0003</v>
      </c>
      <c r="N257" s="408">
        <v>17925.59</v>
      </c>
      <c r="O257" s="408">
        <v>17921.919999999998</v>
      </c>
      <c r="P257" s="410">
        <v>2083.0659999999998</v>
      </c>
      <c r="Q257" s="410">
        <f t="shared" ref="Q257:Q266" si="22">P257*(2067.5/2076)</f>
        <v>2074.537068882466</v>
      </c>
      <c r="R257" s="410">
        <f t="shared" ref="R257:R263" si="23">((B257-B$229)/(B$263-B$229))*R$264+((1-((B257-B$229)/(B$263-B$229)))*R$228)</f>
        <v>0.30422808285169994</v>
      </c>
      <c r="S257" s="396">
        <f t="shared" ref="S257:S266" si="24">Q257+R257</f>
        <v>2074.8412969653177</v>
      </c>
      <c r="T257" s="408" t="s">
        <v>532</v>
      </c>
      <c r="U257" s="408">
        <v>15</v>
      </c>
      <c r="V257" s="408">
        <v>5</v>
      </c>
      <c r="W257" s="408">
        <v>0.7</v>
      </c>
      <c r="X257" s="408">
        <v>0.7</v>
      </c>
      <c r="Y257" s="408">
        <v>0.7</v>
      </c>
      <c r="Z257" s="411">
        <v>1700</v>
      </c>
      <c r="AA257" s="411" t="s">
        <v>533</v>
      </c>
      <c r="AB257" s="411">
        <v>0.85</v>
      </c>
      <c r="AC257" s="411" t="s">
        <v>534</v>
      </c>
      <c r="AD257" s="411" t="s">
        <v>535</v>
      </c>
      <c r="AE257" s="411">
        <v>220</v>
      </c>
      <c r="AF257" s="398" t="s">
        <v>691</v>
      </c>
      <c r="AG257" s="398"/>
    </row>
    <row r="258" spans="1:33" ht="15.75">
      <c r="A258" s="408" t="s">
        <v>713</v>
      </c>
      <c r="B258" s="408">
        <v>27</v>
      </c>
      <c r="C258" s="408">
        <v>222</v>
      </c>
      <c r="D258" s="408" t="s">
        <v>591</v>
      </c>
      <c r="E258" s="408">
        <v>1.5</v>
      </c>
      <c r="F258" s="412">
        <v>45330.81527777778</v>
      </c>
      <c r="G258" s="408">
        <v>2</v>
      </c>
      <c r="H258" s="408">
        <v>51.377400000000002</v>
      </c>
      <c r="I258" s="408">
        <v>7.6710099999999999</v>
      </c>
      <c r="J258" s="408">
        <v>-16.5412</v>
      </c>
      <c r="K258" s="408">
        <v>-15.7232</v>
      </c>
      <c r="L258" s="408">
        <v>1003.71</v>
      </c>
      <c r="M258" s="408">
        <v>115.49979999999999</v>
      </c>
      <c r="N258" s="408">
        <v>17924.189999999999</v>
      </c>
      <c r="O258" s="408">
        <v>17921.919999999998</v>
      </c>
      <c r="P258" s="410">
        <v>2083.0659999999998</v>
      </c>
      <c r="Q258" s="410">
        <f t="shared" si="22"/>
        <v>2074.537068882466</v>
      </c>
      <c r="R258" s="410">
        <f t="shared" si="23"/>
        <v>0.30422808285169994</v>
      </c>
      <c r="S258" s="396">
        <f t="shared" si="24"/>
        <v>2074.8412969653177</v>
      </c>
      <c r="T258" s="408" t="s">
        <v>532</v>
      </c>
      <c r="U258" s="408">
        <v>15</v>
      </c>
      <c r="V258" s="408">
        <v>5</v>
      </c>
      <c r="W258" s="408">
        <v>0.7</v>
      </c>
      <c r="X258" s="408">
        <v>0.7</v>
      </c>
      <c r="Y258" s="408">
        <v>0.7</v>
      </c>
      <c r="Z258" s="411">
        <v>1700</v>
      </c>
      <c r="AA258" s="411" t="s">
        <v>533</v>
      </c>
      <c r="AB258" s="411">
        <v>0.85</v>
      </c>
      <c r="AC258" s="411" t="s">
        <v>534</v>
      </c>
      <c r="AD258" s="411" t="s">
        <v>535</v>
      </c>
      <c r="AE258" s="411">
        <v>220</v>
      </c>
      <c r="AF258" s="398" t="s">
        <v>691</v>
      </c>
      <c r="AG258" s="398"/>
    </row>
    <row r="259" spans="1:33" ht="15.75">
      <c r="A259" s="408" t="s">
        <v>714</v>
      </c>
      <c r="B259" s="408">
        <v>27</v>
      </c>
      <c r="C259" s="408">
        <v>222</v>
      </c>
      <c r="D259" s="408" t="s">
        <v>591</v>
      </c>
      <c r="E259" s="408">
        <v>1.5</v>
      </c>
      <c r="F259" s="412">
        <v>45330.818749999999</v>
      </c>
      <c r="G259" s="408">
        <v>2</v>
      </c>
      <c r="H259" s="408">
        <v>51.377400000000002</v>
      </c>
      <c r="I259" s="408">
        <v>7.6239400000000002</v>
      </c>
      <c r="J259" s="408">
        <v>-16.489000000000001</v>
      </c>
      <c r="K259" s="408">
        <v>-15.6469</v>
      </c>
      <c r="L259" s="408">
        <v>1003.44</v>
      </c>
      <c r="M259" s="408">
        <v>111.5012</v>
      </c>
      <c r="N259" s="408">
        <v>17915.98</v>
      </c>
      <c r="O259" s="408">
        <v>17921.919999999998</v>
      </c>
      <c r="P259" s="410">
        <v>2083.0659999999998</v>
      </c>
      <c r="Q259" s="410">
        <f t="shared" si="22"/>
        <v>2074.537068882466</v>
      </c>
      <c r="R259" s="410">
        <f t="shared" si="23"/>
        <v>0.30422808285169994</v>
      </c>
      <c r="S259" s="396">
        <f t="shared" si="24"/>
        <v>2074.8412969653177</v>
      </c>
      <c r="T259" s="408" t="s">
        <v>532</v>
      </c>
      <c r="U259" s="408">
        <v>15</v>
      </c>
      <c r="V259" s="408">
        <v>5</v>
      </c>
      <c r="W259" s="408">
        <v>0.7</v>
      </c>
      <c r="X259" s="408">
        <v>0.7</v>
      </c>
      <c r="Y259" s="408">
        <v>0.7</v>
      </c>
      <c r="Z259" s="411">
        <v>1700</v>
      </c>
      <c r="AA259" s="411" t="s">
        <v>533</v>
      </c>
      <c r="AB259" s="411">
        <v>0.85</v>
      </c>
      <c r="AC259" s="411" t="s">
        <v>534</v>
      </c>
      <c r="AD259" s="411" t="s">
        <v>535</v>
      </c>
      <c r="AE259" s="411">
        <v>220</v>
      </c>
      <c r="AF259" s="398" t="s">
        <v>691</v>
      </c>
      <c r="AG259" s="398"/>
    </row>
    <row r="260" spans="1:33" ht="15.75">
      <c r="A260" s="408" t="s">
        <v>715</v>
      </c>
      <c r="B260" s="408">
        <v>28</v>
      </c>
      <c r="C260" s="408">
        <v>223</v>
      </c>
      <c r="D260" s="408" t="s">
        <v>601</v>
      </c>
      <c r="E260" s="408">
        <v>1.5</v>
      </c>
      <c r="F260" s="412">
        <v>45330.822916666664</v>
      </c>
      <c r="G260" s="408">
        <v>1</v>
      </c>
      <c r="H260" s="408">
        <v>51.370800000000003</v>
      </c>
      <c r="I260" s="408">
        <v>7.5989599999999999</v>
      </c>
      <c r="J260" s="408">
        <v>-16.489000000000001</v>
      </c>
      <c r="K260" s="408">
        <v>-15.6586</v>
      </c>
      <c r="L260" s="408">
        <v>1013.91</v>
      </c>
      <c r="M260" s="408">
        <v>123.99979999999999</v>
      </c>
      <c r="N260" s="408">
        <v>17973.96</v>
      </c>
      <c r="O260" s="408">
        <v>17965.22</v>
      </c>
      <c r="P260" s="410">
        <v>2088.1280000000002</v>
      </c>
      <c r="Q260" s="410">
        <f t="shared" si="22"/>
        <v>2079.5783429672451</v>
      </c>
      <c r="R260" s="410">
        <f t="shared" si="23"/>
        <v>-0.10309730250471838</v>
      </c>
      <c r="S260" s="396">
        <f t="shared" si="24"/>
        <v>2079.4752456647402</v>
      </c>
      <c r="T260" s="408" t="s">
        <v>532</v>
      </c>
      <c r="U260" s="408">
        <v>15</v>
      </c>
      <c r="V260" s="408">
        <v>5</v>
      </c>
      <c r="W260" s="408">
        <v>0.7</v>
      </c>
      <c r="X260" s="408">
        <v>0.7</v>
      </c>
      <c r="Y260" s="408">
        <v>0.7</v>
      </c>
      <c r="Z260" s="411">
        <v>1700</v>
      </c>
      <c r="AA260" s="411" t="s">
        <v>533</v>
      </c>
      <c r="AB260" s="411">
        <v>0.85</v>
      </c>
      <c r="AC260" s="411" t="s">
        <v>534</v>
      </c>
      <c r="AD260" s="411" t="s">
        <v>535</v>
      </c>
      <c r="AE260" s="411">
        <v>220</v>
      </c>
      <c r="AF260" s="398" t="s">
        <v>691</v>
      </c>
      <c r="AG260" s="398"/>
    </row>
    <row r="261" spans="1:33" ht="15.75">
      <c r="A261" s="408" t="s">
        <v>716</v>
      </c>
      <c r="B261" s="408">
        <v>28</v>
      </c>
      <c r="C261" s="408">
        <v>223</v>
      </c>
      <c r="D261" s="408" t="s">
        <v>601</v>
      </c>
      <c r="E261" s="408">
        <v>1.5</v>
      </c>
      <c r="F261" s="412">
        <v>45330.826388888891</v>
      </c>
      <c r="G261" s="408">
        <v>1</v>
      </c>
      <c r="H261" s="408">
        <v>51.374099999999999</v>
      </c>
      <c r="I261" s="408">
        <v>7.6371799999999999</v>
      </c>
      <c r="J261" s="408">
        <v>-16.630199999999999</v>
      </c>
      <c r="K261" s="408">
        <v>-15.793699999999999</v>
      </c>
      <c r="L261" s="408">
        <v>1002.76</v>
      </c>
      <c r="M261" s="408">
        <v>120</v>
      </c>
      <c r="N261" s="408">
        <v>17959.310000000001</v>
      </c>
      <c r="O261" s="408">
        <v>17965.22</v>
      </c>
      <c r="P261" s="410">
        <v>2088.1280000000002</v>
      </c>
      <c r="Q261" s="410">
        <f t="shared" si="22"/>
        <v>2079.5783429672451</v>
      </c>
      <c r="R261" s="410">
        <f t="shared" si="23"/>
        <v>-0.10309730250471838</v>
      </c>
      <c r="S261" s="396">
        <f t="shared" si="24"/>
        <v>2079.4752456647402</v>
      </c>
      <c r="T261" s="408" t="s">
        <v>532</v>
      </c>
      <c r="U261" s="408">
        <v>15</v>
      </c>
      <c r="V261" s="408">
        <v>5</v>
      </c>
      <c r="W261" s="408">
        <v>0.7</v>
      </c>
      <c r="X261" s="408">
        <v>0.7</v>
      </c>
      <c r="Y261" s="408">
        <v>0.7</v>
      </c>
      <c r="Z261" s="411">
        <v>1700</v>
      </c>
      <c r="AA261" s="411" t="s">
        <v>533</v>
      </c>
      <c r="AB261" s="411">
        <v>0.85</v>
      </c>
      <c r="AC261" s="411" t="s">
        <v>534</v>
      </c>
      <c r="AD261" s="411" t="s">
        <v>535</v>
      </c>
      <c r="AE261" s="411">
        <v>220</v>
      </c>
      <c r="AF261" s="398" t="s">
        <v>691</v>
      </c>
      <c r="AG261" s="398"/>
    </row>
    <row r="262" spans="1:33" ht="15.75">
      <c r="A262" s="408" t="s">
        <v>717</v>
      </c>
      <c r="B262" s="408">
        <v>28</v>
      </c>
      <c r="C262" s="408">
        <v>223</v>
      </c>
      <c r="D262" s="408" t="s">
        <v>601</v>
      </c>
      <c r="E262" s="408">
        <v>1.5</v>
      </c>
      <c r="F262" s="412">
        <v>45330.829861111109</v>
      </c>
      <c r="G262" s="408">
        <v>1</v>
      </c>
      <c r="H262" s="408">
        <v>51.380699999999997</v>
      </c>
      <c r="I262" s="408">
        <v>7.68126</v>
      </c>
      <c r="J262" s="408">
        <v>-16.4923</v>
      </c>
      <c r="K262" s="408">
        <v>-15.6477</v>
      </c>
      <c r="L262" s="408">
        <v>997.85599999999999</v>
      </c>
      <c r="M262" s="408">
        <v>116.0005</v>
      </c>
      <c r="N262" s="408">
        <v>17962.41</v>
      </c>
      <c r="O262" s="408">
        <v>17965.22</v>
      </c>
      <c r="P262" s="410">
        <v>2088.1280000000002</v>
      </c>
      <c r="Q262" s="410">
        <f t="shared" si="22"/>
        <v>2079.5783429672451</v>
      </c>
      <c r="R262" s="410">
        <f t="shared" si="23"/>
        <v>-0.10309730250471838</v>
      </c>
      <c r="S262" s="396">
        <f t="shared" si="24"/>
        <v>2079.4752456647402</v>
      </c>
      <c r="T262" s="408" t="s">
        <v>532</v>
      </c>
      <c r="U262" s="408">
        <v>15</v>
      </c>
      <c r="V262" s="408">
        <v>5</v>
      </c>
      <c r="W262" s="408">
        <v>0.7</v>
      </c>
      <c r="X262" s="408">
        <v>0.7</v>
      </c>
      <c r="Y262" s="408">
        <v>0.7</v>
      </c>
      <c r="Z262" s="411">
        <v>1700</v>
      </c>
      <c r="AA262" s="411" t="s">
        <v>533</v>
      </c>
      <c r="AB262" s="411">
        <v>0.85</v>
      </c>
      <c r="AC262" s="411" t="s">
        <v>534</v>
      </c>
      <c r="AD262" s="411" t="s">
        <v>535</v>
      </c>
      <c r="AE262" s="411">
        <v>220</v>
      </c>
      <c r="AF262" s="398" t="s">
        <v>691</v>
      </c>
      <c r="AG262" s="398"/>
    </row>
    <row r="263" spans="1:33" ht="15.75">
      <c r="A263" s="408" t="s">
        <v>718</v>
      </c>
      <c r="B263" s="408">
        <v>29</v>
      </c>
      <c r="C263" s="408" t="s">
        <v>689</v>
      </c>
      <c r="D263" s="408" t="s">
        <v>531</v>
      </c>
      <c r="E263" s="408">
        <v>1.5</v>
      </c>
      <c r="F263" s="412">
        <v>45330.834027777775</v>
      </c>
      <c r="G263" s="408">
        <v>1</v>
      </c>
      <c r="H263" s="408">
        <v>51.374099999999999</v>
      </c>
      <c r="I263" s="408">
        <v>7.7425100000000002</v>
      </c>
      <c r="J263" s="408">
        <v>-16.4617</v>
      </c>
      <c r="K263" s="408">
        <v>-15.614000000000001</v>
      </c>
      <c r="L263" s="408">
        <v>991.56200000000001</v>
      </c>
      <c r="M263" s="408">
        <v>167.99979999999999</v>
      </c>
      <c r="N263" s="408">
        <v>17875.28</v>
      </c>
      <c r="O263" s="408">
        <v>17862.66</v>
      </c>
      <c r="P263" s="410">
        <v>2076.1410000000001</v>
      </c>
      <c r="Q263" s="410">
        <f t="shared" si="22"/>
        <v>2067.6404226878612</v>
      </c>
      <c r="R263" s="410">
        <f t="shared" si="23"/>
        <v>-0.51042268786113709</v>
      </c>
      <c r="S263" s="396">
        <f t="shared" si="24"/>
        <v>2067.13</v>
      </c>
      <c r="T263" s="408" t="s">
        <v>532</v>
      </c>
      <c r="U263" s="408">
        <v>15</v>
      </c>
      <c r="V263" s="408">
        <v>5</v>
      </c>
      <c r="W263" s="408">
        <v>0.7</v>
      </c>
      <c r="X263" s="408">
        <v>0.7</v>
      </c>
      <c r="Y263" s="408">
        <v>0.7</v>
      </c>
      <c r="Z263" s="411">
        <v>1700</v>
      </c>
      <c r="AA263" s="411" t="s">
        <v>533</v>
      </c>
      <c r="AB263" s="411">
        <v>0.85</v>
      </c>
      <c r="AC263" s="411" t="s">
        <v>534</v>
      </c>
      <c r="AD263" s="411" t="s">
        <v>535</v>
      </c>
      <c r="AE263" s="411">
        <v>220</v>
      </c>
      <c r="AF263" s="398" t="s">
        <v>691</v>
      </c>
      <c r="AG263" s="407"/>
    </row>
    <row r="264" spans="1:33" ht="15.75">
      <c r="A264" s="408" t="s">
        <v>719</v>
      </c>
      <c r="B264" s="408">
        <v>29</v>
      </c>
      <c r="C264" s="408" t="s">
        <v>689</v>
      </c>
      <c r="D264" s="408" t="s">
        <v>531</v>
      </c>
      <c r="E264" s="408">
        <v>1.5</v>
      </c>
      <c r="F264" s="412">
        <v>45330.838194444441</v>
      </c>
      <c r="G264" s="408">
        <v>1</v>
      </c>
      <c r="H264" s="408">
        <v>51.374099999999999</v>
      </c>
      <c r="I264" s="408">
        <v>7.7363600000000003</v>
      </c>
      <c r="J264" s="408">
        <v>-16.496700000000001</v>
      </c>
      <c r="K264" s="408">
        <v>-15.655799999999999</v>
      </c>
      <c r="L264" s="408">
        <v>1003.1</v>
      </c>
      <c r="M264" s="408">
        <v>118.99939999999999</v>
      </c>
      <c r="N264" s="408">
        <v>17860.73</v>
      </c>
      <c r="O264" s="408">
        <v>17862.66</v>
      </c>
      <c r="P264" s="410">
        <v>2076.1410000000001</v>
      </c>
      <c r="Q264" s="410">
        <f t="shared" si="22"/>
        <v>2067.6404226878612</v>
      </c>
      <c r="R264" s="410">
        <f t="shared" ref="R264:R266" si="25">2067.13-Q264</f>
        <v>-0.51042268786113709</v>
      </c>
      <c r="S264" s="396">
        <f t="shared" si="24"/>
        <v>2067.13</v>
      </c>
      <c r="T264" s="408" t="s">
        <v>532</v>
      </c>
      <c r="U264" s="408">
        <v>15</v>
      </c>
      <c r="V264" s="408">
        <v>5</v>
      </c>
      <c r="W264" s="408">
        <v>0.7</v>
      </c>
      <c r="X264" s="408">
        <v>0.7</v>
      </c>
      <c r="Y264" s="408">
        <v>0.7</v>
      </c>
      <c r="Z264" s="411">
        <v>1700</v>
      </c>
      <c r="AA264" s="411" t="s">
        <v>533</v>
      </c>
      <c r="AB264" s="411">
        <v>0.85</v>
      </c>
      <c r="AC264" s="411" t="s">
        <v>534</v>
      </c>
      <c r="AD264" s="411" t="s">
        <v>535</v>
      </c>
      <c r="AE264" s="411">
        <v>220</v>
      </c>
      <c r="AF264" s="398" t="s">
        <v>691</v>
      </c>
      <c r="AG264" s="407"/>
    </row>
    <row r="265" spans="1:33" ht="15.75">
      <c r="A265" s="408" t="s">
        <v>720</v>
      </c>
      <c r="B265" s="408">
        <v>29</v>
      </c>
      <c r="C265" s="408" t="s">
        <v>689</v>
      </c>
      <c r="D265" s="408" t="s">
        <v>531</v>
      </c>
      <c r="E265" s="408">
        <v>1.5</v>
      </c>
      <c r="F265" s="412">
        <v>45330.841666666667</v>
      </c>
      <c r="G265" s="408">
        <v>1</v>
      </c>
      <c r="H265" s="408">
        <v>51.374099999999999</v>
      </c>
      <c r="I265" s="408">
        <v>7.7824200000000001</v>
      </c>
      <c r="J265" s="408">
        <v>-16.579799999999999</v>
      </c>
      <c r="K265" s="408">
        <v>-15.754300000000001</v>
      </c>
      <c r="L265" s="408">
        <v>997.976</v>
      </c>
      <c r="M265" s="408">
        <v>122.9995</v>
      </c>
      <c r="N265" s="408">
        <v>17914.77</v>
      </c>
      <c r="O265" s="408">
        <v>17862.66</v>
      </c>
      <c r="P265" s="410">
        <v>2076.1410000000001</v>
      </c>
      <c r="Q265" s="410">
        <f t="shared" si="22"/>
        <v>2067.6404226878612</v>
      </c>
      <c r="R265" s="410">
        <f t="shared" si="25"/>
        <v>-0.51042268786113709</v>
      </c>
      <c r="S265" s="396">
        <f t="shared" si="24"/>
        <v>2067.13</v>
      </c>
      <c r="T265" s="408" t="s">
        <v>542</v>
      </c>
      <c r="U265" s="408">
        <v>15</v>
      </c>
      <c r="V265" s="408">
        <v>5</v>
      </c>
      <c r="W265" s="408">
        <v>0.7</v>
      </c>
      <c r="X265" s="408">
        <v>0.7</v>
      </c>
      <c r="Y265" s="408">
        <v>0.7</v>
      </c>
      <c r="Z265" s="411">
        <v>1700</v>
      </c>
      <c r="AA265" s="411" t="s">
        <v>533</v>
      </c>
      <c r="AB265" s="411">
        <v>0.85</v>
      </c>
      <c r="AC265" s="411" t="s">
        <v>534</v>
      </c>
      <c r="AD265" s="411" t="s">
        <v>535</v>
      </c>
      <c r="AE265" s="411">
        <v>220</v>
      </c>
      <c r="AF265" s="398" t="s">
        <v>691</v>
      </c>
      <c r="AG265" s="407"/>
    </row>
    <row r="266" spans="1:33" ht="15.75">
      <c r="A266" s="408" t="s">
        <v>721</v>
      </c>
      <c r="B266" s="408">
        <v>29</v>
      </c>
      <c r="C266" s="408" t="s">
        <v>689</v>
      </c>
      <c r="D266" s="408" t="s">
        <v>531</v>
      </c>
      <c r="E266" s="408">
        <v>1.5</v>
      </c>
      <c r="F266" s="412">
        <v>45330.845138888886</v>
      </c>
      <c r="G266" s="408">
        <v>1</v>
      </c>
      <c r="H266" s="408">
        <v>51.374099999999999</v>
      </c>
      <c r="I266" s="408">
        <v>7.8467799999999999</v>
      </c>
      <c r="J266" s="408">
        <v>-16.602699999999999</v>
      </c>
      <c r="K266" s="408">
        <v>-15.7568</v>
      </c>
      <c r="L266" s="408">
        <v>1002.05</v>
      </c>
      <c r="M266" s="408">
        <v>121.0004</v>
      </c>
      <c r="N266" s="408">
        <v>17851.98</v>
      </c>
      <c r="O266" s="408">
        <v>17862.66</v>
      </c>
      <c r="P266" s="410">
        <v>2076.1410000000001</v>
      </c>
      <c r="Q266" s="410">
        <f t="shared" si="22"/>
        <v>2067.6404226878612</v>
      </c>
      <c r="R266" s="410">
        <f t="shared" si="25"/>
        <v>-0.51042268786113709</v>
      </c>
      <c r="S266" s="396">
        <f t="shared" si="24"/>
        <v>2067.13</v>
      </c>
      <c r="T266" s="408" t="s">
        <v>532</v>
      </c>
      <c r="U266" s="408">
        <v>15</v>
      </c>
      <c r="V266" s="408">
        <v>5</v>
      </c>
      <c r="W266" s="408">
        <v>0.7</v>
      </c>
      <c r="X266" s="408">
        <v>0.7</v>
      </c>
      <c r="Y266" s="408">
        <v>0.7</v>
      </c>
      <c r="Z266" s="411">
        <v>1700</v>
      </c>
      <c r="AA266" s="411" t="s">
        <v>533</v>
      </c>
      <c r="AB266" s="411">
        <v>0.85</v>
      </c>
      <c r="AC266" s="411" t="s">
        <v>534</v>
      </c>
      <c r="AD266" s="411" t="s">
        <v>535</v>
      </c>
      <c r="AE266" s="411">
        <v>220</v>
      </c>
      <c r="AF266" s="398" t="s">
        <v>691</v>
      </c>
      <c r="AG266" s="407"/>
    </row>
    <row r="267" spans="1:33" ht="24">
      <c r="A267" s="206" t="s">
        <v>528</v>
      </c>
      <c r="B267" s="206" t="s">
        <v>529</v>
      </c>
      <c r="C267" s="206" t="s">
        <v>530</v>
      </c>
      <c r="D267" s="206" t="s">
        <v>531</v>
      </c>
      <c r="E267" s="206">
        <v>1</v>
      </c>
      <c r="F267" s="413">
        <v>45337.388888888891</v>
      </c>
      <c r="G267" s="206">
        <v>1</v>
      </c>
      <c r="H267" s="206">
        <v>51.370800000000003</v>
      </c>
      <c r="I267" s="206">
        <v>12.1571</v>
      </c>
      <c r="J267" s="206">
        <v>-15.5655</v>
      </c>
      <c r="K267" s="206">
        <v>-14.721500000000001</v>
      </c>
      <c r="L267" s="206">
        <v>897.35599999999999</v>
      </c>
      <c r="M267" s="206">
        <v>91.999899999999997</v>
      </c>
      <c r="N267" s="206">
        <v>11744.01</v>
      </c>
      <c r="O267" s="206">
        <v>11744.01</v>
      </c>
      <c r="P267" s="414">
        <v>2048.2750000000001</v>
      </c>
      <c r="Q267" s="396" t="s">
        <v>18</v>
      </c>
      <c r="R267" s="396" t="s">
        <v>18</v>
      </c>
      <c r="S267" s="396" t="s">
        <v>18</v>
      </c>
      <c r="T267" s="206" t="s">
        <v>532</v>
      </c>
      <c r="U267" s="206">
        <v>15</v>
      </c>
      <c r="V267" s="206">
        <v>5</v>
      </c>
      <c r="W267" s="206">
        <v>0.7</v>
      </c>
      <c r="X267" s="206">
        <v>0.7</v>
      </c>
      <c r="Y267" s="206">
        <v>0.7</v>
      </c>
      <c r="Z267" s="415">
        <v>1700</v>
      </c>
      <c r="AA267" s="415" t="s">
        <v>533</v>
      </c>
      <c r="AB267" s="415">
        <v>0.85</v>
      </c>
      <c r="AC267" s="415" t="s">
        <v>534</v>
      </c>
      <c r="AD267" s="415" t="s">
        <v>535</v>
      </c>
      <c r="AE267" s="415">
        <v>220</v>
      </c>
      <c r="AF267" s="416"/>
      <c r="AG267" s="416"/>
    </row>
    <row r="268" spans="1:33" ht="24">
      <c r="A268" s="206" t="s">
        <v>536</v>
      </c>
      <c r="B268" s="206" t="s">
        <v>529</v>
      </c>
      <c r="C268" s="206" t="s">
        <v>530</v>
      </c>
      <c r="D268" s="206" t="s">
        <v>531</v>
      </c>
      <c r="E268" s="206">
        <v>1</v>
      </c>
      <c r="F268" s="413">
        <v>45337.392361111109</v>
      </c>
      <c r="G268" s="206">
        <v>1</v>
      </c>
      <c r="H268" s="206">
        <v>51.370800000000003</v>
      </c>
      <c r="I268" s="206">
        <v>12.8666</v>
      </c>
      <c r="J268" s="206">
        <v>-15.9186</v>
      </c>
      <c r="K268" s="206">
        <v>-15.1044</v>
      </c>
      <c r="L268" s="206">
        <v>889.31</v>
      </c>
      <c r="M268" s="206">
        <v>123.9996</v>
      </c>
      <c r="N268" s="206">
        <v>11732.22</v>
      </c>
      <c r="O268" s="206">
        <v>11732.22</v>
      </c>
      <c r="P268" s="414">
        <v>2046.22</v>
      </c>
      <c r="Q268" s="396" t="s">
        <v>18</v>
      </c>
      <c r="R268" s="396" t="s">
        <v>18</v>
      </c>
      <c r="S268" s="396" t="s">
        <v>18</v>
      </c>
      <c r="T268" s="206" t="s">
        <v>532</v>
      </c>
      <c r="U268" s="206">
        <v>15</v>
      </c>
      <c r="V268" s="206">
        <v>5</v>
      </c>
      <c r="W268" s="206">
        <v>0.7</v>
      </c>
      <c r="X268" s="206">
        <v>0.7</v>
      </c>
      <c r="Y268" s="206">
        <v>0.7</v>
      </c>
      <c r="Z268" s="415">
        <v>1700</v>
      </c>
      <c r="AA268" s="415" t="s">
        <v>533</v>
      </c>
      <c r="AB268" s="415">
        <v>0.85</v>
      </c>
      <c r="AC268" s="415" t="s">
        <v>534</v>
      </c>
      <c r="AD268" s="415" t="s">
        <v>535</v>
      </c>
      <c r="AE268" s="415">
        <v>220</v>
      </c>
      <c r="AF268" s="416"/>
      <c r="AG268" s="416"/>
    </row>
    <row r="269" spans="1:33" ht="24">
      <c r="A269" s="206" t="s">
        <v>537</v>
      </c>
      <c r="B269" s="206" t="s">
        <v>529</v>
      </c>
      <c r="C269" s="206" t="s">
        <v>530</v>
      </c>
      <c r="D269" s="206" t="s">
        <v>531</v>
      </c>
      <c r="E269" s="206">
        <v>1</v>
      </c>
      <c r="F269" s="413">
        <v>45337.395138888889</v>
      </c>
      <c r="G269" s="206">
        <v>1</v>
      </c>
      <c r="H269" s="206">
        <v>51.370800000000003</v>
      </c>
      <c r="I269" s="206">
        <v>11.708399999999999</v>
      </c>
      <c r="J269" s="206">
        <v>-16.055700000000002</v>
      </c>
      <c r="K269" s="206">
        <v>-15.2216</v>
      </c>
      <c r="L269" s="206">
        <v>898.20600000000002</v>
      </c>
      <c r="M269" s="206">
        <v>121.4991</v>
      </c>
      <c r="N269" s="206">
        <v>11742.77</v>
      </c>
      <c r="O269" s="206">
        <v>11742.77</v>
      </c>
      <c r="P269" s="414">
        <v>2048.058</v>
      </c>
      <c r="Q269" s="396" t="s">
        <v>18</v>
      </c>
      <c r="R269" s="396" t="s">
        <v>18</v>
      </c>
      <c r="S269" s="396" t="s">
        <v>18</v>
      </c>
      <c r="T269" s="206" t="s">
        <v>532</v>
      </c>
      <c r="U269" s="206">
        <v>15</v>
      </c>
      <c r="V269" s="206">
        <v>5</v>
      </c>
      <c r="W269" s="206">
        <v>0.7</v>
      </c>
      <c r="X269" s="206">
        <v>0.7</v>
      </c>
      <c r="Y269" s="206">
        <v>0.7</v>
      </c>
      <c r="Z269" s="415">
        <v>1700</v>
      </c>
      <c r="AA269" s="415" t="s">
        <v>533</v>
      </c>
      <c r="AB269" s="415">
        <v>0.85</v>
      </c>
      <c r="AC269" s="415" t="s">
        <v>534</v>
      </c>
      <c r="AD269" s="415" t="s">
        <v>535</v>
      </c>
      <c r="AE269" s="415">
        <v>220</v>
      </c>
      <c r="AF269" s="416"/>
      <c r="AG269" s="416"/>
    </row>
    <row r="270" spans="1:33" ht="24">
      <c r="A270" s="206" t="s">
        <v>538</v>
      </c>
      <c r="B270" s="206" t="s">
        <v>529</v>
      </c>
      <c r="C270" s="206" t="s">
        <v>530</v>
      </c>
      <c r="D270" s="206" t="s">
        <v>531</v>
      </c>
      <c r="E270" s="206">
        <v>1</v>
      </c>
      <c r="F270" s="413">
        <v>45337.398611111108</v>
      </c>
      <c r="G270" s="206">
        <v>1</v>
      </c>
      <c r="H270" s="206">
        <v>51.374099999999999</v>
      </c>
      <c r="I270" s="206">
        <v>10.602499999999999</v>
      </c>
      <c r="J270" s="206">
        <v>-16.197800000000001</v>
      </c>
      <c r="K270" s="206">
        <v>-15.352499999999999</v>
      </c>
      <c r="L270" s="206">
        <v>909.79100000000005</v>
      </c>
      <c r="M270" s="206">
        <v>103.001</v>
      </c>
      <c r="N270" s="206">
        <v>11751.92</v>
      </c>
      <c r="O270" s="206">
        <v>11751.92</v>
      </c>
      <c r="P270" s="414">
        <v>2049.652</v>
      </c>
      <c r="Q270" s="396" t="s">
        <v>18</v>
      </c>
      <c r="R270" s="396" t="s">
        <v>18</v>
      </c>
      <c r="S270" s="396" t="s">
        <v>18</v>
      </c>
      <c r="T270" s="206" t="s">
        <v>532</v>
      </c>
      <c r="U270" s="206">
        <v>15</v>
      </c>
      <c r="V270" s="206">
        <v>5</v>
      </c>
      <c r="W270" s="206">
        <v>0.7</v>
      </c>
      <c r="X270" s="206">
        <v>0.7</v>
      </c>
      <c r="Y270" s="206">
        <v>0.7</v>
      </c>
      <c r="Z270" s="415">
        <v>1700</v>
      </c>
      <c r="AA270" s="415" t="s">
        <v>533</v>
      </c>
      <c r="AB270" s="415">
        <v>0.85</v>
      </c>
      <c r="AC270" s="415" t="s">
        <v>534</v>
      </c>
      <c r="AD270" s="415" t="s">
        <v>535</v>
      </c>
      <c r="AE270" s="415">
        <v>220</v>
      </c>
      <c r="AF270" s="416"/>
      <c r="AG270" s="416"/>
    </row>
    <row r="271" spans="1:33" ht="25.5">
      <c r="A271" s="206" t="s">
        <v>539</v>
      </c>
      <c r="B271" s="206" t="s">
        <v>540</v>
      </c>
      <c r="C271" s="206" t="s">
        <v>722</v>
      </c>
      <c r="D271" s="206" t="s">
        <v>531</v>
      </c>
      <c r="E271" s="206">
        <v>1.2</v>
      </c>
      <c r="F271" s="413">
        <v>45337.40625</v>
      </c>
      <c r="G271" s="206">
        <v>1</v>
      </c>
      <c r="H271" s="206">
        <v>51.370800000000003</v>
      </c>
      <c r="I271" s="206">
        <v>10.5627</v>
      </c>
      <c r="J271" s="206">
        <v>-16.229800000000001</v>
      </c>
      <c r="K271" s="206">
        <v>-15.380699999999999</v>
      </c>
      <c r="L271" s="206">
        <v>993.94100000000003</v>
      </c>
      <c r="M271" s="206">
        <v>119.9999</v>
      </c>
      <c r="N271" s="206">
        <v>14173.27</v>
      </c>
      <c r="O271" s="206">
        <v>14288.84</v>
      </c>
      <c r="P271" s="414">
        <v>2067.8629999999998</v>
      </c>
      <c r="Q271" s="396" t="s">
        <v>18</v>
      </c>
      <c r="R271" s="396" t="s">
        <v>18</v>
      </c>
      <c r="S271" s="396" t="s">
        <v>18</v>
      </c>
      <c r="T271" s="206" t="s">
        <v>542</v>
      </c>
      <c r="U271" s="206">
        <v>15</v>
      </c>
      <c r="V271" s="206">
        <v>5</v>
      </c>
      <c r="W271" s="206">
        <v>0.7</v>
      </c>
      <c r="X271" s="206">
        <v>0.7</v>
      </c>
      <c r="Y271" s="206">
        <v>0.7</v>
      </c>
      <c r="Z271" s="415">
        <v>1700</v>
      </c>
      <c r="AA271" s="415" t="s">
        <v>533</v>
      </c>
      <c r="AB271" s="415">
        <v>0.85</v>
      </c>
      <c r="AC271" s="415" t="s">
        <v>534</v>
      </c>
      <c r="AD271" s="415" t="s">
        <v>535</v>
      </c>
      <c r="AE271" s="415">
        <v>220</v>
      </c>
      <c r="AF271" s="416"/>
      <c r="AG271" s="416"/>
    </row>
    <row r="272" spans="1:33" ht="24">
      <c r="A272" s="206" t="s">
        <v>543</v>
      </c>
      <c r="B272" s="206" t="s">
        <v>540</v>
      </c>
      <c r="C272" s="206" t="s">
        <v>722</v>
      </c>
      <c r="D272" s="206" t="s">
        <v>531</v>
      </c>
      <c r="E272" s="206">
        <v>1.2</v>
      </c>
      <c r="F272" s="413">
        <v>45337.409722222219</v>
      </c>
      <c r="G272" s="206">
        <v>1</v>
      </c>
      <c r="H272" s="206">
        <v>51.370800000000003</v>
      </c>
      <c r="I272" s="206">
        <v>9.8211999999999993</v>
      </c>
      <c r="J272" s="206">
        <v>-16.284199999999998</v>
      </c>
      <c r="K272" s="206">
        <v>-15.4359</v>
      </c>
      <c r="L272" s="206">
        <v>976.66899999999998</v>
      </c>
      <c r="M272" s="206">
        <v>112.5003</v>
      </c>
      <c r="N272" s="206">
        <v>14287.68</v>
      </c>
      <c r="O272" s="206">
        <v>14288.84</v>
      </c>
      <c r="P272" s="414">
        <v>2067.8629999999998</v>
      </c>
      <c r="Q272" s="396" t="s">
        <v>18</v>
      </c>
      <c r="R272" s="396" t="s">
        <v>18</v>
      </c>
      <c r="S272" s="396" t="s">
        <v>18</v>
      </c>
      <c r="T272" s="206" t="s">
        <v>532</v>
      </c>
      <c r="U272" s="206">
        <v>15</v>
      </c>
      <c r="V272" s="206">
        <v>5</v>
      </c>
      <c r="W272" s="206">
        <v>0.7</v>
      </c>
      <c r="X272" s="206">
        <v>0.7</v>
      </c>
      <c r="Y272" s="206">
        <v>0.7</v>
      </c>
      <c r="Z272" s="415">
        <v>1700</v>
      </c>
      <c r="AA272" s="415" t="s">
        <v>533</v>
      </c>
      <c r="AB272" s="415">
        <v>0.85</v>
      </c>
      <c r="AC272" s="415" t="s">
        <v>534</v>
      </c>
      <c r="AD272" s="415" t="s">
        <v>535</v>
      </c>
      <c r="AE272" s="415">
        <v>220</v>
      </c>
      <c r="AF272" s="416"/>
      <c r="AG272" s="416"/>
    </row>
    <row r="273" spans="1:33" ht="24">
      <c r="A273" s="206" t="s">
        <v>544</v>
      </c>
      <c r="B273" s="206" t="s">
        <v>540</v>
      </c>
      <c r="C273" s="206" t="s">
        <v>722</v>
      </c>
      <c r="D273" s="206" t="s">
        <v>531</v>
      </c>
      <c r="E273" s="206">
        <v>1.2</v>
      </c>
      <c r="F273" s="413">
        <v>45337.413194444445</v>
      </c>
      <c r="G273" s="206">
        <v>1</v>
      </c>
      <c r="H273" s="206">
        <v>51.3675</v>
      </c>
      <c r="I273" s="206">
        <v>9.3966200000000004</v>
      </c>
      <c r="J273" s="206">
        <v>-16.3124</v>
      </c>
      <c r="K273" s="206">
        <v>-15.4663</v>
      </c>
      <c r="L273" s="206">
        <v>972.03</v>
      </c>
      <c r="M273" s="206">
        <v>111.4999</v>
      </c>
      <c r="N273" s="206">
        <v>14299.11</v>
      </c>
      <c r="O273" s="206">
        <v>14288.84</v>
      </c>
      <c r="P273" s="414">
        <v>2067.8629999999998</v>
      </c>
      <c r="Q273" s="396" t="s">
        <v>18</v>
      </c>
      <c r="R273" s="396" t="s">
        <v>18</v>
      </c>
      <c r="S273" s="396" t="s">
        <v>18</v>
      </c>
      <c r="T273" s="206" t="s">
        <v>532</v>
      </c>
      <c r="U273" s="206">
        <v>15</v>
      </c>
      <c r="V273" s="206">
        <v>5</v>
      </c>
      <c r="W273" s="206">
        <v>0.7</v>
      </c>
      <c r="X273" s="206">
        <v>0.7</v>
      </c>
      <c r="Y273" s="206">
        <v>0.7</v>
      </c>
      <c r="Z273" s="415">
        <v>1700</v>
      </c>
      <c r="AA273" s="415" t="s">
        <v>533</v>
      </c>
      <c r="AB273" s="415">
        <v>0.85</v>
      </c>
      <c r="AC273" s="415" t="s">
        <v>534</v>
      </c>
      <c r="AD273" s="415" t="s">
        <v>535</v>
      </c>
      <c r="AE273" s="415">
        <v>220</v>
      </c>
      <c r="AF273" s="416"/>
      <c r="AG273" s="416"/>
    </row>
    <row r="274" spans="1:33" ht="24">
      <c r="A274" s="206" t="s">
        <v>545</v>
      </c>
      <c r="B274" s="206" t="s">
        <v>540</v>
      </c>
      <c r="C274" s="206" t="s">
        <v>722</v>
      </c>
      <c r="D274" s="206" t="s">
        <v>531</v>
      </c>
      <c r="E274" s="206">
        <v>1.2</v>
      </c>
      <c r="F274" s="413">
        <v>45337.416666666664</v>
      </c>
      <c r="G274" s="206">
        <v>1</v>
      </c>
      <c r="H274" s="206">
        <v>51.3675</v>
      </c>
      <c r="I274" s="206">
        <v>8.6404700000000005</v>
      </c>
      <c r="J274" s="206">
        <v>-16.3019</v>
      </c>
      <c r="K274" s="206">
        <v>-15.4818</v>
      </c>
      <c r="L274" s="206">
        <v>968.03</v>
      </c>
      <c r="M274" s="206">
        <v>118.50020000000001</v>
      </c>
      <c r="N274" s="206">
        <v>14279.73</v>
      </c>
      <c r="O274" s="206">
        <v>14288.84</v>
      </c>
      <c r="P274" s="414">
        <v>2067.8629999999998</v>
      </c>
      <c r="Q274" s="396" t="s">
        <v>18</v>
      </c>
      <c r="R274" s="396" t="s">
        <v>18</v>
      </c>
      <c r="S274" s="396" t="s">
        <v>18</v>
      </c>
      <c r="T274" s="206" t="s">
        <v>532</v>
      </c>
      <c r="U274" s="206">
        <v>15</v>
      </c>
      <c r="V274" s="206">
        <v>5</v>
      </c>
      <c r="W274" s="206">
        <v>0.7</v>
      </c>
      <c r="X274" s="206">
        <v>0.7</v>
      </c>
      <c r="Y274" s="206">
        <v>0.7</v>
      </c>
      <c r="Z274" s="415">
        <v>1700</v>
      </c>
      <c r="AA274" s="415" t="s">
        <v>533</v>
      </c>
      <c r="AB274" s="415">
        <v>0.85</v>
      </c>
      <c r="AC274" s="415" t="s">
        <v>534</v>
      </c>
      <c r="AD274" s="415" t="s">
        <v>535</v>
      </c>
      <c r="AE274" s="415">
        <v>220</v>
      </c>
      <c r="AF274" s="416"/>
      <c r="AG274" s="416"/>
    </row>
    <row r="275" spans="1:33" ht="24">
      <c r="A275" s="206" t="s">
        <v>546</v>
      </c>
      <c r="B275" s="206" t="s">
        <v>547</v>
      </c>
      <c r="C275" s="206" t="s">
        <v>722</v>
      </c>
      <c r="D275" s="206" t="s">
        <v>531</v>
      </c>
      <c r="E275" s="206">
        <v>1.5</v>
      </c>
      <c r="F275" s="413">
        <v>45337.420138888891</v>
      </c>
      <c r="G275" s="206">
        <v>1</v>
      </c>
      <c r="H275" s="206">
        <v>51.3675</v>
      </c>
      <c r="I275" s="206">
        <v>8.3266799999999996</v>
      </c>
      <c r="J275" s="206">
        <v>-16.3645</v>
      </c>
      <c r="K275" s="206">
        <v>-15.5181</v>
      </c>
      <c r="L275" s="206">
        <v>997.274</v>
      </c>
      <c r="M275" s="206">
        <v>141</v>
      </c>
      <c r="N275" s="206">
        <v>17926.23</v>
      </c>
      <c r="O275" s="206">
        <v>17929.8</v>
      </c>
      <c r="P275" s="414">
        <v>2067.8629999999998</v>
      </c>
      <c r="Q275" s="396" t="s">
        <v>18</v>
      </c>
      <c r="R275" s="396" t="s">
        <v>18</v>
      </c>
      <c r="S275" s="396" t="s">
        <v>18</v>
      </c>
      <c r="T275" s="206" t="s">
        <v>532</v>
      </c>
      <c r="U275" s="206">
        <v>15</v>
      </c>
      <c r="V275" s="206">
        <v>5</v>
      </c>
      <c r="W275" s="206">
        <v>0.7</v>
      </c>
      <c r="X275" s="206">
        <v>0.7</v>
      </c>
      <c r="Y275" s="206">
        <v>0.7</v>
      </c>
      <c r="Z275" s="415">
        <v>1700</v>
      </c>
      <c r="AA275" s="415" t="s">
        <v>533</v>
      </c>
      <c r="AB275" s="415">
        <v>0.85</v>
      </c>
      <c r="AC275" s="415" t="s">
        <v>534</v>
      </c>
      <c r="AD275" s="415" t="s">
        <v>535</v>
      </c>
      <c r="AE275" s="415">
        <v>220</v>
      </c>
      <c r="AF275" s="416"/>
      <c r="AG275" s="416"/>
    </row>
    <row r="276" spans="1:33" ht="24">
      <c r="A276" s="206" t="s">
        <v>548</v>
      </c>
      <c r="B276" s="206" t="s">
        <v>547</v>
      </c>
      <c r="C276" s="206" t="s">
        <v>722</v>
      </c>
      <c r="D276" s="206" t="s">
        <v>531</v>
      </c>
      <c r="E276" s="206">
        <v>1.5</v>
      </c>
      <c r="F276" s="413">
        <v>45337.423611111109</v>
      </c>
      <c r="G276" s="206">
        <v>1</v>
      </c>
      <c r="H276" s="206">
        <v>51.3675</v>
      </c>
      <c r="I276" s="206">
        <v>8.1196999999999999</v>
      </c>
      <c r="J276" s="206">
        <v>-16.439</v>
      </c>
      <c r="K276" s="206">
        <v>-15.6</v>
      </c>
      <c r="L276" s="206">
        <v>991.59299999999996</v>
      </c>
      <c r="M276" s="206">
        <v>127.50020000000001</v>
      </c>
      <c r="N276" s="206">
        <v>17927.68</v>
      </c>
      <c r="O276" s="206">
        <v>17929.8</v>
      </c>
      <c r="P276" s="414">
        <v>2067.8629999999998</v>
      </c>
      <c r="Q276" s="396" t="s">
        <v>18</v>
      </c>
      <c r="R276" s="396" t="s">
        <v>18</v>
      </c>
      <c r="S276" s="396" t="s">
        <v>18</v>
      </c>
      <c r="T276" s="206" t="s">
        <v>532</v>
      </c>
      <c r="U276" s="206">
        <v>15</v>
      </c>
      <c r="V276" s="206">
        <v>5</v>
      </c>
      <c r="W276" s="206">
        <v>0.7</v>
      </c>
      <c r="X276" s="206">
        <v>0.7</v>
      </c>
      <c r="Y276" s="206">
        <v>0.7</v>
      </c>
      <c r="Z276" s="415">
        <v>1700</v>
      </c>
      <c r="AA276" s="415" t="s">
        <v>533</v>
      </c>
      <c r="AB276" s="415">
        <v>0.85</v>
      </c>
      <c r="AC276" s="415" t="s">
        <v>534</v>
      </c>
      <c r="AD276" s="415" t="s">
        <v>535</v>
      </c>
      <c r="AE276" s="415">
        <v>220</v>
      </c>
      <c r="AF276" s="416"/>
      <c r="AG276" s="416"/>
    </row>
    <row r="277" spans="1:33" ht="24">
      <c r="A277" s="206" t="s">
        <v>549</v>
      </c>
      <c r="B277" s="206" t="s">
        <v>547</v>
      </c>
      <c r="C277" s="206" t="s">
        <v>722</v>
      </c>
      <c r="D277" s="206" t="s">
        <v>531</v>
      </c>
      <c r="E277" s="206">
        <v>1.5</v>
      </c>
      <c r="F277" s="413">
        <v>45337.427777777775</v>
      </c>
      <c r="G277" s="206">
        <v>1</v>
      </c>
      <c r="H277" s="206">
        <v>51.370800000000003</v>
      </c>
      <c r="I277" s="206">
        <v>8.0459200000000006</v>
      </c>
      <c r="J277" s="206">
        <v>-16.383099999999999</v>
      </c>
      <c r="K277" s="206">
        <v>-15.541700000000001</v>
      </c>
      <c r="L277" s="206">
        <v>981.89700000000005</v>
      </c>
      <c r="M277" s="206">
        <v>122.5003</v>
      </c>
      <c r="N277" s="206">
        <v>17935.5</v>
      </c>
      <c r="O277" s="206">
        <v>17929.8</v>
      </c>
      <c r="P277" s="414">
        <v>2067.8629999999998</v>
      </c>
      <c r="Q277" s="396" t="s">
        <v>18</v>
      </c>
      <c r="R277" s="396" t="s">
        <v>18</v>
      </c>
      <c r="S277" s="396" t="s">
        <v>18</v>
      </c>
      <c r="T277" s="206" t="s">
        <v>532</v>
      </c>
      <c r="U277" s="206">
        <v>15</v>
      </c>
      <c r="V277" s="206">
        <v>5</v>
      </c>
      <c r="W277" s="206">
        <v>0.7</v>
      </c>
      <c r="X277" s="206">
        <v>0.7</v>
      </c>
      <c r="Y277" s="206">
        <v>0.7</v>
      </c>
      <c r="Z277" s="415">
        <v>1700</v>
      </c>
      <c r="AA277" s="415" t="s">
        <v>533</v>
      </c>
      <c r="AB277" s="415">
        <v>0.85</v>
      </c>
      <c r="AC277" s="415" t="s">
        <v>534</v>
      </c>
      <c r="AD277" s="415" t="s">
        <v>535</v>
      </c>
      <c r="AE277" s="415">
        <v>220</v>
      </c>
      <c r="AF277" s="416"/>
      <c r="AG277" s="416"/>
    </row>
    <row r="278" spans="1:33" ht="24">
      <c r="A278" s="206" t="s">
        <v>551</v>
      </c>
      <c r="B278" s="206" t="s">
        <v>552</v>
      </c>
      <c r="C278" s="206" t="s">
        <v>722</v>
      </c>
      <c r="D278" s="206" t="s">
        <v>531</v>
      </c>
      <c r="E278" s="206">
        <v>1.8</v>
      </c>
      <c r="F278" s="413">
        <v>45337.431250000001</v>
      </c>
      <c r="G278" s="206">
        <v>1</v>
      </c>
      <c r="H278" s="206">
        <v>51.370800000000003</v>
      </c>
      <c r="I278" s="206">
        <v>7.9973299999999998</v>
      </c>
      <c r="J278" s="206">
        <v>-16.412199999999999</v>
      </c>
      <c r="K278" s="206">
        <v>-15.5693</v>
      </c>
      <c r="L278" s="206">
        <v>1002.63</v>
      </c>
      <c r="M278" s="206">
        <v>139.99979999999999</v>
      </c>
      <c r="N278" s="206">
        <v>21524.67</v>
      </c>
      <c r="O278" s="206">
        <v>21512.05</v>
      </c>
      <c r="P278" s="414">
        <v>2067.8629999999998</v>
      </c>
      <c r="Q278" s="396" t="s">
        <v>18</v>
      </c>
      <c r="R278" s="396" t="s">
        <v>18</v>
      </c>
      <c r="S278" s="396" t="s">
        <v>18</v>
      </c>
      <c r="T278" s="206" t="s">
        <v>532</v>
      </c>
      <c r="U278" s="206">
        <v>15</v>
      </c>
      <c r="V278" s="206">
        <v>5</v>
      </c>
      <c r="W278" s="206">
        <v>0.7</v>
      </c>
      <c r="X278" s="206">
        <v>0.7</v>
      </c>
      <c r="Y278" s="206">
        <v>0.7</v>
      </c>
      <c r="Z278" s="415">
        <v>1700</v>
      </c>
      <c r="AA278" s="415" t="s">
        <v>533</v>
      </c>
      <c r="AB278" s="415">
        <v>0.85</v>
      </c>
      <c r="AC278" s="415" t="s">
        <v>534</v>
      </c>
      <c r="AD278" s="415" t="s">
        <v>535</v>
      </c>
      <c r="AE278" s="415">
        <v>220</v>
      </c>
      <c r="AF278" s="416"/>
      <c r="AG278" s="416"/>
    </row>
    <row r="279" spans="1:33" ht="25.5">
      <c r="A279" s="206" t="s">
        <v>553</v>
      </c>
      <c r="B279" s="206" t="s">
        <v>552</v>
      </c>
      <c r="C279" s="206" t="s">
        <v>722</v>
      </c>
      <c r="D279" s="206" t="s">
        <v>531</v>
      </c>
      <c r="E279" s="206">
        <v>1.8</v>
      </c>
      <c r="F279" s="413">
        <v>45337.435416666667</v>
      </c>
      <c r="G279" s="206">
        <v>1</v>
      </c>
      <c r="H279" s="206">
        <v>51.3675</v>
      </c>
      <c r="I279" s="206">
        <v>7.94116</v>
      </c>
      <c r="J279" s="206">
        <v>-16.5091</v>
      </c>
      <c r="K279" s="206">
        <v>-15.6731</v>
      </c>
      <c r="L279" s="206">
        <v>1006.01</v>
      </c>
      <c r="M279" s="206">
        <v>206.99969999999999</v>
      </c>
      <c r="N279" s="206">
        <v>21591.88</v>
      </c>
      <c r="O279" s="206">
        <v>21512.05</v>
      </c>
      <c r="P279" s="414">
        <v>2067.8629999999998</v>
      </c>
      <c r="Q279" s="396" t="s">
        <v>18</v>
      </c>
      <c r="R279" s="396" t="s">
        <v>18</v>
      </c>
      <c r="S279" s="396" t="s">
        <v>18</v>
      </c>
      <c r="T279" s="206" t="s">
        <v>542</v>
      </c>
      <c r="U279" s="206">
        <v>15</v>
      </c>
      <c r="V279" s="206">
        <v>5</v>
      </c>
      <c r="W279" s="206">
        <v>0.7</v>
      </c>
      <c r="X279" s="206">
        <v>0.7</v>
      </c>
      <c r="Y279" s="206">
        <v>0.7</v>
      </c>
      <c r="Z279" s="415">
        <v>1700</v>
      </c>
      <c r="AA279" s="415" t="s">
        <v>533</v>
      </c>
      <c r="AB279" s="415">
        <v>0.85</v>
      </c>
      <c r="AC279" s="415" t="s">
        <v>534</v>
      </c>
      <c r="AD279" s="415" t="s">
        <v>535</v>
      </c>
      <c r="AE279" s="415">
        <v>220</v>
      </c>
      <c r="AF279" s="416"/>
      <c r="AG279" s="416"/>
    </row>
    <row r="280" spans="1:33" ht="24">
      <c r="A280" s="206" t="s">
        <v>554</v>
      </c>
      <c r="B280" s="206" t="s">
        <v>552</v>
      </c>
      <c r="C280" s="206" t="s">
        <v>722</v>
      </c>
      <c r="D280" s="206" t="s">
        <v>531</v>
      </c>
      <c r="E280" s="206">
        <v>1.8</v>
      </c>
      <c r="F280" s="413">
        <v>45337.439583333333</v>
      </c>
      <c r="G280" s="206">
        <v>1</v>
      </c>
      <c r="H280" s="206">
        <v>51.364100000000001</v>
      </c>
      <c r="I280" s="206">
        <v>7.8443500000000004</v>
      </c>
      <c r="J280" s="206">
        <v>-16.2621</v>
      </c>
      <c r="K280" s="206">
        <v>-15.412800000000001</v>
      </c>
      <c r="L280" s="206">
        <v>1003.6</v>
      </c>
      <c r="M280" s="206">
        <v>134.49930000000001</v>
      </c>
      <c r="N280" s="206">
        <v>21493.24</v>
      </c>
      <c r="O280" s="206">
        <v>21512.05</v>
      </c>
      <c r="P280" s="414">
        <v>2067.8629999999998</v>
      </c>
      <c r="Q280" s="396" t="s">
        <v>18</v>
      </c>
      <c r="R280" s="396" t="s">
        <v>18</v>
      </c>
      <c r="S280" s="396" t="s">
        <v>18</v>
      </c>
      <c r="T280" s="206" t="s">
        <v>532</v>
      </c>
      <c r="U280" s="206">
        <v>15</v>
      </c>
      <c r="V280" s="206">
        <v>5</v>
      </c>
      <c r="W280" s="206">
        <v>0.7</v>
      </c>
      <c r="X280" s="206">
        <v>0.7</v>
      </c>
      <c r="Y280" s="206">
        <v>0.7</v>
      </c>
      <c r="Z280" s="415">
        <v>1700</v>
      </c>
      <c r="AA280" s="415" t="s">
        <v>533</v>
      </c>
      <c r="AB280" s="415">
        <v>0.85</v>
      </c>
      <c r="AC280" s="415" t="s">
        <v>534</v>
      </c>
      <c r="AD280" s="415" t="s">
        <v>535</v>
      </c>
      <c r="AE280" s="415">
        <v>220</v>
      </c>
      <c r="AF280" s="416"/>
      <c r="AG280" s="416"/>
    </row>
    <row r="281" spans="1:33" ht="24">
      <c r="A281" s="206" t="s">
        <v>723</v>
      </c>
      <c r="B281" s="206" t="s">
        <v>552</v>
      </c>
      <c r="C281" s="206" t="s">
        <v>722</v>
      </c>
      <c r="D281" s="206" t="s">
        <v>531</v>
      </c>
      <c r="E281" s="206">
        <v>1.8</v>
      </c>
      <c r="F281" s="413">
        <v>45337.443749999999</v>
      </c>
      <c r="G281" s="206">
        <v>1</v>
      </c>
      <c r="H281" s="206">
        <v>51.377400000000002</v>
      </c>
      <c r="I281" s="206">
        <v>7.8949999999999996</v>
      </c>
      <c r="J281" s="206">
        <v>-16.312999999999999</v>
      </c>
      <c r="K281" s="206">
        <v>-15.5098</v>
      </c>
      <c r="L281" s="206">
        <v>1013</v>
      </c>
      <c r="M281" s="206">
        <v>171.5</v>
      </c>
      <c r="N281" s="206">
        <v>21518.23</v>
      </c>
      <c r="O281" s="206">
        <v>21512.05</v>
      </c>
      <c r="P281" s="414">
        <v>2067.8629999999998</v>
      </c>
      <c r="Q281" s="396" t="s">
        <v>18</v>
      </c>
      <c r="R281" s="396" t="s">
        <v>18</v>
      </c>
      <c r="S281" s="396" t="s">
        <v>18</v>
      </c>
      <c r="T281" s="206" t="s">
        <v>532</v>
      </c>
      <c r="U281" s="206">
        <v>15</v>
      </c>
      <c r="V281" s="206">
        <v>5</v>
      </c>
      <c r="W281" s="206">
        <v>0.7</v>
      </c>
      <c r="X281" s="206">
        <v>0.7</v>
      </c>
      <c r="Y281" s="206">
        <v>0.7</v>
      </c>
      <c r="Z281" s="415">
        <v>1700</v>
      </c>
      <c r="AA281" s="415" t="s">
        <v>533</v>
      </c>
      <c r="AB281" s="415">
        <v>0.85</v>
      </c>
      <c r="AC281" s="415" t="s">
        <v>534</v>
      </c>
      <c r="AD281" s="415" t="s">
        <v>535</v>
      </c>
      <c r="AE281" s="415">
        <v>220</v>
      </c>
      <c r="AF281" s="416"/>
      <c r="AG281" s="416"/>
    </row>
    <row r="282" spans="1:33" ht="24">
      <c r="A282" s="206" t="s">
        <v>555</v>
      </c>
      <c r="B282" s="206">
        <v>2</v>
      </c>
      <c r="C282" s="206" t="s">
        <v>722</v>
      </c>
      <c r="D282" s="206" t="s">
        <v>531</v>
      </c>
      <c r="E282" s="206">
        <v>1.5</v>
      </c>
      <c r="F282" s="413">
        <v>45337.447916666664</v>
      </c>
      <c r="G282" s="206">
        <v>1</v>
      </c>
      <c r="H282" s="206">
        <v>51.370800000000003</v>
      </c>
      <c r="I282" s="206">
        <v>7.8303399999999996</v>
      </c>
      <c r="J282" s="206">
        <v>-16.4039</v>
      </c>
      <c r="K282" s="206">
        <v>-15.5595</v>
      </c>
      <c r="L282" s="206">
        <v>983.97400000000005</v>
      </c>
      <c r="M282" s="206">
        <v>190.00059999999999</v>
      </c>
      <c r="N282" s="206">
        <v>17939.07</v>
      </c>
      <c r="O282" s="206">
        <v>17922.099999999999</v>
      </c>
      <c r="P282" s="414">
        <v>2066.9879999999998</v>
      </c>
      <c r="Q282" s="396" t="s">
        <v>18</v>
      </c>
      <c r="R282" s="414">
        <f t="shared" ref="R282:R283" si="26">2067.13-P282</f>
        <v>0.14200000000028012</v>
      </c>
      <c r="S282" s="396">
        <f t="shared" ref="S282:S331" si="27">P282+R282</f>
        <v>2067.13</v>
      </c>
      <c r="T282" s="206" t="s">
        <v>532</v>
      </c>
      <c r="U282" s="206">
        <v>15</v>
      </c>
      <c r="V282" s="206">
        <v>5</v>
      </c>
      <c r="W282" s="206">
        <v>0.7</v>
      </c>
      <c r="X282" s="206">
        <v>0.7</v>
      </c>
      <c r="Y282" s="206">
        <v>0.7</v>
      </c>
      <c r="Z282" s="415">
        <v>1700</v>
      </c>
      <c r="AA282" s="415" t="s">
        <v>533</v>
      </c>
      <c r="AB282" s="415">
        <v>0.85</v>
      </c>
      <c r="AC282" s="415" t="s">
        <v>534</v>
      </c>
      <c r="AD282" s="415" t="s">
        <v>535</v>
      </c>
      <c r="AE282" s="415">
        <v>220</v>
      </c>
      <c r="AF282" s="416"/>
      <c r="AG282" s="417"/>
    </row>
    <row r="283" spans="1:33" ht="24">
      <c r="A283" s="206" t="s">
        <v>557</v>
      </c>
      <c r="B283" s="206">
        <v>2</v>
      </c>
      <c r="C283" s="206" t="s">
        <v>722</v>
      </c>
      <c r="D283" s="206" t="s">
        <v>531</v>
      </c>
      <c r="E283" s="206">
        <v>1.5</v>
      </c>
      <c r="F283" s="413">
        <v>45337.45208333333</v>
      </c>
      <c r="G283" s="206">
        <v>1</v>
      </c>
      <c r="H283" s="206">
        <v>51.3675</v>
      </c>
      <c r="I283" s="206">
        <v>7.8597000000000001</v>
      </c>
      <c r="J283" s="206">
        <v>-16.307200000000002</v>
      </c>
      <c r="K283" s="206">
        <v>-15.4671</v>
      </c>
      <c r="L283" s="206">
        <v>992.26</v>
      </c>
      <c r="M283" s="206">
        <v>155.50110000000001</v>
      </c>
      <c r="N283" s="206">
        <v>17917.5</v>
      </c>
      <c r="O283" s="206">
        <v>17922.099999999999</v>
      </c>
      <c r="P283" s="414">
        <v>2066.9879999999998</v>
      </c>
      <c r="Q283" s="396" t="s">
        <v>18</v>
      </c>
      <c r="R283" s="414">
        <f t="shared" si="26"/>
        <v>0.14200000000028012</v>
      </c>
      <c r="S283" s="396">
        <f t="shared" si="27"/>
        <v>2067.13</v>
      </c>
      <c r="T283" s="206" t="s">
        <v>532</v>
      </c>
      <c r="U283" s="206">
        <v>15</v>
      </c>
      <c r="V283" s="206">
        <v>5</v>
      </c>
      <c r="W283" s="206">
        <v>0.7</v>
      </c>
      <c r="X283" s="206">
        <v>0.7</v>
      </c>
      <c r="Y283" s="206">
        <v>0.7</v>
      </c>
      <c r="Z283" s="415">
        <v>1700</v>
      </c>
      <c r="AA283" s="415" t="s">
        <v>533</v>
      </c>
      <c r="AB283" s="415">
        <v>0.85</v>
      </c>
      <c r="AC283" s="415" t="s">
        <v>534</v>
      </c>
      <c r="AD283" s="415" t="s">
        <v>535</v>
      </c>
      <c r="AE283" s="415">
        <v>220</v>
      </c>
      <c r="AF283" s="416"/>
      <c r="AG283" s="417"/>
    </row>
    <row r="284" spans="1:33" ht="24">
      <c r="A284" s="206" t="s">
        <v>558</v>
      </c>
      <c r="B284" s="206">
        <v>2</v>
      </c>
      <c r="C284" s="206" t="s">
        <v>722</v>
      </c>
      <c r="D284" s="206" t="s">
        <v>531</v>
      </c>
      <c r="E284" s="206">
        <v>1.5</v>
      </c>
      <c r="F284" s="413">
        <v>45337.456250000003</v>
      </c>
      <c r="G284" s="206">
        <v>1</v>
      </c>
      <c r="H284" s="206">
        <v>51.370800000000003</v>
      </c>
      <c r="I284" s="206">
        <v>7.7928899999999999</v>
      </c>
      <c r="J284" s="206">
        <v>-16.2865</v>
      </c>
      <c r="K284" s="206">
        <v>-15.4414</v>
      </c>
      <c r="L284" s="206">
        <v>990.95100000000002</v>
      </c>
      <c r="M284" s="206">
        <v>121.9999</v>
      </c>
      <c r="N284" s="206">
        <v>17909.72</v>
      </c>
      <c r="O284" s="206">
        <v>17922.099999999999</v>
      </c>
      <c r="P284" s="414">
        <v>2066.9879999999998</v>
      </c>
      <c r="Q284" s="396" t="s">
        <v>18</v>
      </c>
      <c r="R284" s="414">
        <f t="shared" ref="R284:R314" si="28">((B284-B$284)/(B$314-B$284))*R$315+((1-((B284-B$284)/(B$314-B$284)))*R$283)</f>
        <v>0.14200000000028012</v>
      </c>
      <c r="S284" s="396">
        <f t="shared" si="27"/>
        <v>2067.13</v>
      </c>
      <c r="T284" s="206" t="s">
        <v>532</v>
      </c>
      <c r="U284" s="206">
        <v>15</v>
      </c>
      <c r="V284" s="206">
        <v>5</v>
      </c>
      <c r="W284" s="206">
        <v>0.7</v>
      </c>
      <c r="X284" s="206">
        <v>0.7</v>
      </c>
      <c r="Y284" s="206">
        <v>0.7</v>
      </c>
      <c r="Z284" s="415">
        <v>1700</v>
      </c>
      <c r="AA284" s="415" t="s">
        <v>533</v>
      </c>
      <c r="AB284" s="415">
        <v>0.85</v>
      </c>
      <c r="AC284" s="415" t="s">
        <v>534</v>
      </c>
      <c r="AD284" s="415" t="s">
        <v>535</v>
      </c>
      <c r="AE284" s="415">
        <v>220</v>
      </c>
      <c r="AF284" s="416"/>
      <c r="AG284" s="417"/>
    </row>
    <row r="285" spans="1:33" ht="24">
      <c r="A285" s="206" t="s">
        <v>560</v>
      </c>
      <c r="B285" s="206">
        <v>3</v>
      </c>
      <c r="C285" s="206">
        <v>352</v>
      </c>
      <c r="D285" s="206" t="s">
        <v>561</v>
      </c>
      <c r="E285" s="206">
        <v>1.5</v>
      </c>
      <c r="F285" s="413">
        <v>45337.460416666669</v>
      </c>
      <c r="G285" s="206">
        <v>1</v>
      </c>
      <c r="H285" s="206">
        <v>51.3675</v>
      </c>
      <c r="I285" s="206">
        <v>7.7081299999999997</v>
      </c>
      <c r="J285" s="206">
        <v>-16.308599999999998</v>
      </c>
      <c r="K285" s="206">
        <v>-15.476100000000001</v>
      </c>
      <c r="L285" s="206">
        <v>997.12900000000002</v>
      </c>
      <c r="M285" s="206">
        <v>148.00049999999999</v>
      </c>
      <c r="N285" s="206">
        <v>18024.66</v>
      </c>
      <c r="O285" s="206">
        <v>18015.759999999998</v>
      </c>
      <c r="P285" s="414">
        <v>2077.7869999999998</v>
      </c>
      <c r="Q285" s="396" t="s">
        <v>18</v>
      </c>
      <c r="R285" s="414">
        <f t="shared" si="28"/>
        <v>-0.1525555555553082</v>
      </c>
      <c r="S285" s="396">
        <f t="shared" si="27"/>
        <v>2077.6344444444444</v>
      </c>
      <c r="T285" s="206" t="s">
        <v>532</v>
      </c>
      <c r="U285" s="206">
        <v>15</v>
      </c>
      <c r="V285" s="206">
        <v>5</v>
      </c>
      <c r="W285" s="206">
        <v>0.7</v>
      </c>
      <c r="X285" s="206">
        <v>0.7</v>
      </c>
      <c r="Y285" s="206">
        <v>0.7</v>
      </c>
      <c r="Z285" s="415">
        <v>1700</v>
      </c>
      <c r="AA285" s="415" t="s">
        <v>533</v>
      </c>
      <c r="AB285" s="415">
        <v>0.85</v>
      </c>
      <c r="AC285" s="415" t="s">
        <v>534</v>
      </c>
      <c r="AD285" s="415" t="s">
        <v>535</v>
      </c>
      <c r="AE285" s="415">
        <v>220</v>
      </c>
      <c r="AF285" s="416"/>
      <c r="AG285" s="416"/>
    </row>
    <row r="286" spans="1:33" ht="24">
      <c r="A286" s="206" t="s">
        <v>562</v>
      </c>
      <c r="B286" s="206">
        <v>3</v>
      </c>
      <c r="C286" s="206">
        <v>352</v>
      </c>
      <c r="D286" s="206" t="s">
        <v>561</v>
      </c>
      <c r="E286" s="206">
        <v>1.5</v>
      </c>
      <c r="F286" s="413">
        <v>45337.463888888888</v>
      </c>
      <c r="G286" s="206">
        <v>1</v>
      </c>
      <c r="H286" s="206">
        <v>51.370800000000003</v>
      </c>
      <c r="I286" s="206">
        <v>7.5477100000000004</v>
      </c>
      <c r="J286" s="206">
        <v>-16.309000000000001</v>
      </c>
      <c r="K286" s="206">
        <v>-15.462199999999999</v>
      </c>
      <c r="L286" s="206">
        <v>1004.84</v>
      </c>
      <c r="M286" s="206">
        <v>115.99930000000001</v>
      </c>
      <c r="N286" s="206">
        <v>18015.080000000002</v>
      </c>
      <c r="O286" s="206">
        <v>18015.759999999998</v>
      </c>
      <c r="P286" s="414">
        <v>2077.7869999999998</v>
      </c>
      <c r="Q286" s="396" t="s">
        <v>18</v>
      </c>
      <c r="R286" s="414">
        <f t="shared" si="28"/>
        <v>-0.1525555555553082</v>
      </c>
      <c r="S286" s="396">
        <f t="shared" si="27"/>
        <v>2077.6344444444444</v>
      </c>
      <c r="T286" s="206" t="s">
        <v>532</v>
      </c>
      <c r="U286" s="206">
        <v>15</v>
      </c>
      <c r="V286" s="206">
        <v>5</v>
      </c>
      <c r="W286" s="206">
        <v>0.7</v>
      </c>
      <c r="X286" s="206">
        <v>0.7</v>
      </c>
      <c r="Y286" s="206">
        <v>0.7</v>
      </c>
      <c r="Z286" s="415">
        <v>1700</v>
      </c>
      <c r="AA286" s="415" t="s">
        <v>533</v>
      </c>
      <c r="AB286" s="415">
        <v>0.85</v>
      </c>
      <c r="AC286" s="415" t="s">
        <v>534</v>
      </c>
      <c r="AD286" s="415" t="s">
        <v>535</v>
      </c>
      <c r="AE286" s="415">
        <v>220</v>
      </c>
      <c r="AF286" s="416"/>
      <c r="AG286" s="416"/>
    </row>
    <row r="287" spans="1:33" ht="24">
      <c r="A287" s="206" t="s">
        <v>563</v>
      </c>
      <c r="B287" s="206">
        <v>3</v>
      </c>
      <c r="C287" s="206">
        <v>352</v>
      </c>
      <c r="D287" s="206" t="s">
        <v>561</v>
      </c>
      <c r="E287" s="206">
        <v>1.5</v>
      </c>
      <c r="F287" s="413">
        <v>45337.467361111114</v>
      </c>
      <c r="G287" s="206">
        <v>1</v>
      </c>
      <c r="H287" s="206">
        <v>51.3675</v>
      </c>
      <c r="I287" s="206">
        <v>7.5661500000000004</v>
      </c>
      <c r="J287" s="206">
        <v>-16.363800000000001</v>
      </c>
      <c r="K287" s="206">
        <v>-15.523</v>
      </c>
      <c r="L287" s="206">
        <v>999.67600000000004</v>
      </c>
      <c r="M287" s="206">
        <v>131.9992</v>
      </c>
      <c r="N287" s="206">
        <v>18007.52</v>
      </c>
      <c r="O287" s="206">
        <v>18015.759999999998</v>
      </c>
      <c r="P287" s="414">
        <v>2077.7869999999998</v>
      </c>
      <c r="Q287" s="396" t="s">
        <v>18</v>
      </c>
      <c r="R287" s="414">
        <f t="shared" si="28"/>
        <v>-0.1525555555553082</v>
      </c>
      <c r="S287" s="396">
        <f t="shared" si="27"/>
        <v>2077.6344444444444</v>
      </c>
      <c r="T287" s="206" t="s">
        <v>532</v>
      </c>
      <c r="U287" s="206">
        <v>15</v>
      </c>
      <c r="V287" s="206">
        <v>5</v>
      </c>
      <c r="W287" s="206">
        <v>0.7</v>
      </c>
      <c r="X287" s="206">
        <v>0.7</v>
      </c>
      <c r="Y287" s="206">
        <v>0.7</v>
      </c>
      <c r="Z287" s="415">
        <v>1700</v>
      </c>
      <c r="AA287" s="415" t="s">
        <v>533</v>
      </c>
      <c r="AB287" s="415">
        <v>0.85</v>
      </c>
      <c r="AC287" s="415" t="s">
        <v>534</v>
      </c>
      <c r="AD287" s="415" t="s">
        <v>535</v>
      </c>
      <c r="AE287" s="415">
        <v>220</v>
      </c>
      <c r="AF287" s="416"/>
      <c r="AG287" s="416"/>
    </row>
    <row r="288" spans="1:33" ht="24">
      <c r="A288" s="206" t="s">
        <v>564</v>
      </c>
      <c r="B288" s="206">
        <v>4</v>
      </c>
      <c r="C288" s="206">
        <v>353</v>
      </c>
      <c r="D288" s="206" t="s">
        <v>565</v>
      </c>
      <c r="E288" s="206">
        <v>1.5</v>
      </c>
      <c r="F288" s="413">
        <v>45337.47152777778</v>
      </c>
      <c r="G288" s="206">
        <v>1</v>
      </c>
      <c r="H288" s="206">
        <v>51.370800000000003</v>
      </c>
      <c r="I288" s="206">
        <v>7.6396699999999997</v>
      </c>
      <c r="J288" s="206">
        <v>-16.290199999999999</v>
      </c>
      <c r="K288" s="206">
        <v>-15.4773</v>
      </c>
      <c r="L288" s="206">
        <v>1002.84</v>
      </c>
      <c r="M288" s="206">
        <v>140.0008</v>
      </c>
      <c r="N288" s="206">
        <v>18053.43</v>
      </c>
      <c r="O288" s="206">
        <v>18050.48</v>
      </c>
      <c r="P288" s="414">
        <v>2081.7959999999998</v>
      </c>
      <c r="Q288" s="396" t="s">
        <v>18</v>
      </c>
      <c r="R288" s="414">
        <f t="shared" si="28"/>
        <v>-0.44711111111089646</v>
      </c>
      <c r="S288" s="396">
        <f t="shared" si="27"/>
        <v>2081.3488888888887</v>
      </c>
      <c r="T288" s="206" t="s">
        <v>532</v>
      </c>
      <c r="U288" s="206">
        <v>15</v>
      </c>
      <c r="V288" s="206">
        <v>5</v>
      </c>
      <c r="W288" s="206">
        <v>0.7</v>
      </c>
      <c r="X288" s="206">
        <v>0.7</v>
      </c>
      <c r="Y288" s="206">
        <v>0.7</v>
      </c>
      <c r="Z288" s="415">
        <v>1700</v>
      </c>
      <c r="AA288" s="415" t="s">
        <v>533</v>
      </c>
      <c r="AB288" s="415">
        <v>0.85</v>
      </c>
      <c r="AC288" s="415" t="s">
        <v>534</v>
      </c>
      <c r="AD288" s="415" t="s">
        <v>535</v>
      </c>
      <c r="AE288" s="415">
        <v>220</v>
      </c>
      <c r="AF288" s="416"/>
      <c r="AG288" s="416"/>
    </row>
    <row r="289" spans="1:33" ht="24">
      <c r="A289" s="206" t="s">
        <v>566</v>
      </c>
      <c r="B289" s="206">
        <v>4</v>
      </c>
      <c r="C289" s="206">
        <v>353</v>
      </c>
      <c r="D289" s="206" t="s">
        <v>565</v>
      </c>
      <c r="E289" s="206">
        <v>1.5</v>
      </c>
      <c r="F289" s="413">
        <v>45337.475694444445</v>
      </c>
      <c r="G289" s="206">
        <v>1</v>
      </c>
      <c r="H289" s="206">
        <v>51.370800000000003</v>
      </c>
      <c r="I289" s="206">
        <v>7.7519900000000002</v>
      </c>
      <c r="J289" s="206">
        <v>-16.281199999999998</v>
      </c>
      <c r="K289" s="206">
        <v>-15.438599999999999</v>
      </c>
      <c r="L289" s="206">
        <v>1003.99</v>
      </c>
      <c r="M289" s="206">
        <v>125.0004</v>
      </c>
      <c r="N289" s="206">
        <v>18048.419999999998</v>
      </c>
      <c r="O289" s="206">
        <v>18050.48</v>
      </c>
      <c r="P289" s="414">
        <v>2081.7959999999998</v>
      </c>
      <c r="Q289" s="396" t="s">
        <v>18</v>
      </c>
      <c r="R289" s="414">
        <f t="shared" si="28"/>
        <v>-0.44711111111089646</v>
      </c>
      <c r="S289" s="396">
        <f t="shared" si="27"/>
        <v>2081.3488888888887</v>
      </c>
      <c r="T289" s="206" t="s">
        <v>532</v>
      </c>
      <c r="U289" s="206">
        <v>15</v>
      </c>
      <c r="V289" s="206">
        <v>5</v>
      </c>
      <c r="W289" s="206">
        <v>0.7</v>
      </c>
      <c r="X289" s="206">
        <v>0.7</v>
      </c>
      <c r="Y289" s="206">
        <v>0.7</v>
      </c>
      <c r="Z289" s="415">
        <v>1700</v>
      </c>
      <c r="AA289" s="415" t="s">
        <v>533</v>
      </c>
      <c r="AB289" s="415">
        <v>0.85</v>
      </c>
      <c r="AC289" s="415" t="s">
        <v>534</v>
      </c>
      <c r="AD289" s="415" t="s">
        <v>535</v>
      </c>
      <c r="AE289" s="415">
        <v>220</v>
      </c>
      <c r="AF289" s="416"/>
      <c r="AG289" s="416"/>
    </row>
    <row r="290" spans="1:33" ht="25.5">
      <c r="A290" s="206" t="s">
        <v>567</v>
      </c>
      <c r="B290" s="206">
        <v>4</v>
      </c>
      <c r="C290" s="206">
        <v>353</v>
      </c>
      <c r="D290" s="206" t="s">
        <v>565</v>
      </c>
      <c r="E290" s="206">
        <v>1.5</v>
      </c>
      <c r="F290" s="413">
        <v>45337.479166666664</v>
      </c>
      <c r="G290" s="206">
        <v>1</v>
      </c>
      <c r="H290" s="206">
        <v>51.370800000000003</v>
      </c>
      <c r="I290" s="206">
        <v>7.7764300000000004</v>
      </c>
      <c r="J290" s="206">
        <v>-16.2517</v>
      </c>
      <c r="K290" s="206">
        <v>-15.4034</v>
      </c>
      <c r="L290" s="206">
        <v>991.23699999999997</v>
      </c>
      <c r="M290" s="206">
        <v>138.00069999999999</v>
      </c>
      <c r="N290" s="206">
        <v>18001.55</v>
      </c>
      <c r="O290" s="206">
        <v>18050.48</v>
      </c>
      <c r="P290" s="414">
        <v>2081.7959999999998</v>
      </c>
      <c r="Q290" s="396" t="s">
        <v>18</v>
      </c>
      <c r="R290" s="414">
        <f t="shared" si="28"/>
        <v>-0.44711111111089646</v>
      </c>
      <c r="S290" s="396">
        <f t="shared" si="27"/>
        <v>2081.3488888888887</v>
      </c>
      <c r="T290" s="206" t="s">
        <v>542</v>
      </c>
      <c r="U290" s="206">
        <v>15</v>
      </c>
      <c r="V290" s="206">
        <v>5</v>
      </c>
      <c r="W290" s="206">
        <v>0.7</v>
      </c>
      <c r="X290" s="206">
        <v>0.7</v>
      </c>
      <c r="Y290" s="206">
        <v>0.7</v>
      </c>
      <c r="Z290" s="415">
        <v>1700</v>
      </c>
      <c r="AA290" s="415" t="s">
        <v>533</v>
      </c>
      <c r="AB290" s="415">
        <v>0.85</v>
      </c>
      <c r="AC290" s="415" t="s">
        <v>534</v>
      </c>
      <c r="AD290" s="415" t="s">
        <v>535</v>
      </c>
      <c r="AE290" s="415">
        <v>220</v>
      </c>
      <c r="AF290" s="416"/>
      <c r="AG290" s="416"/>
    </row>
    <row r="291" spans="1:33" ht="24">
      <c r="A291" s="206" t="s">
        <v>724</v>
      </c>
      <c r="B291" s="206">
        <v>4</v>
      </c>
      <c r="C291" s="206">
        <v>353</v>
      </c>
      <c r="D291" s="206" t="s">
        <v>565</v>
      </c>
      <c r="E291" s="206">
        <v>1.5</v>
      </c>
      <c r="F291" s="413">
        <v>45337.482638888891</v>
      </c>
      <c r="G291" s="206">
        <v>1</v>
      </c>
      <c r="H291" s="206">
        <v>51.3675</v>
      </c>
      <c r="I291" s="206">
        <v>7.7617799999999999</v>
      </c>
      <c r="J291" s="206">
        <v>-16.243600000000001</v>
      </c>
      <c r="K291" s="206">
        <v>-15.4251</v>
      </c>
      <c r="L291" s="206">
        <v>999.99199999999996</v>
      </c>
      <c r="M291" s="206">
        <v>142.99809999999999</v>
      </c>
      <c r="N291" s="206">
        <v>18049.599999999999</v>
      </c>
      <c r="O291" s="206">
        <v>18050.48</v>
      </c>
      <c r="P291" s="414">
        <v>2081.7959999999998</v>
      </c>
      <c r="Q291" s="396" t="s">
        <v>18</v>
      </c>
      <c r="R291" s="414">
        <f t="shared" si="28"/>
        <v>-0.44711111111089646</v>
      </c>
      <c r="S291" s="396">
        <f t="shared" si="27"/>
        <v>2081.3488888888887</v>
      </c>
      <c r="T291" s="206" t="s">
        <v>532</v>
      </c>
      <c r="U291" s="206">
        <v>15</v>
      </c>
      <c r="V291" s="206">
        <v>5</v>
      </c>
      <c r="W291" s="206">
        <v>0.7</v>
      </c>
      <c r="X291" s="206">
        <v>0.7</v>
      </c>
      <c r="Y291" s="206">
        <v>0.7</v>
      </c>
      <c r="Z291" s="415">
        <v>1700</v>
      </c>
      <c r="AA291" s="415" t="s">
        <v>533</v>
      </c>
      <c r="AB291" s="415">
        <v>0.85</v>
      </c>
      <c r="AC291" s="415" t="s">
        <v>534</v>
      </c>
      <c r="AD291" s="415" t="s">
        <v>535</v>
      </c>
      <c r="AE291" s="415">
        <v>220</v>
      </c>
      <c r="AF291" s="416"/>
      <c r="AG291" s="416"/>
    </row>
    <row r="292" spans="1:33" ht="24">
      <c r="A292" s="206" t="s">
        <v>568</v>
      </c>
      <c r="B292" s="206">
        <v>5</v>
      </c>
      <c r="C292" s="206">
        <v>157</v>
      </c>
      <c r="D292" s="206" t="s">
        <v>569</v>
      </c>
      <c r="E292" s="206">
        <v>1.5</v>
      </c>
      <c r="F292" s="413">
        <v>45337.487500000003</v>
      </c>
      <c r="G292" s="206">
        <v>1</v>
      </c>
      <c r="H292" s="206">
        <v>51.374099999999999</v>
      </c>
      <c r="I292" s="206">
        <v>7.6795400000000003</v>
      </c>
      <c r="J292" s="206">
        <v>-16.349699999999999</v>
      </c>
      <c r="K292" s="206">
        <v>-15.535299999999999</v>
      </c>
      <c r="L292" s="206">
        <v>986.80200000000002</v>
      </c>
      <c r="M292" s="206">
        <v>173.49930000000001</v>
      </c>
      <c r="N292" s="206">
        <v>17988.919999999998</v>
      </c>
      <c r="O292" s="206">
        <v>17979.169999999998</v>
      </c>
      <c r="P292" s="414">
        <v>2073.5630000000001</v>
      </c>
      <c r="Q292" s="396" t="s">
        <v>18</v>
      </c>
      <c r="R292" s="414">
        <f t="shared" si="28"/>
        <v>-0.74166666666648473</v>
      </c>
      <c r="S292" s="396">
        <f t="shared" si="27"/>
        <v>2072.8213333333338</v>
      </c>
      <c r="T292" s="206" t="s">
        <v>532</v>
      </c>
      <c r="U292" s="206">
        <v>15</v>
      </c>
      <c r="V292" s="206">
        <v>5</v>
      </c>
      <c r="W292" s="206">
        <v>0.7</v>
      </c>
      <c r="X292" s="206">
        <v>0.7</v>
      </c>
      <c r="Y292" s="206">
        <v>0.7</v>
      </c>
      <c r="Z292" s="415">
        <v>1700</v>
      </c>
      <c r="AA292" s="415" t="s">
        <v>533</v>
      </c>
      <c r="AB292" s="415">
        <v>0.85</v>
      </c>
      <c r="AC292" s="415" t="s">
        <v>534</v>
      </c>
      <c r="AD292" s="415" t="s">
        <v>535</v>
      </c>
      <c r="AE292" s="415">
        <v>220</v>
      </c>
      <c r="AF292" s="416"/>
      <c r="AG292" s="416"/>
    </row>
    <row r="293" spans="1:33" ht="25.5">
      <c r="A293" s="206" t="s">
        <v>570</v>
      </c>
      <c r="B293" s="206">
        <v>5</v>
      </c>
      <c r="C293" s="206">
        <v>157</v>
      </c>
      <c r="D293" s="206" t="s">
        <v>569</v>
      </c>
      <c r="E293" s="206">
        <v>1.5</v>
      </c>
      <c r="F293" s="413">
        <v>45337.491666666669</v>
      </c>
      <c r="G293" s="206">
        <v>1</v>
      </c>
      <c r="H293" s="206">
        <v>51.364100000000001</v>
      </c>
      <c r="I293" s="206">
        <v>7.5919800000000004</v>
      </c>
      <c r="J293" s="206">
        <v>-16.293900000000001</v>
      </c>
      <c r="K293" s="206">
        <v>-15.4712</v>
      </c>
      <c r="L293" s="206">
        <v>997.947</v>
      </c>
      <c r="M293" s="206">
        <v>124.0001</v>
      </c>
      <c r="N293" s="206">
        <v>17949.490000000002</v>
      </c>
      <c r="O293" s="206">
        <v>17979.169999999998</v>
      </c>
      <c r="P293" s="414">
        <v>2073.5630000000001</v>
      </c>
      <c r="Q293" s="396" t="s">
        <v>18</v>
      </c>
      <c r="R293" s="414">
        <f t="shared" si="28"/>
        <v>-0.74166666666648473</v>
      </c>
      <c r="S293" s="396">
        <f t="shared" si="27"/>
        <v>2072.8213333333338</v>
      </c>
      <c r="T293" s="206" t="s">
        <v>542</v>
      </c>
      <c r="U293" s="206">
        <v>15</v>
      </c>
      <c r="V293" s="206">
        <v>5</v>
      </c>
      <c r="W293" s="206">
        <v>0.7</v>
      </c>
      <c r="X293" s="206">
        <v>0.7</v>
      </c>
      <c r="Y293" s="206">
        <v>0.7</v>
      </c>
      <c r="Z293" s="415">
        <v>1700</v>
      </c>
      <c r="AA293" s="415" t="s">
        <v>533</v>
      </c>
      <c r="AB293" s="415">
        <v>0.85</v>
      </c>
      <c r="AC293" s="415" t="s">
        <v>534</v>
      </c>
      <c r="AD293" s="415" t="s">
        <v>535</v>
      </c>
      <c r="AE293" s="415">
        <v>220</v>
      </c>
      <c r="AF293" s="416"/>
      <c r="AG293" s="416"/>
    </row>
    <row r="294" spans="1:33" ht="24">
      <c r="A294" s="206" t="s">
        <v>571</v>
      </c>
      <c r="B294" s="206">
        <v>5</v>
      </c>
      <c r="C294" s="206">
        <v>157</v>
      </c>
      <c r="D294" s="206" t="s">
        <v>569</v>
      </c>
      <c r="E294" s="206">
        <v>1.5</v>
      </c>
      <c r="F294" s="413">
        <v>45337.495138888888</v>
      </c>
      <c r="G294" s="206">
        <v>1</v>
      </c>
      <c r="H294" s="206">
        <v>51.374099999999999</v>
      </c>
      <c r="I294" s="206">
        <v>7.5904999999999996</v>
      </c>
      <c r="J294" s="206">
        <v>-16.432700000000001</v>
      </c>
      <c r="K294" s="206">
        <v>-15.6053</v>
      </c>
      <c r="L294" s="206">
        <v>987.67899999999997</v>
      </c>
      <c r="M294" s="206">
        <v>149.50129999999999</v>
      </c>
      <c r="N294" s="206">
        <v>17964.79</v>
      </c>
      <c r="O294" s="206">
        <v>17979.169999999998</v>
      </c>
      <c r="P294" s="414">
        <v>2073.5630000000001</v>
      </c>
      <c r="Q294" s="396" t="s">
        <v>18</v>
      </c>
      <c r="R294" s="414">
        <f t="shared" si="28"/>
        <v>-0.74166666666648473</v>
      </c>
      <c r="S294" s="396">
        <f t="shared" si="27"/>
        <v>2072.8213333333338</v>
      </c>
      <c r="T294" s="206" t="s">
        <v>532</v>
      </c>
      <c r="U294" s="206">
        <v>15</v>
      </c>
      <c r="V294" s="206">
        <v>5</v>
      </c>
      <c r="W294" s="206">
        <v>0.7</v>
      </c>
      <c r="X294" s="206">
        <v>0.7</v>
      </c>
      <c r="Y294" s="206">
        <v>0.7</v>
      </c>
      <c r="Z294" s="415">
        <v>1700</v>
      </c>
      <c r="AA294" s="415" t="s">
        <v>533</v>
      </c>
      <c r="AB294" s="415">
        <v>0.85</v>
      </c>
      <c r="AC294" s="415" t="s">
        <v>534</v>
      </c>
      <c r="AD294" s="415" t="s">
        <v>535</v>
      </c>
      <c r="AE294" s="415">
        <v>220</v>
      </c>
      <c r="AF294" s="416"/>
      <c r="AG294" s="416"/>
    </row>
    <row r="295" spans="1:33" ht="24">
      <c r="A295" s="206" t="s">
        <v>572</v>
      </c>
      <c r="B295" s="206">
        <v>5</v>
      </c>
      <c r="C295" s="206">
        <v>157</v>
      </c>
      <c r="D295" s="206" t="s">
        <v>569</v>
      </c>
      <c r="E295" s="206">
        <v>1.5</v>
      </c>
      <c r="F295" s="413">
        <v>45337.498611111114</v>
      </c>
      <c r="G295" s="206">
        <v>1</v>
      </c>
      <c r="H295" s="206">
        <v>51.370800000000003</v>
      </c>
      <c r="I295" s="206">
        <v>7.6077500000000002</v>
      </c>
      <c r="J295" s="206">
        <v>-16.4178</v>
      </c>
      <c r="K295" s="206">
        <v>-15.577400000000001</v>
      </c>
      <c r="L295" s="206">
        <v>1003.55</v>
      </c>
      <c r="M295" s="206">
        <v>135.9982</v>
      </c>
      <c r="N295" s="206">
        <v>17983.810000000001</v>
      </c>
      <c r="O295" s="206">
        <v>17979.169999999998</v>
      </c>
      <c r="P295" s="414">
        <v>2073.5630000000001</v>
      </c>
      <c r="Q295" s="396" t="s">
        <v>18</v>
      </c>
      <c r="R295" s="414">
        <f t="shared" si="28"/>
        <v>-0.74166666666648473</v>
      </c>
      <c r="S295" s="396">
        <f t="shared" si="27"/>
        <v>2072.8213333333338</v>
      </c>
      <c r="T295" s="206" t="s">
        <v>532</v>
      </c>
      <c r="U295" s="206">
        <v>15</v>
      </c>
      <c r="V295" s="206">
        <v>5</v>
      </c>
      <c r="W295" s="206">
        <v>0.7</v>
      </c>
      <c r="X295" s="206">
        <v>0.7</v>
      </c>
      <c r="Y295" s="206">
        <v>0.7</v>
      </c>
      <c r="Z295" s="415">
        <v>1700</v>
      </c>
      <c r="AA295" s="415" t="s">
        <v>533</v>
      </c>
      <c r="AB295" s="415">
        <v>0.85</v>
      </c>
      <c r="AC295" s="415" t="s">
        <v>534</v>
      </c>
      <c r="AD295" s="415" t="s">
        <v>535</v>
      </c>
      <c r="AE295" s="415">
        <v>220</v>
      </c>
      <c r="AF295" s="416"/>
      <c r="AG295" s="416"/>
    </row>
    <row r="296" spans="1:33" ht="24">
      <c r="A296" s="206" t="s">
        <v>574</v>
      </c>
      <c r="B296" s="206">
        <v>6</v>
      </c>
      <c r="C296" s="206">
        <v>158</v>
      </c>
      <c r="D296" s="206" t="s">
        <v>575</v>
      </c>
      <c r="E296" s="206">
        <v>1.5</v>
      </c>
      <c r="F296" s="413">
        <v>45337.50277777778</v>
      </c>
      <c r="G296" s="206">
        <v>1</v>
      </c>
      <c r="H296" s="206">
        <v>51.370800000000003</v>
      </c>
      <c r="I296" s="206">
        <v>7.6673299999999998</v>
      </c>
      <c r="J296" s="206">
        <v>-16.424600000000002</v>
      </c>
      <c r="K296" s="206">
        <v>-15.586499999999999</v>
      </c>
      <c r="L296" s="206">
        <v>989.37099999999998</v>
      </c>
      <c r="M296" s="206">
        <v>125.49930000000001</v>
      </c>
      <c r="N296" s="206">
        <v>17962.63</v>
      </c>
      <c r="O296" s="206">
        <v>17973.91</v>
      </c>
      <c r="P296" s="414">
        <v>2072.9560000000001</v>
      </c>
      <c r="Q296" s="396" t="s">
        <v>18</v>
      </c>
      <c r="R296" s="414">
        <f t="shared" si="28"/>
        <v>-1.0362222222220732</v>
      </c>
      <c r="S296" s="396">
        <f t="shared" si="27"/>
        <v>2071.9197777777781</v>
      </c>
      <c r="T296" s="206" t="s">
        <v>532</v>
      </c>
      <c r="U296" s="206">
        <v>15</v>
      </c>
      <c r="V296" s="206">
        <v>5</v>
      </c>
      <c r="W296" s="206">
        <v>0.7</v>
      </c>
      <c r="X296" s="206">
        <v>0.7</v>
      </c>
      <c r="Y296" s="206">
        <v>0.7</v>
      </c>
      <c r="Z296" s="415">
        <v>1700</v>
      </c>
      <c r="AA296" s="415" t="s">
        <v>533</v>
      </c>
      <c r="AB296" s="415">
        <v>0.85</v>
      </c>
      <c r="AC296" s="415" t="s">
        <v>534</v>
      </c>
      <c r="AD296" s="415" t="s">
        <v>535</v>
      </c>
      <c r="AE296" s="415">
        <v>220</v>
      </c>
      <c r="AF296" s="416"/>
      <c r="AG296" s="416"/>
    </row>
    <row r="297" spans="1:33" ht="24">
      <c r="A297" s="206" t="s">
        <v>576</v>
      </c>
      <c r="B297" s="206">
        <v>6</v>
      </c>
      <c r="C297" s="206">
        <v>158</v>
      </c>
      <c r="D297" s="206" t="s">
        <v>575</v>
      </c>
      <c r="E297" s="206">
        <v>1.5</v>
      </c>
      <c r="F297" s="413">
        <v>45337.506944444445</v>
      </c>
      <c r="G297" s="206">
        <v>1</v>
      </c>
      <c r="H297" s="206">
        <v>51.370800000000003</v>
      </c>
      <c r="I297" s="206">
        <v>7.7058099999999996</v>
      </c>
      <c r="J297" s="206">
        <v>-16.395900000000001</v>
      </c>
      <c r="K297" s="206">
        <v>-15.5504</v>
      </c>
      <c r="L297" s="206">
        <v>998.63800000000003</v>
      </c>
      <c r="M297" s="206">
        <v>139.4992</v>
      </c>
      <c r="N297" s="206">
        <v>17968.62</v>
      </c>
      <c r="O297" s="206">
        <v>17973.91</v>
      </c>
      <c r="P297" s="414">
        <v>2072.9560000000001</v>
      </c>
      <c r="Q297" s="396" t="s">
        <v>18</v>
      </c>
      <c r="R297" s="414">
        <f t="shared" si="28"/>
        <v>-1.0362222222220732</v>
      </c>
      <c r="S297" s="396">
        <f t="shared" si="27"/>
        <v>2071.9197777777781</v>
      </c>
      <c r="T297" s="206" t="s">
        <v>532</v>
      </c>
      <c r="U297" s="206">
        <v>15</v>
      </c>
      <c r="V297" s="206">
        <v>5</v>
      </c>
      <c r="W297" s="206">
        <v>0.7</v>
      </c>
      <c r="X297" s="206">
        <v>0.7</v>
      </c>
      <c r="Y297" s="206">
        <v>0.7</v>
      </c>
      <c r="Z297" s="415">
        <v>1700</v>
      </c>
      <c r="AA297" s="415" t="s">
        <v>533</v>
      </c>
      <c r="AB297" s="415">
        <v>0.85</v>
      </c>
      <c r="AC297" s="415" t="s">
        <v>534</v>
      </c>
      <c r="AD297" s="415" t="s">
        <v>535</v>
      </c>
      <c r="AE297" s="415">
        <v>220</v>
      </c>
      <c r="AF297" s="416"/>
      <c r="AG297" s="416"/>
    </row>
    <row r="298" spans="1:33" ht="24">
      <c r="A298" s="206" t="s">
        <v>577</v>
      </c>
      <c r="B298" s="206">
        <v>6</v>
      </c>
      <c r="C298" s="206">
        <v>158</v>
      </c>
      <c r="D298" s="206" t="s">
        <v>575</v>
      </c>
      <c r="E298" s="206">
        <v>1.5</v>
      </c>
      <c r="F298" s="413">
        <v>45337.510416666664</v>
      </c>
      <c r="G298" s="206">
        <v>1</v>
      </c>
      <c r="H298" s="206">
        <v>51.3675</v>
      </c>
      <c r="I298" s="206">
        <v>7.7025800000000002</v>
      </c>
      <c r="J298" s="206">
        <v>-16.388400000000001</v>
      </c>
      <c r="K298" s="206">
        <v>-15.5571</v>
      </c>
      <c r="L298" s="206">
        <v>989.59900000000005</v>
      </c>
      <c r="M298" s="206">
        <v>133.49889999999999</v>
      </c>
      <c r="N298" s="206">
        <v>17990.5</v>
      </c>
      <c r="O298" s="206">
        <v>17973.91</v>
      </c>
      <c r="P298" s="414">
        <v>2072.9560000000001</v>
      </c>
      <c r="Q298" s="396" t="s">
        <v>18</v>
      </c>
      <c r="R298" s="414">
        <f t="shared" si="28"/>
        <v>-1.0362222222220732</v>
      </c>
      <c r="S298" s="396">
        <f t="shared" si="27"/>
        <v>2071.9197777777781</v>
      </c>
      <c r="T298" s="206" t="s">
        <v>532</v>
      </c>
      <c r="U298" s="206">
        <v>15</v>
      </c>
      <c r="V298" s="206">
        <v>5</v>
      </c>
      <c r="W298" s="206">
        <v>0.7</v>
      </c>
      <c r="X298" s="206">
        <v>0.7</v>
      </c>
      <c r="Y298" s="206">
        <v>0.7</v>
      </c>
      <c r="Z298" s="415">
        <v>1700</v>
      </c>
      <c r="AA298" s="415" t="s">
        <v>533</v>
      </c>
      <c r="AB298" s="415">
        <v>0.85</v>
      </c>
      <c r="AC298" s="415" t="s">
        <v>534</v>
      </c>
      <c r="AD298" s="415" t="s">
        <v>535</v>
      </c>
      <c r="AE298" s="415">
        <v>220</v>
      </c>
      <c r="AF298" s="416"/>
      <c r="AG298" s="416"/>
    </row>
    <row r="299" spans="1:33" ht="25.5">
      <c r="A299" s="206" t="s">
        <v>578</v>
      </c>
      <c r="B299" s="206">
        <v>7</v>
      </c>
      <c r="C299" s="206">
        <v>378</v>
      </c>
      <c r="D299" s="206" t="s">
        <v>579</v>
      </c>
      <c r="E299" s="206">
        <v>1.5</v>
      </c>
      <c r="F299" s="413">
        <v>45337.51458333333</v>
      </c>
      <c r="G299" s="206">
        <v>1</v>
      </c>
      <c r="H299" s="206">
        <v>51.370800000000003</v>
      </c>
      <c r="I299" s="206">
        <v>7.6029</v>
      </c>
      <c r="J299" s="206">
        <v>-16.338100000000001</v>
      </c>
      <c r="K299" s="206">
        <v>-15.49</v>
      </c>
      <c r="L299" s="206">
        <v>996.54</v>
      </c>
      <c r="M299" s="206">
        <v>126.49930000000001</v>
      </c>
      <c r="N299" s="206">
        <v>17790.07</v>
      </c>
      <c r="O299" s="206">
        <v>17749.66</v>
      </c>
      <c r="P299" s="414">
        <v>2047.4010000000001</v>
      </c>
      <c r="Q299" s="396" t="s">
        <v>18</v>
      </c>
      <c r="R299" s="414">
        <f t="shared" si="28"/>
        <v>-1.3307777777776613</v>
      </c>
      <c r="S299" s="396">
        <f t="shared" si="27"/>
        <v>2046.0702222222224</v>
      </c>
      <c r="T299" s="206" t="s">
        <v>542</v>
      </c>
      <c r="U299" s="206">
        <v>15</v>
      </c>
      <c r="V299" s="206">
        <v>5</v>
      </c>
      <c r="W299" s="206">
        <v>0.7</v>
      </c>
      <c r="X299" s="206">
        <v>0.7</v>
      </c>
      <c r="Y299" s="206">
        <v>0.7</v>
      </c>
      <c r="Z299" s="415">
        <v>1700</v>
      </c>
      <c r="AA299" s="415" t="s">
        <v>533</v>
      </c>
      <c r="AB299" s="415">
        <v>0.85</v>
      </c>
      <c r="AC299" s="415" t="s">
        <v>534</v>
      </c>
      <c r="AD299" s="415" t="s">
        <v>535</v>
      </c>
      <c r="AE299" s="415">
        <v>220</v>
      </c>
      <c r="AF299" s="416"/>
      <c r="AG299" s="416"/>
    </row>
    <row r="300" spans="1:33" ht="24">
      <c r="A300" s="206" t="s">
        <v>580</v>
      </c>
      <c r="B300" s="206">
        <v>7</v>
      </c>
      <c r="C300" s="206">
        <v>378</v>
      </c>
      <c r="D300" s="206" t="s">
        <v>579</v>
      </c>
      <c r="E300" s="206">
        <v>1.5</v>
      </c>
      <c r="F300" s="413">
        <v>45337.518055555556</v>
      </c>
      <c r="G300" s="206">
        <v>1</v>
      </c>
      <c r="H300" s="206">
        <v>51.3675</v>
      </c>
      <c r="I300" s="206">
        <v>7.6076699999999997</v>
      </c>
      <c r="J300" s="206">
        <v>-16.330200000000001</v>
      </c>
      <c r="K300" s="206">
        <v>-15.4933</v>
      </c>
      <c r="L300" s="206">
        <v>985.24099999999999</v>
      </c>
      <c r="M300" s="206">
        <v>131.50030000000001</v>
      </c>
      <c r="N300" s="206">
        <v>17753.419999999998</v>
      </c>
      <c r="O300" s="206">
        <v>17749.66</v>
      </c>
      <c r="P300" s="414">
        <v>2047.4010000000001</v>
      </c>
      <c r="Q300" s="396" t="s">
        <v>18</v>
      </c>
      <c r="R300" s="414">
        <f t="shared" si="28"/>
        <v>-1.3307777777776613</v>
      </c>
      <c r="S300" s="396">
        <f t="shared" si="27"/>
        <v>2046.0702222222224</v>
      </c>
      <c r="T300" s="206" t="s">
        <v>532</v>
      </c>
      <c r="U300" s="206">
        <v>15</v>
      </c>
      <c r="V300" s="206">
        <v>5</v>
      </c>
      <c r="W300" s="206">
        <v>0.7</v>
      </c>
      <c r="X300" s="206">
        <v>0.7</v>
      </c>
      <c r="Y300" s="206">
        <v>0.7</v>
      </c>
      <c r="Z300" s="415">
        <v>1700</v>
      </c>
      <c r="AA300" s="415" t="s">
        <v>533</v>
      </c>
      <c r="AB300" s="415">
        <v>0.85</v>
      </c>
      <c r="AC300" s="415" t="s">
        <v>534</v>
      </c>
      <c r="AD300" s="415" t="s">
        <v>535</v>
      </c>
      <c r="AE300" s="415">
        <v>220</v>
      </c>
      <c r="AF300" s="416"/>
      <c r="AG300" s="416"/>
    </row>
    <row r="301" spans="1:33" ht="24">
      <c r="A301" s="206" t="s">
        <v>581</v>
      </c>
      <c r="B301" s="206">
        <v>7</v>
      </c>
      <c r="C301" s="206">
        <v>378</v>
      </c>
      <c r="D301" s="206" t="s">
        <v>579</v>
      </c>
      <c r="E301" s="206">
        <v>1.5</v>
      </c>
      <c r="F301" s="413">
        <v>45337.522222222222</v>
      </c>
      <c r="G301" s="206">
        <v>1</v>
      </c>
      <c r="H301" s="206">
        <v>51.3675</v>
      </c>
      <c r="I301" s="206">
        <v>7.64846</v>
      </c>
      <c r="J301" s="206">
        <v>-16.4452</v>
      </c>
      <c r="K301" s="206">
        <v>-15.598699999999999</v>
      </c>
      <c r="L301" s="206">
        <v>974.74800000000005</v>
      </c>
      <c r="M301" s="206">
        <v>138.5009</v>
      </c>
      <c r="N301" s="206">
        <v>17752.86</v>
      </c>
      <c r="O301" s="206">
        <v>17749.66</v>
      </c>
      <c r="P301" s="414">
        <v>2047.4010000000001</v>
      </c>
      <c r="Q301" s="396" t="s">
        <v>18</v>
      </c>
      <c r="R301" s="414">
        <f t="shared" si="28"/>
        <v>-1.3307777777776613</v>
      </c>
      <c r="S301" s="396">
        <f t="shared" si="27"/>
        <v>2046.0702222222224</v>
      </c>
      <c r="T301" s="206" t="s">
        <v>532</v>
      </c>
      <c r="U301" s="206">
        <v>15</v>
      </c>
      <c r="V301" s="206">
        <v>5</v>
      </c>
      <c r="W301" s="206">
        <v>0.7</v>
      </c>
      <c r="X301" s="206">
        <v>0.7</v>
      </c>
      <c r="Y301" s="206">
        <v>0.7</v>
      </c>
      <c r="Z301" s="415">
        <v>1700</v>
      </c>
      <c r="AA301" s="415" t="s">
        <v>533</v>
      </c>
      <c r="AB301" s="415">
        <v>0.85</v>
      </c>
      <c r="AC301" s="415" t="s">
        <v>534</v>
      </c>
      <c r="AD301" s="415" t="s">
        <v>535</v>
      </c>
      <c r="AE301" s="415">
        <v>220</v>
      </c>
      <c r="AF301" s="416"/>
      <c r="AG301" s="416"/>
    </row>
    <row r="302" spans="1:33" ht="24">
      <c r="A302" s="206" t="s">
        <v>582</v>
      </c>
      <c r="B302" s="206">
        <v>7</v>
      </c>
      <c r="C302" s="206">
        <v>378</v>
      </c>
      <c r="D302" s="206" t="s">
        <v>579</v>
      </c>
      <c r="E302" s="206">
        <v>1.5</v>
      </c>
      <c r="F302" s="413">
        <v>45337.525694444441</v>
      </c>
      <c r="G302" s="206">
        <v>1</v>
      </c>
      <c r="H302" s="206">
        <v>51.3675</v>
      </c>
      <c r="I302" s="206">
        <v>7.6273</v>
      </c>
      <c r="J302" s="206">
        <v>-16.267499999999998</v>
      </c>
      <c r="K302" s="206">
        <v>-15.5047</v>
      </c>
      <c r="L302" s="206">
        <v>984.15700000000004</v>
      </c>
      <c r="M302" s="206">
        <v>136.4992</v>
      </c>
      <c r="N302" s="206">
        <v>17742.68</v>
      </c>
      <c r="O302" s="206">
        <v>17749.66</v>
      </c>
      <c r="P302" s="414">
        <v>2047.4010000000001</v>
      </c>
      <c r="Q302" s="396" t="s">
        <v>18</v>
      </c>
      <c r="R302" s="414">
        <f t="shared" si="28"/>
        <v>-1.3307777777776613</v>
      </c>
      <c r="S302" s="396">
        <f t="shared" si="27"/>
        <v>2046.0702222222224</v>
      </c>
      <c r="T302" s="206" t="s">
        <v>532</v>
      </c>
      <c r="U302" s="206">
        <v>15</v>
      </c>
      <c r="V302" s="206">
        <v>5</v>
      </c>
      <c r="W302" s="206">
        <v>0.7</v>
      </c>
      <c r="X302" s="206">
        <v>0.7</v>
      </c>
      <c r="Y302" s="206">
        <v>0.7</v>
      </c>
      <c r="Z302" s="415">
        <v>1700</v>
      </c>
      <c r="AA302" s="415" t="s">
        <v>533</v>
      </c>
      <c r="AB302" s="415">
        <v>0.85</v>
      </c>
      <c r="AC302" s="415" t="s">
        <v>534</v>
      </c>
      <c r="AD302" s="415" t="s">
        <v>535</v>
      </c>
      <c r="AE302" s="415">
        <v>220</v>
      </c>
      <c r="AF302" s="416"/>
      <c r="AG302" s="416"/>
    </row>
    <row r="303" spans="1:33" ht="24">
      <c r="A303" s="206" t="s">
        <v>584</v>
      </c>
      <c r="B303" s="206">
        <v>8</v>
      </c>
      <c r="C303" s="206">
        <v>379</v>
      </c>
      <c r="D303" s="206" t="s">
        <v>585</v>
      </c>
      <c r="E303" s="206">
        <v>1.5</v>
      </c>
      <c r="F303" s="413">
        <v>45337.529861111114</v>
      </c>
      <c r="G303" s="206">
        <v>1</v>
      </c>
      <c r="H303" s="206">
        <v>51.370800000000003</v>
      </c>
      <c r="I303" s="206">
        <v>7.641</v>
      </c>
      <c r="J303" s="206">
        <v>-16.270299999999999</v>
      </c>
      <c r="K303" s="206">
        <v>-15.428699999999999</v>
      </c>
      <c r="L303" s="206">
        <v>970.58500000000004</v>
      </c>
      <c r="M303" s="206">
        <v>124.4996</v>
      </c>
      <c r="N303" s="206">
        <v>17704.87</v>
      </c>
      <c r="O303" s="206">
        <v>17718.02</v>
      </c>
      <c r="P303" s="414">
        <v>2043.808</v>
      </c>
      <c r="Q303" s="396" t="s">
        <v>18</v>
      </c>
      <c r="R303" s="414">
        <f t="shared" si="28"/>
        <v>-1.6253333333332496</v>
      </c>
      <c r="S303" s="396">
        <f t="shared" si="27"/>
        <v>2042.1826666666668</v>
      </c>
      <c r="T303" s="206" t="s">
        <v>532</v>
      </c>
      <c r="U303" s="206">
        <v>15</v>
      </c>
      <c r="V303" s="206">
        <v>5</v>
      </c>
      <c r="W303" s="206">
        <v>0.7</v>
      </c>
      <c r="X303" s="206">
        <v>0.7</v>
      </c>
      <c r="Y303" s="206">
        <v>0.7</v>
      </c>
      <c r="Z303" s="415">
        <v>1700</v>
      </c>
      <c r="AA303" s="415" t="s">
        <v>533</v>
      </c>
      <c r="AB303" s="415">
        <v>0.85</v>
      </c>
      <c r="AC303" s="415" t="s">
        <v>534</v>
      </c>
      <c r="AD303" s="415" t="s">
        <v>535</v>
      </c>
      <c r="AE303" s="415">
        <v>220</v>
      </c>
      <c r="AF303" s="416"/>
      <c r="AG303" s="416"/>
    </row>
    <row r="304" spans="1:33" ht="25.5">
      <c r="A304" s="206" t="s">
        <v>586</v>
      </c>
      <c r="B304" s="206">
        <v>8</v>
      </c>
      <c r="C304" s="206">
        <v>379</v>
      </c>
      <c r="D304" s="206" t="s">
        <v>585</v>
      </c>
      <c r="E304" s="206">
        <v>1.5</v>
      </c>
      <c r="F304" s="413">
        <v>45337.533333333333</v>
      </c>
      <c r="G304" s="206">
        <v>1</v>
      </c>
      <c r="H304" s="206">
        <v>51.3675</v>
      </c>
      <c r="I304" s="206">
        <v>7.6351399999999998</v>
      </c>
      <c r="J304" s="206">
        <v>-16.2745</v>
      </c>
      <c r="K304" s="206">
        <v>-15.4399</v>
      </c>
      <c r="L304" s="206">
        <v>976.77499999999998</v>
      </c>
      <c r="M304" s="206">
        <v>121.5001</v>
      </c>
      <c r="N304" s="206">
        <v>17748.95</v>
      </c>
      <c r="O304" s="206">
        <v>17718.02</v>
      </c>
      <c r="P304" s="414">
        <v>2043.808</v>
      </c>
      <c r="Q304" s="396" t="s">
        <v>18</v>
      </c>
      <c r="R304" s="414">
        <f t="shared" si="28"/>
        <v>-1.6253333333332496</v>
      </c>
      <c r="S304" s="396">
        <f t="shared" si="27"/>
        <v>2042.1826666666668</v>
      </c>
      <c r="T304" s="206" t="s">
        <v>542</v>
      </c>
      <c r="U304" s="206">
        <v>15</v>
      </c>
      <c r="V304" s="206">
        <v>5</v>
      </c>
      <c r="W304" s="206">
        <v>0.7</v>
      </c>
      <c r="X304" s="206">
        <v>0.7</v>
      </c>
      <c r="Y304" s="206">
        <v>0.7</v>
      </c>
      <c r="Z304" s="415">
        <v>1700</v>
      </c>
      <c r="AA304" s="415" t="s">
        <v>533</v>
      </c>
      <c r="AB304" s="415">
        <v>0.85</v>
      </c>
      <c r="AC304" s="415" t="s">
        <v>534</v>
      </c>
      <c r="AD304" s="415" t="s">
        <v>535</v>
      </c>
      <c r="AE304" s="415">
        <v>220</v>
      </c>
      <c r="AF304" s="416"/>
      <c r="AG304" s="416"/>
    </row>
    <row r="305" spans="1:33" ht="24">
      <c r="A305" s="206" t="s">
        <v>587</v>
      </c>
      <c r="B305" s="206">
        <v>8</v>
      </c>
      <c r="C305" s="206">
        <v>379</v>
      </c>
      <c r="D305" s="206" t="s">
        <v>585</v>
      </c>
      <c r="E305" s="206">
        <v>1.5</v>
      </c>
      <c r="F305" s="413">
        <v>45337.537499999999</v>
      </c>
      <c r="G305" s="206">
        <v>1</v>
      </c>
      <c r="H305" s="206">
        <v>51.370800000000003</v>
      </c>
      <c r="I305" s="206">
        <v>7.6458000000000004</v>
      </c>
      <c r="J305" s="206">
        <v>-16.307099999999998</v>
      </c>
      <c r="K305" s="206">
        <v>-15.4604</v>
      </c>
      <c r="L305" s="206">
        <v>979.81500000000005</v>
      </c>
      <c r="M305" s="206">
        <v>124.5004</v>
      </c>
      <c r="N305" s="206">
        <v>17725.09</v>
      </c>
      <c r="O305" s="206">
        <v>17718.02</v>
      </c>
      <c r="P305" s="414">
        <v>2043.808</v>
      </c>
      <c r="Q305" s="396" t="s">
        <v>18</v>
      </c>
      <c r="R305" s="414">
        <f t="shared" si="28"/>
        <v>-1.6253333333332496</v>
      </c>
      <c r="S305" s="396">
        <f t="shared" si="27"/>
        <v>2042.1826666666668</v>
      </c>
      <c r="T305" s="206" t="s">
        <v>532</v>
      </c>
      <c r="U305" s="206">
        <v>15</v>
      </c>
      <c r="V305" s="206">
        <v>5</v>
      </c>
      <c r="W305" s="206">
        <v>0.7</v>
      </c>
      <c r="X305" s="206">
        <v>0.7</v>
      </c>
      <c r="Y305" s="206">
        <v>0.7</v>
      </c>
      <c r="Z305" s="415">
        <v>1700</v>
      </c>
      <c r="AA305" s="415" t="s">
        <v>533</v>
      </c>
      <c r="AB305" s="415">
        <v>0.85</v>
      </c>
      <c r="AC305" s="415" t="s">
        <v>534</v>
      </c>
      <c r="AD305" s="415" t="s">
        <v>535</v>
      </c>
      <c r="AE305" s="415">
        <v>220</v>
      </c>
      <c r="AF305" s="416"/>
      <c r="AG305" s="416"/>
    </row>
    <row r="306" spans="1:33" ht="25.5">
      <c r="A306" s="206" t="s">
        <v>588</v>
      </c>
      <c r="B306" s="206">
        <v>8</v>
      </c>
      <c r="C306" s="206">
        <v>379</v>
      </c>
      <c r="D306" s="206" t="s">
        <v>585</v>
      </c>
      <c r="E306" s="206">
        <v>1.5</v>
      </c>
      <c r="F306" s="413">
        <v>45337.540972222225</v>
      </c>
      <c r="G306" s="206">
        <v>1</v>
      </c>
      <c r="H306" s="206">
        <v>51.374099999999999</v>
      </c>
      <c r="I306" s="206">
        <v>7.70838</v>
      </c>
      <c r="J306" s="206">
        <v>-16.299499999999998</v>
      </c>
      <c r="K306" s="206">
        <v>-15.457800000000001</v>
      </c>
      <c r="L306" s="206">
        <v>996.32299999999998</v>
      </c>
      <c r="M306" s="206">
        <v>138.00040000000001</v>
      </c>
      <c r="N306" s="206">
        <v>17781.599999999999</v>
      </c>
      <c r="O306" s="206">
        <v>17718.02</v>
      </c>
      <c r="P306" s="414">
        <v>2043.808</v>
      </c>
      <c r="Q306" s="396" t="s">
        <v>18</v>
      </c>
      <c r="R306" s="414">
        <f t="shared" si="28"/>
        <v>-1.6253333333332496</v>
      </c>
      <c r="S306" s="396">
        <f t="shared" si="27"/>
        <v>2042.1826666666668</v>
      </c>
      <c r="T306" s="206" t="s">
        <v>542</v>
      </c>
      <c r="U306" s="206">
        <v>15</v>
      </c>
      <c r="V306" s="206">
        <v>5</v>
      </c>
      <c r="W306" s="206">
        <v>0.7</v>
      </c>
      <c r="X306" s="206">
        <v>0.7</v>
      </c>
      <c r="Y306" s="206">
        <v>0.7</v>
      </c>
      <c r="Z306" s="415">
        <v>1700</v>
      </c>
      <c r="AA306" s="415" t="s">
        <v>533</v>
      </c>
      <c r="AB306" s="415">
        <v>0.85</v>
      </c>
      <c r="AC306" s="415" t="s">
        <v>534</v>
      </c>
      <c r="AD306" s="415" t="s">
        <v>535</v>
      </c>
      <c r="AE306" s="415">
        <v>220</v>
      </c>
      <c r="AF306" s="416"/>
      <c r="AG306" s="416"/>
    </row>
    <row r="307" spans="1:33" ht="24">
      <c r="A307" s="206" t="s">
        <v>589</v>
      </c>
      <c r="B307" s="206">
        <v>8</v>
      </c>
      <c r="C307" s="206">
        <v>379</v>
      </c>
      <c r="D307" s="206" t="s">
        <v>585</v>
      </c>
      <c r="E307" s="206">
        <v>1.5</v>
      </c>
      <c r="F307" s="413">
        <v>45337.544444444444</v>
      </c>
      <c r="G307" s="206">
        <v>1</v>
      </c>
      <c r="H307" s="206">
        <v>51.374099999999999</v>
      </c>
      <c r="I307" s="206">
        <v>7.6373499999999996</v>
      </c>
      <c r="J307" s="206">
        <v>-16.303699999999999</v>
      </c>
      <c r="K307" s="206">
        <v>-15.4537</v>
      </c>
      <c r="L307" s="206">
        <v>983.93799999999999</v>
      </c>
      <c r="M307" s="206">
        <v>139.49879999999999</v>
      </c>
      <c r="N307" s="206">
        <v>17724.12</v>
      </c>
      <c r="O307" s="206">
        <v>17718.02</v>
      </c>
      <c r="P307" s="414">
        <v>2043.808</v>
      </c>
      <c r="Q307" s="396" t="s">
        <v>18</v>
      </c>
      <c r="R307" s="414">
        <f t="shared" si="28"/>
        <v>-1.6253333333332496</v>
      </c>
      <c r="S307" s="396">
        <f t="shared" si="27"/>
        <v>2042.1826666666668</v>
      </c>
      <c r="T307" s="206" t="s">
        <v>532</v>
      </c>
      <c r="U307" s="206">
        <v>15</v>
      </c>
      <c r="V307" s="206">
        <v>5</v>
      </c>
      <c r="W307" s="206">
        <v>0.7</v>
      </c>
      <c r="X307" s="206">
        <v>0.7</v>
      </c>
      <c r="Y307" s="206">
        <v>0.7</v>
      </c>
      <c r="Z307" s="415">
        <v>1700</v>
      </c>
      <c r="AA307" s="415" t="s">
        <v>533</v>
      </c>
      <c r="AB307" s="415">
        <v>0.85</v>
      </c>
      <c r="AC307" s="415" t="s">
        <v>534</v>
      </c>
      <c r="AD307" s="415" t="s">
        <v>535</v>
      </c>
      <c r="AE307" s="415">
        <v>220</v>
      </c>
      <c r="AF307" s="416"/>
      <c r="AG307" s="416"/>
    </row>
    <row r="308" spans="1:33" ht="24">
      <c r="A308" s="206" t="s">
        <v>590</v>
      </c>
      <c r="B308" s="206">
        <v>9</v>
      </c>
      <c r="C308" s="206">
        <v>391</v>
      </c>
      <c r="D308" s="206" t="s">
        <v>591</v>
      </c>
      <c r="E308" s="206">
        <v>1.5</v>
      </c>
      <c r="F308" s="413">
        <v>45337.548611111109</v>
      </c>
      <c r="G308" s="206">
        <v>1</v>
      </c>
      <c r="H308" s="206">
        <v>51.370800000000003</v>
      </c>
      <c r="I308" s="206">
        <v>7.5959399999999997</v>
      </c>
      <c r="J308" s="206">
        <v>-16.329599999999999</v>
      </c>
      <c r="K308" s="206">
        <v>-15.488200000000001</v>
      </c>
      <c r="L308" s="206">
        <v>980.2</v>
      </c>
      <c r="M308" s="206">
        <v>137.50139999999999</v>
      </c>
      <c r="N308" s="206">
        <v>17738.21</v>
      </c>
      <c r="O308" s="206">
        <v>17748.330000000002</v>
      </c>
      <c r="P308" s="414">
        <v>2047.25</v>
      </c>
      <c r="Q308" s="396" t="s">
        <v>18</v>
      </c>
      <c r="R308" s="414">
        <f t="shared" si="28"/>
        <v>-1.9198888888888381</v>
      </c>
      <c r="S308" s="396">
        <f t="shared" si="27"/>
        <v>2045.3301111111111</v>
      </c>
      <c r="T308" s="206" t="s">
        <v>532</v>
      </c>
      <c r="U308" s="206">
        <v>15</v>
      </c>
      <c r="V308" s="206">
        <v>5</v>
      </c>
      <c r="W308" s="206">
        <v>0.7</v>
      </c>
      <c r="X308" s="206">
        <v>0.7</v>
      </c>
      <c r="Y308" s="206">
        <v>0.7</v>
      </c>
      <c r="Z308" s="415">
        <v>1700</v>
      </c>
      <c r="AA308" s="415" t="s">
        <v>533</v>
      </c>
      <c r="AB308" s="415">
        <v>0.85</v>
      </c>
      <c r="AC308" s="415" t="s">
        <v>534</v>
      </c>
      <c r="AD308" s="415" t="s">
        <v>535</v>
      </c>
      <c r="AE308" s="415">
        <v>220</v>
      </c>
      <c r="AF308" s="416"/>
      <c r="AG308" s="416"/>
    </row>
    <row r="309" spans="1:33" ht="24">
      <c r="A309" s="206" t="s">
        <v>593</v>
      </c>
      <c r="B309" s="206">
        <v>9</v>
      </c>
      <c r="C309" s="206">
        <v>391</v>
      </c>
      <c r="D309" s="206" t="s">
        <v>591</v>
      </c>
      <c r="E309" s="206">
        <v>1.5</v>
      </c>
      <c r="F309" s="413">
        <v>45337.552777777775</v>
      </c>
      <c r="G309" s="206">
        <v>1</v>
      </c>
      <c r="H309" s="206">
        <v>51.374099999999999</v>
      </c>
      <c r="I309" s="206">
        <v>7.6008800000000001</v>
      </c>
      <c r="J309" s="206">
        <v>-16.217700000000001</v>
      </c>
      <c r="K309" s="206">
        <v>-15.3978</v>
      </c>
      <c r="L309" s="206">
        <v>980.31399999999996</v>
      </c>
      <c r="M309" s="206">
        <v>123.49930000000001</v>
      </c>
      <c r="N309" s="206">
        <v>17753.68</v>
      </c>
      <c r="O309" s="206">
        <v>17748.330000000002</v>
      </c>
      <c r="P309" s="414">
        <v>2047.25</v>
      </c>
      <c r="Q309" s="396" t="s">
        <v>18</v>
      </c>
      <c r="R309" s="414">
        <f t="shared" si="28"/>
        <v>-1.9198888888888381</v>
      </c>
      <c r="S309" s="396">
        <f t="shared" si="27"/>
        <v>2045.3301111111111</v>
      </c>
      <c r="T309" s="206" t="s">
        <v>532</v>
      </c>
      <c r="U309" s="206">
        <v>15</v>
      </c>
      <c r="V309" s="206">
        <v>5</v>
      </c>
      <c r="W309" s="206">
        <v>0.7</v>
      </c>
      <c r="X309" s="206">
        <v>0.7</v>
      </c>
      <c r="Y309" s="206">
        <v>0.7</v>
      </c>
      <c r="Z309" s="415">
        <v>1700</v>
      </c>
      <c r="AA309" s="415" t="s">
        <v>533</v>
      </c>
      <c r="AB309" s="415">
        <v>0.85</v>
      </c>
      <c r="AC309" s="415" t="s">
        <v>534</v>
      </c>
      <c r="AD309" s="415" t="s">
        <v>535</v>
      </c>
      <c r="AE309" s="415">
        <v>220</v>
      </c>
      <c r="AF309" s="416"/>
      <c r="AG309" s="416"/>
    </row>
    <row r="310" spans="1:33" ht="24">
      <c r="A310" s="206" t="s">
        <v>594</v>
      </c>
      <c r="B310" s="206">
        <v>9</v>
      </c>
      <c r="C310" s="206">
        <v>391</v>
      </c>
      <c r="D310" s="206" t="s">
        <v>591</v>
      </c>
      <c r="E310" s="206">
        <v>1.5</v>
      </c>
      <c r="F310" s="413">
        <v>45337.556250000001</v>
      </c>
      <c r="G310" s="206">
        <v>1</v>
      </c>
      <c r="H310" s="206">
        <v>51.3675</v>
      </c>
      <c r="I310" s="206">
        <v>7.62303</v>
      </c>
      <c r="J310" s="206">
        <v>-16.2746</v>
      </c>
      <c r="K310" s="206">
        <v>-15.4285</v>
      </c>
      <c r="L310" s="206">
        <v>970.42</v>
      </c>
      <c r="M310" s="206">
        <v>151.99950000000001</v>
      </c>
      <c r="N310" s="206">
        <v>17753.099999999999</v>
      </c>
      <c r="O310" s="206">
        <v>17748.330000000002</v>
      </c>
      <c r="P310" s="414">
        <v>2047.25</v>
      </c>
      <c r="Q310" s="396" t="s">
        <v>18</v>
      </c>
      <c r="R310" s="414">
        <f t="shared" si="28"/>
        <v>-1.9198888888888381</v>
      </c>
      <c r="S310" s="396">
        <f t="shared" si="27"/>
        <v>2045.3301111111111</v>
      </c>
      <c r="T310" s="206" t="s">
        <v>532</v>
      </c>
      <c r="U310" s="206">
        <v>15</v>
      </c>
      <c r="V310" s="206">
        <v>5</v>
      </c>
      <c r="W310" s="206">
        <v>0.7</v>
      </c>
      <c r="X310" s="206">
        <v>0.7</v>
      </c>
      <c r="Y310" s="206">
        <v>0.7</v>
      </c>
      <c r="Z310" s="415">
        <v>1700</v>
      </c>
      <c r="AA310" s="415" t="s">
        <v>533</v>
      </c>
      <c r="AB310" s="415">
        <v>0.85</v>
      </c>
      <c r="AC310" s="415" t="s">
        <v>534</v>
      </c>
      <c r="AD310" s="415" t="s">
        <v>535</v>
      </c>
      <c r="AE310" s="415">
        <v>220</v>
      </c>
      <c r="AF310" s="416"/>
      <c r="AG310" s="416"/>
    </row>
    <row r="311" spans="1:33" ht="24">
      <c r="A311" s="206" t="s">
        <v>600</v>
      </c>
      <c r="B311" s="206">
        <v>10</v>
      </c>
      <c r="C311" s="206">
        <v>392</v>
      </c>
      <c r="D311" s="206" t="s">
        <v>601</v>
      </c>
      <c r="E311" s="206">
        <v>1.5</v>
      </c>
      <c r="F311" s="413">
        <v>45337.560416666667</v>
      </c>
      <c r="G311" s="206">
        <v>1</v>
      </c>
      <c r="H311" s="206">
        <v>51.370800000000003</v>
      </c>
      <c r="I311" s="206">
        <v>7.5752199999999998</v>
      </c>
      <c r="J311" s="206">
        <v>-16.342700000000001</v>
      </c>
      <c r="K311" s="206">
        <v>-15.4946</v>
      </c>
      <c r="L311" s="206">
        <v>992.87400000000002</v>
      </c>
      <c r="M311" s="206">
        <v>122.5012</v>
      </c>
      <c r="N311" s="206">
        <v>17784.55</v>
      </c>
      <c r="O311" s="206">
        <v>17774.919999999998</v>
      </c>
      <c r="P311" s="414">
        <v>2050.27</v>
      </c>
      <c r="Q311" s="396" t="s">
        <v>18</v>
      </c>
      <c r="R311" s="414">
        <f t="shared" si="28"/>
        <v>-2.2144444444444265</v>
      </c>
      <c r="S311" s="396">
        <f t="shared" si="27"/>
        <v>2048.0555555555557</v>
      </c>
      <c r="T311" s="206" t="s">
        <v>532</v>
      </c>
      <c r="U311" s="206">
        <v>15</v>
      </c>
      <c r="V311" s="206">
        <v>5</v>
      </c>
      <c r="W311" s="206">
        <v>0.7</v>
      </c>
      <c r="X311" s="206">
        <v>0.7</v>
      </c>
      <c r="Y311" s="206">
        <v>0.7</v>
      </c>
      <c r="Z311" s="415">
        <v>1700</v>
      </c>
      <c r="AA311" s="415" t="s">
        <v>533</v>
      </c>
      <c r="AB311" s="415">
        <v>0.85</v>
      </c>
      <c r="AC311" s="415" t="s">
        <v>534</v>
      </c>
      <c r="AD311" s="415" t="s">
        <v>535</v>
      </c>
      <c r="AE311" s="415">
        <v>220</v>
      </c>
      <c r="AF311" s="416"/>
      <c r="AG311" s="416"/>
    </row>
    <row r="312" spans="1:33" ht="24">
      <c r="A312" s="206" t="s">
        <v>602</v>
      </c>
      <c r="B312" s="206">
        <v>10</v>
      </c>
      <c r="C312" s="206">
        <v>392</v>
      </c>
      <c r="D312" s="206" t="s">
        <v>601</v>
      </c>
      <c r="E312" s="206">
        <v>1.5</v>
      </c>
      <c r="F312" s="413">
        <v>45337.564583333333</v>
      </c>
      <c r="G312" s="206">
        <v>1</v>
      </c>
      <c r="H312" s="206">
        <v>51.3675</v>
      </c>
      <c r="I312" s="206">
        <v>7.5873799999999996</v>
      </c>
      <c r="J312" s="206">
        <v>-16.3202</v>
      </c>
      <c r="K312" s="206">
        <v>-15.4755</v>
      </c>
      <c r="L312" s="206">
        <v>987.495</v>
      </c>
      <c r="M312" s="206">
        <v>131.49930000000001</v>
      </c>
      <c r="N312" s="206">
        <v>17779.48</v>
      </c>
      <c r="O312" s="206">
        <v>17774.919999999998</v>
      </c>
      <c r="P312" s="414">
        <v>2050.27</v>
      </c>
      <c r="Q312" s="396" t="s">
        <v>18</v>
      </c>
      <c r="R312" s="414">
        <f t="shared" si="28"/>
        <v>-2.2144444444444265</v>
      </c>
      <c r="S312" s="396">
        <f t="shared" si="27"/>
        <v>2048.0555555555557</v>
      </c>
      <c r="T312" s="206" t="s">
        <v>532</v>
      </c>
      <c r="U312" s="206">
        <v>15</v>
      </c>
      <c r="V312" s="206">
        <v>5</v>
      </c>
      <c r="W312" s="206">
        <v>0.7</v>
      </c>
      <c r="X312" s="206">
        <v>0.7</v>
      </c>
      <c r="Y312" s="206">
        <v>0.7</v>
      </c>
      <c r="Z312" s="415">
        <v>1700</v>
      </c>
      <c r="AA312" s="415" t="s">
        <v>533</v>
      </c>
      <c r="AB312" s="415">
        <v>0.85</v>
      </c>
      <c r="AC312" s="415" t="s">
        <v>534</v>
      </c>
      <c r="AD312" s="415" t="s">
        <v>535</v>
      </c>
      <c r="AE312" s="415">
        <v>220</v>
      </c>
      <c r="AF312" s="416"/>
      <c r="AG312" s="416"/>
    </row>
    <row r="313" spans="1:33" ht="24">
      <c r="A313" s="206" t="s">
        <v>603</v>
      </c>
      <c r="B313" s="206">
        <v>10</v>
      </c>
      <c r="C313" s="206">
        <v>392</v>
      </c>
      <c r="D313" s="206" t="s">
        <v>601</v>
      </c>
      <c r="E313" s="206">
        <v>1.5</v>
      </c>
      <c r="F313" s="413">
        <v>45337.568055555559</v>
      </c>
      <c r="G313" s="206">
        <v>1</v>
      </c>
      <c r="H313" s="206">
        <v>51.377400000000002</v>
      </c>
      <c r="I313" s="206">
        <v>7.7322199999999999</v>
      </c>
      <c r="J313" s="206">
        <v>-16.3108</v>
      </c>
      <c r="K313" s="206">
        <v>-15.4773</v>
      </c>
      <c r="L313" s="206">
        <v>977.21400000000006</v>
      </c>
      <c r="M313" s="206">
        <v>128.99959999999999</v>
      </c>
      <c r="N313" s="206">
        <v>17760.72</v>
      </c>
      <c r="O313" s="206">
        <v>17774.919999999998</v>
      </c>
      <c r="P313" s="414">
        <v>2050.27</v>
      </c>
      <c r="Q313" s="396" t="s">
        <v>18</v>
      </c>
      <c r="R313" s="414">
        <f t="shared" si="28"/>
        <v>-2.2144444444444265</v>
      </c>
      <c r="S313" s="396">
        <f t="shared" si="27"/>
        <v>2048.0555555555557</v>
      </c>
      <c r="T313" s="206" t="s">
        <v>532</v>
      </c>
      <c r="U313" s="206">
        <v>15</v>
      </c>
      <c r="V313" s="206">
        <v>5</v>
      </c>
      <c r="W313" s="206">
        <v>0.7</v>
      </c>
      <c r="X313" s="206">
        <v>0.7</v>
      </c>
      <c r="Y313" s="206">
        <v>0.7</v>
      </c>
      <c r="Z313" s="415">
        <v>1700</v>
      </c>
      <c r="AA313" s="415" t="s">
        <v>533</v>
      </c>
      <c r="AB313" s="415">
        <v>0.85</v>
      </c>
      <c r="AC313" s="415" t="s">
        <v>534</v>
      </c>
      <c r="AD313" s="415" t="s">
        <v>535</v>
      </c>
      <c r="AE313" s="415">
        <v>220</v>
      </c>
      <c r="AF313" s="416"/>
      <c r="AG313" s="416"/>
    </row>
    <row r="314" spans="1:33" ht="25.5">
      <c r="A314" s="206" t="s">
        <v>605</v>
      </c>
      <c r="B314" s="206">
        <v>11</v>
      </c>
      <c r="C314" s="206" t="s">
        <v>722</v>
      </c>
      <c r="D314" s="206" t="s">
        <v>531</v>
      </c>
      <c r="E314" s="206">
        <v>1.5</v>
      </c>
      <c r="F314" s="413">
        <v>45337.572222222225</v>
      </c>
      <c r="G314" s="206">
        <v>1</v>
      </c>
      <c r="H314" s="206">
        <v>51.370800000000003</v>
      </c>
      <c r="I314" s="206">
        <v>7.6650900000000002</v>
      </c>
      <c r="J314" s="206">
        <v>-16.1204</v>
      </c>
      <c r="K314" s="206">
        <v>-15.277699999999999</v>
      </c>
      <c r="L314" s="206">
        <v>991.67200000000003</v>
      </c>
      <c r="M314" s="206">
        <v>123.9997</v>
      </c>
      <c r="N314" s="206">
        <v>17879.47</v>
      </c>
      <c r="O314" s="206">
        <v>17945.189999999999</v>
      </c>
      <c r="P314" s="414">
        <v>2069.6390000000001</v>
      </c>
      <c r="Q314" s="396" t="s">
        <v>18</v>
      </c>
      <c r="R314" s="414">
        <f t="shared" si="28"/>
        <v>-2.5090000000000146</v>
      </c>
      <c r="S314" s="396">
        <f t="shared" si="27"/>
        <v>2067.13</v>
      </c>
      <c r="T314" s="206" t="s">
        <v>542</v>
      </c>
      <c r="U314" s="206">
        <v>15</v>
      </c>
      <c r="V314" s="206">
        <v>5</v>
      </c>
      <c r="W314" s="206">
        <v>0.7</v>
      </c>
      <c r="X314" s="206">
        <v>0.7</v>
      </c>
      <c r="Y314" s="206">
        <v>0.7</v>
      </c>
      <c r="Z314" s="415">
        <v>1700</v>
      </c>
      <c r="AA314" s="415" t="s">
        <v>533</v>
      </c>
      <c r="AB314" s="415">
        <v>0.85</v>
      </c>
      <c r="AC314" s="415" t="s">
        <v>534</v>
      </c>
      <c r="AD314" s="415" t="s">
        <v>535</v>
      </c>
      <c r="AE314" s="415">
        <v>220</v>
      </c>
      <c r="AF314" s="416"/>
      <c r="AG314" s="417"/>
    </row>
    <row r="315" spans="1:33" ht="24">
      <c r="A315" s="206" t="s">
        <v>606</v>
      </c>
      <c r="B315" s="206">
        <v>11</v>
      </c>
      <c r="C315" s="206" t="s">
        <v>722</v>
      </c>
      <c r="D315" s="206" t="s">
        <v>531</v>
      </c>
      <c r="E315" s="206">
        <v>1.5</v>
      </c>
      <c r="F315" s="413">
        <v>45337.575694444444</v>
      </c>
      <c r="G315" s="206">
        <v>1</v>
      </c>
      <c r="H315" s="206">
        <v>51.377400000000002</v>
      </c>
      <c r="I315" s="206">
        <v>7.6059400000000004</v>
      </c>
      <c r="J315" s="206">
        <v>-16.3994</v>
      </c>
      <c r="K315" s="206">
        <v>-15.5594</v>
      </c>
      <c r="L315" s="206">
        <v>985.029</v>
      </c>
      <c r="M315" s="206">
        <v>126.0001</v>
      </c>
      <c r="N315" s="206">
        <v>17949.650000000001</v>
      </c>
      <c r="O315" s="206">
        <v>17945.189999999999</v>
      </c>
      <c r="P315" s="414">
        <v>2069.6390000000001</v>
      </c>
      <c r="Q315" s="396" t="s">
        <v>18</v>
      </c>
      <c r="R315" s="414">
        <f t="shared" ref="R315:R316" si="29">2067.13-P315</f>
        <v>-2.5090000000000146</v>
      </c>
      <c r="S315" s="396">
        <f t="shared" si="27"/>
        <v>2067.13</v>
      </c>
      <c r="T315" s="206" t="s">
        <v>532</v>
      </c>
      <c r="U315" s="206">
        <v>15</v>
      </c>
      <c r="V315" s="206">
        <v>5</v>
      </c>
      <c r="W315" s="206">
        <v>0.7</v>
      </c>
      <c r="X315" s="206">
        <v>0.7</v>
      </c>
      <c r="Y315" s="206">
        <v>0.7</v>
      </c>
      <c r="Z315" s="415">
        <v>1700</v>
      </c>
      <c r="AA315" s="415" t="s">
        <v>533</v>
      </c>
      <c r="AB315" s="415">
        <v>0.85</v>
      </c>
      <c r="AC315" s="415" t="s">
        <v>534</v>
      </c>
      <c r="AD315" s="415" t="s">
        <v>535</v>
      </c>
      <c r="AE315" s="415">
        <v>220</v>
      </c>
      <c r="AF315" s="416"/>
      <c r="AG315" s="417"/>
    </row>
    <row r="316" spans="1:33" ht="24">
      <c r="A316" s="206" t="s">
        <v>607</v>
      </c>
      <c r="B316" s="206">
        <v>11</v>
      </c>
      <c r="C316" s="206" t="s">
        <v>722</v>
      </c>
      <c r="D316" s="206" t="s">
        <v>531</v>
      </c>
      <c r="E316" s="206">
        <v>1.5</v>
      </c>
      <c r="F316" s="413">
        <v>45337.57916666667</v>
      </c>
      <c r="G316" s="206">
        <v>1</v>
      </c>
      <c r="H316" s="206">
        <v>51.374099999999999</v>
      </c>
      <c r="I316" s="206">
        <v>7.69815</v>
      </c>
      <c r="J316" s="206">
        <v>-16.351299999999998</v>
      </c>
      <c r="K316" s="206">
        <v>-15.507999999999999</v>
      </c>
      <c r="L316" s="206">
        <v>987.92899999999997</v>
      </c>
      <c r="M316" s="206">
        <v>168.50040000000001</v>
      </c>
      <c r="N316" s="206">
        <v>17940.43</v>
      </c>
      <c r="O316" s="206">
        <v>17945.189999999999</v>
      </c>
      <c r="P316" s="414">
        <v>2069.6390000000001</v>
      </c>
      <c r="Q316" s="396" t="s">
        <v>18</v>
      </c>
      <c r="R316" s="414">
        <f t="shared" si="29"/>
        <v>-2.5090000000000146</v>
      </c>
      <c r="S316" s="396">
        <f t="shared" si="27"/>
        <v>2067.13</v>
      </c>
      <c r="T316" s="206" t="s">
        <v>532</v>
      </c>
      <c r="U316" s="206">
        <v>15</v>
      </c>
      <c r="V316" s="206">
        <v>5</v>
      </c>
      <c r="W316" s="206">
        <v>0.7</v>
      </c>
      <c r="X316" s="206">
        <v>0.7</v>
      </c>
      <c r="Y316" s="206">
        <v>0.7</v>
      </c>
      <c r="Z316" s="415">
        <v>1700</v>
      </c>
      <c r="AA316" s="415" t="s">
        <v>533</v>
      </c>
      <c r="AB316" s="415">
        <v>0.85</v>
      </c>
      <c r="AC316" s="415" t="s">
        <v>534</v>
      </c>
      <c r="AD316" s="415" t="s">
        <v>535</v>
      </c>
      <c r="AE316" s="415">
        <v>220</v>
      </c>
      <c r="AF316" s="416"/>
      <c r="AG316" s="417"/>
    </row>
    <row r="317" spans="1:33" ht="24">
      <c r="A317" s="206" t="s">
        <v>608</v>
      </c>
      <c r="B317" s="206">
        <v>11</v>
      </c>
      <c r="C317" s="206" t="s">
        <v>722</v>
      </c>
      <c r="D317" s="206" t="s">
        <v>531</v>
      </c>
      <c r="E317" s="206">
        <v>1.5</v>
      </c>
      <c r="F317" s="413">
        <v>45337.583333333336</v>
      </c>
      <c r="G317" s="206">
        <v>1</v>
      </c>
      <c r="H317" s="206">
        <v>51.364100000000001</v>
      </c>
      <c r="I317" s="206">
        <v>7.6467700000000001</v>
      </c>
      <c r="J317" s="206">
        <v>-16.240500000000001</v>
      </c>
      <c r="K317" s="206">
        <v>-15.3963</v>
      </c>
      <c r="L317" s="206">
        <v>987.24800000000005</v>
      </c>
      <c r="M317" s="206">
        <v>133.49979999999999</v>
      </c>
      <c r="N317" s="206">
        <v>17945.48</v>
      </c>
      <c r="O317" s="206">
        <v>17945.189999999999</v>
      </c>
      <c r="P317" s="414">
        <v>2069.6390000000001</v>
      </c>
      <c r="Q317" s="396" t="s">
        <v>18</v>
      </c>
      <c r="R317" s="414">
        <f t="shared" ref="R317:R331" si="30">((B317-B$317)/(B$353-B$317))*R$354+((1-((B317-B$317)/(B$353-B$317)))*R$316)</f>
        <v>-2.5090000000000146</v>
      </c>
      <c r="S317" s="396">
        <f t="shared" si="27"/>
        <v>2067.13</v>
      </c>
      <c r="T317" s="206" t="s">
        <v>532</v>
      </c>
      <c r="U317" s="206">
        <v>15</v>
      </c>
      <c r="V317" s="206">
        <v>5</v>
      </c>
      <c r="W317" s="206">
        <v>0.7</v>
      </c>
      <c r="X317" s="206">
        <v>0.7</v>
      </c>
      <c r="Y317" s="206">
        <v>0.7</v>
      </c>
      <c r="Z317" s="415">
        <v>1700</v>
      </c>
      <c r="AA317" s="415" t="s">
        <v>533</v>
      </c>
      <c r="AB317" s="415">
        <v>0.85</v>
      </c>
      <c r="AC317" s="415" t="s">
        <v>534</v>
      </c>
      <c r="AD317" s="415" t="s">
        <v>535</v>
      </c>
      <c r="AE317" s="415">
        <v>220</v>
      </c>
      <c r="AF317" s="416"/>
      <c r="AG317" s="417"/>
    </row>
    <row r="318" spans="1:33" ht="24">
      <c r="A318" s="206" t="s">
        <v>609</v>
      </c>
      <c r="B318" s="206">
        <v>12</v>
      </c>
      <c r="C318" s="206">
        <v>417</v>
      </c>
      <c r="D318" s="206" t="s">
        <v>561</v>
      </c>
      <c r="E318" s="206">
        <v>1.5</v>
      </c>
      <c r="F318" s="413">
        <v>45337.587500000001</v>
      </c>
      <c r="G318" s="206">
        <v>1</v>
      </c>
      <c r="H318" s="206">
        <v>51.370800000000003</v>
      </c>
      <c r="I318" s="206">
        <v>7.59138</v>
      </c>
      <c r="J318" s="206">
        <v>-16.228400000000001</v>
      </c>
      <c r="K318" s="206">
        <v>-15.3803</v>
      </c>
      <c r="L318" s="206">
        <v>988.83600000000001</v>
      </c>
      <c r="M318" s="206">
        <v>132.4991</v>
      </c>
      <c r="N318" s="206">
        <v>17717.22</v>
      </c>
      <c r="O318" s="206">
        <v>17709.3</v>
      </c>
      <c r="P318" s="414">
        <v>2042.817</v>
      </c>
      <c r="Q318" s="396" t="s">
        <v>18</v>
      </c>
      <c r="R318" s="414">
        <f t="shared" si="30"/>
        <v>-1.7874444444444433</v>
      </c>
      <c r="S318" s="396">
        <f t="shared" si="27"/>
        <v>2041.0295555555556</v>
      </c>
      <c r="T318" s="206" t="s">
        <v>532</v>
      </c>
      <c r="U318" s="206">
        <v>15</v>
      </c>
      <c r="V318" s="206">
        <v>5</v>
      </c>
      <c r="W318" s="206">
        <v>0.7</v>
      </c>
      <c r="X318" s="206">
        <v>0.7</v>
      </c>
      <c r="Y318" s="206">
        <v>0.7</v>
      </c>
      <c r="Z318" s="415">
        <v>1700</v>
      </c>
      <c r="AA318" s="415" t="s">
        <v>533</v>
      </c>
      <c r="AB318" s="415">
        <v>0.85</v>
      </c>
      <c r="AC318" s="415" t="s">
        <v>534</v>
      </c>
      <c r="AD318" s="415" t="s">
        <v>535</v>
      </c>
      <c r="AE318" s="415">
        <v>220</v>
      </c>
      <c r="AF318" s="416"/>
      <c r="AG318" s="416"/>
    </row>
    <row r="319" spans="1:33" ht="25.5">
      <c r="A319" s="206" t="s">
        <v>610</v>
      </c>
      <c r="B319" s="206">
        <v>12</v>
      </c>
      <c r="C319" s="206">
        <v>417</v>
      </c>
      <c r="D319" s="206" t="s">
        <v>561</v>
      </c>
      <c r="E319" s="206">
        <v>1.5</v>
      </c>
      <c r="F319" s="413">
        <v>45337.591666666667</v>
      </c>
      <c r="G319" s="206">
        <v>1</v>
      </c>
      <c r="H319" s="206">
        <v>51.374099999999999</v>
      </c>
      <c r="I319" s="206">
        <v>7.5794899999999998</v>
      </c>
      <c r="J319" s="206">
        <v>-16.258199999999999</v>
      </c>
      <c r="K319" s="206">
        <v>-15.4148</v>
      </c>
      <c r="L319" s="206">
        <v>985.02700000000004</v>
      </c>
      <c r="M319" s="206">
        <v>117.49890000000001</v>
      </c>
      <c r="N319" s="206">
        <v>17669.330000000002</v>
      </c>
      <c r="O319" s="206">
        <v>17709.3</v>
      </c>
      <c r="P319" s="414">
        <v>2042.817</v>
      </c>
      <c r="Q319" s="396" t="s">
        <v>18</v>
      </c>
      <c r="R319" s="414">
        <f t="shared" si="30"/>
        <v>-1.7874444444444433</v>
      </c>
      <c r="S319" s="396">
        <f t="shared" si="27"/>
        <v>2041.0295555555556</v>
      </c>
      <c r="T319" s="206" t="s">
        <v>542</v>
      </c>
      <c r="U319" s="206">
        <v>15</v>
      </c>
      <c r="V319" s="206">
        <v>5</v>
      </c>
      <c r="W319" s="206">
        <v>0.7</v>
      </c>
      <c r="X319" s="206">
        <v>0.7</v>
      </c>
      <c r="Y319" s="206">
        <v>0.7</v>
      </c>
      <c r="Z319" s="415">
        <v>1700</v>
      </c>
      <c r="AA319" s="415" t="s">
        <v>533</v>
      </c>
      <c r="AB319" s="415">
        <v>0.85</v>
      </c>
      <c r="AC319" s="415" t="s">
        <v>534</v>
      </c>
      <c r="AD319" s="415" t="s">
        <v>535</v>
      </c>
      <c r="AE319" s="415">
        <v>220</v>
      </c>
      <c r="AF319" s="416"/>
      <c r="AG319" s="416"/>
    </row>
    <row r="320" spans="1:33" ht="24">
      <c r="A320" s="206" t="s">
        <v>611</v>
      </c>
      <c r="B320" s="206">
        <v>12</v>
      </c>
      <c r="C320" s="206">
        <v>417</v>
      </c>
      <c r="D320" s="206" t="s">
        <v>561</v>
      </c>
      <c r="E320" s="206">
        <v>1.5</v>
      </c>
      <c r="F320" s="413">
        <v>45337.595138888886</v>
      </c>
      <c r="G320" s="206">
        <v>1</v>
      </c>
      <c r="H320" s="206">
        <v>51.374099999999999</v>
      </c>
      <c r="I320" s="206">
        <v>7.6718200000000003</v>
      </c>
      <c r="J320" s="206">
        <v>-16.284099999999999</v>
      </c>
      <c r="K320" s="206">
        <v>-15.438000000000001</v>
      </c>
      <c r="L320" s="206">
        <v>976.44100000000003</v>
      </c>
      <c r="M320" s="206">
        <v>154.50040000000001</v>
      </c>
      <c r="N320" s="206">
        <v>17716.78</v>
      </c>
      <c r="O320" s="206">
        <v>17709.3</v>
      </c>
      <c r="P320" s="414">
        <v>2042.817</v>
      </c>
      <c r="Q320" s="396" t="s">
        <v>18</v>
      </c>
      <c r="R320" s="414">
        <f t="shared" si="30"/>
        <v>-1.7874444444444433</v>
      </c>
      <c r="S320" s="396">
        <f t="shared" si="27"/>
        <v>2041.0295555555556</v>
      </c>
      <c r="T320" s="206" t="s">
        <v>532</v>
      </c>
      <c r="U320" s="206">
        <v>15</v>
      </c>
      <c r="V320" s="206">
        <v>5</v>
      </c>
      <c r="W320" s="206">
        <v>0.7</v>
      </c>
      <c r="X320" s="206">
        <v>0.7</v>
      </c>
      <c r="Y320" s="206">
        <v>0.7</v>
      </c>
      <c r="Z320" s="415">
        <v>1700</v>
      </c>
      <c r="AA320" s="415" t="s">
        <v>533</v>
      </c>
      <c r="AB320" s="415">
        <v>0.85</v>
      </c>
      <c r="AC320" s="415" t="s">
        <v>534</v>
      </c>
      <c r="AD320" s="415" t="s">
        <v>535</v>
      </c>
      <c r="AE320" s="415">
        <v>220</v>
      </c>
      <c r="AF320" s="416"/>
      <c r="AG320" s="416"/>
    </row>
    <row r="321" spans="1:33" ht="24">
      <c r="A321" s="206" t="s">
        <v>612</v>
      </c>
      <c r="B321" s="206">
        <v>12</v>
      </c>
      <c r="C321" s="206">
        <v>417</v>
      </c>
      <c r="D321" s="206" t="s">
        <v>561</v>
      </c>
      <c r="E321" s="206">
        <v>1.5</v>
      </c>
      <c r="F321" s="413">
        <v>45337.598611111112</v>
      </c>
      <c r="G321" s="206">
        <v>1</v>
      </c>
      <c r="H321" s="206">
        <v>51.370800000000003</v>
      </c>
      <c r="I321" s="206">
        <v>7.6338100000000004</v>
      </c>
      <c r="J321" s="206">
        <v>-16.334299999999999</v>
      </c>
      <c r="K321" s="206">
        <v>-15.5044</v>
      </c>
      <c r="L321" s="206">
        <v>979.23099999999999</v>
      </c>
      <c r="M321" s="206">
        <v>121.4996</v>
      </c>
      <c r="N321" s="206">
        <v>17693.900000000001</v>
      </c>
      <c r="O321" s="206">
        <v>17709.3</v>
      </c>
      <c r="P321" s="414">
        <v>2042.817</v>
      </c>
      <c r="Q321" s="396" t="s">
        <v>18</v>
      </c>
      <c r="R321" s="414">
        <f t="shared" si="30"/>
        <v>-1.7874444444444433</v>
      </c>
      <c r="S321" s="396">
        <f t="shared" si="27"/>
        <v>2041.0295555555556</v>
      </c>
      <c r="T321" s="206" t="s">
        <v>532</v>
      </c>
      <c r="U321" s="206">
        <v>15</v>
      </c>
      <c r="V321" s="206">
        <v>5</v>
      </c>
      <c r="W321" s="206">
        <v>0.7</v>
      </c>
      <c r="X321" s="206">
        <v>0.7</v>
      </c>
      <c r="Y321" s="206">
        <v>0.7</v>
      </c>
      <c r="Z321" s="415">
        <v>1700</v>
      </c>
      <c r="AA321" s="415" t="s">
        <v>533</v>
      </c>
      <c r="AB321" s="415">
        <v>0.85</v>
      </c>
      <c r="AC321" s="415" t="s">
        <v>534</v>
      </c>
      <c r="AD321" s="415" t="s">
        <v>535</v>
      </c>
      <c r="AE321" s="415">
        <v>220</v>
      </c>
      <c r="AF321" s="416"/>
      <c r="AG321" s="416"/>
    </row>
    <row r="322" spans="1:33" ht="25.5">
      <c r="A322" s="206" t="s">
        <v>613</v>
      </c>
      <c r="B322" s="206">
        <v>13</v>
      </c>
      <c r="C322" s="206">
        <v>418</v>
      </c>
      <c r="D322" s="206" t="s">
        <v>565</v>
      </c>
      <c r="E322" s="206">
        <v>1.5</v>
      </c>
      <c r="F322" s="413">
        <v>45337.602777777778</v>
      </c>
      <c r="G322" s="206">
        <v>1</v>
      </c>
      <c r="H322" s="206">
        <v>51.370800000000003</v>
      </c>
      <c r="I322" s="206">
        <v>7.6176899999999996</v>
      </c>
      <c r="J322" s="206">
        <v>-16.3779</v>
      </c>
      <c r="K322" s="206">
        <v>-15.5472</v>
      </c>
      <c r="L322" s="206">
        <v>980.79499999999996</v>
      </c>
      <c r="M322" s="206">
        <v>125.9996</v>
      </c>
      <c r="N322" s="206">
        <v>17649.3</v>
      </c>
      <c r="O322" s="206">
        <v>17689.45</v>
      </c>
      <c r="P322" s="414">
        <v>2040.5619999999999</v>
      </c>
      <c r="Q322" s="396" t="s">
        <v>18</v>
      </c>
      <c r="R322" s="414">
        <f t="shared" si="30"/>
        <v>-1.065888888888872</v>
      </c>
      <c r="S322" s="396">
        <f t="shared" si="27"/>
        <v>2039.4961111111111</v>
      </c>
      <c r="T322" s="206" t="s">
        <v>542</v>
      </c>
      <c r="U322" s="206">
        <v>15</v>
      </c>
      <c r="V322" s="206">
        <v>5</v>
      </c>
      <c r="W322" s="206">
        <v>0.7</v>
      </c>
      <c r="X322" s="206">
        <v>0.7</v>
      </c>
      <c r="Y322" s="206">
        <v>0.7</v>
      </c>
      <c r="Z322" s="415">
        <v>1700</v>
      </c>
      <c r="AA322" s="415" t="s">
        <v>533</v>
      </c>
      <c r="AB322" s="415">
        <v>0.85</v>
      </c>
      <c r="AC322" s="415" t="s">
        <v>534</v>
      </c>
      <c r="AD322" s="415" t="s">
        <v>535</v>
      </c>
      <c r="AE322" s="415">
        <v>220</v>
      </c>
      <c r="AF322" s="416"/>
      <c r="AG322" s="416"/>
    </row>
    <row r="323" spans="1:33" ht="24">
      <c r="A323" s="206" t="s">
        <v>614</v>
      </c>
      <c r="B323" s="206">
        <v>13</v>
      </c>
      <c r="C323" s="206">
        <v>418</v>
      </c>
      <c r="D323" s="206" t="s">
        <v>565</v>
      </c>
      <c r="E323" s="206">
        <v>1.5</v>
      </c>
      <c r="F323" s="413">
        <v>45337.606249999997</v>
      </c>
      <c r="G323" s="206">
        <v>1</v>
      </c>
      <c r="H323" s="206">
        <v>51.374099999999999</v>
      </c>
      <c r="I323" s="206">
        <v>7.6080899999999998</v>
      </c>
      <c r="J323" s="206">
        <v>-16.334700000000002</v>
      </c>
      <c r="K323" s="206">
        <v>-15.487399999999999</v>
      </c>
      <c r="L323" s="206">
        <v>978.92100000000005</v>
      </c>
      <c r="M323" s="206">
        <v>122.0003</v>
      </c>
      <c r="N323" s="206">
        <v>17705.73</v>
      </c>
      <c r="O323" s="206">
        <v>17689.45</v>
      </c>
      <c r="P323" s="414">
        <v>2040.5619999999999</v>
      </c>
      <c r="Q323" s="396" t="s">
        <v>18</v>
      </c>
      <c r="R323" s="414">
        <f t="shared" si="30"/>
        <v>-1.065888888888872</v>
      </c>
      <c r="S323" s="396">
        <f t="shared" si="27"/>
        <v>2039.4961111111111</v>
      </c>
      <c r="T323" s="206" t="s">
        <v>532</v>
      </c>
      <c r="U323" s="206">
        <v>15</v>
      </c>
      <c r="V323" s="206">
        <v>5</v>
      </c>
      <c r="W323" s="206">
        <v>0.7</v>
      </c>
      <c r="X323" s="206">
        <v>0.7</v>
      </c>
      <c r="Y323" s="206">
        <v>0.7</v>
      </c>
      <c r="Z323" s="415">
        <v>1700</v>
      </c>
      <c r="AA323" s="415" t="s">
        <v>533</v>
      </c>
      <c r="AB323" s="415">
        <v>0.85</v>
      </c>
      <c r="AC323" s="415" t="s">
        <v>534</v>
      </c>
      <c r="AD323" s="415" t="s">
        <v>535</v>
      </c>
      <c r="AE323" s="415">
        <v>220</v>
      </c>
      <c r="AF323" s="416"/>
      <c r="AG323" s="416"/>
    </row>
    <row r="324" spans="1:33" ht="24">
      <c r="A324" s="206" t="s">
        <v>615</v>
      </c>
      <c r="B324" s="206">
        <v>13</v>
      </c>
      <c r="C324" s="206">
        <v>418</v>
      </c>
      <c r="D324" s="206" t="s">
        <v>565</v>
      </c>
      <c r="E324" s="206">
        <v>1.5</v>
      </c>
      <c r="F324" s="413">
        <v>45337.61041666667</v>
      </c>
      <c r="G324" s="206">
        <v>1</v>
      </c>
      <c r="H324" s="206">
        <v>51.370800000000003</v>
      </c>
      <c r="I324" s="206">
        <v>7.7106399999999997</v>
      </c>
      <c r="J324" s="206">
        <v>-16.3703</v>
      </c>
      <c r="K324" s="206">
        <v>-15.5266</v>
      </c>
      <c r="L324" s="206">
        <v>969.54700000000003</v>
      </c>
      <c r="M324" s="206">
        <v>214.4999</v>
      </c>
      <c r="N324" s="206">
        <v>17685.310000000001</v>
      </c>
      <c r="O324" s="206">
        <v>17689.45</v>
      </c>
      <c r="P324" s="414">
        <v>2040.5619999999999</v>
      </c>
      <c r="Q324" s="396" t="s">
        <v>18</v>
      </c>
      <c r="R324" s="414">
        <f t="shared" si="30"/>
        <v>-1.065888888888872</v>
      </c>
      <c r="S324" s="396">
        <f t="shared" si="27"/>
        <v>2039.4961111111111</v>
      </c>
      <c r="T324" s="206" t="s">
        <v>532</v>
      </c>
      <c r="U324" s="206">
        <v>15</v>
      </c>
      <c r="V324" s="206">
        <v>5</v>
      </c>
      <c r="W324" s="206">
        <v>0.7</v>
      </c>
      <c r="X324" s="206">
        <v>0.7</v>
      </c>
      <c r="Y324" s="206">
        <v>0.7</v>
      </c>
      <c r="Z324" s="415">
        <v>1700</v>
      </c>
      <c r="AA324" s="415" t="s">
        <v>533</v>
      </c>
      <c r="AB324" s="415">
        <v>0.85</v>
      </c>
      <c r="AC324" s="415" t="s">
        <v>534</v>
      </c>
      <c r="AD324" s="415" t="s">
        <v>535</v>
      </c>
      <c r="AE324" s="415">
        <v>220</v>
      </c>
      <c r="AF324" s="416"/>
      <c r="AG324" s="416"/>
    </row>
    <row r="325" spans="1:33" ht="24">
      <c r="A325" s="206" t="s">
        <v>616</v>
      </c>
      <c r="B325" s="206">
        <v>13</v>
      </c>
      <c r="C325" s="206">
        <v>418</v>
      </c>
      <c r="D325" s="206" t="s">
        <v>565</v>
      </c>
      <c r="E325" s="206">
        <v>1.5</v>
      </c>
      <c r="F325" s="413">
        <v>45337.614583333336</v>
      </c>
      <c r="G325" s="206">
        <v>1</v>
      </c>
      <c r="H325" s="206">
        <v>51.374099999999999</v>
      </c>
      <c r="I325" s="206">
        <v>7.7407899999999996</v>
      </c>
      <c r="J325" s="206">
        <v>-16.424499999999998</v>
      </c>
      <c r="K325" s="206">
        <v>-15.632199999999999</v>
      </c>
      <c r="L325" s="206">
        <v>976.72</v>
      </c>
      <c r="M325" s="206">
        <v>155.5</v>
      </c>
      <c r="N325" s="206">
        <v>17677.310000000001</v>
      </c>
      <c r="O325" s="206">
        <v>17689.45</v>
      </c>
      <c r="P325" s="414">
        <v>2040.5619999999999</v>
      </c>
      <c r="Q325" s="396" t="s">
        <v>18</v>
      </c>
      <c r="R325" s="414">
        <f t="shared" si="30"/>
        <v>-1.065888888888872</v>
      </c>
      <c r="S325" s="396">
        <f t="shared" si="27"/>
        <v>2039.4961111111111</v>
      </c>
      <c r="T325" s="206" t="s">
        <v>532</v>
      </c>
      <c r="U325" s="206">
        <v>15</v>
      </c>
      <c r="V325" s="206">
        <v>5</v>
      </c>
      <c r="W325" s="206">
        <v>0.7</v>
      </c>
      <c r="X325" s="206">
        <v>0.7</v>
      </c>
      <c r="Y325" s="206">
        <v>0.7</v>
      </c>
      <c r="Z325" s="415">
        <v>1700</v>
      </c>
      <c r="AA325" s="415" t="s">
        <v>533</v>
      </c>
      <c r="AB325" s="415">
        <v>0.85</v>
      </c>
      <c r="AC325" s="415" t="s">
        <v>534</v>
      </c>
      <c r="AD325" s="415" t="s">
        <v>535</v>
      </c>
      <c r="AE325" s="415">
        <v>220</v>
      </c>
      <c r="AF325" s="416"/>
      <c r="AG325" s="416"/>
    </row>
    <row r="326" spans="1:33" ht="24">
      <c r="A326" s="206" t="s">
        <v>618</v>
      </c>
      <c r="B326" s="206">
        <v>14</v>
      </c>
      <c r="C326" s="206">
        <v>365</v>
      </c>
      <c r="D326" s="206" t="s">
        <v>569</v>
      </c>
      <c r="E326" s="206">
        <v>1.5</v>
      </c>
      <c r="F326" s="413">
        <v>45337.619444444441</v>
      </c>
      <c r="G326" s="206">
        <v>1</v>
      </c>
      <c r="H326" s="206">
        <v>51.370800000000003</v>
      </c>
      <c r="I326" s="206">
        <v>7.6756000000000002</v>
      </c>
      <c r="J326" s="206">
        <v>-16.388200000000001</v>
      </c>
      <c r="K326" s="206">
        <v>-15.606299999999999</v>
      </c>
      <c r="L326" s="206">
        <v>975.44</v>
      </c>
      <c r="M326" s="206">
        <v>163.00059999999999</v>
      </c>
      <c r="N326" s="206">
        <v>17629.310000000001</v>
      </c>
      <c r="O326" s="206">
        <v>17627.759999999998</v>
      </c>
      <c r="P326" s="414">
        <v>2033.5540000000001</v>
      </c>
      <c r="Q326" s="396" t="s">
        <v>18</v>
      </c>
      <c r="R326" s="414">
        <f t="shared" si="30"/>
        <v>-0.34433333333330074</v>
      </c>
      <c r="S326" s="396">
        <f t="shared" si="27"/>
        <v>2033.2096666666669</v>
      </c>
      <c r="T326" s="206" t="s">
        <v>532</v>
      </c>
      <c r="U326" s="206">
        <v>15</v>
      </c>
      <c r="V326" s="206">
        <v>5</v>
      </c>
      <c r="W326" s="206">
        <v>0.7</v>
      </c>
      <c r="X326" s="206">
        <v>0.7</v>
      </c>
      <c r="Y326" s="206">
        <v>0.7</v>
      </c>
      <c r="Z326" s="415">
        <v>1700</v>
      </c>
      <c r="AA326" s="415" t="s">
        <v>533</v>
      </c>
      <c r="AB326" s="415">
        <v>0.85</v>
      </c>
      <c r="AC326" s="415" t="s">
        <v>534</v>
      </c>
      <c r="AD326" s="415" t="s">
        <v>535</v>
      </c>
      <c r="AE326" s="415">
        <v>220</v>
      </c>
      <c r="AF326" s="416"/>
      <c r="AG326" s="416"/>
    </row>
    <row r="327" spans="1:33" ht="24">
      <c r="A327" s="206" t="s">
        <v>619</v>
      </c>
      <c r="B327" s="206">
        <v>14</v>
      </c>
      <c r="C327" s="206">
        <v>365</v>
      </c>
      <c r="D327" s="206" t="s">
        <v>569</v>
      </c>
      <c r="E327" s="206">
        <v>1.5</v>
      </c>
      <c r="F327" s="413">
        <v>45337.623611111114</v>
      </c>
      <c r="G327" s="206">
        <v>1</v>
      </c>
      <c r="H327" s="206">
        <v>51.364100000000001</v>
      </c>
      <c r="I327" s="206">
        <v>7.6033400000000002</v>
      </c>
      <c r="J327" s="206">
        <v>-16.573</v>
      </c>
      <c r="K327" s="206">
        <v>-15.732799999999999</v>
      </c>
      <c r="L327" s="206">
        <v>975.029</v>
      </c>
      <c r="M327" s="206">
        <v>164.00030000000001</v>
      </c>
      <c r="N327" s="206">
        <v>17623.11</v>
      </c>
      <c r="O327" s="206">
        <v>17627.759999999998</v>
      </c>
      <c r="P327" s="414">
        <v>2033.5540000000001</v>
      </c>
      <c r="Q327" s="396" t="s">
        <v>18</v>
      </c>
      <c r="R327" s="414">
        <f t="shared" si="30"/>
        <v>-0.34433333333330074</v>
      </c>
      <c r="S327" s="396">
        <f t="shared" si="27"/>
        <v>2033.2096666666669</v>
      </c>
      <c r="T327" s="206" t="s">
        <v>532</v>
      </c>
      <c r="U327" s="206">
        <v>15</v>
      </c>
      <c r="V327" s="206">
        <v>5</v>
      </c>
      <c r="W327" s="206">
        <v>0.7</v>
      </c>
      <c r="X327" s="206">
        <v>0.7</v>
      </c>
      <c r="Y327" s="206">
        <v>0.7</v>
      </c>
      <c r="Z327" s="415">
        <v>1700</v>
      </c>
      <c r="AA327" s="415" t="s">
        <v>533</v>
      </c>
      <c r="AB327" s="415">
        <v>0.85</v>
      </c>
      <c r="AC327" s="415" t="s">
        <v>534</v>
      </c>
      <c r="AD327" s="415" t="s">
        <v>535</v>
      </c>
      <c r="AE327" s="415">
        <v>220</v>
      </c>
      <c r="AF327" s="416"/>
      <c r="AG327" s="416"/>
    </row>
    <row r="328" spans="1:33" ht="24">
      <c r="A328" s="206" t="s">
        <v>620</v>
      </c>
      <c r="B328" s="206">
        <v>14</v>
      </c>
      <c r="C328" s="206">
        <v>365</v>
      </c>
      <c r="D328" s="206" t="s">
        <v>569</v>
      </c>
      <c r="E328" s="206">
        <v>1.5</v>
      </c>
      <c r="F328" s="413">
        <v>45337.627083333333</v>
      </c>
      <c r="G328" s="206">
        <v>1</v>
      </c>
      <c r="H328" s="206">
        <v>51.3675</v>
      </c>
      <c r="I328" s="206">
        <v>7.5559399999999997</v>
      </c>
      <c r="J328" s="206">
        <v>-16.426500000000001</v>
      </c>
      <c r="K328" s="206">
        <v>-15.590400000000001</v>
      </c>
      <c r="L328" s="206">
        <v>979.40700000000004</v>
      </c>
      <c r="M328" s="206">
        <v>115.99979999999999</v>
      </c>
      <c r="N328" s="206">
        <v>17630.84</v>
      </c>
      <c r="O328" s="206">
        <v>17627.759999999998</v>
      </c>
      <c r="P328" s="414">
        <v>2033.5540000000001</v>
      </c>
      <c r="Q328" s="396" t="s">
        <v>18</v>
      </c>
      <c r="R328" s="414">
        <f t="shared" si="30"/>
        <v>-0.34433333333330074</v>
      </c>
      <c r="S328" s="396">
        <f t="shared" si="27"/>
        <v>2033.2096666666669</v>
      </c>
      <c r="T328" s="206" t="s">
        <v>532</v>
      </c>
      <c r="U328" s="206">
        <v>15</v>
      </c>
      <c r="V328" s="206">
        <v>5</v>
      </c>
      <c r="W328" s="206">
        <v>0.7</v>
      </c>
      <c r="X328" s="206">
        <v>0.7</v>
      </c>
      <c r="Y328" s="206">
        <v>0.7</v>
      </c>
      <c r="Z328" s="415">
        <v>1700</v>
      </c>
      <c r="AA328" s="415" t="s">
        <v>533</v>
      </c>
      <c r="AB328" s="415">
        <v>0.85</v>
      </c>
      <c r="AC328" s="415" t="s">
        <v>534</v>
      </c>
      <c r="AD328" s="415" t="s">
        <v>535</v>
      </c>
      <c r="AE328" s="415">
        <v>220</v>
      </c>
      <c r="AF328" s="416"/>
      <c r="AG328" s="416"/>
    </row>
    <row r="329" spans="1:33" ht="24">
      <c r="A329" s="206" t="s">
        <v>621</v>
      </c>
      <c r="B329" s="206">
        <v>15</v>
      </c>
      <c r="C329" s="206">
        <v>366</v>
      </c>
      <c r="D329" s="206" t="s">
        <v>575</v>
      </c>
      <c r="E329" s="206">
        <v>1.5</v>
      </c>
      <c r="F329" s="413">
        <v>45337.631249999999</v>
      </c>
      <c r="G329" s="206">
        <v>1</v>
      </c>
      <c r="H329" s="206">
        <v>51.370800000000003</v>
      </c>
      <c r="I329" s="206">
        <v>7.6227499999999999</v>
      </c>
      <c r="J329" s="206">
        <v>-16.476800000000001</v>
      </c>
      <c r="K329" s="206">
        <v>-15.6523</v>
      </c>
      <c r="L329" s="206">
        <v>972.67700000000002</v>
      </c>
      <c r="M329" s="206">
        <v>156.49969999999999</v>
      </c>
      <c r="N329" s="206">
        <v>17629.09</v>
      </c>
      <c r="O329" s="206">
        <v>17634.75</v>
      </c>
      <c r="P329" s="414">
        <v>2034.348</v>
      </c>
      <c r="Q329" s="396" t="s">
        <v>18</v>
      </c>
      <c r="R329" s="414">
        <f t="shared" si="30"/>
        <v>0.37722222222227075</v>
      </c>
      <c r="S329" s="396">
        <f t="shared" si="27"/>
        <v>2034.7252222222223</v>
      </c>
      <c r="T329" s="206" t="s">
        <v>532</v>
      </c>
      <c r="U329" s="206">
        <v>15</v>
      </c>
      <c r="V329" s="206">
        <v>5</v>
      </c>
      <c r="W329" s="206">
        <v>0.7</v>
      </c>
      <c r="X329" s="206">
        <v>0.7</v>
      </c>
      <c r="Y329" s="206">
        <v>0.7</v>
      </c>
      <c r="Z329" s="415">
        <v>1700</v>
      </c>
      <c r="AA329" s="415" t="s">
        <v>533</v>
      </c>
      <c r="AB329" s="415">
        <v>0.85</v>
      </c>
      <c r="AC329" s="415" t="s">
        <v>534</v>
      </c>
      <c r="AD329" s="415" t="s">
        <v>535</v>
      </c>
      <c r="AE329" s="415">
        <v>220</v>
      </c>
      <c r="AF329" s="416"/>
      <c r="AG329" s="416"/>
    </row>
    <row r="330" spans="1:33" ht="24">
      <c r="A330" s="206" t="s">
        <v>622</v>
      </c>
      <c r="B330" s="206">
        <v>15</v>
      </c>
      <c r="C330" s="206">
        <v>366</v>
      </c>
      <c r="D330" s="206" t="s">
        <v>575</v>
      </c>
      <c r="E330" s="206">
        <v>1.5</v>
      </c>
      <c r="F330" s="413">
        <v>45337.635416666664</v>
      </c>
      <c r="G330" s="206">
        <v>1</v>
      </c>
      <c r="H330" s="206">
        <v>51.370800000000003</v>
      </c>
      <c r="I330" s="206">
        <v>7.6117800000000004</v>
      </c>
      <c r="J330" s="206">
        <v>-16.390999999999998</v>
      </c>
      <c r="K330" s="206">
        <v>-15.5458</v>
      </c>
      <c r="L330" s="206">
        <v>977.221</v>
      </c>
      <c r="M330" s="206">
        <v>116.9991</v>
      </c>
      <c r="N330" s="206">
        <v>17639.849999999999</v>
      </c>
      <c r="O330" s="206">
        <v>17634.75</v>
      </c>
      <c r="P330" s="414">
        <v>2034.348</v>
      </c>
      <c r="Q330" s="396" t="s">
        <v>18</v>
      </c>
      <c r="R330" s="414">
        <f t="shared" si="30"/>
        <v>0.37722222222227075</v>
      </c>
      <c r="S330" s="396">
        <f t="shared" si="27"/>
        <v>2034.7252222222223</v>
      </c>
      <c r="T330" s="206" t="s">
        <v>532</v>
      </c>
      <c r="U330" s="206">
        <v>15</v>
      </c>
      <c r="V330" s="206">
        <v>5</v>
      </c>
      <c r="W330" s="206">
        <v>0.7</v>
      </c>
      <c r="X330" s="206">
        <v>0.7</v>
      </c>
      <c r="Y330" s="206">
        <v>0.7</v>
      </c>
      <c r="Z330" s="415">
        <v>1700</v>
      </c>
      <c r="AA330" s="415" t="s">
        <v>533</v>
      </c>
      <c r="AB330" s="415">
        <v>0.85</v>
      </c>
      <c r="AC330" s="415" t="s">
        <v>534</v>
      </c>
      <c r="AD330" s="415" t="s">
        <v>535</v>
      </c>
      <c r="AE330" s="415">
        <v>220</v>
      </c>
      <c r="AF330" s="416"/>
      <c r="AG330" s="416"/>
    </row>
    <row r="331" spans="1:33" ht="24">
      <c r="A331" s="206" t="s">
        <v>623</v>
      </c>
      <c r="B331" s="206">
        <v>15</v>
      </c>
      <c r="C331" s="206">
        <v>366</v>
      </c>
      <c r="D331" s="206" t="s">
        <v>575</v>
      </c>
      <c r="E331" s="206">
        <v>1.5</v>
      </c>
      <c r="F331" s="413">
        <v>45337.638888888891</v>
      </c>
      <c r="G331" s="206">
        <v>1</v>
      </c>
      <c r="H331" s="206">
        <v>51.3675</v>
      </c>
      <c r="I331" s="206">
        <v>7.57</v>
      </c>
      <c r="J331" s="206">
        <v>-16.432300000000001</v>
      </c>
      <c r="K331" s="206">
        <v>-15.5824</v>
      </c>
      <c r="L331" s="206">
        <v>980.35799999999995</v>
      </c>
      <c r="M331" s="206">
        <v>126.50020000000001</v>
      </c>
      <c r="N331" s="206">
        <v>17635.310000000001</v>
      </c>
      <c r="O331" s="206">
        <v>17634.75</v>
      </c>
      <c r="P331" s="414">
        <v>2034.348</v>
      </c>
      <c r="Q331" s="396" t="s">
        <v>18</v>
      </c>
      <c r="R331" s="414">
        <f t="shared" si="30"/>
        <v>0.37722222222227075</v>
      </c>
      <c r="S331" s="396">
        <f t="shared" si="27"/>
        <v>2034.7252222222223</v>
      </c>
      <c r="T331" s="206" t="s">
        <v>532</v>
      </c>
      <c r="U331" s="206">
        <v>15</v>
      </c>
      <c r="V331" s="206">
        <v>5</v>
      </c>
      <c r="W331" s="206">
        <v>0.7</v>
      </c>
      <c r="X331" s="206">
        <v>0.7</v>
      </c>
      <c r="Y331" s="206">
        <v>0.7</v>
      </c>
      <c r="Z331" s="415">
        <v>1700</v>
      </c>
      <c r="AA331" s="415" t="s">
        <v>533</v>
      </c>
      <c r="AB331" s="415">
        <v>0.85</v>
      </c>
      <c r="AC331" s="415" t="s">
        <v>534</v>
      </c>
      <c r="AD331" s="415" t="s">
        <v>535</v>
      </c>
      <c r="AE331" s="415">
        <v>220</v>
      </c>
      <c r="AF331" s="416"/>
      <c r="AG331" s="416"/>
    </row>
    <row r="332" spans="1:33" ht="24">
      <c r="A332" s="206" t="s">
        <v>625</v>
      </c>
      <c r="B332" s="206">
        <v>16</v>
      </c>
      <c r="C332" s="206">
        <v>339</v>
      </c>
      <c r="D332" s="206" t="s">
        <v>579</v>
      </c>
      <c r="E332" s="206">
        <v>1.5</v>
      </c>
      <c r="F332" s="413">
        <v>45337.643055555556</v>
      </c>
      <c r="G332" s="206">
        <v>1</v>
      </c>
      <c r="H332" s="206">
        <v>51.370800000000003</v>
      </c>
      <c r="I332" s="206">
        <v>7.5275800000000004</v>
      </c>
      <c r="J332" s="206">
        <v>-16.472000000000001</v>
      </c>
      <c r="K332" s="206">
        <v>-15.625999999999999</v>
      </c>
      <c r="L332" s="206">
        <v>979.09400000000005</v>
      </c>
      <c r="M332" s="206">
        <v>160.4983</v>
      </c>
      <c r="N332" s="206">
        <v>17748.580000000002</v>
      </c>
      <c r="O332" s="206">
        <v>0</v>
      </c>
      <c r="P332" s="414">
        <v>0</v>
      </c>
      <c r="Q332" s="396" t="s">
        <v>18</v>
      </c>
      <c r="R332" s="396" t="s">
        <v>18</v>
      </c>
      <c r="S332" s="396" t="s">
        <v>18</v>
      </c>
      <c r="T332" s="206" t="s">
        <v>592</v>
      </c>
      <c r="U332" s="206">
        <v>15</v>
      </c>
      <c r="V332" s="206">
        <v>5</v>
      </c>
      <c r="W332" s="206">
        <v>0.7</v>
      </c>
      <c r="X332" s="206">
        <v>0.7</v>
      </c>
      <c r="Y332" s="206">
        <v>0.7</v>
      </c>
      <c r="Z332" s="415">
        <v>1700</v>
      </c>
      <c r="AA332" s="415" t="s">
        <v>533</v>
      </c>
      <c r="AB332" s="415">
        <v>0.85</v>
      </c>
      <c r="AC332" s="415" t="s">
        <v>534</v>
      </c>
      <c r="AD332" s="415" t="s">
        <v>535</v>
      </c>
      <c r="AE332" s="415">
        <v>220</v>
      </c>
      <c r="AF332" s="416"/>
      <c r="AG332" s="416"/>
    </row>
    <row r="333" spans="1:33" ht="24">
      <c r="A333" s="206" t="s">
        <v>626</v>
      </c>
      <c r="B333" s="206">
        <v>16</v>
      </c>
      <c r="C333" s="206">
        <v>339</v>
      </c>
      <c r="D333" s="206" t="s">
        <v>579</v>
      </c>
      <c r="E333" s="206">
        <v>1.5</v>
      </c>
      <c r="F333" s="413">
        <v>45337.647222222222</v>
      </c>
      <c r="G333" s="206">
        <v>1</v>
      </c>
      <c r="H333" s="206">
        <v>51.370800000000003</v>
      </c>
      <c r="I333" s="206">
        <v>7.5848399999999998</v>
      </c>
      <c r="J333" s="206">
        <v>-16.4114</v>
      </c>
      <c r="K333" s="206">
        <v>-15.5724</v>
      </c>
      <c r="L333" s="206">
        <v>979.82600000000002</v>
      </c>
      <c r="M333" s="206">
        <v>138.00030000000001</v>
      </c>
      <c r="N333" s="206">
        <v>17817.990000000002</v>
      </c>
      <c r="O333" s="206">
        <v>0</v>
      </c>
      <c r="P333" s="414">
        <v>0</v>
      </c>
      <c r="Q333" s="396" t="s">
        <v>18</v>
      </c>
      <c r="R333" s="396" t="s">
        <v>18</v>
      </c>
      <c r="S333" s="396" t="s">
        <v>18</v>
      </c>
      <c r="T333" s="206" t="s">
        <v>592</v>
      </c>
      <c r="U333" s="206">
        <v>15</v>
      </c>
      <c r="V333" s="206">
        <v>5</v>
      </c>
      <c r="W333" s="206">
        <v>0.7</v>
      </c>
      <c r="X333" s="206">
        <v>0.7</v>
      </c>
      <c r="Y333" s="206">
        <v>0.7</v>
      </c>
      <c r="Z333" s="415">
        <v>1700</v>
      </c>
      <c r="AA333" s="415" t="s">
        <v>533</v>
      </c>
      <c r="AB333" s="415">
        <v>0.85</v>
      </c>
      <c r="AC333" s="415" t="s">
        <v>534</v>
      </c>
      <c r="AD333" s="415" t="s">
        <v>535</v>
      </c>
      <c r="AE333" s="415">
        <v>220</v>
      </c>
      <c r="AF333" s="416"/>
      <c r="AG333" s="416"/>
    </row>
    <row r="334" spans="1:33" ht="24">
      <c r="A334" s="206" t="s">
        <v>627</v>
      </c>
      <c r="B334" s="206">
        <v>16</v>
      </c>
      <c r="C334" s="206">
        <v>339</v>
      </c>
      <c r="D334" s="206" t="s">
        <v>579</v>
      </c>
      <c r="E334" s="206">
        <v>1.5</v>
      </c>
      <c r="F334" s="413">
        <v>45337.650694444441</v>
      </c>
      <c r="G334" s="206">
        <v>1</v>
      </c>
      <c r="H334" s="206">
        <v>51.370800000000003</v>
      </c>
      <c r="I334" s="206">
        <v>7.59558</v>
      </c>
      <c r="J334" s="206">
        <v>-16.496099999999998</v>
      </c>
      <c r="K334" s="206">
        <v>-15.657</v>
      </c>
      <c r="L334" s="206">
        <v>983.88099999999997</v>
      </c>
      <c r="M334" s="206">
        <v>125.5003</v>
      </c>
      <c r="N334" s="206">
        <v>17778.189999999999</v>
      </c>
      <c r="O334" s="206">
        <v>0</v>
      </c>
      <c r="P334" s="414">
        <v>0</v>
      </c>
      <c r="Q334" s="396" t="s">
        <v>18</v>
      </c>
      <c r="R334" s="396" t="s">
        <v>18</v>
      </c>
      <c r="S334" s="396" t="s">
        <v>18</v>
      </c>
      <c r="T334" s="206" t="s">
        <v>592</v>
      </c>
      <c r="U334" s="206">
        <v>15</v>
      </c>
      <c r="V334" s="206">
        <v>5</v>
      </c>
      <c r="W334" s="206">
        <v>0.7</v>
      </c>
      <c r="X334" s="206">
        <v>0.7</v>
      </c>
      <c r="Y334" s="206">
        <v>0.7</v>
      </c>
      <c r="Z334" s="415">
        <v>1700</v>
      </c>
      <c r="AA334" s="415" t="s">
        <v>533</v>
      </c>
      <c r="AB334" s="415">
        <v>0.85</v>
      </c>
      <c r="AC334" s="415" t="s">
        <v>534</v>
      </c>
      <c r="AD334" s="415" t="s">
        <v>535</v>
      </c>
      <c r="AE334" s="415">
        <v>220</v>
      </c>
      <c r="AF334" s="416"/>
      <c r="AG334" s="416"/>
    </row>
    <row r="335" spans="1:33" ht="24">
      <c r="A335" s="206" t="s">
        <v>628</v>
      </c>
      <c r="B335" s="206">
        <v>16</v>
      </c>
      <c r="C335" s="206">
        <v>339</v>
      </c>
      <c r="D335" s="206" t="s">
        <v>579</v>
      </c>
      <c r="E335" s="206">
        <v>1.5</v>
      </c>
      <c r="F335" s="413">
        <v>45337.654166666667</v>
      </c>
      <c r="G335" s="206">
        <v>1</v>
      </c>
      <c r="H335" s="206">
        <v>51.370800000000003</v>
      </c>
      <c r="I335" s="206">
        <v>7.5088999999999997</v>
      </c>
      <c r="J335" s="206">
        <v>-16.418099999999999</v>
      </c>
      <c r="K335" s="206">
        <v>-15.5718</v>
      </c>
      <c r="L335" s="206">
        <v>985.11400000000003</v>
      </c>
      <c r="M335" s="206">
        <v>119.9995</v>
      </c>
      <c r="N335" s="206">
        <v>17801.34</v>
      </c>
      <c r="O335" s="206">
        <v>0</v>
      </c>
      <c r="P335" s="414">
        <v>0</v>
      </c>
      <c r="Q335" s="396" t="s">
        <v>18</v>
      </c>
      <c r="R335" s="396" t="s">
        <v>18</v>
      </c>
      <c r="S335" s="396" t="s">
        <v>18</v>
      </c>
      <c r="T335" s="206" t="s">
        <v>592</v>
      </c>
      <c r="U335" s="206">
        <v>15</v>
      </c>
      <c r="V335" s="206">
        <v>5</v>
      </c>
      <c r="W335" s="206">
        <v>0.7</v>
      </c>
      <c r="X335" s="206">
        <v>0.7</v>
      </c>
      <c r="Y335" s="206">
        <v>0.7</v>
      </c>
      <c r="Z335" s="415">
        <v>1700</v>
      </c>
      <c r="AA335" s="415" t="s">
        <v>533</v>
      </c>
      <c r="AB335" s="415">
        <v>0.85</v>
      </c>
      <c r="AC335" s="415" t="s">
        <v>534</v>
      </c>
      <c r="AD335" s="415" t="s">
        <v>535</v>
      </c>
      <c r="AE335" s="415">
        <v>220</v>
      </c>
      <c r="AF335" s="416"/>
      <c r="AG335" s="416"/>
    </row>
    <row r="336" spans="1:33" ht="24">
      <c r="A336" s="206" t="s">
        <v>725</v>
      </c>
      <c r="B336" s="206">
        <v>16</v>
      </c>
      <c r="C336" s="206">
        <v>339</v>
      </c>
      <c r="D336" s="206" t="s">
        <v>579</v>
      </c>
      <c r="E336" s="206">
        <v>1.5</v>
      </c>
      <c r="F336" s="413">
        <v>45337.657638888886</v>
      </c>
      <c r="G336" s="206">
        <v>1</v>
      </c>
      <c r="H336" s="206">
        <v>51.370800000000003</v>
      </c>
      <c r="I336" s="206">
        <v>7.6154700000000002</v>
      </c>
      <c r="J336" s="206">
        <v>-16.5838</v>
      </c>
      <c r="K336" s="206">
        <v>-15.7349</v>
      </c>
      <c r="L336" s="206">
        <v>979.21900000000005</v>
      </c>
      <c r="M336" s="206">
        <v>162.50120000000001</v>
      </c>
      <c r="N336" s="206">
        <v>17838.54</v>
      </c>
      <c r="O336" s="206">
        <v>0</v>
      </c>
      <c r="P336" s="414">
        <v>0</v>
      </c>
      <c r="Q336" s="396" t="s">
        <v>18</v>
      </c>
      <c r="R336" s="396" t="s">
        <v>18</v>
      </c>
      <c r="S336" s="396" t="s">
        <v>18</v>
      </c>
      <c r="T336" s="206" t="s">
        <v>592</v>
      </c>
      <c r="U336" s="206">
        <v>15</v>
      </c>
      <c r="V336" s="206">
        <v>5</v>
      </c>
      <c r="W336" s="206">
        <v>0.7</v>
      </c>
      <c r="X336" s="206">
        <v>0.7</v>
      </c>
      <c r="Y336" s="206">
        <v>0.7</v>
      </c>
      <c r="Z336" s="415">
        <v>1700</v>
      </c>
      <c r="AA336" s="415" t="s">
        <v>533</v>
      </c>
      <c r="AB336" s="415">
        <v>0.85</v>
      </c>
      <c r="AC336" s="415" t="s">
        <v>534</v>
      </c>
      <c r="AD336" s="415" t="s">
        <v>535</v>
      </c>
      <c r="AE336" s="415">
        <v>220</v>
      </c>
      <c r="AF336" s="416"/>
      <c r="AG336" s="416"/>
    </row>
    <row r="337" spans="1:33" ht="24">
      <c r="A337" s="206" t="s">
        <v>726</v>
      </c>
      <c r="B337" s="206">
        <v>16</v>
      </c>
      <c r="C337" s="206">
        <v>339</v>
      </c>
      <c r="D337" s="206" t="s">
        <v>579</v>
      </c>
      <c r="E337" s="206">
        <v>1.5</v>
      </c>
      <c r="F337" s="413">
        <v>45337.661805555559</v>
      </c>
      <c r="G337" s="206">
        <v>2</v>
      </c>
      <c r="H337" s="206">
        <v>51.3675</v>
      </c>
      <c r="I337" s="206">
        <v>7.6160399999999999</v>
      </c>
      <c r="J337" s="206">
        <v>-16.479700000000001</v>
      </c>
      <c r="K337" s="206">
        <v>-15.651</v>
      </c>
      <c r="L337" s="206">
        <v>977.48299999999995</v>
      </c>
      <c r="M337" s="206">
        <v>176.4999</v>
      </c>
      <c r="N337" s="206">
        <v>17811.810000000001</v>
      </c>
      <c r="O337" s="206">
        <v>17811.02</v>
      </c>
      <c r="P337" s="414">
        <v>2054.3710000000001</v>
      </c>
      <c r="Q337" s="396" t="s">
        <v>18</v>
      </c>
      <c r="R337" s="414">
        <f t="shared" ref="R337:R353" si="31">((B337-B$317)/(B$353-B$317))*R$354+((1-((B337-B$317)/(B$353-B$317)))*R$316)</f>
        <v>1.098777777777842</v>
      </c>
      <c r="S337" s="396">
        <f t="shared" ref="S337:S358" si="32">P337+R337</f>
        <v>2055.4697777777778</v>
      </c>
      <c r="T337" s="206" t="s">
        <v>532</v>
      </c>
      <c r="U337" s="206">
        <v>15</v>
      </c>
      <c r="V337" s="206">
        <v>5</v>
      </c>
      <c r="W337" s="206">
        <v>0.7</v>
      </c>
      <c r="X337" s="206">
        <v>0.7</v>
      </c>
      <c r="Y337" s="206">
        <v>0.7</v>
      </c>
      <c r="Z337" s="415">
        <v>1700</v>
      </c>
      <c r="AA337" s="415" t="s">
        <v>533</v>
      </c>
      <c r="AB337" s="415">
        <v>0.85</v>
      </c>
      <c r="AC337" s="415" t="s">
        <v>534</v>
      </c>
      <c r="AD337" s="415" t="s">
        <v>535</v>
      </c>
      <c r="AE337" s="415">
        <v>220</v>
      </c>
      <c r="AF337" s="416"/>
      <c r="AG337" s="416"/>
    </row>
    <row r="338" spans="1:33" ht="25.5">
      <c r="A338" s="206" t="s">
        <v>727</v>
      </c>
      <c r="B338" s="206">
        <v>16</v>
      </c>
      <c r="C338" s="206">
        <v>339</v>
      </c>
      <c r="D338" s="206" t="s">
        <v>579</v>
      </c>
      <c r="E338" s="206">
        <v>1.5</v>
      </c>
      <c r="F338" s="413">
        <v>45337.665972222225</v>
      </c>
      <c r="G338" s="206">
        <v>2</v>
      </c>
      <c r="H338" s="206">
        <v>51.374099999999999</v>
      </c>
      <c r="I338" s="206">
        <v>7.5189899999999996</v>
      </c>
      <c r="J338" s="206">
        <v>-16.388200000000001</v>
      </c>
      <c r="K338" s="206">
        <v>-15.5418</v>
      </c>
      <c r="L338" s="206">
        <v>978.96600000000001</v>
      </c>
      <c r="M338" s="206">
        <v>128.99959999999999</v>
      </c>
      <c r="N338" s="206">
        <v>17768.240000000002</v>
      </c>
      <c r="O338" s="206">
        <v>17811.02</v>
      </c>
      <c r="P338" s="414">
        <v>2054.3710000000001</v>
      </c>
      <c r="Q338" s="396" t="s">
        <v>18</v>
      </c>
      <c r="R338" s="414">
        <f t="shared" si="31"/>
        <v>1.098777777777842</v>
      </c>
      <c r="S338" s="396">
        <f t="shared" si="32"/>
        <v>2055.4697777777778</v>
      </c>
      <c r="T338" s="206" t="s">
        <v>542</v>
      </c>
      <c r="U338" s="206">
        <v>15</v>
      </c>
      <c r="V338" s="206">
        <v>5</v>
      </c>
      <c r="W338" s="206">
        <v>0.7</v>
      </c>
      <c r="X338" s="206">
        <v>0.7</v>
      </c>
      <c r="Y338" s="206">
        <v>0.7</v>
      </c>
      <c r="Z338" s="415">
        <v>1700</v>
      </c>
      <c r="AA338" s="415" t="s">
        <v>533</v>
      </c>
      <c r="AB338" s="415">
        <v>0.85</v>
      </c>
      <c r="AC338" s="415" t="s">
        <v>534</v>
      </c>
      <c r="AD338" s="415" t="s">
        <v>535</v>
      </c>
      <c r="AE338" s="415">
        <v>220</v>
      </c>
      <c r="AF338" s="416"/>
      <c r="AG338" s="416"/>
    </row>
    <row r="339" spans="1:33" ht="24">
      <c r="A339" s="206" t="s">
        <v>728</v>
      </c>
      <c r="B339" s="206">
        <v>16</v>
      </c>
      <c r="C339" s="206">
        <v>339</v>
      </c>
      <c r="D339" s="206" t="s">
        <v>579</v>
      </c>
      <c r="E339" s="206">
        <v>1.5</v>
      </c>
      <c r="F339" s="413">
        <v>45337.670138888891</v>
      </c>
      <c r="G339" s="206">
        <v>2</v>
      </c>
      <c r="H339" s="206">
        <v>51.370800000000003</v>
      </c>
      <c r="I339" s="206">
        <v>7.5599299999999996</v>
      </c>
      <c r="J339" s="206">
        <v>-16.5974</v>
      </c>
      <c r="K339" s="206">
        <v>-15.757099999999999</v>
      </c>
      <c r="L339" s="206">
        <v>985.06899999999996</v>
      </c>
      <c r="M339" s="206">
        <v>125.0003</v>
      </c>
      <c r="N339" s="206">
        <v>17804.990000000002</v>
      </c>
      <c r="O339" s="206">
        <v>17811.02</v>
      </c>
      <c r="P339" s="414">
        <v>2054.3710000000001</v>
      </c>
      <c r="Q339" s="396" t="s">
        <v>18</v>
      </c>
      <c r="R339" s="414">
        <f t="shared" si="31"/>
        <v>1.098777777777842</v>
      </c>
      <c r="S339" s="396">
        <f t="shared" si="32"/>
        <v>2055.4697777777778</v>
      </c>
      <c r="T339" s="206" t="s">
        <v>532</v>
      </c>
      <c r="U339" s="206">
        <v>15</v>
      </c>
      <c r="V339" s="206">
        <v>5</v>
      </c>
      <c r="W339" s="206">
        <v>0.7</v>
      </c>
      <c r="X339" s="206">
        <v>0.7</v>
      </c>
      <c r="Y339" s="206">
        <v>0.7</v>
      </c>
      <c r="Z339" s="415">
        <v>1700</v>
      </c>
      <c r="AA339" s="415" t="s">
        <v>533</v>
      </c>
      <c r="AB339" s="415">
        <v>0.85</v>
      </c>
      <c r="AC339" s="415" t="s">
        <v>534</v>
      </c>
      <c r="AD339" s="415" t="s">
        <v>535</v>
      </c>
      <c r="AE339" s="415">
        <v>220</v>
      </c>
      <c r="AF339" s="416"/>
      <c r="AG339" s="416"/>
    </row>
    <row r="340" spans="1:33" ht="24">
      <c r="A340" s="206" t="s">
        <v>729</v>
      </c>
      <c r="B340" s="206">
        <v>16</v>
      </c>
      <c r="C340" s="206">
        <v>339</v>
      </c>
      <c r="D340" s="206" t="s">
        <v>579</v>
      </c>
      <c r="E340" s="206">
        <v>1.5</v>
      </c>
      <c r="F340" s="413">
        <v>45337.673611111109</v>
      </c>
      <c r="G340" s="206">
        <v>2</v>
      </c>
      <c r="H340" s="206">
        <v>51.364100000000001</v>
      </c>
      <c r="I340" s="206">
        <v>7.5568</v>
      </c>
      <c r="J340" s="206">
        <v>-16.59</v>
      </c>
      <c r="K340" s="206">
        <v>-15.7509</v>
      </c>
      <c r="L340" s="206">
        <v>976.351</v>
      </c>
      <c r="M340" s="206">
        <v>130.0008</v>
      </c>
      <c r="N340" s="206">
        <v>17816.259999999998</v>
      </c>
      <c r="O340" s="206">
        <v>17811.02</v>
      </c>
      <c r="P340" s="414">
        <v>2054.3710000000001</v>
      </c>
      <c r="Q340" s="396" t="s">
        <v>18</v>
      </c>
      <c r="R340" s="414">
        <f t="shared" si="31"/>
        <v>1.098777777777842</v>
      </c>
      <c r="S340" s="396">
        <f t="shared" si="32"/>
        <v>2055.4697777777778</v>
      </c>
      <c r="T340" s="206" t="s">
        <v>532</v>
      </c>
      <c r="U340" s="206">
        <v>15</v>
      </c>
      <c r="V340" s="206">
        <v>5</v>
      </c>
      <c r="W340" s="206">
        <v>0.7</v>
      </c>
      <c r="X340" s="206">
        <v>0.7</v>
      </c>
      <c r="Y340" s="206">
        <v>0.7</v>
      </c>
      <c r="Z340" s="415">
        <v>1700</v>
      </c>
      <c r="AA340" s="415" t="s">
        <v>533</v>
      </c>
      <c r="AB340" s="415">
        <v>0.85</v>
      </c>
      <c r="AC340" s="415" t="s">
        <v>534</v>
      </c>
      <c r="AD340" s="415" t="s">
        <v>535</v>
      </c>
      <c r="AE340" s="415">
        <v>220</v>
      </c>
      <c r="AF340" s="416"/>
      <c r="AG340" s="416"/>
    </row>
    <row r="341" spans="1:33" ht="24">
      <c r="A341" s="206" t="s">
        <v>629</v>
      </c>
      <c r="B341" s="206">
        <v>17</v>
      </c>
      <c r="C341" s="206">
        <v>340</v>
      </c>
      <c r="D341" s="206" t="s">
        <v>585</v>
      </c>
      <c r="E341" s="206">
        <v>1.5</v>
      </c>
      <c r="F341" s="413">
        <v>45337.677777777775</v>
      </c>
      <c r="G341" s="206">
        <v>1</v>
      </c>
      <c r="H341" s="206">
        <v>51.370800000000003</v>
      </c>
      <c r="I341" s="206">
        <v>7.5297599999999996</v>
      </c>
      <c r="J341" s="206">
        <v>-16.662700000000001</v>
      </c>
      <c r="K341" s="206">
        <v>-15.8215</v>
      </c>
      <c r="L341" s="206">
        <v>980</v>
      </c>
      <c r="M341" s="206">
        <v>135.50069999999999</v>
      </c>
      <c r="N341" s="206">
        <v>17801.91</v>
      </c>
      <c r="O341" s="206">
        <v>17801.12</v>
      </c>
      <c r="P341" s="414">
        <v>2053.2460000000001</v>
      </c>
      <c r="Q341" s="396" t="s">
        <v>18</v>
      </c>
      <c r="R341" s="414">
        <f t="shared" si="31"/>
        <v>1.8203333333334133</v>
      </c>
      <c r="S341" s="396">
        <f t="shared" si="32"/>
        <v>2055.0663333333337</v>
      </c>
      <c r="T341" s="206" t="s">
        <v>532</v>
      </c>
      <c r="U341" s="206">
        <v>15</v>
      </c>
      <c r="V341" s="206">
        <v>5</v>
      </c>
      <c r="W341" s="206">
        <v>0.7</v>
      </c>
      <c r="X341" s="206">
        <v>0.7</v>
      </c>
      <c r="Y341" s="206">
        <v>0.7</v>
      </c>
      <c r="Z341" s="415">
        <v>1700</v>
      </c>
      <c r="AA341" s="415" t="s">
        <v>533</v>
      </c>
      <c r="AB341" s="415">
        <v>0.85</v>
      </c>
      <c r="AC341" s="415" t="s">
        <v>534</v>
      </c>
      <c r="AD341" s="415" t="s">
        <v>535</v>
      </c>
      <c r="AE341" s="415">
        <v>220</v>
      </c>
      <c r="AF341" s="416"/>
      <c r="AG341" s="416"/>
    </row>
    <row r="342" spans="1:33" ht="25.5">
      <c r="A342" s="206" t="s">
        <v>630</v>
      </c>
      <c r="B342" s="206">
        <v>17</v>
      </c>
      <c r="C342" s="206">
        <v>340</v>
      </c>
      <c r="D342" s="206" t="s">
        <v>585</v>
      </c>
      <c r="E342" s="206">
        <v>1.5</v>
      </c>
      <c r="F342" s="413">
        <v>45337.681250000001</v>
      </c>
      <c r="G342" s="206">
        <v>1</v>
      </c>
      <c r="H342" s="206">
        <v>51.374099999999999</v>
      </c>
      <c r="I342" s="206">
        <v>7.5618100000000004</v>
      </c>
      <c r="J342" s="206">
        <v>-16.458200000000001</v>
      </c>
      <c r="K342" s="206">
        <v>-15.633100000000001</v>
      </c>
      <c r="L342" s="206">
        <v>974.42499999999995</v>
      </c>
      <c r="M342" s="206">
        <v>129.99979999999999</v>
      </c>
      <c r="N342" s="206">
        <v>17758.03</v>
      </c>
      <c r="O342" s="206">
        <v>17801.12</v>
      </c>
      <c r="P342" s="414">
        <v>2053.2460000000001</v>
      </c>
      <c r="Q342" s="396" t="s">
        <v>18</v>
      </c>
      <c r="R342" s="414">
        <f t="shared" si="31"/>
        <v>1.8203333333334133</v>
      </c>
      <c r="S342" s="396">
        <f t="shared" si="32"/>
        <v>2055.0663333333337</v>
      </c>
      <c r="T342" s="206" t="s">
        <v>542</v>
      </c>
      <c r="U342" s="206">
        <v>15</v>
      </c>
      <c r="V342" s="206">
        <v>5</v>
      </c>
      <c r="W342" s="206">
        <v>0.7</v>
      </c>
      <c r="X342" s="206">
        <v>0.7</v>
      </c>
      <c r="Y342" s="206">
        <v>0.7</v>
      </c>
      <c r="Z342" s="415">
        <v>1700</v>
      </c>
      <c r="AA342" s="415" t="s">
        <v>533</v>
      </c>
      <c r="AB342" s="415">
        <v>0.85</v>
      </c>
      <c r="AC342" s="415" t="s">
        <v>534</v>
      </c>
      <c r="AD342" s="415" t="s">
        <v>535</v>
      </c>
      <c r="AE342" s="415">
        <v>220</v>
      </c>
      <c r="AF342" s="416"/>
      <c r="AG342" s="416"/>
    </row>
    <row r="343" spans="1:33" ht="24">
      <c r="A343" s="206" t="s">
        <v>631</v>
      </c>
      <c r="B343" s="206">
        <v>17</v>
      </c>
      <c r="C343" s="206">
        <v>340</v>
      </c>
      <c r="D343" s="206" t="s">
        <v>585</v>
      </c>
      <c r="E343" s="206">
        <v>1.5</v>
      </c>
      <c r="F343" s="413">
        <v>45337.685416666667</v>
      </c>
      <c r="G343" s="206">
        <v>1</v>
      </c>
      <c r="H343" s="206">
        <v>51.374099999999999</v>
      </c>
      <c r="I343" s="206">
        <v>7.6668099999999999</v>
      </c>
      <c r="J343" s="206">
        <v>-16.5093</v>
      </c>
      <c r="K343" s="206">
        <v>-15.672700000000001</v>
      </c>
      <c r="L343" s="206">
        <v>987.774</v>
      </c>
      <c r="M343" s="206">
        <v>154.00059999999999</v>
      </c>
      <c r="N343" s="206">
        <v>17797.3</v>
      </c>
      <c r="O343" s="206">
        <v>17801.12</v>
      </c>
      <c r="P343" s="414">
        <v>2053.2460000000001</v>
      </c>
      <c r="Q343" s="396" t="s">
        <v>18</v>
      </c>
      <c r="R343" s="414">
        <f t="shared" si="31"/>
        <v>1.8203333333334133</v>
      </c>
      <c r="S343" s="396">
        <f t="shared" si="32"/>
        <v>2055.0663333333337</v>
      </c>
      <c r="T343" s="206" t="s">
        <v>532</v>
      </c>
      <c r="U343" s="206">
        <v>15</v>
      </c>
      <c r="V343" s="206">
        <v>5</v>
      </c>
      <c r="W343" s="206">
        <v>0.7</v>
      </c>
      <c r="X343" s="206">
        <v>0.7</v>
      </c>
      <c r="Y343" s="206">
        <v>0.7</v>
      </c>
      <c r="Z343" s="415">
        <v>1700</v>
      </c>
      <c r="AA343" s="415" t="s">
        <v>533</v>
      </c>
      <c r="AB343" s="415">
        <v>0.85</v>
      </c>
      <c r="AC343" s="415" t="s">
        <v>534</v>
      </c>
      <c r="AD343" s="415" t="s">
        <v>535</v>
      </c>
      <c r="AE343" s="415">
        <v>220</v>
      </c>
      <c r="AF343" s="416"/>
      <c r="AG343" s="416"/>
    </row>
    <row r="344" spans="1:33" ht="24">
      <c r="A344" s="206" t="s">
        <v>632</v>
      </c>
      <c r="B344" s="206">
        <v>17</v>
      </c>
      <c r="C344" s="206">
        <v>340</v>
      </c>
      <c r="D344" s="206" t="s">
        <v>585</v>
      </c>
      <c r="E344" s="206">
        <v>1.5</v>
      </c>
      <c r="F344" s="413">
        <v>45337.688888888886</v>
      </c>
      <c r="G344" s="206">
        <v>1</v>
      </c>
      <c r="H344" s="206">
        <v>51.364100000000001</v>
      </c>
      <c r="I344" s="206">
        <v>7.6731800000000003</v>
      </c>
      <c r="J344" s="206">
        <v>-16.5976</v>
      </c>
      <c r="K344" s="206">
        <v>-15.754799999999999</v>
      </c>
      <c r="L344" s="206">
        <v>985.91200000000003</v>
      </c>
      <c r="M344" s="206">
        <v>140.99969999999999</v>
      </c>
      <c r="N344" s="206">
        <v>17804.150000000001</v>
      </c>
      <c r="O344" s="206">
        <v>17801.12</v>
      </c>
      <c r="P344" s="414">
        <v>2053.2460000000001</v>
      </c>
      <c r="Q344" s="396" t="s">
        <v>18</v>
      </c>
      <c r="R344" s="414">
        <f t="shared" si="31"/>
        <v>1.8203333333334133</v>
      </c>
      <c r="S344" s="396">
        <f t="shared" si="32"/>
        <v>2055.0663333333337</v>
      </c>
      <c r="T344" s="206" t="s">
        <v>532</v>
      </c>
      <c r="U344" s="206">
        <v>15</v>
      </c>
      <c r="V344" s="206">
        <v>5</v>
      </c>
      <c r="W344" s="206">
        <v>0.7</v>
      </c>
      <c r="X344" s="206">
        <v>0.7</v>
      </c>
      <c r="Y344" s="206">
        <v>0.7</v>
      </c>
      <c r="Z344" s="415">
        <v>1700</v>
      </c>
      <c r="AA344" s="415" t="s">
        <v>533</v>
      </c>
      <c r="AB344" s="415">
        <v>0.85</v>
      </c>
      <c r="AC344" s="415" t="s">
        <v>534</v>
      </c>
      <c r="AD344" s="415" t="s">
        <v>535</v>
      </c>
      <c r="AE344" s="415">
        <v>220</v>
      </c>
      <c r="AF344" s="416"/>
      <c r="AG344" s="416"/>
    </row>
    <row r="345" spans="1:33" ht="25.5">
      <c r="A345" s="206" t="s">
        <v>633</v>
      </c>
      <c r="B345" s="206">
        <v>18</v>
      </c>
      <c r="C345" s="206">
        <v>482</v>
      </c>
      <c r="D345" s="206" t="s">
        <v>591</v>
      </c>
      <c r="E345" s="206">
        <v>1.5</v>
      </c>
      <c r="F345" s="413">
        <v>45337.693055555559</v>
      </c>
      <c r="G345" s="206">
        <v>1</v>
      </c>
      <c r="H345" s="206">
        <v>51.370800000000003</v>
      </c>
      <c r="I345" s="206">
        <v>7.5856300000000001</v>
      </c>
      <c r="J345" s="206">
        <v>-16.668700000000001</v>
      </c>
      <c r="K345" s="206">
        <v>-15.826700000000001</v>
      </c>
      <c r="L345" s="206">
        <v>987.62699999999995</v>
      </c>
      <c r="M345" s="206">
        <v>152.49940000000001</v>
      </c>
      <c r="N345" s="206">
        <v>17848.349999999999</v>
      </c>
      <c r="O345" s="206">
        <v>17796.919999999998</v>
      </c>
      <c r="P345" s="414">
        <v>2052.7689999999998</v>
      </c>
      <c r="Q345" s="396" t="s">
        <v>18</v>
      </c>
      <c r="R345" s="414">
        <f t="shared" si="31"/>
        <v>2.5418888888889848</v>
      </c>
      <c r="S345" s="396">
        <f t="shared" si="32"/>
        <v>2055.3108888888887</v>
      </c>
      <c r="T345" s="206" t="s">
        <v>542</v>
      </c>
      <c r="U345" s="206">
        <v>15</v>
      </c>
      <c r="V345" s="206">
        <v>5</v>
      </c>
      <c r="W345" s="206">
        <v>0.7</v>
      </c>
      <c r="X345" s="206">
        <v>0.7</v>
      </c>
      <c r="Y345" s="206">
        <v>0.7</v>
      </c>
      <c r="Z345" s="415">
        <v>1700</v>
      </c>
      <c r="AA345" s="415" t="s">
        <v>533</v>
      </c>
      <c r="AB345" s="415">
        <v>0.85</v>
      </c>
      <c r="AC345" s="415" t="s">
        <v>534</v>
      </c>
      <c r="AD345" s="415" t="s">
        <v>535</v>
      </c>
      <c r="AE345" s="415">
        <v>220</v>
      </c>
      <c r="AF345" s="416"/>
      <c r="AG345" s="416"/>
    </row>
    <row r="346" spans="1:33" ht="25.5">
      <c r="A346" s="206" t="s">
        <v>634</v>
      </c>
      <c r="B346" s="206">
        <v>18</v>
      </c>
      <c r="C346" s="206">
        <v>482</v>
      </c>
      <c r="D346" s="206" t="s">
        <v>591</v>
      </c>
      <c r="E346" s="206">
        <v>1.5</v>
      </c>
      <c r="F346" s="413">
        <v>45337.697222222225</v>
      </c>
      <c r="G346" s="206">
        <v>1</v>
      </c>
      <c r="H346" s="206">
        <v>51.370800000000003</v>
      </c>
      <c r="I346" s="206">
        <v>7.5664899999999999</v>
      </c>
      <c r="J346" s="206">
        <v>-16.533200000000001</v>
      </c>
      <c r="K346" s="206">
        <v>-15.7043</v>
      </c>
      <c r="L346" s="206">
        <v>982.12800000000004</v>
      </c>
      <c r="M346" s="206">
        <v>205.0001</v>
      </c>
      <c r="N346" s="206">
        <v>17844.169999999998</v>
      </c>
      <c r="O346" s="206">
        <v>17796.919999999998</v>
      </c>
      <c r="P346" s="414">
        <v>2052.7689999999998</v>
      </c>
      <c r="Q346" s="396" t="s">
        <v>18</v>
      </c>
      <c r="R346" s="414">
        <f t="shared" si="31"/>
        <v>2.5418888888889848</v>
      </c>
      <c r="S346" s="396">
        <f t="shared" si="32"/>
        <v>2055.3108888888887</v>
      </c>
      <c r="T346" s="206" t="s">
        <v>542</v>
      </c>
      <c r="U346" s="206">
        <v>15</v>
      </c>
      <c r="V346" s="206">
        <v>5</v>
      </c>
      <c r="W346" s="206">
        <v>0.7</v>
      </c>
      <c r="X346" s="206">
        <v>0.7</v>
      </c>
      <c r="Y346" s="206">
        <v>0.7</v>
      </c>
      <c r="Z346" s="415">
        <v>1700</v>
      </c>
      <c r="AA346" s="415" t="s">
        <v>533</v>
      </c>
      <c r="AB346" s="415">
        <v>0.85</v>
      </c>
      <c r="AC346" s="415" t="s">
        <v>534</v>
      </c>
      <c r="AD346" s="415" t="s">
        <v>535</v>
      </c>
      <c r="AE346" s="415">
        <v>220</v>
      </c>
      <c r="AF346" s="416"/>
      <c r="AG346" s="416"/>
    </row>
    <row r="347" spans="1:33" ht="24">
      <c r="A347" s="206" t="s">
        <v>635</v>
      </c>
      <c r="B347" s="206">
        <v>18</v>
      </c>
      <c r="C347" s="206">
        <v>482</v>
      </c>
      <c r="D347" s="206" t="s">
        <v>591</v>
      </c>
      <c r="E347" s="206">
        <v>1.5</v>
      </c>
      <c r="F347" s="413">
        <v>45337.70208333333</v>
      </c>
      <c r="G347" s="206">
        <v>1</v>
      </c>
      <c r="H347" s="206">
        <v>51.374099999999999</v>
      </c>
      <c r="I347" s="206">
        <v>7.5635500000000002</v>
      </c>
      <c r="J347" s="206">
        <v>-16.613299999999999</v>
      </c>
      <c r="K347" s="206">
        <v>-15.7639</v>
      </c>
      <c r="L347" s="206">
        <v>986.52499999999998</v>
      </c>
      <c r="M347" s="206">
        <v>136.4984</v>
      </c>
      <c r="N347" s="206">
        <v>17780.650000000001</v>
      </c>
      <c r="O347" s="206">
        <v>17796.919999999998</v>
      </c>
      <c r="P347" s="414">
        <v>2052.7689999999998</v>
      </c>
      <c r="Q347" s="396" t="s">
        <v>18</v>
      </c>
      <c r="R347" s="414">
        <f t="shared" si="31"/>
        <v>2.5418888888889848</v>
      </c>
      <c r="S347" s="396">
        <f t="shared" si="32"/>
        <v>2055.3108888888887</v>
      </c>
      <c r="T347" s="206" t="s">
        <v>532</v>
      </c>
      <c r="U347" s="206">
        <v>15</v>
      </c>
      <c r="V347" s="206">
        <v>5</v>
      </c>
      <c r="W347" s="206">
        <v>0.7</v>
      </c>
      <c r="X347" s="206">
        <v>0.7</v>
      </c>
      <c r="Y347" s="206">
        <v>0.7</v>
      </c>
      <c r="Z347" s="415">
        <v>1700</v>
      </c>
      <c r="AA347" s="415" t="s">
        <v>533</v>
      </c>
      <c r="AB347" s="415">
        <v>0.85</v>
      </c>
      <c r="AC347" s="415" t="s">
        <v>534</v>
      </c>
      <c r="AD347" s="415" t="s">
        <v>535</v>
      </c>
      <c r="AE347" s="415">
        <v>220</v>
      </c>
      <c r="AF347" s="416"/>
      <c r="AG347" s="416"/>
    </row>
    <row r="348" spans="1:33" ht="24">
      <c r="A348" s="206" t="s">
        <v>636</v>
      </c>
      <c r="B348" s="206">
        <v>18</v>
      </c>
      <c r="C348" s="206">
        <v>482</v>
      </c>
      <c r="D348" s="206" t="s">
        <v>591</v>
      </c>
      <c r="E348" s="206">
        <v>1.5</v>
      </c>
      <c r="F348" s="413">
        <v>45337.705555555556</v>
      </c>
      <c r="G348" s="206">
        <v>1</v>
      </c>
      <c r="H348" s="206">
        <v>51.370800000000003</v>
      </c>
      <c r="I348" s="206">
        <v>7.5233400000000001</v>
      </c>
      <c r="J348" s="206">
        <v>-16.527899999999999</v>
      </c>
      <c r="K348" s="206">
        <v>-15.684100000000001</v>
      </c>
      <c r="L348" s="206">
        <v>979.98099999999999</v>
      </c>
      <c r="M348" s="206">
        <v>142</v>
      </c>
      <c r="N348" s="206">
        <v>17802.419999999998</v>
      </c>
      <c r="O348" s="206">
        <v>17796.919999999998</v>
      </c>
      <c r="P348" s="414">
        <v>2052.7689999999998</v>
      </c>
      <c r="Q348" s="396" t="s">
        <v>18</v>
      </c>
      <c r="R348" s="414">
        <f t="shared" si="31"/>
        <v>2.5418888888889848</v>
      </c>
      <c r="S348" s="396">
        <f t="shared" si="32"/>
        <v>2055.3108888888887</v>
      </c>
      <c r="T348" s="206" t="s">
        <v>532</v>
      </c>
      <c r="U348" s="206">
        <v>15</v>
      </c>
      <c r="V348" s="206">
        <v>5</v>
      </c>
      <c r="W348" s="206">
        <v>0.7</v>
      </c>
      <c r="X348" s="206">
        <v>0.7</v>
      </c>
      <c r="Y348" s="206">
        <v>0.7</v>
      </c>
      <c r="Z348" s="415">
        <v>1700</v>
      </c>
      <c r="AA348" s="415" t="s">
        <v>533</v>
      </c>
      <c r="AB348" s="415">
        <v>0.85</v>
      </c>
      <c r="AC348" s="415" t="s">
        <v>534</v>
      </c>
      <c r="AD348" s="415" t="s">
        <v>535</v>
      </c>
      <c r="AE348" s="415">
        <v>220</v>
      </c>
      <c r="AF348" s="416"/>
      <c r="AG348" s="416"/>
    </row>
    <row r="349" spans="1:33" ht="24">
      <c r="A349" s="206" t="s">
        <v>637</v>
      </c>
      <c r="B349" s="206">
        <v>18</v>
      </c>
      <c r="C349" s="206">
        <v>482</v>
      </c>
      <c r="D349" s="206" t="s">
        <v>591</v>
      </c>
      <c r="E349" s="206">
        <v>1.5</v>
      </c>
      <c r="F349" s="413">
        <v>45337.709722222222</v>
      </c>
      <c r="G349" s="206">
        <v>1</v>
      </c>
      <c r="H349" s="206">
        <v>51.370800000000003</v>
      </c>
      <c r="I349" s="206">
        <v>7.5495299999999999</v>
      </c>
      <c r="J349" s="206">
        <v>-16.4937</v>
      </c>
      <c r="K349" s="206">
        <v>-15.6472</v>
      </c>
      <c r="L349" s="206">
        <v>977.72500000000002</v>
      </c>
      <c r="M349" s="206">
        <v>150.99979999999999</v>
      </c>
      <c r="N349" s="206">
        <v>17807.68</v>
      </c>
      <c r="O349" s="206">
        <v>17796.919999999998</v>
      </c>
      <c r="P349" s="414">
        <v>2052.7689999999998</v>
      </c>
      <c r="Q349" s="396" t="s">
        <v>18</v>
      </c>
      <c r="R349" s="414">
        <f t="shared" si="31"/>
        <v>2.5418888888889848</v>
      </c>
      <c r="S349" s="396">
        <f t="shared" si="32"/>
        <v>2055.3108888888887</v>
      </c>
      <c r="T349" s="206" t="s">
        <v>532</v>
      </c>
      <c r="U349" s="206">
        <v>15</v>
      </c>
      <c r="V349" s="206">
        <v>5</v>
      </c>
      <c r="W349" s="206">
        <v>0.7</v>
      </c>
      <c r="X349" s="206">
        <v>0.7</v>
      </c>
      <c r="Y349" s="206">
        <v>0.7</v>
      </c>
      <c r="Z349" s="415">
        <v>1700</v>
      </c>
      <c r="AA349" s="415" t="s">
        <v>533</v>
      </c>
      <c r="AB349" s="415">
        <v>0.85</v>
      </c>
      <c r="AC349" s="415" t="s">
        <v>534</v>
      </c>
      <c r="AD349" s="415" t="s">
        <v>535</v>
      </c>
      <c r="AE349" s="415">
        <v>220</v>
      </c>
      <c r="AF349" s="416"/>
      <c r="AG349" s="416"/>
    </row>
    <row r="350" spans="1:33" ht="24">
      <c r="A350" s="206" t="s">
        <v>638</v>
      </c>
      <c r="B350" s="206">
        <v>19</v>
      </c>
      <c r="C350" s="206">
        <v>483</v>
      </c>
      <c r="D350" s="206" t="s">
        <v>601</v>
      </c>
      <c r="E350" s="206">
        <v>1.5</v>
      </c>
      <c r="F350" s="413">
        <v>45337.713888888888</v>
      </c>
      <c r="G350" s="206">
        <v>1</v>
      </c>
      <c r="H350" s="206">
        <v>51.370800000000003</v>
      </c>
      <c r="I350" s="206">
        <v>7.4346800000000002</v>
      </c>
      <c r="J350" s="206">
        <v>-16.368099999999998</v>
      </c>
      <c r="K350" s="206">
        <v>-15.5487</v>
      </c>
      <c r="L350" s="206">
        <v>980.85500000000002</v>
      </c>
      <c r="M350" s="206">
        <v>126.5001</v>
      </c>
      <c r="N350" s="206">
        <v>17782.580000000002</v>
      </c>
      <c r="O350" s="206">
        <v>17795.96</v>
      </c>
      <c r="P350" s="414">
        <v>2052.66</v>
      </c>
      <c r="Q350" s="396" t="s">
        <v>18</v>
      </c>
      <c r="R350" s="414">
        <f t="shared" si="31"/>
        <v>3.2634444444445561</v>
      </c>
      <c r="S350" s="396">
        <f t="shared" si="32"/>
        <v>2055.9234444444446</v>
      </c>
      <c r="T350" s="206" t="s">
        <v>532</v>
      </c>
      <c r="U350" s="206">
        <v>15</v>
      </c>
      <c r="V350" s="206">
        <v>5</v>
      </c>
      <c r="W350" s="206">
        <v>0.7</v>
      </c>
      <c r="X350" s="206">
        <v>0.7</v>
      </c>
      <c r="Y350" s="206">
        <v>0.7</v>
      </c>
      <c r="Z350" s="415">
        <v>1700</v>
      </c>
      <c r="AA350" s="415" t="s">
        <v>533</v>
      </c>
      <c r="AB350" s="415">
        <v>0.85</v>
      </c>
      <c r="AC350" s="415" t="s">
        <v>534</v>
      </c>
      <c r="AD350" s="415" t="s">
        <v>535</v>
      </c>
      <c r="AE350" s="415">
        <v>220</v>
      </c>
      <c r="AF350" s="416"/>
      <c r="AG350" s="416"/>
    </row>
    <row r="351" spans="1:33" ht="24">
      <c r="A351" s="206" t="s">
        <v>639</v>
      </c>
      <c r="B351" s="206">
        <v>19</v>
      </c>
      <c r="C351" s="206">
        <v>483</v>
      </c>
      <c r="D351" s="206" t="s">
        <v>601</v>
      </c>
      <c r="E351" s="206">
        <v>1.5</v>
      </c>
      <c r="F351" s="413">
        <v>45337.717361111114</v>
      </c>
      <c r="G351" s="206">
        <v>1</v>
      </c>
      <c r="H351" s="206">
        <v>51.3675</v>
      </c>
      <c r="I351" s="206">
        <v>7.4865399999999998</v>
      </c>
      <c r="J351" s="206">
        <v>-16.4496</v>
      </c>
      <c r="K351" s="206">
        <v>-15.6691</v>
      </c>
      <c r="L351" s="206">
        <v>984.68499999999995</v>
      </c>
      <c r="M351" s="206">
        <v>152.49959999999999</v>
      </c>
      <c r="N351" s="206">
        <v>17809.54</v>
      </c>
      <c r="O351" s="206">
        <v>17795.96</v>
      </c>
      <c r="P351" s="414">
        <v>2052.66</v>
      </c>
      <c r="Q351" s="396" t="s">
        <v>18</v>
      </c>
      <c r="R351" s="414">
        <f t="shared" si="31"/>
        <v>3.2634444444445561</v>
      </c>
      <c r="S351" s="396">
        <f t="shared" si="32"/>
        <v>2055.9234444444446</v>
      </c>
      <c r="T351" s="206" t="s">
        <v>532</v>
      </c>
      <c r="U351" s="206">
        <v>15</v>
      </c>
      <c r="V351" s="206">
        <v>5</v>
      </c>
      <c r="W351" s="206">
        <v>0.7</v>
      </c>
      <c r="X351" s="206">
        <v>0.7</v>
      </c>
      <c r="Y351" s="206">
        <v>0.7</v>
      </c>
      <c r="Z351" s="415">
        <v>1700</v>
      </c>
      <c r="AA351" s="415" t="s">
        <v>533</v>
      </c>
      <c r="AB351" s="415">
        <v>0.85</v>
      </c>
      <c r="AC351" s="415" t="s">
        <v>534</v>
      </c>
      <c r="AD351" s="415" t="s">
        <v>535</v>
      </c>
      <c r="AE351" s="415">
        <v>220</v>
      </c>
      <c r="AF351" s="416"/>
      <c r="AG351" s="416"/>
    </row>
    <row r="352" spans="1:33" ht="24">
      <c r="A352" s="206" t="s">
        <v>640</v>
      </c>
      <c r="B352" s="206">
        <v>19</v>
      </c>
      <c r="C352" s="206">
        <v>483</v>
      </c>
      <c r="D352" s="206" t="s">
        <v>601</v>
      </c>
      <c r="E352" s="206">
        <v>1.5</v>
      </c>
      <c r="F352" s="413">
        <v>45337.72152777778</v>
      </c>
      <c r="G352" s="206">
        <v>1</v>
      </c>
      <c r="H352" s="206">
        <v>51.374099999999999</v>
      </c>
      <c r="I352" s="206">
        <v>7.5502799999999999</v>
      </c>
      <c r="J352" s="206">
        <v>-16.398499999999999</v>
      </c>
      <c r="K352" s="206">
        <v>-15.5726</v>
      </c>
      <c r="L352" s="206">
        <v>978.41200000000003</v>
      </c>
      <c r="M352" s="206">
        <v>131.9991</v>
      </c>
      <c r="N352" s="206">
        <v>17795.740000000002</v>
      </c>
      <c r="O352" s="206">
        <v>17795.96</v>
      </c>
      <c r="P352" s="414">
        <v>2052.66</v>
      </c>
      <c r="Q352" s="396" t="s">
        <v>18</v>
      </c>
      <c r="R352" s="414">
        <f t="shared" si="31"/>
        <v>3.2634444444445561</v>
      </c>
      <c r="S352" s="396">
        <f t="shared" si="32"/>
        <v>2055.9234444444446</v>
      </c>
      <c r="T352" s="206" t="s">
        <v>532</v>
      </c>
      <c r="U352" s="206">
        <v>15</v>
      </c>
      <c r="V352" s="206">
        <v>5</v>
      </c>
      <c r="W352" s="206">
        <v>0.7</v>
      </c>
      <c r="X352" s="206">
        <v>0.7</v>
      </c>
      <c r="Y352" s="206">
        <v>0.7</v>
      </c>
      <c r="Z352" s="415">
        <v>1700</v>
      </c>
      <c r="AA352" s="415" t="s">
        <v>533</v>
      </c>
      <c r="AB352" s="415">
        <v>0.85</v>
      </c>
      <c r="AC352" s="415" t="s">
        <v>534</v>
      </c>
      <c r="AD352" s="415" t="s">
        <v>535</v>
      </c>
      <c r="AE352" s="415">
        <v>220</v>
      </c>
      <c r="AF352" s="416"/>
      <c r="AG352" s="416"/>
    </row>
    <row r="353" spans="1:33" ht="24">
      <c r="A353" s="206" t="s">
        <v>643</v>
      </c>
      <c r="B353" s="206">
        <v>20</v>
      </c>
      <c r="C353" s="206" t="s">
        <v>722</v>
      </c>
      <c r="D353" s="206" t="s">
        <v>531</v>
      </c>
      <c r="E353" s="206">
        <v>1.5</v>
      </c>
      <c r="F353" s="413">
        <v>45337.725694444445</v>
      </c>
      <c r="G353" s="206">
        <v>1</v>
      </c>
      <c r="H353" s="206">
        <v>51.370800000000003</v>
      </c>
      <c r="I353" s="206">
        <v>7.6202300000000003</v>
      </c>
      <c r="J353" s="206">
        <v>-16.442499999999999</v>
      </c>
      <c r="K353" s="206">
        <v>-15.62</v>
      </c>
      <c r="L353" s="206">
        <v>985.74599999999998</v>
      </c>
      <c r="M353" s="206">
        <v>162.50040000000001</v>
      </c>
      <c r="N353" s="206">
        <v>17876.29</v>
      </c>
      <c r="O353" s="206">
        <v>17888.259999999998</v>
      </c>
      <c r="P353" s="414">
        <v>2063.145</v>
      </c>
      <c r="Q353" s="396" t="s">
        <v>18</v>
      </c>
      <c r="R353" s="414">
        <f t="shared" si="31"/>
        <v>3.9850000000001273</v>
      </c>
      <c r="S353" s="396">
        <f t="shared" si="32"/>
        <v>2067.13</v>
      </c>
      <c r="T353" s="206" t="s">
        <v>532</v>
      </c>
      <c r="U353" s="206">
        <v>15</v>
      </c>
      <c r="V353" s="206">
        <v>5</v>
      </c>
      <c r="W353" s="206">
        <v>0.7</v>
      </c>
      <c r="X353" s="206">
        <v>0.7</v>
      </c>
      <c r="Y353" s="206">
        <v>0.7</v>
      </c>
      <c r="Z353" s="415">
        <v>1700</v>
      </c>
      <c r="AA353" s="415" t="s">
        <v>533</v>
      </c>
      <c r="AB353" s="415">
        <v>0.85</v>
      </c>
      <c r="AC353" s="415" t="s">
        <v>534</v>
      </c>
      <c r="AD353" s="415" t="s">
        <v>535</v>
      </c>
      <c r="AE353" s="415">
        <v>220</v>
      </c>
      <c r="AF353" s="416"/>
      <c r="AG353" s="417"/>
    </row>
    <row r="354" spans="1:33" ht="24">
      <c r="A354" s="206" t="s">
        <v>644</v>
      </c>
      <c r="B354" s="206">
        <v>20</v>
      </c>
      <c r="C354" s="206" t="s">
        <v>722</v>
      </c>
      <c r="D354" s="206" t="s">
        <v>531</v>
      </c>
      <c r="E354" s="206">
        <v>1.5</v>
      </c>
      <c r="F354" s="413">
        <v>45337.729861111111</v>
      </c>
      <c r="G354" s="206">
        <v>1</v>
      </c>
      <c r="H354" s="206">
        <v>51.370800000000003</v>
      </c>
      <c r="I354" s="206">
        <v>7.6705100000000002</v>
      </c>
      <c r="J354" s="206">
        <v>-16.444500000000001</v>
      </c>
      <c r="K354" s="206">
        <v>-15.614699999999999</v>
      </c>
      <c r="L354" s="206">
        <v>995.601</v>
      </c>
      <c r="M354" s="206">
        <v>137.00110000000001</v>
      </c>
      <c r="N354" s="206">
        <v>17888.16</v>
      </c>
      <c r="O354" s="206">
        <v>17888.259999999998</v>
      </c>
      <c r="P354" s="414">
        <v>2063.145</v>
      </c>
      <c r="Q354" s="396" t="s">
        <v>18</v>
      </c>
      <c r="R354" s="414">
        <f t="shared" ref="R354:R358" si="33">2067.13-P354</f>
        <v>3.9850000000001273</v>
      </c>
      <c r="S354" s="396">
        <f t="shared" si="32"/>
        <v>2067.13</v>
      </c>
      <c r="T354" s="206" t="s">
        <v>532</v>
      </c>
      <c r="U354" s="206">
        <v>15</v>
      </c>
      <c r="V354" s="206">
        <v>5</v>
      </c>
      <c r="W354" s="206">
        <v>0.7</v>
      </c>
      <c r="X354" s="206">
        <v>0.7</v>
      </c>
      <c r="Y354" s="206">
        <v>0.7</v>
      </c>
      <c r="Z354" s="415">
        <v>1700</v>
      </c>
      <c r="AA354" s="415" t="s">
        <v>533</v>
      </c>
      <c r="AB354" s="415">
        <v>0.85</v>
      </c>
      <c r="AC354" s="415" t="s">
        <v>534</v>
      </c>
      <c r="AD354" s="415" t="s">
        <v>535</v>
      </c>
      <c r="AE354" s="415">
        <v>220</v>
      </c>
      <c r="AF354" s="416"/>
      <c r="AG354" s="417"/>
    </row>
    <row r="355" spans="1:33" ht="24">
      <c r="A355" s="206" t="s">
        <v>645</v>
      </c>
      <c r="B355" s="206">
        <v>20</v>
      </c>
      <c r="C355" s="206" t="s">
        <v>722</v>
      </c>
      <c r="D355" s="206" t="s">
        <v>531</v>
      </c>
      <c r="E355" s="206">
        <v>1.5</v>
      </c>
      <c r="F355" s="413">
        <v>45337.73333333333</v>
      </c>
      <c r="G355" s="206">
        <v>1</v>
      </c>
      <c r="H355" s="206">
        <v>51.374099999999999</v>
      </c>
      <c r="I355" s="206">
        <v>7.6398900000000003</v>
      </c>
      <c r="J355" s="206">
        <v>-16.457100000000001</v>
      </c>
      <c r="K355" s="206">
        <v>-15.619300000000001</v>
      </c>
      <c r="L355" s="206">
        <v>992.72400000000005</v>
      </c>
      <c r="M355" s="206">
        <v>129.9999</v>
      </c>
      <c r="N355" s="206">
        <v>17900.34</v>
      </c>
      <c r="O355" s="206">
        <v>17888.259999999998</v>
      </c>
      <c r="P355" s="414">
        <v>2063.145</v>
      </c>
      <c r="Q355" s="396" t="s">
        <v>18</v>
      </c>
      <c r="R355" s="414">
        <f t="shared" si="33"/>
        <v>3.9850000000001273</v>
      </c>
      <c r="S355" s="396">
        <f t="shared" si="32"/>
        <v>2067.13</v>
      </c>
      <c r="T355" s="206" t="s">
        <v>532</v>
      </c>
      <c r="U355" s="206">
        <v>15</v>
      </c>
      <c r="V355" s="206">
        <v>5</v>
      </c>
      <c r="W355" s="206">
        <v>0.7</v>
      </c>
      <c r="X355" s="206">
        <v>0.7</v>
      </c>
      <c r="Y355" s="206">
        <v>0.7</v>
      </c>
      <c r="Z355" s="415">
        <v>1700</v>
      </c>
      <c r="AA355" s="415" t="s">
        <v>533</v>
      </c>
      <c r="AB355" s="415">
        <v>0.85</v>
      </c>
      <c r="AC355" s="415" t="s">
        <v>534</v>
      </c>
      <c r="AD355" s="415" t="s">
        <v>535</v>
      </c>
      <c r="AE355" s="415">
        <v>220</v>
      </c>
      <c r="AF355" s="416"/>
      <c r="AG355" s="417"/>
    </row>
    <row r="356" spans="1:33" ht="24">
      <c r="A356" s="206" t="s">
        <v>646</v>
      </c>
      <c r="B356" s="206" t="s">
        <v>529</v>
      </c>
      <c r="C356" s="206" t="s">
        <v>730</v>
      </c>
      <c r="D356" s="206" t="s">
        <v>531</v>
      </c>
      <c r="E356" s="206">
        <v>1.5</v>
      </c>
      <c r="F356" s="413">
        <v>45337.740972222222</v>
      </c>
      <c r="G356" s="206">
        <v>1</v>
      </c>
      <c r="H356" s="206">
        <v>51.374099999999999</v>
      </c>
      <c r="I356" s="206">
        <v>7.6011800000000003</v>
      </c>
      <c r="J356" s="206">
        <v>-16.433800000000002</v>
      </c>
      <c r="K356" s="206">
        <v>-15.6013</v>
      </c>
      <c r="L356" s="206">
        <v>994.24400000000003</v>
      </c>
      <c r="M356" s="206">
        <v>128.50020000000001</v>
      </c>
      <c r="N356" s="206">
        <v>17884.12</v>
      </c>
      <c r="O356" s="206">
        <v>17884.12</v>
      </c>
      <c r="P356" s="414">
        <v>2062.674</v>
      </c>
      <c r="Q356" s="396" t="s">
        <v>18</v>
      </c>
      <c r="R356" s="414">
        <f t="shared" si="33"/>
        <v>4.456000000000131</v>
      </c>
      <c r="S356" s="396">
        <f t="shared" si="32"/>
        <v>2067.13</v>
      </c>
      <c r="T356" s="206" t="s">
        <v>532</v>
      </c>
      <c r="U356" s="206">
        <v>15</v>
      </c>
      <c r="V356" s="206">
        <v>5</v>
      </c>
      <c r="W356" s="206">
        <v>0.7</v>
      </c>
      <c r="X356" s="206">
        <v>0.7</v>
      </c>
      <c r="Y356" s="206">
        <v>0.7</v>
      </c>
      <c r="Z356" s="415">
        <v>1700</v>
      </c>
      <c r="AA356" s="415" t="s">
        <v>533</v>
      </c>
      <c r="AB356" s="415">
        <v>0.85</v>
      </c>
      <c r="AC356" s="415" t="s">
        <v>534</v>
      </c>
      <c r="AD356" s="415" t="s">
        <v>535</v>
      </c>
      <c r="AE356" s="415">
        <v>220</v>
      </c>
      <c r="AF356" s="416"/>
      <c r="AG356" s="417"/>
    </row>
    <row r="357" spans="1:33" ht="24">
      <c r="A357" s="206" t="s">
        <v>651</v>
      </c>
      <c r="B357" s="206" t="s">
        <v>529</v>
      </c>
      <c r="C357" s="206" t="s">
        <v>730</v>
      </c>
      <c r="D357" s="206" t="s">
        <v>531</v>
      </c>
      <c r="E357" s="206">
        <v>1.5</v>
      </c>
      <c r="F357" s="413">
        <v>45337.751388888886</v>
      </c>
      <c r="G357" s="206">
        <v>1</v>
      </c>
      <c r="H357" s="206">
        <v>51.370800000000003</v>
      </c>
      <c r="I357" s="206">
        <v>7.5931899999999999</v>
      </c>
      <c r="J357" s="206">
        <v>-16.288799999999998</v>
      </c>
      <c r="K357" s="206">
        <v>-15.446300000000001</v>
      </c>
      <c r="L357" s="206">
        <v>989.68399999999997</v>
      </c>
      <c r="M357" s="206">
        <v>131.501</v>
      </c>
      <c r="N357" s="206">
        <v>17891.439999999999</v>
      </c>
      <c r="O357" s="206">
        <v>17891.439999999999</v>
      </c>
      <c r="P357" s="414">
        <v>2063.5050000000001</v>
      </c>
      <c r="Q357" s="396" t="s">
        <v>18</v>
      </c>
      <c r="R357" s="414">
        <f t="shared" si="33"/>
        <v>3.625</v>
      </c>
      <c r="S357" s="396">
        <f t="shared" si="32"/>
        <v>2067.13</v>
      </c>
      <c r="T357" s="206" t="s">
        <v>532</v>
      </c>
      <c r="U357" s="206">
        <v>15</v>
      </c>
      <c r="V357" s="206">
        <v>5</v>
      </c>
      <c r="W357" s="206">
        <v>0.7</v>
      </c>
      <c r="X357" s="206">
        <v>0.7</v>
      </c>
      <c r="Y357" s="206">
        <v>0.7</v>
      </c>
      <c r="Z357" s="415">
        <v>1700</v>
      </c>
      <c r="AA357" s="415" t="s">
        <v>533</v>
      </c>
      <c r="AB357" s="415">
        <v>0.85</v>
      </c>
      <c r="AC357" s="415" t="s">
        <v>534</v>
      </c>
      <c r="AD357" s="415" t="s">
        <v>535</v>
      </c>
      <c r="AE357" s="415">
        <v>220</v>
      </c>
      <c r="AF357" s="416"/>
      <c r="AG357" s="417"/>
    </row>
    <row r="358" spans="1:33" ht="24">
      <c r="A358" s="206" t="s">
        <v>660</v>
      </c>
      <c r="B358" s="206" t="s">
        <v>529</v>
      </c>
      <c r="C358" s="206" t="s">
        <v>730</v>
      </c>
      <c r="D358" s="206" t="s">
        <v>531</v>
      </c>
      <c r="E358" s="206">
        <v>1.5</v>
      </c>
      <c r="F358" s="413">
        <v>45337.754861111112</v>
      </c>
      <c r="G358" s="206">
        <v>1</v>
      </c>
      <c r="H358" s="206">
        <v>51.370800000000003</v>
      </c>
      <c r="I358" s="206">
        <v>7.6732800000000001</v>
      </c>
      <c r="J358" s="206">
        <v>-16.336200000000002</v>
      </c>
      <c r="K358" s="206">
        <v>-15.4922</v>
      </c>
      <c r="L358" s="206">
        <v>995.27800000000002</v>
      </c>
      <c r="M358" s="206">
        <v>120.00109999999999</v>
      </c>
      <c r="N358" s="206">
        <v>17890.439999999999</v>
      </c>
      <c r="O358" s="206">
        <v>17890.439999999999</v>
      </c>
      <c r="P358" s="414">
        <v>2063.3919999999998</v>
      </c>
      <c r="Q358" s="396" t="s">
        <v>18</v>
      </c>
      <c r="R358" s="414">
        <f t="shared" si="33"/>
        <v>3.7380000000002838</v>
      </c>
      <c r="S358" s="396">
        <f t="shared" si="32"/>
        <v>2067.13</v>
      </c>
      <c r="T358" s="206" t="s">
        <v>532</v>
      </c>
      <c r="U358" s="206">
        <v>15</v>
      </c>
      <c r="V358" s="206">
        <v>5</v>
      </c>
      <c r="W358" s="206">
        <v>0.7</v>
      </c>
      <c r="X358" s="206">
        <v>0.7</v>
      </c>
      <c r="Y358" s="206">
        <v>0.7</v>
      </c>
      <c r="Z358" s="415">
        <v>1700</v>
      </c>
      <c r="AA358" s="415" t="s">
        <v>533</v>
      </c>
      <c r="AB358" s="415">
        <v>0.85</v>
      </c>
      <c r="AC358" s="415" t="s">
        <v>534</v>
      </c>
      <c r="AD358" s="415" t="s">
        <v>535</v>
      </c>
      <c r="AE358" s="415">
        <v>220</v>
      </c>
      <c r="AF358" s="416"/>
      <c r="AG358" s="417"/>
    </row>
    <row r="359" spans="1:33" ht="15.75">
      <c r="A359" s="408" t="s">
        <v>528</v>
      </c>
      <c r="B359" s="408" t="s">
        <v>529</v>
      </c>
      <c r="C359" s="408" t="s">
        <v>530</v>
      </c>
      <c r="D359" s="408" t="s">
        <v>531</v>
      </c>
      <c r="E359" s="408">
        <v>1</v>
      </c>
      <c r="F359" s="412">
        <v>45345.384722222225</v>
      </c>
      <c r="G359" s="408">
        <v>1</v>
      </c>
      <c r="H359" s="408">
        <v>51.370800000000003</v>
      </c>
      <c r="I359" s="408">
        <v>13.3294</v>
      </c>
      <c r="J359" s="408">
        <v>-16.085100000000001</v>
      </c>
      <c r="K359" s="408">
        <v>-15.237</v>
      </c>
      <c r="L359" s="408">
        <v>877.47</v>
      </c>
      <c r="M359" s="408">
        <v>89.499759999999995</v>
      </c>
      <c r="N359" s="408">
        <v>11510.74</v>
      </c>
      <c r="O359" s="408">
        <v>11510.74</v>
      </c>
      <c r="P359" s="410">
        <v>2008.0940000000001</v>
      </c>
      <c r="Q359" s="396" t="s">
        <v>18</v>
      </c>
      <c r="R359" s="396" t="s">
        <v>18</v>
      </c>
      <c r="S359" s="396" t="s">
        <v>18</v>
      </c>
      <c r="T359" s="408" t="s">
        <v>532</v>
      </c>
      <c r="U359" s="408">
        <v>15</v>
      </c>
      <c r="V359" s="408">
        <v>5</v>
      </c>
      <c r="W359" s="408">
        <v>0.7</v>
      </c>
      <c r="X359" s="408">
        <v>0.7</v>
      </c>
      <c r="Y359" s="408">
        <v>0.7</v>
      </c>
      <c r="Z359" s="411">
        <v>1700</v>
      </c>
      <c r="AA359" s="411" t="s">
        <v>533</v>
      </c>
      <c r="AB359" s="411">
        <v>0.85</v>
      </c>
      <c r="AC359" s="411" t="s">
        <v>534</v>
      </c>
      <c r="AD359" s="411" t="s">
        <v>535</v>
      </c>
      <c r="AE359" s="411">
        <v>220</v>
      </c>
      <c r="AF359" s="416"/>
      <c r="AG359" s="416"/>
    </row>
    <row r="360" spans="1:33" ht="15.75">
      <c r="A360" s="408" t="s">
        <v>536</v>
      </c>
      <c r="B360" s="408" t="s">
        <v>529</v>
      </c>
      <c r="C360" s="408" t="s">
        <v>530</v>
      </c>
      <c r="D360" s="408" t="s">
        <v>531</v>
      </c>
      <c r="E360" s="408">
        <v>1</v>
      </c>
      <c r="F360" s="412">
        <v>45345.387499999997</v>
      </c>
      <c r="G360" s="408">
        <v>1</v>
      </c>
      <c r="H360" s="408">
        <v>51.3675</v>
      </c>
      <c r="I360" s="408">
        <v>13.875500000000001</v>
      </c>
      <c r="J360" s="408">
        <v>-16.466100000000001</v>
      </c>
      <c r="K360" s="408">
        <v>-15.623200000000001</v>
      </c>
      <c r="L360" s="408">
        <v>879.19899999999996</v>
      </c>
      <c r="M360" s="408">
        <v>93.500020000000006</v>
      </c>
      <c r="N360" s="408">
        <v>11383.7</v>
      </c>
      <c r="O360" s="408">
        <v>11383.7</v>
      </c>
      <c r="P360" s="410">
        <v>1986.4480000000001</v>
      </c>
      <c r="Q360" s="396" t="s">
        <v>18</v>
      </c>
      <c r="R360" s="396" t="s">
        <v>18</v>
      </c>
      <c r="S360" s="396" t="s">
        <v>18</v>
      </c>
      <c r="T360" s="408" t="s">
        <v>532</v>
      </c>
      <c r="U360" s="408">
        <v>15</v>
      </c>
      <c r="V360" s="408">
        <v>5</v>
      </c>
      <c r="W360" s="408">
        <v>0.7</v>
      </c>
      <c r="X360" s="408">
        <v>0.7</v>
      </c>
      <c r="Y360" s="408">
        <v>0.7</v>
      </c>
      <c r="Z360" s="411">
        <v>1700</v>
      </c>
      <c r="AA360" s="411" t="s">
        <v>533</v>
      </c>
      <c r="AB360" s="411">
        <v>0.85</v>
      </c>
      <c r="AC360" s="411" t="s">
        <v>534</v>
      </c>
      <c r="AD360" s="411" t="s">
        <v>535</v>
      </c>
      <c r="AE360" s="411">
        <v>220</v>
      </c>
      <c r="AF360" s="416"/>
      <c r="AG360" s="416"/>
    </row>
    <row r="361" spans="1:33" ht="15.75">
      <c r="A361" s="408" t="s">
        <v>537</v>
      </c>
      <c r="B361" s="408" t="s">
        <v>529</v>
      </c>
      <c r="C361" s="408" t="s">
        <v>530</v>
      </c>
      <c r="D361" s="408" t="s">
        <v>531</v>
      </c>
      <c r="E361" s="408">
        <v>1</v>
      </c>
      <c r="F361" s="412">
        <v>45345.390277777777</v>
      </c>
      <c r="G361" s="408">
        <v>1</v>
      </c>
      <c r="H361" s="408">
        <v>51.370800000000003</v>
      </c>
      <c r="I361" s="408">
        <v>13.011900000000001</v>
      </c>
      <c r="J361" s="408">
        <v>-16.755400000000002</v>
      </c>
      <c r="K361" s="408">
        <v>-15.9072</v>
      </c>
      <c r="L361" s="408">
        <v>885.1</v>
      </c>
      <c r="M361" s="408">
        <v>127.499</v>
      </c>
      <c r="N361" s="408">
        <v>11405.86</v>
      </c>
      <c r="O361" s="408">
        <v>11405.86</v>
      </c>
      <c r="P361" s="410">
        <v>1990.2260000000001</v>
      </c>
      <c r="Q361" s="396" t="s">
        <v>18</v>
      </c>
      <c r="R361" s="396" t="s">
        <v>18</v>
      </c>
      <c r="S361" s="396" t="s">
        <v>18</v>
      </c>
      <c r="T361" s="408" t="s">
        <v>532</v>
      </c>
      <c r="U361" s="408">
        <v>15</v>
      </c>
      <c r="V361" s="408">
        <v>5</v>
      </c>
      <c r="W361" s="408">
        <v>0.7</v>
      </c>
      <c r="X361" s="408">
        <v>0.7</v>
      </c>
      <c r="Y361" s="408">
        <v>0.7</v>
      </c>
      <c r="Z361" s="411">
        <v>1700</v>
      </c>
      <c r="AA361" s="411" t="s">
        <v>533</v>
      </c>
      <c r="AB361" s="411">
        <v>0.85</v>
      </c>
      <c r="AC361" s="411" t="s">
        <v>534</v>
      </c>
      <c r="AD361" s="411" t="s">
        <v>535</v>
      </c>
      <c r="AE361" s="411">
        <v>220</v>
      </c>
      <c r="AF361" s="416"/>
      <c r="AG361" s="416"/>
    </row>
    <row r="362" spans="1:33" ht="15.75">
      <c r="A362" s="408" t="s">
        <v>538</v>
      </c>
      <c r="B362" s="408" t="s">
        <v>529</v>
      </c>
      <c r="C362" s="408" t="s">
        <v>530</v>
      </c>
      <c r="D362" s="408" t="s">
        <v>531</v>
      </c>
      <c r="E362" s="408">
        <v>1</v>
      </c>
      <c r="F362" s="412">
        <v>45345.393750000003</v>
      </c>
      <c r="G362" s="408">
        <v>1</v>
      </c>
      <c r="H362" s="408">
        <v>51.370800000000003</v>
      </c>
      <c r="I362" s="408">
        <v>11.748699999999999</v>
      </c>
      <c r="J362" s="408">
        <v>-16.902899999999999</v>
      </c>
      <c r="K362" s="408">
        <v>-16.057400000000001</v>
      </c>
      <c r="L362" s="408">
        <v>869.75900000000001</v>
      </c>
      <c r="M362" s="408">
        <v>89.999600000000001</v>
      </c>
      <c r="N362" s="408">
        <v>11383.37</v>
      </c>
      <c r="O362" s="408">
        <v>11383.37</v>
      </c>
      <c r="P362" s="410">
        <v>1986.3920000000001</v>
      </c>
      <c r="Q362" s="396" t="s">
        <v>18</v>
      </c>
      <c r="R362" s="396" t="s">
        <v>18</v>
      </c>
      <c r="S362" s="396" t="s">
        <v>18</v>
      </c>
      <c r="T362" s="408" t="s">
        <v>532</v>
      </c>
      <c r="U362" s="408">
        <v>15</v>
      </c>
      <c r="V362" s="408">
        <v>5</v>
      </c>
      <c r="W362" s="408">
        <v>0.7</v>
      </c>
      <c r="X362" s="408">
        <v>0.7</v>
      </c>
      <c r="Y362" s="408">
        <v>0.7</v>
      </c>
      <c r="Z362" s="411">
        <v>1700</v>
      </c>
      <c r="AA362" s="411" t="s">
        <v>533</v>
      </c>
      <c r="AB362" s="411">
        <v>0.85</v>
      </c>
      <c r="AC362" s="411" t="s">
        <v>534</v>
      </c>
      <c r="AD362" s="411" t="s">
        <v>535</v>
      </c>
      <c r="AE362" s="411">
        <v>220</v>
      </c>
      <c r="AF362" s="416"/>
      <c r="AG362" s="416"/>
    </row>
    <row r="363" spans="1:33" ht="15.75">
      <c r="A363" s="408" t="s">
        <v>688</v>
      </c>
      <c r="B363" s="408" t="s">
        <v>529</v>
      </c>
      <c r="C363" s="408" t="s">
        <v>530</v>
      </c>
      <c r="D363" s="408" t="s">
        <v>531</v>
      </c>
      <c r="E363" s="408">
        <v>1</v>
      </c>
      <c r="F363" s="412">
        <v>45345.4</v>
      </c>
      <c r="G363" s="408">
        <v>1</v>
      </c>
      <c r="H363" s="408">
        <v>51.370800000000003</v>
      </c>
      <c r="I363" s="408">
        <v>11.279400000000001</v>
      </c>
      <c r="J363" s="408">
        <v>-16.916599999999999</v>
      </c>
      <c r="K363" s="408">
        <v>-16.074999999999999</v>
      </c>
      <c r="L363" s="408">
        <v>862.45600000000002</v>
      </c>
      <c r="M363" s="408">
        <v>109.00060000000001</v>
      </c>
      <c r="N363" s="408">
        <v>11358.81</v>
      </c>
      <c r="O363" s="408">
        <v>11358.81</v>
      </c>
      <c r="P363" s="410">
        <v>1982.2090000000001</v>
      </c>
      <c r="Q363" s="396" t="s">
        <v>18</v>
      </c>
      <c r="R363" s="396" t="s">
        <v>18</v>
      </c>
      <c r="S363" s="396" t="s">
        <v>18</v>
      </c>
      <c r="T363" s="408" t="s">
        <v>532</v>
      </c>
      <c r="U363" s="408">
        <v>15</v>
      </c>
      <c r="V363" s="408">
        <v>5</v>
      </c>
      <c r="W363" s="408">
        <v>0.7</v>
      </c>
      <c r="X363" s="408">
        <v>0.7</v>
      </c>
      <c r="Y363" s="408">
        <v>0.7</v>
      </c>
      <c r="Z363" s="411">
        <v>1700</v>
      </c>
      <c r="AA363" s="411" t="s">
        <v>533</v>
      </c>
      <c r="AB363" s="411">
        <v>0.85</v>
      </c>
      <c r="AC363" s="411" t="s">
        <v>534</v>
      </c>
      <c r="AD363" s="411" t="s">
        <v>535</v>
      </c>
      <c r="AE363" s="411">
        <v>220</v>
      </c>
      <c r="AF363" s="416"/>
      <c r="AG363" s="416"/>
    </row>
    <row r="364" spans="1:33" ht="15.75">
      <c r="A364" s="408" t="s">
        <v>555</v>
      </c>
      <c r="B364" s="408" t="s">
        <v>529</v>
      </c>
      <c r="C364" s="408" t="s">
        <v>530</v>
      </c>
      <c r="D364" s="408" t="s">
        <v>531</v>
      </c>
      <c r="E364" s="408">
        <v>1</v>
      </c>
      <c r="F364" s="412">
        <v>45345.402777777781</v>
      </c>
      <c r="G364" s="408">
        <v>1</v>
      </c>
      <c r="H364" s="408">
        <v>51.3675</v>
      </c>
      <c r="I364" s="408">
        <v>10.623699999999999</v>
      </c>
      <c r="J364" s="408">
        <v>-16.739899999999999</v>
      </c>
      <c r="K364" s="408">
        <v>-15.9008</v>
      </c>
      <c r="L364" s="408">
        <v>872.06600000000003</v>
      </c>
      <c r="M364" s="408">
        <v>100.9991</v>
      </c>
      <c r="N364" s="408">
        <v>11371.88</v>
      </c>
      <c r="O364" s="408">
        <v>11371.88</v>
      </c>
      <c r="P364" s="410">
        <v>1984.4349999999999</v>
      </c>
      <c r="Q364" s="396" t="s">
        <v>18</v>
      </c>
      <c r="R364" s="396" t="s">
        <v>18</v>
      </c>
      <c r="S364" s="396" t="s">
        <v>18</v>
      </c>
      <c r="T364" s="408" t="s">
        <v>532</v>
      </c>
      <c r="U364" s="408">
        <v>15</v>
      </c>
      <c r="V364" s="408">
        <v>5</v>
      </c>
      <c r="W364" s="408">
        <v>0.7</v>
      </c>
      <c r="X364" s="408">
        <v>0.7</v>
      </c>
      <c r="Y364" s="408">
        <v>0.7</v>
      </c>
      <c r="Z364" s="411">
        <v>1700</v>
      </c>
      <c r="AA364" s="411" t="s">
        <v>533</v>
      </c>
      <c r="AB364" s="411">
        <v>0.85</v>
      </c>
      <c r="AC364" s="411" t="s">
        <v>534</v>
      </c>
      <c r="AD364" s="411" t="s">
        <v>535</v>
      </c>
      <c r="AE364" s="411">
        <v>220</v>
      </c>
      <c r="AF364" s="416"/>
      <c r="AG364" s="416"/>
    </row>
    <row r="365" spans="1:33" ht="15.75">
      <c r="A365" s="408" t="s">
        <v>560</v>
      </c>
      <c r="B365" s="408" t="s">
        <v>529</v>
      </c>
      <c r="C365" s="408" t="s">
        <v>530</v>
      </c>
      <c r="D365" s="408" t="s">
        <v>531</v>
      </c>
      <c r="E365" s="408">
        <v>1</v>
      </c>
      <c r="F365" s="412">
        <v>45345.405555555553</v>
      </c>
      <c r="G365" s="408">
        <v>1</v>
      </c>
      <c r="H365" s="408">
        <v>51.370800000000003</v>
      </c>
      <c r="I365" s="408">
        <v>9.8806799999999999</v>
      </c>
      <c r="J365" s="408">
        <v>-16.910900000000002</v>
      </c>
      <c r="K365" s="408">
        <v>-16.074400000000001</v>
      </c>
      <c r="L365" s="408">
        <v>887.20699999999999</v>
      </c>
      <c r="M365" s="408">
        <v>93.499700000000004</v>
      </c>
      <c r="N365" s="408">
        <v>11453.38</v>
      </c>
      <c r="O365" s="408">
        <v>11453.38</v>
      </c>
      <c r="P365" s="410">
        <v>1998.3209999999999</v>
      </c>
      <c r="Q365" s="396" t="s">
        <v>18</v>
      </c>
      <c r="R365" s="396" t="s">
        <v>18</v>
      </c>
      <c r="S365" s="396" t="s">
        <v>18</v>
      </c>
      <c r="T365" s="408" t="s">
        <v>532</v>
      </c>
      <c r="U365" s="408">
        <v>15</v>
      </c>
      <c r="V365" s="408">
        <v>5</v>
      </c>
      <c r="W365" s="408">
        <v>0.7</v>
      </c>
      <c r="X365" s="408">
        <v>0.7</v>
      </c>
      <c r="Y365" s="408">
        <v>0.7</v>
      </c>
      <c r="Z365" s="411">
        <v>1700</v>
      </c>
      <c r="AA365" s="411" t="s">
        <v>533</v>
      </c>
      <c r="AB365" s="411">
        <v>0.85</v>
      </c>
      <c r="AC365" s="411" t="s">
        <v>534</v>
      </c>
      <c r="AD365" s="411" t="s">
        <v>535</v>
      </c>
      <c r="AE365" s="411">
        <v>220</v>
      </c>
      <c r="AF365" s="416"/>
      <c r="AG365" s="416"/>
    </row>
    <row r="366" spans="1:33" ht="15.75">
      <c r="A366" s="408" t="s">
        <v>564</v>
      </c>
      <c r="B366" s="408" t="s">
        <v>529</v>
      </c>
      <c r="C366" s="408" t="s">
        <v>530</v>
      </c>
      <c r="D366" s="408" t="s">
        <v>531</v>
      </c>
      <c r="E366" s="408">
        <v>1</v>
      </c>
      <c r="F366" s="412">
        <v>45345.40902777778</v>
      </c>
      <c r="G366" s="408">
        <v>1</v>
      </c>
      <c r="H366" s="408">
        <v>51.370800000000003</v>
      </c>
      <c r="I366" s="408">
        <v>9.2455599999999993</v>
      </c>
      <c r="J366" s="408">
        <v>-17.0288</v>
      </c>
      <c r="K366" s="408">
        <v>-16.184100000000001</v>
      </c>
      <c r="L366" s="408">
        <v>875.37199999999996</v>
      </c>
      <c r="M366" s="408">
        <v>103.4999</v>
      </c>
      <c r="N366" s="408">
        <v>11377.14</v>
      </c>
      <c r="O366" s="408">
        <v>11377.14</v>
      </c>
      <c r="P366" s="410">
        <v>1985.3309999999999</v>
      </c>
      <c r="Q366" s="396" t="s">
        <v>18</v>
      </c>
      <c r="R366" s="396" t="s">
        <v>18</v>
      </c>
      <c r="S366" s="396" t="s">
        <v>18</v>
      </c>
      <c r="T366" s="408" t="s">
        <v>532</v>
      </c>
      <c r="U366" s="408">
        <v>15</v>
      </c>
      <c r="V366" s="408">
        <v>5</v>
      </c>
      <c r="W366" s="408">
        <v>0.7</v>
      </c>
      <c r="X366" s="408">
        <v>0.7</v>
      </c>
      <c r="Y366" s="408">
        <v>0.7</v>
      </c>
      <c r="Z366" s="411">
        <v>1700</v>
      </c>
      <c r="AA366" s="411" t="s">
        <v>533</v>
      </c>
      <c r="AB366" s="411">
        <v>0.85</v>
      </c>
      <c r="AC366" s="411" t="s">
        <v>534</v>
      </c>
      <c r="AD366" s="411" t="s">
        <v>535</v>
      </c>
      <c r="AE366" s="411">
        <v>220</v>
      </c>
      <c r="AF366" s="416"/>
      <c r="AG366" s="416"/>
    </row>
    <row r="367" spans="1:33" ht="15.75">
      <c r="A367" s="408" t="s">
        <v>568</v>
      </c>
      <c r="B367" s="408" t="s">
        <v>529</v>
      </c>
      <c r="C367" s="408" t="s">
        <v>530</v>
      </c>
      <c r="D367" s="408" t="s">
        <v>531</v>
      </c>
      <c r="E367" s="408">
        <v>1</v>
      </c>
      <c r="F367" s="412">
        <v>45345.415972222225</v>
      </c>
      <c r="G367" s="408">
        <v>1</v>
      </c>
      <c r="H367" s="408">
        <v>51.374099999999999</v>
      </c>
      <c r="I367" s="408">
        <v>8.7852099999999993</v>
      </c>
      <c r="J367" s="408">
        <v>-17.0442</v>
      </c>
      <c r="K367" s="408">
        <v>-16.215299999999999</v>
      </c>
      <c r="L367" s="408">
        <v>882.08600000000001</v>
      </c>
      <c r="M367" s="408">
        <v>106.4991</v>
      </c>
      <c r="N367" s="408">
        <v>11583.32</v>
      </c>
      <c r="O367" s="408">
        <v>11583.32</v>
      </c>
      <c r="P367" s="410">
        <v>2020.462</v>
      </c>
      <c r="Q367" s="396" t="s">
        <v>18</v>
      </c>
      <c r="R367" s="396" t="s">
        <v>18</v>
      </c>
      <c r="S367" s="396" t="s">
        <v>18</v>
      </c>
      <c r="T367" s="408" t="s">
        <v>532</v>
      </c>
      <c r="U367" s="408">
        <v>15</v>
      </c>
      <c r="V367" s="408">
        <v>5</v>
      </c>
      <c r="W367" s="408">
        <v>0.7</v>
      </c>
      <c r="X367" s="408">
        <v>0.7</v>
      </c>
      <c r="Y367" s="408">
        <v>0.7</v>
      </c>
      <c r="Z367" s="411">
        <v>1700</v>
      </c>
      <c r="AA367" s="411" t="s">
        <v>533</v>
      </c>
      <c r="AB367" s="411">
        <v>0.85</v>
      </c>
      <c r="AC367" s="411" t="s">
        <v>534</v>
      </c>
      <c r="AD367" s="411" t="s">
        <v>535</v>
      </c>
      <c r="AE367" s="411">
        <v>220</v>
      </c>
      <c r="AF367" s="416"/>
      <c r="AG367" s="416"/>
    </row>
    <row r="368" spans="1:33" ht="15.75">
      <c r="A368" s="408" t="s">
        <v>574</v>
      </c>
      <c r="B368" s="408" t="s">
        <v>529</v>
      </c>
      <c r="C368" s="408" t="s">
        <v>530</v>
      </c>
      <c r="D368" s="408" t="s">
        <v>531</v>
      </c>
      <c r="E368" s="408">
        <v>1</v>
      </c>
      <c r="F368" s="412">
        <v>45345.418749999997</v>
      </c>
      <c r="G368" s="408">
        <v>1</v>
      </c>
      <c r="H368" s="408">
        <v>51.374099999999999</v>
      </c>
      <c r="I368" s="408">
        <v>8.3029299999999999</v>
      </c>
      <c r="J368" s="408">
        <v>-17.1203</v>
      </c>
      <c r="K368" s="408">
        <v>-16.287800000000001</v>
      </c>
      <c r="L368" s="408">
        <v>903.28800000000001</v>
      </c>
      <c r="M368" s="408">
        <v>102</v>
      </c>
      <c r="N368" s="408">
        <v>11726.37</v>
      </c>
      <c r="O368" s="408">
        <v>11726.37</v>
      </c>
      <c r="P368" s="410">
        <v>2044.835</v>
      </c>
      <c r="Q368" s="396" t="s">
        <v>18</v>
      </c>
      <c r="R368" s="396" t="s">
        <v>18</v>
      </c>
      <c r="S368" s="396" t="s">
        <v>18</v>
      </c>
      <c r="T368" s="408" t="s">
        <v>532</v>
      </c>
      <c r="U368" s="408">
        <v>15</v>
      </c>
      <c r="V368" s="408">
        <v>5</v>
      </c>
      <c r="W368" s="408">
        <v>0.7</v>
      </c>
      <c r="X368" s="408">
        <v>0.7</v>
      </c>
      <c r="Y368" s="408">
        <v>0.7</v>
      </c>
      <c r="Z368" s="411">
        <v>1700</v>
      </c>
      <c r="AA368" s="411" t="s">
        <v>533</v>
      </c>
      <c r="AB368" s="411">
        <v>0.85</v>
      </c>
      <c r="AC368" s="411" t="s">
        <v>534</v>
      </c>
      <c r="AD368" s="411" t="s">
        <v>535</v>
      </c>
      <c r="AE368" s="411">
        <v>220</v>
      </c>
      <c r="AF368" s="416"/>
      <c r="AG368" s="416"/>
    </row>
    <row r="369" spans="1:33" ht="15.75">
      <c r="A369" s="408" t="s">
        <v>578</v>
      </c>
      <c r="B369" s="408" t="s">
        <v>529</v>
      </c>
      <c r="C369" s="408" t="s">
        <v>530</v>
      </c>
      <c r="D369" s="408" t="s">
        <v>531</v>
      </c>
      <c r="E369" s="408">
        <v>1</v>
      </c>
      <c r="F369" s="412">
        <v>45345.422222222223</v>
      </c>
      <c r="G369" s="408">
        <v>1</v>
      </c>
      <c r="H369" s="408">
        <v>51.370800000000003</v>
      </c>
      <c r="I369" s="408">
        <v>8.1500800000000009</v>
      </c>
      <c r="J369" s="408">
        <v>-17.211099999999998</v>
      </c>
      <c r="K369" s="408">
        <v>-16.363900000000001</v>
      </c>
      <c r="L369" s="408">
        <v>907.58600000000001</v>
      </c>
      <c r="M369" s="408">
        <v>108.49979999999999</v>
      </c>
      <c r="N369" s="408">
        <v>11737.14</v>
      </c>
      <c r="O369" s="408">
        <v>11737.14</v>
      </c>
      <c r="P369" s="410">
        <v>2046.6690000000001</v>
      </c>
      <c r="Q369" s="396" t="s">
        <v>18</v>
      </c>
      <c r="R369" s="396" t="s">
        <v>18</v>
      </c>
      <c r="S369" s="396" t="s">
        <v>18</v>
      </c>
      <c r="T369" s="408" t="s">
        <v>532</v>
      </c>
      <c r="U369" s="408">
        <v>15</v>
      </c>
      <c r="V369" s="408">
        <v>5</v>
      </c>
      <c r="W369" s="408">
        <v>0.7</v>
      </c>
      <c r="X369" s="408">
        <v>0.7</v>
      </c>
      <c r="Y369" s="408">
        <v>0.7</v>
      </c>
      <c r="Z369" s="411">
        <v>1700</v>
      </c>
      <c r="AA369" s="411" t="s">
        <v>533</v>
      </c>
      <c r="AB369" s="411">
        <v>0.85</v>
      </c>
      <c r="AC369" s="411" t="s">
        <v>534</v>
      </c>
      <c r="AD369" s="411" t="s">
        <v>535</v>
      </c>
      <c r="AE369" s="411">
        <v>220</v>
      </c>
      <c r="AF369" s="416"/>
      <c r="AG369" s="416"/>
    </row>
    <row r="370" spans="1:33" ht="15.75">
      <c r="A370" s="408" t="s">
        <v>584</v>
      </c>
      <c r="B370" s="408" t="s">
        <v>529</v>
      </c>
      <c r="C370" s="408" t="s">
        <v>530</v>
      </c>
      <c r="D370" s="408" t="s">
        <v>531</v>
      </c>
      <c r="E370" s="408">
        <v>1</v>
      </c>
      <c r="F370" s="412">
        <v>45345.425000000003</v>
      </c>
      <c r="G370" s="408">
        <v>1</v>
      </c>
      <c r="H370" s="408">
        <v>51.377400000000002</v>
      </c>
      <c r="I370" s="408">
        <v>8.1149799999999992</v>
      </c>
      <c r="J370" s="408">
        <v>-17.126000000000001</v>
      </c>
      <c r="K370" s="408">
        <v>-16.294899999999998</v>
      </c>
      <c r="L370" s="408">
        <v>907.78599999999994</v>
      </c>
      <c r="M370" s="408">
        <v>104.0004</v>
      </c>
      <c r="N370" s="408">
        <v>11727.56</v>
      </c>
      <c r="O370" s="408">
        <v>11727.56</v>
      </c>
      <c r="P370" s="410">
        <v>2045.037</v>
      </c>
      <c r="Q370" s="396" t="s">
        <v>18</v>
      </c>
      <c r="R370" s="396" t="s">
        <v>18</v>
      </c>
      <c r="S370" s="396" t="s">
        <v>18</v>
      </c>
      <c r="T370" s="408" t="s">
        <v>532</v>
      </c>
      <c r="U370" s="408">
        <v>15</v>
      </c>
      <c r="V370" s="408">
        <v>5</v>
      </c>
      <c r="W370" s="408">
        <v>0.7</v>
      </c>
      <c r="X370" s="408">
        <v>0.7</v>
      </c>
      <c r="Y370" s="408">
        <v>0.7</v>
      </c>
      <c r="Z370" s="411">
        <v>1700</v>
      </c>
      <c r="AA370" s="411" t="s">
        <v>533</v>
      </c>
      <c r="AB370" s="411">
        <v>0.85</v>
      </c>
      <c r="AC370" s="411" t="s">
        <v>534</v>
      </c>
      <c r="AD370" s="411" t="s">
        <v>535</v>
      </c>
      <c r="AE370" s="411">
        <v>220</v>
      </c>
      <c r="AF370" s="416"/>
      <c r="AG370" s="416"/>
    </row>
    <row r="371" spans="1:33" ht="15.75">
      <c r="A371" s="408" t="s">
        <v>590</v>
      </c>
      <c r="B371" s="408" t="s">
        <v>529</v>
      </c>
      <c r="C371" s="408" t="s">
        <v>530</v>
      </c>
      <c r="D371" s="408" t="s">
        <v>531</v>
      </c>
      <c r="E371" s="408">
        <v>1</v>
      </c>
      <c r="F371" s="412">
        <v>45345.427777777775</v>
      </c>
      <c r="G371" s="408">
        <v>1</v>
      </c>
      <c r="H371" s="408">
        <v>51.374099999999999</v>
      </c>
      <c r="I371" s="408">
        <v>8.0194200000000002</v>
      </c>
      <c r="J371" s="408">
        <v>-17.155200000000001</v>
      </c>
      <c r="K371" s="408">
        <v>-16.316600000000001</v>
      </c>
      <c r="L371" s="408">
        <v>910.09299999999996</v>
      </c>
      <c r="M371" s="408">
        <v>119.49979999999999</v>
      </c>
      <c r="N371" s="408">
        <v>11740.31</v>
      </c>
      <c r="O371" s="408">
        <v>11740.31</v>
      </c>
      <c r="P371" s="410">
        <v>2047.2090000000001</v>
      </c>
      <c r="Q371" s="396" t="s">
        <v>18</v>
      </c>
      <c r="R371" s="396" t="s">
        <v>18</v>
      </c>
      <c r="S371" s="396" t="s">
        <v>18</v>
      </c>
      <c r="T371" s="408" t="s">
        <v>532</v>
      </c>
      <c r="U371" s="408">
        <v>15</v>
      </c>
      <c r="V371" s="408">
        <v>5</v>
      </c>
      <c r="W371" s="408">
        <v>0.7</v>
      </c>
      <c r="X371" s="408">
        <v>0.7</v>
      </c>
      <c r="Y371" s="408">
        <v>0.7</v>
      </c>
      <c r="Z371" s="411">
        <v>1700</v>
      </c>
      <c r="AA371" s="411" t="s">
        <v>533</v>
      </c>
      <c r="AB371" s="411">
        <v>0.85</v>
      </c>
      <c r="AC371" s="411" t="s">
        <v>534</v>
      </c>
      <c r="AD371" s="411" t="s">
        <v>535</v>
      </c>
      <c r="AE371" s="411">
        <v>220</v>
      </c>
      <c r="AF371" s="416"/>
      <c r="AG371" s="416"/>
    </row>
    <row r="372" spans="1:33" ht="15.75">
      <c r="A372" s="408" t="s">
        <v>731</v>
      </c>
      <c r="B372" s="408" t="s">
        <v>540</v>
      </c>
      <c r="C372" s="408" t="s">
        <v>732</v>
      </c>
      <c r="D372" s="408" t="s">
        <v>531</v>
      </c>
      <c r="E372" s="408">
        <v>1.2</v>
      </c>
      <c r="F372" s="412">
        <v>45345.435416666667</v>
      </c>
      <c r="G372" s="408">
        <v>1</v>
      </c>
      <c r="H372" s="408">
        <v>51.370800000000003</v>
      </c>
      <c r="I372" s="408">
        <v>8.0549999999999997</v>
      </c>
      <c r="J372" s="408">
        <v>-17.1663</v>
      </c>
      <c r="K372" s="408">
        <v>-16.340699999999998</v>
      </c>
      <c r="L372" s="408">
        <v>1000.89</v>
      </c>
      <c r="M372" s="408">
        <v>113</v>
      </c>
      <c r="N372" s="408">
        <v>14195.84</v>
      </c>
      <c r="O372" s="408">
        <v>14267.2</v>
      </c>
      <c r="P372" s="410">
        <v>2067.0929999999998</v>
      </c>
      <c r="Q372" s="396" t="s">
        <v>18</v>
      </c>
      <c r="R372" s="396" t="s">
        <v>18</v>
      </c>
      <c r="S372" s="396" t="s">
        <v>18</v>
      </c>
      <c r="T372" s="408" t="s">
        <v>542</v>
      </c>
      <c r="U372" s="408">
        <v>15</v>
      </c>
      <c r="V372" s="408">
        <v>5</v>
      </c>
      <c r="W372" s="408">
        <v>0.7</v>
      </c>
      <c r="X372" s="408">
        <v>0.7</v>
      </c>
      <c r="Y372" s="408">
        <v>0.7</v>
      </c>
      <c r="Z372" s="411">
        <v>1700</v>
      </c>
      <c r="AA372" s="411" t="s">
        <v>533</v>
      </c>
      <c r="AB372" s="411">
        <v>0.85</v>
      </c>
      <c r="AC372" s="411" t="s">
        <v>534</v>
      </c>
      <c r="AD372" s="411" t="s">
        <v>535</v>
      </c>
      <c r="AE372" s="411">
        <v>220</v>
      </c>
      <c r="AF372" s="416"/>
      <c r="AG372" s="416"/>
    </row>
    <row r="373" spans="1:33" ht="15.75">
      <c r="A373" s="408" t="s">
        <v>733</v>
      </c>
      <c r="B373" s="408" t="s">
        <v>540</v>
      </c>
      <c r="C373" s="408" t="s">
        <v>732</v>
      </c>
      <c r="D373" s="408" t="s">
        <v>531</v>
      </c>
      <c r="E373" s="408">
        <v>1.2</v>
      </c>
      <c r="F373" s="412">
        <v>45345.438888888886</v>
      </c>
      <c r="G373" s="408">
        <v>1</v>
      </c>
      <c r="H373" s="408">
        <v>51.3675</v>
      </c>
      <c r="I373" s="408">
        <v>7.7667000000000002</v>
      </c>
      <c r="J373" s="408">
        <v>-17.200299999999999</v>
      </c>
      <c r="K373" s="408">
        <v>-16.3657</v>
      </c>
      <c r="L373" s="408">
        <v>960.27499999999998</v>
      </c>
      <c r="M373" s="408">
        <v>107.5018</v>
      </c>
      <c r="N373" s="408">
        <v>14253.89</v>
      </c>
      <c r="O373" s="408">
        <v>14267.2</v>
      </c>
      <c r="P373" s="410">
        <v>2067.0929999999998</v>
      </c>
      <c r="Q373" s="396" t="s">
        <v>18</v>
      </c>
      <c r="R373" s="396" t="s">
        <v>18</v>
      </c>
      <c r="S373" s="396" t="s">
        <v>18</v>
      </c>
      <c r="T373" s="408" t="s">
        <v>532</v>
      </c>
      <c r="U373" s="408">
        <v>15</v>
      </c>
      <c r="V373" s="408">
        <v>5</v>
      </c>
      <c r="W373" s="408">
        <v>0.7</v>
      </c>
      <c r="X373" s="408">
        <v>0.7</v>
      </c>
      <c r="Y373" s="408">
        <v>0.7</v>
      </c>
      <c r="Z373" s="411">
        <v>1700</v>
      </c>
      <c r="AA373" s="411" t="s">
        <v>533</v>
      </c>
      <c r="AB373" s="411">
        <v>0.85</v>
      </c>
      <c r="AC373" s="411" t="s">
        <v>534</v>
      </c>
      <c r="AD373" s="411" t="s">
        <v>535</v>
      </c>
      <c r="AE373" s="411">
        <v>220</v>
      </c>
      <c r="AF373" s="416"/>
      <c r="AG373" s="416"/>
    </row>
    <row r="374" spans="1:33" ht="15.75">
      <c r="A374" s="408" t="s">
        <v>734</v>
      </c>
      <c r="B374" s="408" t="s">
        <v>540</v>
      </c>
      <c r="C374" s="408" t="s">
        <v>732</v>
      </c>
      <c r="D374" s="408" t="s">
        <v>531</v>
      </c>
      <c r="E374" s="408">
        <v>1.2</v>
      </c>
      <c r="F374" s="412">
        <v>45345.442361111112</v>
      </c>
      <c r="G374" s="408">
        <v>1</v>
      </c>
      <c r="H374" s="408">
        <v>51.370800000000003</v>
      </c>
      <c r="I374" s="408">
        <v>7.7402199999999999</v>
      </c>
      <c r="J374" s="408">
        <v>-17.135100000000001</v>
      </c>
      <c r="K374" s="408">
        <v>-16.302600000000002</v>
      </c>
      <c r="L374" s="408">
        <v>971.50300000000004</v>
      </c>
      <c r="M374" s="408">
        <v>107.4992</v>
      </c>
      <c r="N374" s="408">
        <v>14246.28</v>
      </c>
      <c r="O374" s="408">
        <v>14267.2</v>
      </c>
      <c r="P374" s="410">
        <v>2067.0929999999998</v>
      </c>
      <c r="Q374" s="396" t="s">
        <v>18</v>
      </c>
      <c r="R374" s="396" t="s">
        <v>18</v>
      </c>
      <c r="S374" s="396" t="s">
        <v>18</v>
      </c>
      <c r="T374" s="408" t="s">
        <v>542</v>
      </c>
      <c r="U374" s="408">
        <v>15</v>
      </c>
      <c r="V374" s="408">
        <v>5</v>
      </c>
      <c r="W374" s="408">
        <v>0.7</v>
      </c>
      <c r="X374" s="408">
        <v>0.7</v>
      </c>
      <c r="Y374" s="408">
        <v>0.7</v>
      </c>
      <c r="Z374" s="411">
        <v>1700</v>
      </c>
      <c r="AA374" s="411" t="s">
        <v>533</v>
      </c>
      <c r="AB374" s="411">
        <v>0.85</v>
      </c>
      <c r="AC374" s="411" t="s">
        <v>534</v>
      </c>
      <c r="AD374" s="411" t="s">
        <v>535</v>
      </c>
      <c r="AE374" s="411">
        <v>220</v>
      </c>
      <c r="AF374" s="416"/>
      <c r="AG374" s="416"/>
    </row>
    <row r="375" spans="1:33" ht="15.75">
      <c r="A375" s="408" t="s">
        <v>735</v>
      </c>
      <c r="B375" s="408" t="s">
        <v>540</v>
      </c>
      <c r="C375" s="408" t="s">
        <v>732</v>
      </c>
      <c r="D375" s="408" t="s">
        <v>531</v>
      </c>
      <c r="E375" s="408">
        <v>1.2</v>
      </c>
      <c r="F375" s="412">
        <v>45345.445833333331</v>
      </c>
      <c r="G375" s="408">
        <v>1</v>
      </c>
      <c r="H375" s="408">
        <v>51.370800000000003</v>
      </c>
      <c r="I375" s="408">
        <v>7.82437</v>
      </c>
      <c r="J375" s="408">
        <v>-17.253900000000002</v>
      </c>
      <c r="K375" s="408">
        <v>-16.416499999999999</v>
      </c>
      <c r="L375" s="408">
        <v>964.43499999999995</v>
      </c>
      <c r="M375" s="408">
        <v>106.4983</v>
      </c>
      <c r="N375" s="408">
        <v>14276.99</v>
      </c>
      <c r="O375" s="408">
        <v>14267.2</v>
      </c>
      <c r="P375" s="410">
        <v>2067.0929999999998</v>
      </c>
      <c r="Q375" s="396" t="s">
        <v>18</v>
      </c>
      <c r="R375" s="396" t="s">
        <v>18</v>
      </c>
      <c r="S375" s="396" t="s">
        <v>18</v>
      </c>
      <c r="T375" s="408" t="s">
        <v>532</v>
      </c>
      <c r="U375" s="408">
        <v>15</v>
      </c>
      <c r="V375" s="408">
        <v>5</v>
      </c>
      <c r="W375" s="408">
        <v>0.7</v>
      </c>
      <c r="X375" s="408">
        <v>0.7</v>
      </c>
      <c r="Y375" s="408">
        <v>0.7</v>
      </c>
      <c r="Z375" s="411">
        <v>1700</v>
      </c>
      <c r="AA375" s="411" t="s">
        <v>533</v>
      </c>
      <c r="AB375" s="411">
        <v>0.85</v>
      </c>
      <c r="AC375" s="411" t="s">
        <v>534</v>
      </c>
      <c r="AD375" s="411" t="s">
        <v>535</v>
      </c>
      <c r="AE375" s="411">
        <v>220</v>
      </c>
      <c r="AF375" s="416"/>
      <c r="AG375" s="416"/>
    </row>
    <row r="376" spans="1:33" ht="15.75">
      <c r="A376" s="408" t="s">
        <v>736</v>
      </c>
      <c r="B376" s="408" t="s">
        <v>540</v>
      </c>
      <c r="C376" s="408" t="s">
        <v>732</v>
      </c>
      <c r="D376" s="408" t="s">
        <v>531</v>
      </c>
      <c r="E376" s="408">
        <v>1.2</v>
      </c>
      <c r="F376" s="412">
        <v>45345.449305555558</v>
      </c>
      <c r="G376" s="408">
        <v>1</v>
      </c>
      <c r="H376" s="408">
        <v>51.370800000000003</v>
      </c>
      <c r="I376" s="408">
        <v>7.8108599999999999</v>
      </c>
      <c r="J376" s="408">
        <v>-17.262699999999999</v>
      </c>
      <c r="K376" s="408">
        <v>-16.43</v>
      </c>
      <c r="L376" s="408">
        <v>969.54200000000003</v>
      </c>
      <c r="M376" s="408">
        <v>119.9999</v>
      </c>
      <c r="N376" s="408">
        <v>14270.71</v>
      </c>
      <c r="O376" s="408">
        <v>14267.2</v>
      </c>
      <c r="P376" s="410">
        <v>2067.0929999999998</v>
      </c>
      <c r="Q376" s="396" t="s">
        <v>18</v>
      </c>
      <c r="R376" s="396" t="s">
        <v>18</v>
      </c>
      <c r="S376" s="396" t="s">
        <v>18</v>
      </c>
      <c r="T376" s="408" t="s">
        <v>532</v>
      </c>
      <c r="U376" s="408">
        <v>15</v>
      </c>
      <c r="V376" s="408">
        <v>5</v>
      </c>
      <c r="W376" s="408">
        <v>0.7</v>
      </c>
      <c r="X376" s="408">
        <v>0.7</v>
      </c>
      <c r="Y376" s="408">
        <v>0.7</v>
      </c>
      <c r="Z376" s="411">
        <v>1700</v>
      </c>
      <c r="AA376" s="411" t="s">
        <v>533</v>
      </c>
      <c r="AB376" s="411">
        <v>0.85</v>
      </c>
      <c r="AC376" s="411" t="s">
        <v>534</v>
      </c>
      <c r="AD376" s="411" t="s">
        <v>535</v>
      </c>
      <c r="AE376" s="411">
        <v>220</v>
      </c>
      <c r="AF376" s="416"/>
      <c r="AG376" s="416"/>
    </row>
    <row r="377" spans="1:33" ht="15.75">
      <c r="A377" s="408" t="s">
        <v>737</v>
      </c>
      <c r="B377" s="408" t="s">
        <v>547</v>
      </c>
      <c r="C377" s="408" t="s">
        <v>732</v>
      </c>
      <c r="D377" s="408" t="s">
        <v>531</v>
      </c>
      <c r="E377" s="408">
        <v>1.5</v>
      </c>
      <c r="F377" s="412">
        <v>45345.452777777777</v>
      </c>
      <c r="G377" s="408">
        <v>1</v>
      </c>
      <c r="H377" s="408">
        <v>51.370800000000003</v>
      </c>
      <c r="I377" s="408">
        <v>7.8284700000000003</v>
      </c>
      <c r="J377" s="408">
        <v>-17.249400000000001</v>
      </c>
      <c r="K377" s="408">
        <v>-16.4465</v>
      </c>
      <c r="L377" s="408">
        <v>1010.34</v>
      </c>
      <c r="M377" s="408">
        <v>135.9991</v>
      </c>
      <c r="N377" s="408">
        <v>17860.63</v>
      </c>
      <c r="O377" s="408">
        <v>17859.45</v>
      </c>
      <c r="P377" s="410">
        <v>2067.0929999999998</v>
      </c>
      <c r="Q377" s="396" t="s">
        <v>18</v>
      </c>
      <c r="R377" s="396" t="s">
        <v>18</v>
      </c>
      <c r="S377" s="396" t="s">
        <v>18</v>
      </c>
      <c r="T377" s="408" t="s">
        <v>532</v>
      </c>
      <c r="U377" s="408">
        <v>15</v>
      </c>
      <c r="V377" s="408">
        <v>5</v>
      </c>
      <c r="W377" s="408">
        <v>0.7</v>
      </c>
      <c r="X377" s="408">
        <v>0.7</v>
      </c>
      <c r="Y377" s="408">
        <v>0.7</v>
      </c>
      <c r="Z377" s="411">
        <v>1700</v>
      </c>
      <c r="AA377" s="411" t="s">
        <v>533</v>
      </c>
      <c r="AB377" s="411">
        <v>0.85</v>
      </c>
      <c r="AC377" s="411" t="s">
        <v>534</v>
      </c>
      <c r="AD377" s="411" t="s">
        <v>535</v>
      </c>
      <c r="AE377" s="411">
        <v>220</v>
      </c>
      <c r="AF377" s="416"/>
      <c r="AG377" s="416"/>
    </row>
    <row r="378" spans="1:33" ht="15.75">
      <c r="A378" s="408" t="s">
        <v>738</v>
      </c>
      <c r="B378" s="408" t="s">
        <v>547</v>
      </c>
      <c r="C378" s="408" t="s">
        <v>732</v>
      </c>
      <c r="D378" s="408" t="s">
        <v>531</v>
      </c>
      <c r="E378" s="408">
        <v>1.5</v>
      </c>
      <c r="F378" s="412">
        <v>45345.456250000003</v>
      </c>
      <c r="G378" s="408">
        <v>1</v>
      </c>
      <c r="H378" s="408">
        <v>51.374099999999999</v>
      </c>
      <c r="I378" s="408">
        <v>7.79495</v>
      </c>
      <c r="J378" s="408">
        <v>-17.272500000000001</v>
      </c>
      <c r="K378" s="408">
        <v>-16.480899999999998</v>
      </c>
      <c r="L378" s="408">
        <v>1006.61</v>
      </c>
      <c r="M378" s="408">
        <v>152.001</v>
      </c>
      <c r="N378" s="408">
        <v>17874.3</v>
      </c>
      <c r="O378" s="408">
        <v>17859.45</v>
      </c>
      <c r="P378" s="410">
        <v>2067.0929999999998</v>
      </c>
      <c r="Q378" s="396" t="s">
        <v>18</v>
      </c>
      <c r="R378" s="396" t="s">
        <v>18</v>
      </c>
      <c r="S378" s="396" t="s">
        <v>18</v>
      </c>
      <c r="T378" s="408" t="s">
        <v>532</v>
      </c>
      <c r="U378" s="408">
        <v>15</v>
      </c>
      <c r="V378" s="408">
        <v>5</v>
      </c>
      <c r="W378" s="408">
        <v>0.7</v>
      </c>
      <c r="X378" s="408">
        <v>0.7</v>
      </c>
      <c r="Y378" s="408">
        <v>0.7</v>
      </c>
      <c r="Z378" s="411">
        <v>1700</v>
      </c>
      <c r="AA378" s="411" t="s">
        <v>533</v>
      </c>
      <c r="AB378" s="411">
        <v>0.85</v>
      </c>
      <c r="AC378" s="411" t="s">
        <v>534</v>
      </c>
      <c r="AD378" s="411" t="s">
        <v>535</v>
      </c>
      <c r="AE378" s="411">
        <v>220</v>
      </c>
      <c r="AF378" s="416"/>
      <c r="AG378" s="416"/>
    </row>
    <row r="379" spans="1:33" ht="15.75">
      <c r="A379" s="408" t="s">
        <v>739</v>
      </c>
      <c r="B379" s="408" t="s">
        <v>547</v>
      </c>
      <c r="C379" s="408" t="s">
        <v>732</v>
      </c>
      <c r="D379" s="408" t="s">
        <v>531</v>
      </c>
      <c r="E379" s="408">
        <v>1.5</v>
      </c>
      <c r="F379" s="412">
        <v>45345.460416666669</v>
      </c>
      <c r="G379" s="408">
        <v>1</v>
      </c>
      <c r="H379" s="408">
        <v>51.3675</v>
      </c>
      <c r="I379" s="408">
        <v>7.7587099999999998</v>
      </c>
      <c r="J379" s="408">
        <v>-17.398700000000002</v>
      </c>
      <c r="K379" s="408">
        <v>-16.5578</v>
      </c>
      <c r="L379" s="408">
        <v>990.55799999999999</v>
      </c>
      <c r="M379" s="408">
        <v>128.00049999999999</v>
      </c>
      <c r="N379" s="408">
        <v>17843.419999999998</v>
      </c>
      <c r="O379" s="408">
        <v>17859.45</v>
      </c>
      <c r="P379" s="410">
        <v>2067.0929999999998</v>
      </c>
      <c r="Q379" s="396" t="s">
        <v>18</v>
      </c>
      <c r="R379" s="396" t="s">
        <v>18</v>
      </c>
      <c r="S379" s="396" t="s">
        <v>18</v>
      </c>
      <c r="T379" s="408" t="s">
        <v>532</v>
      </c>
      <c r="U379" s="408">
        <v>15</v>
      </c>
      <c r="V379" s="408">
        <v>5</v>
      </c>
      <c r="W379" s="408">
        <v>0.7</v>
      </c>
      <c r="X379" s="408">
        <v>0.7</v>
      </c>
      <c r="Y379" s="408">
        <v>0.7</v>
      </c>
      <c r="Z379" s="411">
        <v>1700</v>
      </c>
      <c r="AA379" s="411" t="s">
        <v>533</v>
      </c>
      <c r="AB379" s="411">
        <v>0.85</v>
      </c>
      <c r="AC379" s="411" t="s">
        <v>534</v>
      </c>
      <c r="AD379" s="411" t="s">
        <v>535</v>
      </c>
      <c r="AE379" s="411">
        <v>220</v>
      </c>
      <c r="AF379" s="416"/>
      <c r="AG379" s="416"/>
    </row>
    <row r="380" spans="1:33" ht="15.75">
      <c r="A380" s="408" t="s">
        <v>740</v>
      </c>
      <c r="B380" s="408" t="s">
        <v>552</v>
      </c>
      <c r="C380" s="408" t="s">
        <v>732</v>
      </c>
      <c r="D380" s="408" t="s">
        <v>531</v>
      </c>
      <c r="E380" s="408">
        <v>1.8</v>
      </c>
      <c r="F380" s="412">
        <v>45345.463888888888</v>
      </c>
      <c r="G380" s="408">
        <v>1</v>
      </c>
      <c r="H380" s="408">
        <v>51.370800000000003</v>
      </c>
      <c r="I380" s="408">
        <v>7.8608500000000001</v>
      </c>
      <c r="J380" s="408">
        <v>-17.3004</v>
      </c>
      <c r="K380" s="408">
        <v>-16.450399999999998</v>
      </c>
      <c r="L380" s="408">
        <v>1006.01</v>
      </c>
      <c r="M380" s="408">
        <v>136.99969999999999</v>
      </c>
      <c r="N380" s="408">
        <v>21408.78</v>
      </c>
      <c r="O380" s="408">
        <v>21451.599999999999</v>
      </c>
      <c r="P380" s="410">
        <v>2067.0929999999998</v>
      </c>
      <c r="Q380" s="396" t="s">
        <v>18</v>
      </c>
      <c r="R380" s="396" t="s">
        <v>18</v>
      </c>
      <c r="S380" s="396" t="s">
        <v>18</v>
      </c>
      <c r="T380" s="408" t="s">
        <v>542</v>
      </c>
      <c r="U380" s="408">
        <v>15</v>
      </c>
      <c r="V380" s="408">
        <v>5</v>
      </c>
      <c r="W380" s="408">
        <v>0.7</v>
      </c>
      <c r="X380" s="408">
        <v>0.7</v>
      </c>
      <c r="Y380" s="408">
        <v>0.7</v>
      </c>
      <c r="Z380" s="411">
        <v>1700</v>
      </c>
      <c r="AA380" s="411" t="s">
        <v>533</v>
      </c>
      <c r="AB380" s="411">
        <v>0.85</v>
      </c>
      <c r="AC380" s="411" t="s">
        <v>534</v>
      </c>
      <c r="AD380" s="411" t="s">
        <v>535</v>
      </c>
      <c r="AE380" s="411">
        <v>220</v>
      </c>
      <c r="AF380" s="416"/>
      <c r="AG380" s="416"/>
    </row>
    <row r="381" spans="1:33" ht="15.75">
      <c r="A381" s="408" t="s">
        <v>741</v>
      </c>
      <c r="B381" s="408" t="s">
        <v>552</v>
      </c>
      <c r="C381" s="408" t="s">
        <v>732</v>
      </c>
      <c r="D381" s="408" t="s">
        <v>531</v>
      </c>
      <c r="E381" s="408">
        <v>1.8</v>
      </c>
      <c r="F381" s="412">
        <v>45345.468055555553</v>
      </c>
      <c r="G381" s="408">
        <v>1</v>
      </c>
      <c r="H381" s="408">
        <v>51.370800000000003</v>
      </c>
      <c r="I381" s="408">
        <v>7.8060799999999997</v>
      </c>
      <c r="J381" s="408">
        <v>-17.300899999999999</v>
      </c>
      <c r="K381" s="408">
        <v>-16.459700000000002</v>
      </c>
      <c r="L381" s="408">
        <v>994.45399999999995</v>
      </c>
      <c r="M381" s="408">
        <v>134.99969999999999</v>
      </c>
      <c r="N381" s="408">
        <v>21434.62</v>
      </c>
      <c r="O381" s="408">
        <v>21451.599999999999</v>
      </c>
      <c r="P381" s="410">
        <v>2067.0929999999998</v>
      </c>
      <c r="Q381" s="396" t="s">
        <v>18</v>
      </c>
      <c r="R381" s="396" t="s">
        <v>18</v>
      </c>
      <c r="S381" s="396" t="s">
        <v>18</v>
      </c>
      <c r="T381" s="408" t="s">
        <v>532</v>
      </c>
      <c r="U381" s="408">
        <v>15</v>
      </c>
      <c r="V381" s="408">
        <v>5</v>
      </c>
      <c r="W381" s="408">
        <v>0.7</v>
      </c>
      <c r="X381" s="408">
        <v>0.7</v>
      </c>
      <c r="Y381" s="408">
        <v>0.7</v>
      </c>
      <c r="Z381" s="411">
        <v>1700</v>
      </c>
      <c r="AA381" s="411" t="s">
        <v>533</v>
      </c>
      <c r="AB381" s="411">
        <v>0.85</v>
      </c>
      <c r="AC381" s="411" t="s">
        <v>534</v>
      </c>
      <c r="AD381" s="411" t="s">
        <v>535</v>
      </c>
      <c r="AE381" s="411">
        <v>220</v>
      </c>
      <c r="AF381" s="416"/>
      <c r="AG381" s="416"/>
    </row>
    <row r="382" spans="1:33" ht="15.75">
      <c r="A382" s="408" t="s">
        <v>742</v>
      </c>
      <c r="B382" s="408" t="s">
        <v>552</v>
      </c>
      <c r="C382" s="408" t="s">
        <v>732</v>
      </c>
      <c r="D382" s="408" t="s">
        <v>531</v>
      </c>
      <c r="E382" s="408">
        <v>1.8</v>
      </c>
      <c r="F382" s="412">
        <v>45345.47152777778</v>
      </c>
      <c r="G382" s="408">
        <v>1</v>
      </c>
      <c r="H382" s="408">
        <v>51.374099999999999</v>
      </c>
      <c r="I382" s="408">
        <v>7.7774099999999997</v>
      </c>
      <c r="J382" s="408">
        <v>-17.398700000000002</v>
      </c>
      <c r="K382" s="408">
        <v>-16.5503</v>
      </c>
      <c r="L382" s="408">
        <v>1004.1</v>
      </c>
      <c r="M382" s="408">
        <v>144.00059999999999</v>
      </c>
      <c r="N382" s="408">
        <v>21466.14</v>
      </c>
      <c r="O382" s="408">
        <v>21451.599999999999</v>
      </c>
      <c r="P382" s="410">
        <v>2067.0929999999998</v>
      </c>
      <c r="Q382" s="396" t="s">
        <v>18</v>
      </c>
      <c r="R382" s="396" t="s">
        <v>18</v>
      </c>
      <c r="S382" s="396" t="s">
        <v>18</v>
      </c>
      <c r="T382" s="408" t="s">
        <v>532</v>
      </c>
      <c r="U382" s="408">
        <v>15</v>
      </c>
      <c r="V382" s="408">
        <v>5</v>
      </c>
      <c r="W382" s="408">
        <v>0.7</v>
      </c>
      <c r="X382" s="408">
        <v>0.7</v>
      </c>
      <c r="Y382" s="408">
        <v>0.7</v>
      </c>
      <c r="Z382" s="411">
        <v>1700</v>
      </c>
      <c r="AA382" s="411" t="s">
        <v>533</v>
      </c>
      <c r="AB382" s="411">
        <v>0.85</v>
      </c>
      <c r="AC382" s="411" t="s">
        <v>534</v>
      </c>
      <c r="AD382" s="411" t="s">
        <v>535</v>
      </c>
      <c r="AE382" s="411">
        <v>220</v>
      </c>
      <c r="AF382" s="416"/>
      <c r="AG382" s="416"/>
    </row>
    <row r="383" spans="1:33" ht="15.75">
      <c r="A383" s="408" t="s">
        <v>743</v>
      </c>
      <c r="B383" s="408" t="s">
        <v>552</v>
      </c>
      <c r="C383" s="408" t="s">
        <v>732</v>
      </c>
      <c r="D383" s="408" t="s">
        <v>531</v>
      </c>
      <c r="E383" s="408">
        <v>1.8</v>
      </c>
      <c r="F383" s="412">
        <v>45345.475694444445</v>
      </c>
      <c r="G383" s="408">
        <v>1</v>
      </c>
      <c r="H383" s="408">
        <v>51.374099999999999</v>
      </c>
      <c r="I383" s="408">
        <v>7.6967299999999996</v>
      </c>
      <c r="J383" s="408">
        <v>-17.314499999999999</v>
      </c>
      <c r="K383" s="408">
        <v>-16.4665</v>
      </c>
      <c r="L383" s="408">
        <v>986.36</v>
      </c>
      <c r="M383" s="408">
        <v>142.99959999999999</v>
      </c>
      <c r="N383" s="408">
        <v>21454.03</v>
      </c>
      <c r="O383" s="408">
        <v>21451.599999999999</v>
      </c>
      <c r="P383" s="410">
        <v>2067.0929999999998</v>
      </c>
      <c r="Q383" s="396" t="s">
        <v>18</v>
      </c>
      <c r="R383" s="396" t="s">
        <v>18</v>
      </c>
      <c r="S383" s="396" t="s">
        <v>18</v>
      </c>
      <c r="T383" s="408" t="s">
        <v>532</v>
      </c>
      <c r="U383" s="408">
        <v>15</v>
      </c>
      <c r="V383" s="408">
        <v>5</v>
      </c>
      <c r="W383" s="408">
        <v>0.7</v>
      </c>
      <c r="X383" s="408">
        <v>0.7</v>
      </c>
      <c r="Y383" s="408">
        <v>0.7</v>
      </c>
      <c r="Z383" s="411">
        <v>1700</v>
      </c>
      <c r="AA383" s="411" t="s">
        <v>533</v>
      </c>
      <c r="AB383" s="411">
        <v>0.85</v>
      </c>
      <c r="AC383" s="411" t="s">
        <v>534</v>
      </c>
      <c r="AD383" s="411" t="s">
        <v>535</v>
      </c>
      <c r="AE383" s="411">
        <v>220</v>
      </c>
      <c r="AF383" s="416"/>
      <c r="AG383" s="416"/>
    </row>
    <row r="384" spans="1:33" ht="15.75">
      <c r="A384" s="408" t="s">
        <v>605</v>
      </c>
      <c r="B384" s="408">
        <v>2</v>
      </c>
      <c r="C384" s="408" t="s">
        <v>732</v>
      </c>
      <c r="D384" s="408" t="s">
        <v>531</v>
      </c>
      <c r="E384" s="408">
        <v>1.5</v>
      </c>
      <c r="F384" s="412">
        <v>45345.479166666664</v>
      </c>
      <c r="G384" s="408">
        <v>1</v>
      </c>
      <c r="H384" s="408">
        <v>51.370800000000003</v>
      </c>
      <c r="I384" s="408">
        <v>7.7004000000000001</v>
      </c>
      <c r="J384" s="408">
        <v>-17.3001</v>
      </c>
      <c r="K384" s="408">
        <v>-16.454000000000001</v>
      </c>
      <c r="L384" s="408">
        <v>983.53899999999999</v>
      </c>
      <c r="M384" s="408">
        <v>119.9996</v>
      </c>
      <c r="N384" s="408">
        <v>17836.599999999999</v>
      </c>
      <c r="O384" s="408">
        <v>17831.46</v>
      </c>
      <c r="P384" s="410">
        <v>2063.8719999999998</v>
      </c>
      <c r="Q384" s="396" t="s">
        <v>18</v>
      </c>
      <c r="R384" s="410">
        <f t="shared" ref="R384:R386" si="34">2067.13-P384</f>
        <v>3.2580000000002656</v>
      </c>
      <c r="S384" s="396">
        <f t="shared" ref="S384:S407" si="35">P384+R384</f>
        <v>2067.13</v>
      </c>
      <c r="T384" s="408" t="s">
        <v>532</v>
      </c>
      <c r="U384" s="408">
        <v>15</v>
      </c>
      <c r="V384" s="408">
        <v>5</v>
      </c>
      <c r="W384" s="408">
        <v>0.7</v>
      </c>
      <c r="X384" s="408">
        <v>0.7</v>
      </c>
      <c r="Y384" s="408">
        <v>0.7</v>
      </c>
      <c r="Z384" s="411">
        <v>1700</v>
      </c>
      <c r="AA384" s="411" t="s">
        <v>533</v>
      </c>
      <c r="AB384" s="411">
        <v>0.85</v>
      </c>
      <c r="AC384" s="411" t="s">
        <v>534</v>
      </c>
      <c r="AD384" s="411" t="s">
        <v>535</v>
      </c>
      <c r="AE384" s="411">
        <v>220</v>
      </c>
      <c r="AF384" s="416"/>
      <c r="AG384" s="417"/>
    </row>
    <row r="385" spans="1:33" ht="15.75">
      <c r="A385" s="408" t="s">
        <v>606</v>
      </c>
      <c r="B385" s="408">
        <v>2</v>
      </c>
      <c r="C385" s="408" t="s">
        <v>732</v>
      </c>
      <c r="D385" s="408" t="s">
        <v>531</v>
      </c>
      <c r="E385" s="408">
        <v>1.5</v>
      </c>
      <c r="F385" s="412">
        <v>45345.482638888891</v>
      </c>
      <c r="G385" s="408">
        <v>1</v>
      </c>
      <c r="H385" s="408">
        <v>51.374099999999999</v>
      </c>
      <c r="I385" s="408">
        <v>7.6648500000000004</v>
      </c>
      <c r="J385" s="408">
        <v>-17.369700000000002</v>
      </c>
      <c r="K385" s="408">
        <v>-16.526</v>
      </c>
      <c r="L385" s="408">
        <v>993.90800000000002</v>
      </c>
      <c r="M385" s="408">
        <v>188.99760000000001</v>
      </c>
      <c r="N385" s="408">
        <v>17819.97</v>
      </c>
      <c r="O385" s="408">
        <v>17831.46</v>
      </c>
      <c r="P385" s="410">
        <v>2063.8719999999998</v>
      </c>
      <c r="Q385" s="396" t="s">
        <v>18</v>
      </c>
      <c r="R385" s="410">
        <f t="shared" si="34"/>
        <v>3.2580000000002656</v>
      </c>
      <c r="S385" s="396">
        <f t="shared" si="35"/>
        <v>2067.13</v>
      </c>
      <c r="T385" s="408" t="s">
        <v>532</v>
      </c>
      <c r="U385" s="408">
        <v>15</v>
      </c>
      <c r="V385" s="408">
        <v>5</v>
      </c>
      <c r="W385" s="408">
        <v>0.7</v>
      </c>
      <c r="X385" s="408">
        <v>0.7</v>
      </c>
      <c r="Y385" s="408">
        <v>0.7</v>
      </c>
      <c r="Z385" s="411">
        <v>1700</v>
      </c>
      <c r="AA385" s="411" t="s">
        <v>533</v>
      </c>
      <c r="AB385" s="411">
        <v>0.85</v>
      </c>
      <c r="AC385" s="411" t="s">
        <v>534</v>
      </c>
      <c r="AD385" s="411" t="s">
        <v>535</v>
      </c>
      <c r="AE385" s="411">
        <v>220</v>
      </c>
      <c r="AF385" s="416"/>
      <c r="AG385" s="417"/>
    </row>
    <row r="386" spans="1:33" ht="15.75">
      <c r="A386" s="408" t="s">
        <v>607</v>
      </c>
      <c r="B386" s="408">
        <v>2</v>
      </c>
      <c r="C386" s="408" t="s">
        <v>732</v>
      </c>
      <c r="D386" s="408" t="s">
        <v>531</v>
      </c>
      <c r="E386" s="408">
        <v>1.5</v>
      </c>
      <c r="F386" s="412">
        <v>45345.487500000003</v>
      </c>
      <c r="G386" s="408">
        <v>1</v>
      </c>
      <c r="H386" s="408">
        <v>51.3675</v>
      </c>
      <c r="I386" s="408">
        <v>7.6924099999999997</v>
      </c>
      <c r="J386" s="408">
        <v>-17.353100000000001</v>
      </c>
      <c r="K386" s="408">
        <v>-16.5105</v>
      </c>
      <c r="L386" s="408">
        <v>987.625</v>
      </c>
      <c r="M386" s="408">
        <v>112.50060000000001</v>
      </c>
      <c r="N386" s="408">
        <v>17720.810000000001</v>
      </c>
      <c r="O386" s="408">
        <v>17831.46</v>
      </c>
      <c r="P386" s="410">
        <v>2063.8719999999998</v>
      </c>
      <c r="Q386" s="396" t="s">
        <v>18</v>
      </c>
      <c r="R386" s="410">
        <f t="shared" si="34"/>
        <v>3.2580000000002656</v>
      </c>
      <c r="S386" s="396">
        <f t="shared" si="35"/>
        <v>2067.13</v>
      </c>
      <c r="T386" s="408" t="s">
        <v>542</v>
      </c>
      <c r="U386" s="408">
        <v>15</v>
      </c>
      <c r="V386" s="408">
        <v>5</v>
      </c>
      <c r="W386" s="408">
        <v>0.7</v>
      </c>
      <c r="X386" s="408">
        <v>0.7</v>
      </c>
      <c r="Y386" s="408">
        <v>0.7</v>
      </c>
      <c r="Z386" s="411">
        <v>1700</v>
      </c>
      <c r="AA386" s="411" t="s">
        <v>533</v>
      </c>
      <c r="AB386" s="411">
        <v>0.85</v>
      </c>
      <c r="AC386" s="411" t="s">
        <v>534</v>
      </c>
      <c r="AD386" s="411" t="s">
        <v>535</v>
      </c>
      <c r="AE386" s="411">
        <v>220</v>
      </c>
      <c r="AF386" s="416"/>
      <c r="AG386" s="417"/>
    </row>
    <row r="387" spans="1:33" ht="15.75">
      <c r="A387" s="408" t="s">
        <v>608</v>
      </c>
      <c r="B387" s="408">
        <v>2</v>
      </c>
      <c r="C387" s="408" t="s">
        <v>732</v>
      </c>
      <c r="D387" s="408" t="s">
        <v>531</v>
      </c>
      <c r="E387" s="408">
        <v>1.5</v>
      </c>
      <c r="F387" s="412">
        <v>45345.490972222222</v>
      </c>
      <c r="G387" s="408">
        <v>1</v>
      </c>
      <c r="H387" s="408">
        <v>51.370800000000003</v>
      </c>
      <c r="I387" s="408">
        <v>7.8529999999999998</v>
      </c>
      <c r="J387" s="408">
        <v>-17.235199999999999</v>
      </c>
      <c r="K387" s="408">
        <v>-16.389600000000002</v>
      </c>
      <c r="L387" s="408">
        <v>990.93799999999999</v>
      </c>
      <c r="M387" s="408">
        <v>133.49850000000001</v>
      </c>
      <c r="N387" s="408">
        <v>17837.810000000001</v>
      </c>
      <c r="O387" s="408">
        <v>17831.46</v>
      </c>
      <c r="P387" s="410">
        <v>2063.8719999999998</v>
      </c>
      <c r="Q387" s="396" t="s">
        <v>18</v>
      </c>
      <c r="R387" s="410">
        <f t="shared" ref="R387:R407" si="36">((B387-B$387)/(B$426-B$387))*R$427+((1-((B387-B$387)/(B$426-B$387)))*R$386)</f>
        <v>3.2580000000002656</v>
      </c>
      <c r="S387" s="396">
        <f t="shared" si="35"/>
        <v>2067.13</v>
      </c>
      <c r="T387" s="408" t="s">
        <v>532</v>
      </c>
      <c r="U387" s="408">
        <v>15</v>
      </c>
      <c r="V387" s="408">
        <v>5</v>
      </c>
      <c r="W387" s="408">
        <v>0.7</v>
      </c>
      <c r="X387" s="408">
        <v>0.7</v>
      </c>
      <c r="Y387" s="408">
        <v>0.7</v>
      </c>
      <c r="Z387" s="411">
        <v>1700</v>
      </c>
      <c r="AA387" s="411" t="s">
        <v>533</v>
      </c>
      <c r="AB387" s="411">
        <v>0.85</v>
      </c>
      <c r="AC387" s="411" t="s">
        <v>534</v>
      </c>
      <c r="AD387" s="411" t="s">
        <v>535</v>
      </c>
      <c r="AE387" s="411">
        <v>220</v>
      </c>
      <c r="AF387" s="416"/>
      <c r="AG387" s="417"/>
    </row>
    <row r="388" spans="1:33" ht="15.75">
      <c r="A388" s="408" t="s">
        <v>609</v>
      </c>
      <c r="B388" s="408">
        <v>3</v>
      </c>
      <c r="C388" s="408">
        <v>430</v>
      </c>
      <c r="D388" s="408" t="s">
        <v>561</v>
      </c>
      <c r="E388" s="408">
        <v>1.5</v>
      </c>
      <c r="F388" s="412">
        <v>45345.495138888888</v>
      </c>
      <c r="G388" s="408">
        <v>1</v>
      </c>
      <c r="H388" s="408">
        <v>51.370800000000003</v>
      </c>
      <c r="I388" s="408">
        <v>7.7081600000000003</v>
      </c>
      <c r="J388" s="408">
        <v>-17.253699999999998</v>
      </c>
      <c r="K388" s="408">
        <v>-16.413799999999998</v>
      </c>
      <c r="L388" s="408">
        <v>981.03499999999997</v>
      </c>
      <c r="M388" s="408">
        <v>111.50069999999999</v>
      </c>
      <c r="N388" s="408">
        <v>17780.59</v>
      </c>
      <c r="O388" s="408">
        <v>17804.41</v>
      </c>
      <c r="P388" s="410">
        <v>2060.759</v>
      </c>
      <c r="Q388" s="396" t="s">
        <v>18</v>
      </c>
      <c r="R388" s="410">
        <f t="shared" si="36"/>
        <v>3.2512222222224709</v>
      </c>
      <c r="S388" s="396">
        <f t="shared" si="35"/>
        <v>2064.0102222222226</v>
      </c>
      <c r="T388" s="408" t="s">
        <v>542</v>
      </c>
      <c r="U388" s="408">
        <v>15</v>
      </c>
      <c r="V388" s="408">
        <v>5</v>
      </c>
      <c r="W388" s="408">
        <v>0.7</v>
      </c>
      <c r="X388" s="408">
        <v>0.7</v>
      </c>
      <c r="Y388" s="408">
        <v>0.7</v>
      </c>
      <c r="Z388" s="411">
        <v>1700</v>
      </c>
      <c r="AA388" s="411" t="s">
        <v>533</v>
      </c>
      <c r="AB388" s="411">
        <v>0.85</v>
      </c>
      <c r="AC388" s="411" t="s">
        <v>534</v>
      </c>
      <c r="AD388" s="411" t="s">
        <v>535</v>
      </c>
      <c r="AE388" s="411">
        <v>220</v>
      </c>
      <c r="AF388" s="416"/>
      <c r="AG388" s="416"/>
    </row>
    <row r="389" spans="1:33" ht="15.75">
      <c r="A389" s="408" t="s">
        <v>610</v>
      </c>
      <c r="B389" s="408">
        <v>3</v>
      </c>
      <c r="C389" s="408">
        <v>430</v>
      </c>
      <c r="D389" s="408" t="s">
        <v>561</v>
      </c>
      <c r="E389" s="408">
        <v>1.5</v>
      </c>
      <c r="F389" s="412">
        <v>45345.498611111114</v>
      </c>
      <c r="G389" s="408">
        <v>1</v>
      </c>
      <c r="H389" s="408">
        <v>51.370800000000003</v>
      </c>
      <c r="I389" s="408">
        <v>7.7184200000000001</v>
      </c>
      <c r="J389" s="408">
        <v>-17.351900000000001</v>
      </c>
      <c r="K389" s="408">
        <v>-16.521899999999999</v>
      </c>
      <c r="L389" s="408">
        <v>975.05600000000004</v>
      </c>
      <c r="M389" s="408">
        <v>121.9992</v>
      </c>
      <c r="N389" s="408">
        <v>17816.22</v>
      </c>
      <c r="O389" s="408">
        <v>17804.41</v>
      </c>
      <c r="P389" s="410">
        <v>2060.759</v>
      </c>
      <c r="Q389" s="396" t="s">
        <v>18</v>
      </c>
      <c r="R389" s="410">
        <f t="shared" si="36"/>
        <v>3.2512222222224709</v>
      </c>
      <c r="S389" s="396">
        <f t="shared" si="35"/>
        <v>2064.0102222222226</v>
      </c>
      <c r="T389" s="408" t="s">
        <v>532</v>
      </c>
      <c r="U389" s="408">
        <v>15</v>
      </c>
      <c r="V389" s="408">
        <v>5</v>
      </c>
      <c r="W389" s="408">
        <v>0.7</v>
      </c>
      <c r="X389" s="408">
        <v>0.7</v>
      </c>
      <c r="Y389" s="408">
        <v>0.7</v>
      </c>
      <c r="Z389" s="411">
        <v>1700</v>
      </c>
      <c r="AA389" s="411" t="s">
        <v>533</v>
      </c>
      <c r="AB389" s="411">
        <v>0.85</v>
      </c>
      <c r="AC389" s="411" t="s">
        <v>534</v>
      </c>
      <c r="AD389" s="411" t="s">
        <v>535</v>
      </c>
      <c r="AE389" s="411">
        <v>220</v>
      </c>
      <c r="AF389" s="416"/>
      <c r="AG389" s="416"/>
    </row>
    <row r="390" spans="1:33" ht="15.75">
      <c r="A390" s="408" t="s">
        <v>611</v>
      </c>
      <c r="B390" s="408">
        <v>3</v>
      </c>
      <c r="C390" s="408">
        <v>430</v>
      </c>
      <c r="D390" s="408" t="s">
        <v>561</v>
      </c>
      <c r="E390" s="408">
        <v>1.5</v>
      </c>
      <c r="F390" s="412">
        <v>45345.502083333333</v>
      </c>
      <c r="G390" s="408">
        <v>1</v>
      </c>
      <c r="H390" s="408">
        <v>51.370800000000003</v>
      </c>
      <c r="I390" s="408">
        <v>7.6783099999999997</v>
      </c>
      <c r="J390" s="408">
        <v>-17.2913</v>
      </c>
      <c r="K390" s="408">
        <v>-16.454999999999998</v>
      </c>
      <c r="L390" s="408">
        <v>999.77200000000005</v>
      </c>
      <c r="M390" s="408">
        <v>124.4988</v>
      </c>
      <c r="N390" s="408">
        <v>17808.43</v>
      </c>
      <c r="O390" s="408">
        <v>17804.41</v>
      </c>
      <c r="P390" s="410">
        <v>2060.759</v>
      </c>
      <c r="Q390" s="396" t="s">
        <v>18</v>
      </c>
      <c r="R390" s="410">
        <f t="shared" si="36"/>
        <v>3.2512222222224709</v>
      </c>
      <c r="S390" s="396">
        <f t="shared" si="35"/>
        <v>2064.0102222222226</v>
      </c>
      <c r="T390" s="408" t="s">
        <v>532</v>
      </c>
      <c r="U390" s="408">
        <v>15</v>
      </c>
      <c r="V390" s="408">
        <v>5</v>
      </c>
      <c r="W390" s="408">
        <v>0.7</v>
      </c>
      <c r="X390" s="408">
        <v>0.7</v>
      </c>
      <c r="Y390" s="408">
        <v>0.7</v>
      </c>
      <c r="Z390" s="411">
        <v>1700</v>
      </c>
      <c r="AA390" s="411" t="s">
        <v>533</v>
      </c>
      <c r="AB390" s="411">
        <v>0.85</v>
      </c>
      <c r="AC390" s="411" t="s">
        <v>534</v>
      </c>
      <c r="AD390" s="411" t="s">
        <v>535</v>
      </c>
      <c r="AE390" s="411">
        <v>220</v>
      </c>
      <c r="AF390" s="416"/>
      <c r="AG390" s="416"/>
    </row>
    <row r="391" spans="1:33" ht="15.75">
      <c r="A391" s="408" t="s">
        <v>612</v>
      </c>
      <c r="B391" s="408">
        <v>3</v>
      </c>
      <c r="C391" s="408">
        <v>430</v>
      </c>
      <c r="D391" s="408" t="s">
        <v>561</v>
      </c>
      <c r="E391" s="408">
        <v>1.5</v>
      </c>
      <c r="F391" s="412">
        <v>45345.505555555559</v>
      </c>
      <c r="G391" s="408">
        <v>1</v>
      </c>
      <c r="H391" s="408">
        <v>51.374099999999999</v>
      </c>
      <c r="I391" s="408">
        <v>7.6750800000000003</v>
      </c>
      <c r="J391" s="408">
        <v>-17.247</v>
      </c>
      <c r="K391" s="408">
        <v>-16.405000000000001</v>
      </c>
      <c r="L391" s="408">
        <v>989.52700000000004</v>
      </c>
      <c r="M391" s="408">
        <v>114.50020000000001</v>
      </c>
      <c r="N391" s="408">
        <v>17788.57</v>
      </c>
      <c r="O391" s="408">
        <v>17804.41</v>
      </c>
      <c r="P391" s="410">
        <v>2060.759</v>
      </c>
      <c r="Q391" s="396" t="s">
        <v>18</v>
      </c>
      <c r="R391" s="410">
        <f t="shared" si="36"/>
        <v>3.2512222222224709</v>
      </c>
      <c r="S391" s="396">
        <f t="shared" si="35"/>
        <v>2064.0102222222226</v>
      </c>
      <c r="T391" s="408" t="s">
        <v>532</v>
      </c>
      <c r="U391" s="408">
        <v>15</v>
      </c>
      <c r="V391" s="408">
        <v>5</v>
      </c>
      <c r="W391" s="408">
        <v>0.7</v>
      </c>
      <c r="X391" s="408">
        <v>0.7</v>
      </c>
      <c r="Y391" s="408">
        <v>0.7</v>
      </c>
      <c r="Z391" s="411">
        <v>1700</v>
      </c>
      <c r="AA391" s="411" t="s">
        <v>533</v>
      </c>
      <c r="AB391" s="411">
        <v>0.85</v>
      </c>
      <c r="AC391" s="411" t="s">
        <v>534</v>
      </c>
      <c r="AD391" s="411" t="s">
        <v>535</v>
      </c>
      <c r="AE391" s="411">
        <v>220</v>
      </c>
      <c r="AF391" s="416"/>
      <c r="AG391" s="416"/>
    </row>
    <row r="392" spans="1:33" ht="15.75">
      <c r="A392" s="408" t="s">
        <v>613</v>
      </c>
      <c r="B392" s="408">
        <v>4</v>
      </c>
      <c r="C392" s="408">
        <v>431</v>
      </c>
      <c r="D392" s="408" t="s">
        <v>565</v>
      </c>
      <c r="E392" s="408">
        <v>1.5</v>
      </c>
      <c r="F392" s="412">
        <v>45345.509722222225</v>
      </c>
      <c r="G392" s="408">
        <v>1</v>
      </c>
      <c r="H392" s="408">
        <v>51.374099999999999</v>
      </c>
      <c r="I392" s="408">
        <v>7.7673800000000002</v>
      </c>
      <c r="J392" s="408">
        <v>-17.201799999999999</v>
      </c>
      <c r="K392" s="408">
        <v>-16.354199999999999</v>
      </c>
      <c r="L392" s="408">
        <v>988.577</v>
      </c>
      <c r="M392" s="408">
        <v>115.4991</v>
      </c>
      <c r="N392" s="408">
        <v>17789.150000000001</v>
      </c>
      <c r="O392" s="408">
        <v>17788</v>
      </c>
      <c r="P392" s="410">
        <v>2058.87</v>
      </c>
      <c r="Q392" s="396" t="s">
        <v>18</v>
      </c>
      <c r="R392" s="410">
        <f t="shared" si="36"/>
        <v>3.2444444444446772</v>
      </c>
      <c r="S392" s="396">
        <f t="shared" si="35"/>
        <v>2062.1144444444444</v>
      </c>
      <c r="T392" s="408" t="s">
        <v>532</v>
      </c>
      <c r="U392" s="408">
        <v>15</v>
      </c>
      <c r="V392" s="408">
        <v>5</v>
      </c>
      <c r="W392" s="408">
        <v>0.7</v>
      </c>
      <c r="X392" s="408">
        <v>0.7</v>
      </c>
      <c r="Y392" s="408">
        <v>0.7</v>
      </c>
      <c r="Z392" s="411">
        <v>1700</v>
      </c>
      <c r="AA392" s="411" t="s">
        <v>533</v>
      </c>
      <c r="AB392" s="411">
        <v>0.85</v>
      </c>
      <c r="AC392" s="411" t="s">
        <v>534</v>
      </c>
      <c r="AD392" s="411" t="s">
        <v>535</v>
      </c>
      <c r="AE392" s="411">
        <v>220</v>
      </c>
      <c r="AF392" s="416"/>
      <c r="AG392" s="416"/>
    </row>
    <row r="393" spans="1:33" ht="15.75">
      <c r="A393" s="408" t="s">
        <v>614</v>
      </c>
      <c r="B393" s="408">
        <v>4</v>
      </c>
      <c r="C393" s="408">
        <v>431</v>
      </c>
      <c r="D393" s="408" t="s">
        <v>565</v>
      </c>
      <c r="E393" s="408">
        <v>1.5</v>
      </c>
      <c r="F393" s="412">
        <v>45345.513194444444</v>
      </c>
      <c r="G393" s="408">
        <v>1</v>
      </c>
      <c r="H393" s="408">
        <v>51.370800000000003</v>
      </c>
      <c r="I393" s="408">
        <v>7.7204800000000002</v>
      </c>
      <c r="J393" s="408">
        <v>-17.282499999999999</v>
      </c>
      <c r="K393" s="408">
        <v>-16.447299999999998</v>
      </c>
      <c r="L393" s="408">
        <v>981.86699999999996</v>
      </c>
      <c r="M393" s="408">
        <v>130.49930000000001</v>
      </c>
      <c r="N393" s="408">
        <v>17783.509999999998</v>
      </c>
      <c r="O393" s="408">
        <v>17788</v>
      </c>
      <c r="P393" s="410">
        <v>2058.87</v>
      </c>
      <c r="Q393" s="396" t="s">
        <v>18</v>
      </c>
      <c r="R393" s="410">
        <f t="shared" si="36"/>
        <v>3.2444444444446772</v>
      </c>
      <c r="S393" s="396">
        <f t="shared" si="35"/>
        <v>2062.1144444444444</v>
      </c>
      <c r="T393" s="408" t="s">
        <v>532</v>
      </c>
      <c r="U393" s="408">
        <v>15</v>
      </c>
      <c r="V393" s="408">
        <v>5</v>
      </c>
      <c r="W393" s="408">
        <v>0.7</v>
      </c>
      <c r="X393" s="408">
        <v>0.7</v>
      </c>
      <c r="Y393" s="408">
        <v>0.7</v>
      </c>
      <c r="Z393" s="411">
        <v>1700</v>
      </c>
      <c r="AA393" s="411" t="s">
        <v>533</v>
      </c>
      <c r="AB393" s="411">
        <v>0.85</v>
      </c>
      <c r="AC393" s="411" t="s">
        <v>534</v>
      </c>
      <c r="AD393" s="411" t="s">
        <v>535</v>
      </c>
      <c r="AE393" s="411">
        <v>220</v>
      </c>
      <c r="AF393" s="416"/>
      <c r="AG393" s="416"/>
    </row>
    <row r="394" spans="1:33" ht="15.75">
      <c r="A394" s="408" t="s">
        <v>615</v>
      </c>
      <c r="B394" s="408">
        <v>4</v>
      </c>
      <c r="C394" s="408">
        <v>431</v>
      </c>
      <c r="D394" s="408" t="s">
        <v>565</v>
      </c>
      <c r="E394" s="408">
        <v>1.5</v>
      </c>
      <c r="F394" s="412">
        <v>45345.51666666667</v>
      </c>
      <c r="G394" s="408">
        <v>1</v>
      </c>
      <c r="H394" s="408">
        <v>51.370800000000003</v>
      </c>
      <c r="I394" s="408">
        <v>7.7698499999999999</v>
      </c>
      <c r="J394" s="408">
        <v>-17.333300000000001</v>
      </c>
      <c r="K394" s="408">
        <v>-16.518899999999999</v>
      </c>
      <c r="L394" s="408">
        <v>994.27</v>
      </c>
      <c r="M394" s="408">
        <v>125.5005</v>
      </c>
      <c r="N394" s="408">
        <v>17791.330000000002</v>
      </c>
      <c r="O394" s="408">
        <v>17788</v>
      </c>
      <c r="P394" s="410">
        <v>2058.87</v>
      </c>
      <c r="Q394" s="396" t="s">
        <v>18</v>
      </c>
      <c r="R394" s="410">
        <f t="shared" si="36"/>
        <v>3.2444444444446772</v>
      </c>
      <c r="S394" s="396">
        <f t="shared" si="35"/>
        <v>2062.1144444444444</v>
      </c>
      <c r="T394" s="408" t="s">
        <v>532</v>
      </c>
      <c r="U394" s="408">
        <v>15</v>
      </c>
      <c r="V394" s="408">
        <v>5</v>
      </c>
      <c r="W394" s="408">
        <v>0.7</v>
      </c>
      <c r="X394" s="408">
        <v>0.7</v>
      </c>
      <c r="Y394" s="408">
        <v>0.7</v>
      </c>
      <c r="Z394" s="411">
        <v>1700</v>
      </c>
      <c r="AA394" s="411" t="s">
        <v>533</v>
      </c>
      <c r="AB394" s="411">
        <v>0.85</v>
      </c>
      <c r="AC394" s="411" t="s">
        <v>534</v>
      </c>
      <c r="AD394" s="411" t="s">
        <v>535</v>
      </c>
      <c r="AE394" s="411">
        <v>220</v>
      </c>
      <c r="AF394" s="416"/>
      <c r="AG394" s="416"/>
    </row>
    <row r="395" spans="1:33" ht="15.75">
      <c r="A395" s="408" t="s">
        <v>618</v>
      </c>
      <c r="B395" s="408">
        <v>5</v>
      </c>
      <c r="C395" s="408">
        <v>170</v>
      </c>
      <c r="D395" s="408" t="s">
        <v>569</v>
      </c>
      <c r="E395" s="408">
        <v>1.5</v>
      </c>
      <c r="F395" s="412">
        <v>45345.520833333336</v>
      </c>
      <c r="G395" s="408">
        <v>1</v>
      </c>
      <c r="H395" s="408">
        <v>51.3675</v>
      </c>
      <c r="I395" s="408">
        <v>7.6972199999999997</v>
      </c>
      <c r="J395" s="408">
        <v>-17.320499999999999</v>
      </c>
      <c r="K395" s="408">
        <v>-16.497599999999998</v>
      </c>
      <c r="L395" s="408">
        <v>982.43899999999996</v>
      </c>
      <c r="M395" s="408">
        <v>123.0003</v>
      </c>
      <c r="N395" s="408">
        <v>17637.2</v>
      </c>
      <c r="O395" s="408">
        <v>17646.72</v>
      </c>
      <c r="P395" s="410">
        <v>2042.6110000000001</v>
      </c>
      <c r="Q395" s="396" t="s">
        <v>18</v>
      </c>
      <c r="R395" s="410">
        <f t="shared" si="36"/>
        <v>3.2376666666668825</v>
      </c>
      <c r="S395" s="396">
        <f t="shared" si="35"/>
        <v>2045.848666666667</v>
      </c>
      <c r="T395" s="408" t="s">
        <v>532</v>
      </c>
      <c r="U395" s="408">
        <v>15</v>
      </c>
      <c r="V395" s="408">
        <v>5</v>
      </c>
      <c r="W395" s="408">
        <v>0.7</v>
      </c>
      <c r="X395" s="408">
        <v>0.7</v>
      </c>
      <c r="Y395" s="408">
        <v>0.7</v>
      </c>
      <c r="Z395" s="411">
        <v>1700</v>
      </c>
      <c r="AA395" s="411" t="s">
        <v>533</v>
      </c>
      <c r="AB395" s="411">
        <v>0.85</v>
      </c>
      <c r="AC395" s="411" t="s">
        <v>534</v>
      </c>
      <c r="AD395" s="411" t="s">
        <v>535</v>
      </c>
      <c r="AE395" s="411">
        <v>220</v>
      </c>
      <c r="AF395" s="416"/>
      <c r="AG395" s="416"/>
    </row>
    <row r="396" spans="1:33" ht="15.75">
      <c r="A396" s="408" t="s">
        <v>619</v>
      </c>
      <c r="B396" s="408">
        <v>5</v>
      </c>
      <c r="C396" s="408">
        <v>170</v>
      </c>
      <c r="D396" s="408" t="s">
        <v>569</v>
      </c>
      <c r="E396" s="408">
        <v>1.5</v>
      </c>
      <c r="F396" s="412">
        <v>45345.524305555555</v>
      </c>
      <c r="G396" s="408">
        <v>1</v>
      </c>
      <c r="H396" s="408">
        <v>51.374099999999999</v>
      </c>
      <c r="I396" s="408">
        <v>7.6591100000000001</v>
      </c>
      <c r="J396" s="408">
        <v>-17.117799999999999</v>
      </c>
      <c r="K396" s="408">
        <v>-16.333300000000001</v>
      </c>
      <c r="L396" s="408">
        <v>984.024</v>
      </c>
      <c r="M396" s="408">
        <v>183.001</v>
      </c>
      <c r="N396" s="408">
        <v>17643.55</v>
      </c>
      <c r="O396" s="408">
        <v>17646.72</v>
      </c>
      <c r="P396" s="410">
        <v>2042.6110000000001</v>
      </c>
      <c r="Q396" s="396" t="s">
        <v>18</v>
      </c>
      <c r="R396" s="410">
        <f t="shared" si="36"/>
        <v>3.2376666666668825</v>
      </c>
      <c r="S396" s="396">
        <f t="shared" si="35"/>
        <v>2045.848666666667</v>
      </c>
      <c r="T396" s="408" t="s">
        <v>532</v>
      </c>
      <c r="U396" s="408">
        <v>15</v>
      </c>
      <c r="V396" s="408">
        <v>5</v>
      </c>
      <c r="W396" s="408">
        <v>0.7</v>
      </c>
      <c r="X396" s="408">
        <v>0.7</v>
      </c>
      <c r="Y396" s="408">
        <v>0.7</v>
      </c>
      <c r="Z396" s="411">
        <v>1700</v>
      </c>
      <c r="AA396" s="411" t="s">
        <v>533</v>
      </c>
      <c r="AB396" s="411">
        <v>0.85</v>
      </c>
      <c r="AC396" s="411" t="s">
        <v>534</v>
      </c>
      <c r="AD396" s="411" t="s">
        <v>535</v>
      </c>
      <c r="AE396" s="411">
        <v>220</v>
      </c>
      <c r="AF396" s="416"/>
      <c r="AG396" s="416"/>
    </row>
    <row r="397" spans="1:33" ht="15.75">
      <c r="A397" s="408" t="s">
        <v>620</v>
      </c>
      <c r="B397" s="408">
        <v>5</v>
      </c>
      <c r="C397" s="408">
        <v>170</v>
      </c>
      <c r="D397" s="408" t="s">
        <v>569</v>
      </c>
      <c r="E397" s="408">
        <v>1.5</v>
      </c>
      <c r="F397" s="412">
        <v>45345.52847222222</v>
      </c>
      <c r="G397" s="408">
        <v>1</v>
      </c>
      <c r="H397" s="408">
        <v>51.3675</v>
      </c>
      <c r="I397" s="408">
        <v>7.6966999999999999</v>
      </c>
      <c r="J397" s="408">
        <v>-17.3551</v>
      </c>
      <c r="K397" s="408">
        <v>-16.510300000000001</v>
      </c>
      <c r="L397" s="408">
        <v>984.93299999999999</v>
      </c>
      <c r="M397" s="408">
        <v>135.99959999999999</v>
      </c>
      <c r="N397" s="408">
        <v>17671.900000000001</v>
      </c>
      <c r="O397" s="408">
        <v>17646.72</v>
      </c>
      <c r="P397" s="410">
        <v>2042.6110000000001</v>
      </c>
      <c r="Q397" s="396" t="s">
        <v>18</v>
      </c>
      <c r="R397" s="410">
        <f t="shared" si="36"/>
        <v>3.2376666666668825</v>
      </c>
      <c r="S397" s="396">
        <f t="shared" si="35"/>
        <v>2045.848666666667</v>
      </c>
      <c r="T397" s="408" t="s">
        <v>542</v>
      </c>
      <c r="U397" s="408">
        <v>15</v>
      </c>
      <c r="V397" s="408">
        <v>5</v>
      </c>
      <c r="W397" s="408">
        <v>0.7</v>
      </c>
      <c r="X397" s="408">
        <v>0.7</v>
      </c>
      <c r="Y397" s="408">
        <v>0.7</v>
      </c>
      <c r="Z397" s="411">
        <v>1700</v>
      </c>
      <c r="AA397" s="411" t="s">
        <v>533</v>
      </c>
      <c r="AB397" s="411">
        <v>0.85</v>
      </c>
      <c r="AC397" s="411" t="s">
        <v>534</v>
      </c>
      <c r="AD397" s="411" t="s">
        <v>535</v>
      </c>
      <c r="AE397" s="411">
        <v>220</v>
      </c>
      <c r="AF397" s="416"/>
      <c r="AG397" s="416"/>
    </row>
    <row r="398" spans="1:33" ht="15.75">
      <c r="A398" s="408" t="s">
        <v>705</v>
      </c>
      <c r="B398" s="408">
        <v>5</v>
      </c>
      <c r="C398" s="408">
        <v>170</v>
      </c>
      <c r="D398" s="408" t="s">
        <v>569</v>
      </c>
      <c r="E398" s="408">
        <v>1.5</v>
      </c>
      <c r="F398" s="412">
        <v>45345.532638888886</v>
      </c>
      <c r="G398" s="408">
        <v>1</v>
      </c>
      <c r="H398" s="408">
        <v>51.374099999999999</v>
      </c>
      <c r="I398" s="408">
        <v>7.7295299999999996</v>
      </c>
      <c r="J398" s="408">
        <v>-17.2272</v>
      </c>
      <c r="K398" s="408">
        <v>-16.416499999999999</v>
      </c>
      <c r="L398" s="408">
        <v>985.74900000000002</v>
      </c>
      <c r="M398" s="408">
        <v>135.00030000000001</v>
      </c>
      <c r="N398" s="408">
        <v>17659.43</v>
      </c>
      <c r="O398" s="408">
        <v>17646.72</v>
      </c>
      <c r="P398" s="410">
        <v>2042.6110000000001</v>
      </c>
      <c r="Q398" s="396" t="s">
        <v>18</v>
      </c>
      <c r="R398" s="410">
        <f t="shared" si="36"/>
        <v>3.2376666666668825</v>
      </c>
      <c r="S398" s="396">
        <f t="shared" si="35"/>
        <v>2045.848666666667</v>
      </c>
      <c r="T398" s="408" t="s">
        <v>532</v>
      </c>
      <c r="U398" s="408">
        <v>15</v>
      </c>
      <c r="V398" s="408">
        <v>5</v>
      </c>
      <c r="W398" s="408">
        <v>0.7</v>
      </c>
      <c r="X398" s="408">
        <v>0.7</v>
      </c>
      <c r="Y398" s="408">
        <v>0.7</v>
      </c>
      <c r="Z398" s="411">
        <v>1700</v>
      </c>
      <c r="AA398" s="411" t="s">
        <v>533</v>
      </c>
      <c r="AB398" s="411">
        <v>0.85</v>
      </c>
      <c r="AC398" s="411" t="s">
        <v>534</v>
      </c>
      <c r="AD398" s="411" t="s">
        <v>535</v>
      </c>
      <c r="AE398" s="411">
        <v>220</v>
      </c>
      <c r="AF398" s="416"/>
      <c r="AG398" s="416"/>
    </row>
    <row r="399" spans="1:33" ht="15.75">
      <c r="A399" s="408" t="s">
        <v>621</v>
      </c>
      <c r="B399" s="408">
        <v>6</v>
      </c>
      <c r="C399" s="408">
        <v>171</v>
      </c>
      <c r="D399" s="408" t="s">
        <v>575</v>
      </c>
      <c r="E399" s="408">
        <v>1.5</v>
      </c>
      <c r="F399" s="412">
        <v>45345.536805555559</v>
      </c>
      <c r="G399" s="408">
        <v>1</v>
      </c>
      <c r="H399" s="408">
        <v>51.370800000000003</v>
      </c>
      <c r="I399" s="408">
        <v>7.75739</v>
      </c>
      <c r="J399" s="408">
        <v>-17.3828</v>
      </c>
      <c r="K399" s="408">
        <v>-16.5366</v>
      </c>
      <c r="L399" s="408">
        <v>978.02</v>
      </c>
      <c r="M399" s="408">
        <v>125.49939999999999</v>
      </c>
      <c r="N399" s="408">
        <v>17646.64</v>
      </c>
      <c r="O399" s="408">
        <v>17613.96</v>
      </c>
      <c r="P399" s="410">
        <v>2038.84</v>
      </c>
      <c r="Q399" s="396" t="s">
        <v>18</v>
      </c>
      <c r="R399" s="410">
        <f t="shared" si="36"/>
        <v>3.2308888888890883</v>
      </c>
      <c r="S399" s="396">
        <f t="shared" si="35"/>
        <v>2042.0708888888889</v>
      </c>
      <c r="T399" s="408" t="s">
        <v>542</v>
      </c>
      <c r="U399" s="408">
        <v>15</v>
      </c>
      <c r="V399" s="408">
        <v>5</v>
      </c>
      <c r="W399" s="408">
        <v>0.7</v>
      </c>
      <c r="X399" s="408">
        <v>0.7</v>
      </c>
      <c r="Y399" s="408">
        <v>0.7</v>
      </c>
      <c r="Z399" s="411">
        <v>1700</v>
      </c>
      <c r="AA399" s="411" t="s">
        <v>533</v>
      </c>
      <c r="AB399" s="411">
        <v>0.85</v>
      </c>
      <c r="AC399" s="411" t="s">
        <v>534</v>
      </c>
      <c r="AD399" s="411" t="s">
        <v>535</v>
      </c>
      <c r="AE399" s="411">
        <v>220</v>
      </c>
      <c r="AF399" s="416"/>
      <c r="AG399" s="416"/>
    </row>
    <row r="400" spans="1:33" ht="15.75">
      <c r="A400" s="408" t="s">
        <v>622</v>
      </c>
      <c r="B400" s="408">
        <v>6</v>
      </c>
      <c r="C400" s="408">
        <v>171</v>
      </c>
      <c r="D400" s="408" t="s">
        <v>575</v>
      </c>
      <c r="E400" s="408">
        <v>1.5</v>
      </c>
      <c r="F400" s="412">
        <v>45345.540277777778</v>
      </c>
      <c r="G400" s="408">
        <v>1</v>
      </c>
      <c r="H400" s="408">
        <v>51.374099999999999</v>
      </c>
      <c r="I400" s="408">
        <v>7.6991899999999998</v>
      </c>
      <c r="J400" s="408">
        <v>-17.221499999999999</v>
      </c>
      <c r="K400" s="408">
        <v>-16.397099999999998</v>
      </c>
      <c r="L400" s="408">
        <v>969.68700000000001</v>
      </c>
      <c r="M400" s="408">
        <v>115.50020000000001</v>
      </c>
      <c r="N400" s="408">
        <v>17607.57</v>
      </c>
      <c r="O400" s="408">
        <v>17613.96</v>
      </c>
      <c r="P400" s="410">
        <v>2038.84</v>
      </c>
      <c r="Q400" s="396" t="s">
        <v>18</v>
      </c>
      <c r="R400" s="410">
        <f t="shared" si="36"/>
        <v>3.2308888888890883</v>
      </c>
      <c r="S400" s="396">
        <f t="shared" si="35"/>
        <v>2042.0708888888889</v>
      </c>
      <c r="T400" s="408" t="s">
        <v>532</v>
      </c>
      <c r="U400" s="408">
        <v>15</v>
      </c>
      <c r="V400" s="408">
        <v>5</v>
      </c>
      <c r="W400" s="408">
        <v>0.7</v>
      </c>
      <c r="X400" s="408">
        <v>0.7</v>
      </c>
      <c r="Y400" s="408">
        <v>0.7</v>
      </c>
      <c r="Z400" s="411">
        <v>1700</v>
      </c>
      <c r="AA400" s="411" t="s">
        <v>533</v>
      </c>
      <c r="AB400" s="411">
        <v>0.85</v>
      </c>
      <c r="AC400" s="411" t="s">
        <v>534</v>
      </c>
      <c r="AD400" s="411" t="s">
        <v>535</v>
      </c>
      <c r="AE400" s="411">
        <v>220</v>
      </c>
      <c r="AF400" s="416"/>
      <c r="AG400" s="416"/>
    </row>
    <row r="401" spans="1:33" ht="15.75">
      <c r="A401" s="408" t="s">
        <v>623</v>
      </c>
      <c r="B401" s="408">
        <v>6</v>
      </c>
      <c r="C401" s="408">
        <v>171</v>
      </c>
      <c r="D401" s="408" t="s">
        <v>575</v>
      </c>
      <c r="E401" s="408">
        <v>1.5</v>
      </c>
      <c r="F401" s="412">
        <v>45345.543749999997</v>
      </c>
      <c r="G401" s="408">
        <v>1</v>
      </c>
      <c r="H401" s="408">
        <v>51.370800000000003</v>
      </c>
      <c r="I401" s="408">
        <v>7.7202999999999999</v>
      </c>
      <c r="J401" s="408">
        <v>-17.109300000000001</v>
      </c>
      <c r="K401" s="408">
        <v>-16.272099999999998</v>
      </c>
      <c r="L401" s="408">
        <v>971.50400000000002</v>
      </c>
      <c r="M401" s="408">
        <v>111.99979999999999</v>
      </c>
      <c r="N401" s="408">
        <v>17610.189999999999</v>
      </c>
      <c r="O401" s="408">
        <v>17613.96</v>
      </c>
      <c r="P401" s="410">
        <v>2038.84</v>
      </c>
      <c r="Q401" s="396" t="s">
        <v>18</v>
      </c>
      <c r="R401" s="410">
        <f t="shared" si="36"/>
        <v>3.2308888888890883</v>
      </c>
      <c r="S401" s="396">
        <f t="shared" si="35"/>
        <v>2042.0708888888889</v>
      </c>
      <c r="T401" s="408" t="s">
        <v>532</v>
      </c>
      <c r="U401" s="408">
        <v>15</v>
      </c>
      <c r="V401" s="408">
        <v>5</v>
      </c>
      <c r="W401" s="408">
        <v>0.7</v>
      </c>
      <c r="X401" s="408">
        <v>0.7</v>
      </c>
      <c r="Y401" s="408">
        <v>0.7</v>
      </c>
      <c r="Z401" s="411">
        <v>1700</v>
      </c>
      <c r="AA401" s="411" t="s">
        <v>533</v>
      </c>
      <c r="AB401" s="411">
        <v>0.85</v>
      </c>
      <c r="AC401" s="411" t="s">
        <v>534</v>
      </c>
      <c r="AD401" s="411" t="s">
        <v>535</v>
      </c>
      <c r="AE401" s="411">
        <v>220</v>
      </c>
      <c r="AF401" s="416"/>
      <c r="AG401" s="416"/>
    </row>
    <row r="402" spans="1:33" ht="15.75">
      <c r="A402" s="408" t="s">
        <v>624</v>
      </c>
      <c r="B402" s="408">
        <v>6</v>
      </c>
      <c r="C402" s="408">
        <v>171</v>
      </c>
      <c r="D402" s="408" t="s">
        <v>575</v>
      </c>
      <c r="E402" s="408">
        <v>1.5</v>
      </c>
      <c r="F402" s="412">
        <v>45345.547222222223</v>
      </c>
      <c r="G402" s="408">
        <v>1</v>
      </c>
      <c r="H402" s="408">
        <v>51.374099999999999</v>
      </c>
      <c r="I402" s="408">
        <v>7.8324699999999998</v>
      </c>
      <c r="J402" s="408">
        <v>-17.383700000000001</v>
      </c>
      <c r="K402" s="408">
        <v>-16.548400000000001</v>
      </c>
      <c r="L402" s="408">
        <v>963.64099999999996</v>
      </c>
      <c r="M402" s="408">
        <v>143.00020000000001</v>
      </c>
      <c r="N402" s="408">
        <v>17642.18</v>
      </c>
      <c r="O402" s="408">
        <v>17613.96</v>
      </c>
      <c r="P402" s="410">
        <v>2038.84</v>
      </c>
      <c r="Q402" s="396" t="s">
        <v>18</v>
      </c>
      <c r="R402" s="410">
        <f t="shared" si="36"/>
        <v>3.2308888888890883</v>
      </c>
      <c r="S402" s="396">
        <f t="shared" si="35"/>
        <v>2042.0708888888889</v>
      </c>
      <c r="T402" s="408" t="s">
        <v>542</v>
      </c>
      <c r="U402" s="408">
        <v>15</v>
      </c>
      <c r="V402" s="408">
        <v>5</v>
      </c>
      <c r="W402" s="408">
        <v>0.7</v>
      </c>
      <c r="X402" s="408">
        <v>0.7</v>
      </c>
      <c r="Y402" s="408">
        <v>0.7</v>
      </c>
      <c r="Z402" s="411">
        <v>1700</v>
      </c>
      <c r="AA402" s="411" t="s">
        <v>533</v>
      </c>
      <c r="AB402" s="411">
        <v>0.85</v>
      </c>
      <c r="AC402" s="411" t="s">
        <v>534</v>
      </c>
      <c r="AD402" s="411" t="s">
        <v>535</v>
      </c>
      <c r="AE402" s="411">
        <v>220</v>
      </c>
      <c r="AF402" s="416"/>
      <c r="AG402" s="416"/>
    </row>
    <row r="403" spans="1:33" ht="15.75">
      <c r="A403" s="408" t="s">
        <v>707</v>
      </c>
      <c r="B403" s="408">
        <v>6</v>
      </c>
      <c r="C403" s="408">
        <v>171</v>
      </c>
      <c r="D403" s="408" t="s">
        <v>575</v>
      </c>
      <c r="E403" s="408">
        <v>1.5</v>
      </c>
      <c r="F403" s="412">
        <v>45345.551388888889</v>
      </c>
      <c r="G403" s="408">
        <v>1</v>
      </c>
      <c r="H403" s="408">
        <v>51.3675</v>
      </c>
      <c r="I403" s="408">
        <v>7.7667299999999999</v>
      </c>
      <c r="J403" s="408">
        <v>-17.328099999999999</v>
      </c>
      <c r="K403" s="408">
        <v>-16.487300000000001</v>
      </c>
      <c r="L403" s="408">
        <v>979.33900000000006</v>
      </c>
      <c r="M403" s="408">
        <v>126.9991</v>
      </c>
      <c r="N403" s="408">
        <v>17624.11</v>
      </c>
      <c r="O403" s="408">
        <v>17613.96</v>
      </c>
      <c r="P403" s="410">
        <v>2038.84</v>
      </c>
      <c r="Q403" s="396" t="s">
        <v>18</v>
      </c>
      <c r="R403" s="410">
        <f t="shared" si="36"/>
        <v>3.2308888888890883</v>
      </c>
      <c r="S403" s="396">
        <f t="shared" si="35"/>
        <v>2042.0708888888889</v>
      </c>
      <c r="T403" s="408" t="s">
        <v>532</v>
      </c>
      <c r="U403" s="408">
        <v>15</v>
      </c>
      <c r="V403" s="408">
        <v>5</v>
      </c>
      <c r="W403" s="408">
        <v>0.7</v>
      </c>
      <c r="X403" s="408">
        <v>0.7</v>
      </c>
      <c r="Y403" s="408">
        <v>0.7</v>
      </c>
      <c r="Z403" s="411">
        <v>1700</v>
      </c>
      <c r="AA403" s="411" t="s">
        <v>533</v>
      </c>
      <c r="AB403" s="411">
        <v>0.85</v>
      </c>
      <c r="AC403" s="411" t="s">
        <v>534</v>
      </c>
      <c r="AD403" s="411" t="s">
        <v>535</v>
      </c>
      <c r="AE403" s="411">
        <v>220</v>
      </c>
      <c r="AF403" s="416"/>
      <c r="AG403" s="416"/>
    </row>
    <row r="404" spans="1:33" ht="15.75">
      <c r="A404" s="408" t="s">
        <v>625</v>
      </c>
      <c r="B404" s="408">
        <v>7</v>
      </c>
      <c r="C404" s="408">
        <v>508</v>
      </c>
      <c r="D404" s="408" t="s">
        <v>579</v>
      </c>
      <c r="E404" s="408">
        <v>1.5</v>
      </c>
      <c r="F404" s="412">
        <v>45345.555555555555</v>
      </c>
      <c r="G404" s="408">
        <v>1</v>
      </c>
      <c r="H404" s="408">
        <v>51.370800000000003</v>
      </c>
      <c r="I404" s="408">
        <v>7.74871</v>
      </c>
      <c r="J404" s="408">
        <v>-17.331499999999998</v>
      </c>
      <c r="K404" s="408">
        <v>-16.4815</v>
      </c>
      <c r="L404" s="408">
        <v>999.63199999999995</v>
      </c>
      <c r="M404" s="408">
        <v>122.4986</v>
      </c>
      <c r="N404" s="408">
        <v>18091.89</v>
      </c>
      <c r="O404" s="408">
        <v>18151.810000000001</v>
      </c>
      <c r="P404" s="410">
        <v>2100.741</v>
      </c>
      <c r="Q404" s="396" t="s">
        <v>18</v>
      </c>
      <c r="R404" s="410">
        <f t="shared" si="36"/>
        <v>3.2241111111112937</v>
      </c>
      <c r="S404" s="396">
        <f t="shared" si="35"/>
        <v>2103.9651111111111</v>
      </c>
      <c r="T404" s="408" t="s">
        <v>542</v>
      </c>
      <c r="U404" s="408">
        <v>15</v>
      </c>
      <c r="V404" s="408">
        <v>5</v>
      </c>
      <c r="W404" s="408">
        <v>0.7</v>
      </c>
      <c r="X404" s="408">
        <v>0.7</v>
      </c>
      <c r="Y404" s="408">
        <v>0.7</v>
      </c>
      <c r="Z404" s="411">
        <v>1700</v>
      </c>
      <c r="AA404" s="411" t="s">
        <v>533</v>
      </c>
      <c r="AB404" s="411">
        <v>0.85</v>
      </c>
      <c r="AC404" s="411" t="s">
        <v>534</v>
      </c>
      <c r="AD404" s="411" t="s">
        <v>535</v>
      </c>
      <c r="AE404" s="411">
        <v>220</v>
      </c>
      <c r="AF404" s="416"/>
      <c r="AG404" s="416"/>
    </row>
    <row r="405" spans="1:33" ht="15.75">
      <c r="A405" s="408" t="s">
        <v>626</v>
      </c>
      <c r="B405" s="408">
        <v>7</v>
      </c>
      <c r="C405" s="408">
        <v>508</v>
      </c>
      <c r="D405" s="408" t="s">
        <v>579</v>
      </c>
      <c r="E405" s="408">
        <v>1.5</v>
      </c>
      <c r="F405" s="412">
        <v>45345.559027777781</v>
      </c>
      <c r="G405" s="408">
        <v>1</v>
      </c>
      <c r="H405" s="408">
        <v>51.374099999999999</v>
      </c>
      <c r="I405" s="408">
        <v>7.8233100000000002</v>
      </c>
      <c r="J405" s="408">
        <v>-17.395</v>
      </c>
      <c r="K405" s="408">
        <v>-16.549900000000001</v>
      </c>
      <c r="L405" s="408">
        <v>1000.57</v>
      </c>
      <c r="M405" s="408">
        <v>138.00020000000001</v>
      </c>
      <c r="N405" s="408">
        <v>18162.09</v>
      </c>
      <c r="O405" s="408">
        <v>18151.810000000001</v>
      </c>
      <c r="P405" s="410">
        <v>2100.741</v>
      </c>
      <c r="Q405" s="396" t="s">
        <v>18</v>
      </c>
      <c r="R405" s="410">
        <f t="shared" si="36"/>
        <v>3.2241111111112937</v>
      </c>
      <c r="S405" s="396">
        <f t="shared" si="35"/>
        <v>2103.9651111111111</v>
      </c>
      <c r="T405" s="408" t="s">
        <v>532</v>
      </c>
      <c r="U405" s="408">
        <v>15</v>
      </c>
      <c r="V405" s="408">
        <v>5</v>
      </c>
      <c r="W405" s="408">
        <v>0.7</v>
      </c>
      <c r="X405" s="408">
        <v>0.7</v>
      </c>
      <c r="Y405" s="408">
        <v>0.7</v>
      </c>
      <c r="Z405" s="411">
        <v>1700</v>
      </c>
      <c r="AA405" s="411" t="s">
        <v>533</v>
      </c>
      <c r="AB405" s="411">
        <v>0.85</v>
      </c>
      <c r="AC405" s="411" t="s">
        <v>534</v>
      </c>
      <c r="AD405" s="411" t="s">
        <v>535</v>
      </c>
      <c r="AE405" s="411">
        <v>220</v>
      </c>
      <c r="AF405" s="416"/>
      <c r="AG405" s="416"/>
    </row>
    <row r="406" spans="1:33" ht="15.75">
      <c r="A406" s="408" t="s">
        <v>627</v>
      </c>
      <c r="B406" s="408">
        <v>7</v>
      </c>
      <c r="C406" s="408">
        <v>508</v>
      </c>
      <c r="D406" s="408" t="s">
        <v>579</v>
      </c>
      <c r="E406" s="408">
        <v>1.5</v>
      </c>
      <c r="F406" s="412">
        <v>45345.5625</v>
      </c>
      <c r="G406" s="408">
        <v>1</v>
      </c>
      <c r="H406" s="408">
        <v>51.370800000000003</v>
      </c>
      <c r="I406" s="408">
        <v>7.8259600000000002</v>
      </c>
      <c r="J406" s="408">
        <v>-17.3795</v>
      </c>
      <c r="K406" s="408">
        <v>-16.578199999999999</v>
      </c>
      <c r="L406" s="408">
        <v>1012.15</v>
      </c>
      <c r="M406" s="408">
        <v>157.499</v>
      </c>
      <c r="N406" s="408">
        <v>18151.54</v>
      </c>
      <c r="O406" s="408">
        <v>18151.810000000001</v>
      </c>
      <c r="P406" s="410">
        <v>2100.741</v>
      </c>
      <c r="Q406" s="396" t="s">
        <v>18</v>
      </c>
      <c r="R406" s="410">
        <f t="shared" si="36"/>
        <v>3.2241111111112937</v>
      </c>
      <c r="S406" s="396">
        <f t="shared" si="35"/>
        <v>2103.9651111111111</v>
      </c>
      <c r="T406" s="408" t="s">
        <v>532</v>
      </c>
      <c r="U406" s="408">
        <v>15</v>
      </c>
      <c r="V406" s="408">
        <v>5</v>
      </c>
      <c r="W406" s="408">
        <v>0.7</v>
      </c>
      <c r="X406" s="408">
        <v>0.7</v>
      </c>
      <c r="Y406" s="408">
        <v>0.7</v>
      </c>
      <c r="Z406" s="411">
        <v>1700</v>
      </c>
      <c r="AA406" s="411" t="s">
        <v>533</v>
      </c>
      <c r="AB406" s="411">
        <v>0.85</v>
      </c>
      <c r="AC406" s="411" t="s">
        <v>534</v>
      </c>
      <c r="AD406" s="411" t="s">
        <v>535</v>
      </c>
      <c r="AE406" s="411">
        <v>220</v>
      </c>
      <c r="AF406" s="416"/>
      <c r="AG406" s="416"/>
    </row>
    <row r="407" spans="1:33" ht="15.75">
      <c r="A407" s="408" t="s">
        <v>628</v>
      </c>
      <c r="B407" s="408">
        <v>7</v>
      </c>
      <c r="C407" s="408">
        <v>508</v>
      </c>
      <c r="D407" s="408" t="s">
        <v>579</v>
      </c>
      <c r="E407" s="408">
        <v>1.5</v>
      </c>
      <c r="F407" s="412">
        <v>45345.566666666666</v>
      </c>
      <c r="G407" s="408">
        <v>1</v>
      </c>
      <c r="H407" s="408">
        <v>51.377400000000002</v>
      </c>
      <c r="I407" s="408">
        <v>7.7011099999999999</v>
      </c>
      <c r="J407" s="408">
        <v>-17.3611</v>
      </c>
      <c r="K407" s="408">
        <v>-16.549700000000001</v>
      </c>
      <c r="L407" s="408">
        <v>1005.67</v>
      </c>
      <c r="M407" s="408">
        <v>122.4988</v>
      </c>
      <c r="N407" s="408">
        <v>18141.810000000001</v>
      </c>
      <c r="O407" s="408">
        <v>18151.810000000001</v>
      </c>
      <c r="P407" s="410">
        <v>2100.741</v>
      </c>
      <c r="Q407" s="396" t="s">
        <v>18</v>
      </c>
      <c r="R407" s="410">
        <f t="shared" si="36"/>
        <v>3.2241111111112937</v>
      </c>
      <c r="S407" s="396">
        <f t="shared" si="35"/>
        <v>2103.9651111111111</v>
      </c>
      <c r="T407" s="408" t="s">
        <v>532</v>
      </c>
      <c r="U407" s="408">
        <v>15</v>
      </c>
      <c r="V407" s="408">
        <v>5</v>
      </c>
      <c r="W407" s="408">
        <v>0.7</v>
      </c>
      <c r="X407" s="408">
        <v>0.7</v>
      </c>
      <c r="Y407" s="408">
        <v>0.7</v>
      </c>
      <c r="Z407" s="411">
        <v>1700</v>
      </c>
      <c r="AA407" s="411" t="s">
        <v>533</v>
      </c>
      <c r="AB407" s="411">
        <v>0.85</v>
      </c>
      <c r="AC407" s="411" t="s">
        <v>534</v>
      </c>
      <c r="AD407" s="411" t="s">
        <v>535</v>
      </c>
      <c r="AE407" s="411">
        <v>220</v>
      </c>
      <c r="AF407" s="416"/>
      <c r="AG407" s="416"/>
    </row>
    <row r="408" spans="1:33" ht="15.75">
      <c r="A408" s="408" t="s">
        <v>629</v>
      </c>
      <c r="B408" s="408">
        <v>8</v>
      </c>
      <c r="C408" s="408">
        <v>509</v>
      </c>
      <c r="D408" s="408" t="s">
        <v>585</v>
      </c>
      <c r="E408" s="408">
        <v>1.5</v>
      </c>
      <c r="F408" s="412">
        <v>45345.570833333331</v>
      </c>
      <c r="G408" s="408">
        <v>1</v>
      </c>
      <c r="H408" s="408">
        <v>51.374099999999999</v>
      </c>
      <c r="I408" s="408">
        <v>7.7284300000000004</v>
      </c>
      <c r="J408" s="408">
        <v>-17.372199999999999</v>
      </c>
      <c r="K408" s="408">
        <v>-16.527000000000001</v>
      </c>
      <c r="L408" s="408">
        <v>1023.37</v>
      </c>
      <c r="M408" s="408">
        <v>129.99860000000001</v>
      </c>
      <c r="N408" s="408">
        <v>18139.82</v>
      </c>
      <c r="O408" s="408">
        <v>0</v>
      </c>
      <c r="P408" s="410">
        <v>0</v>
      </c>
      <c r="Q408" s="396" t="s">
        <v>18</v>
      </c>
      <c r="R408" s="396" t="s">
        <v>18</v>
      </c>
      <c r="S408" s="396" t="s">
        <v>18</v>
      </c>
      <c r="T408" s="408" t="s">
        <v>592</v>
      </c>
      <c r="U408" s="408">
        <v>15</v>
      </c>
      <c r="V408" s="408">
        <v>5</v>
      </c>
      <c r="W408" s="408">
        <v>0.7</v>
      </c>
      <c r="X408" s="408">
        <v>0.7</v>
      </c>
      <c r="Y408" s="408">
        <v>0.7</v>
      </c>
      <c r="Z408" s="411">
        <v>1700</v>
      </c>
      <c r="AA408" s="411" t="s">
        <v>533</v>
      </c>
      <c r="AB408" s="411">
        <v>0.85</v>
      </c>
      <c r="AC408" s="411" t="s">
        <v>534</v>
      </c>
      <c r="AD408" s="411" t="s">
        <v>535</v>
      </c>
      <c r="AE408" s="411">
        <v>220</v>
      </c>
      <c r="AF408" s="416"/>
      <c r="AG408" s="416"/>
    </row>
    <row r="409" spans="1:33" ht="15.75">
      <c r="A409" s="408" t="s">
        <v>630</v>
      </c>
      <c r="B409" s="408">
        <v>8</v>
      </c>
      <c r="C409" s="408">
        <v>509</v>
      </c>
      <c r="D409" s="408" t="s">
        <v>585</v>
      </c>
      <c r="E409" s="408">
        <v>1.5</v>
      </c>
      <c r="F409" s="412">
        <v>45345.574305555558</v>
      </c>
      <c r="G409" s="408">
        <v>1</v>
      </c>
      <c r="H409" s="408">
        <v>51.370800000000003</v>
      </c>
      <c r="I409" s="408">
        <v>7.6136999999999997</v>
      </c>
      <c r="J409" s="408">
        <v>-17.435199999999998</v>
      </c>
      <c r="K409" s="408">
        <v>-16.602</v>
      </c>
      <c r="L409" s="408">
        <v>994.35299999999995</v>
      </c>
      <c r="M409" s="408">
        <v>124.9999</v>
      </c>
      <c r="N409" s="408">
        <v>18169.36</v>
      </c>
      <c r="O409" s="408">
        <v>0</v>
      </c>
      <c r="P409" s="410">
        <v>0</v>
      </c>
      <c r="Q409" s="396" t="s">
        <v>18</v>
      </c>
      <c r="R409" s="396" t="s">
        <v>18</v>
      </c>
      <c r="S409" s="396" t="s">
        <v>18</v>
      </c>
      <c r="T409" s="408" t="s">
        <v>592</v>
      </c>
      <c r="U409" s="408">
        <v>15</v>
      </c>
      <c r="V409" s="408">
        <v>5</v>
      </c>
      <c r="W409" s="408">
        <v>0.7</v>
      </c>
      <c r="X409" s="408">
        <v>0.7</v>
      </c>
      <c r="Y409" s="408">
        <v>0.7</v>
      </c>
      <c r="Z409" s="411">
        <v>1700</v>
      </c>
      <c r="AA409" s="411" t="s">
        <v>533</v>
      </c>
      <c r="AB409" s="411">
        <v>0.85</v>
      </c>
      <c r="AC409" s="411" t="s">
        <v>534</v>
      </c>
      <c r="AD409" s="411" t="s">
        <v>535</v>
      </c>
      <c r="AE409" s="411">
        <v>220</v>
      </c>
      <c r="AF409" s="416"/>
      <c r="AG409" s="416"/>
    </row>
    <row r="410" spans="1:33" ht="15.75">
      <c r="A410" s="408" t="s">
        <v>631</v>
      </c>
      <c r="B410" s="408">
        <v>8</v>
      </c>
      <c r="C410" s="408">
        <v>509</v>
      </c>
      <c r="D410" s="408" t="s">
        <v>585</v>
      </c>
      <c r="E410" s="408">
        <v>1.5</v>
      </c>
      <c r="F410" s="412">
        <v>45345.577777777777</v>
      </c>
      <c r="G410" s="408">
        <v>1</v>
      </c>
      <c r="H410" s="408">
        <v>51.374099999999999</v>
      </c>
      <c r="I410" s="408">
        <v>7.66866</v>
      </c>
      <c r="J410" s="408">
        <v>-17.515899999999998</v>
      </c>
      <c r="K410" s="408">
        <v>-16.668500000000002</v>
      </c>
      <c r="L410" s="408">
        <v>1010.37</v>
      </c>
      <c r="M410" s="408">
        <v>147.50110000000001</v>
      </c>
      <c r="N410" s="408">
        <v>18231.990000000002</v>
      </c>
      <c r="O410" s="408">
        <v>0</v>
      </c>
      <c r="P410" s="410">
        <v>0</v>
      </c>
      <c r="Q410" s="396" t="s">
        <v>18</v>
      </c>
      <c r="R410" s="396" t="s">
        <v>18</v>
      </c>
      <c r="S410" s="396" t="s">
        <v>18</v>
      </c>
      <c r="T410" s="408" t="s">
        <v>592</v>
      </c>
      <c r="U410" s="408">
        <v>15</v>
      </c>
      <c r="V410" s="408">
        <v>5</v>
      </c>
      <c r="W410" s="408">
        <v>0.7</v>
      </c>
      <c r="X410" s="408">
        <v>0.7</v>
      </c>
      <c r="Y410" s="408">
        <v>0.7</v>
      </c>
      <c r="Z410" s="411">
        <v>1700</v>
      </c>
      <c r="AA410" s="411" t="s">
        <v>533</v>
      </c>
      <c r="AB410" s="411">
        <v>0.85</v>
      </c>
      <c r="AC410" s="411" t="s">
        <v>534</v>
      </c>
      <c r="AD410" s="411" t="s">
        <v>535</v>
      </c>
      <c r="AE410" s="411">
        <v>220</v>
      </c>
      <c r="AF410" s="416"/>
      <c r="AG410" s="416"/>
    </row>
    <row r="411" spans="1:33" ht="15.75">
      <c r="A411" s="408" t="s">
        <v>632</v>
      </c>
      <c r="B411" s="408">
        <v>8</v>
      </c>
      <c r="C411" s="408">
        <v>509</v>
      </c>
      <c r="D411" s="408" t="s">
        <v>585</v>
      </c>
      <c r="E411" s="408">
        <v>1.5</v>
      </c>
      <c r="F411" s="412">
        <v>45345.581944444442</v>
      </c>
      <c r="G411" s="408">
        <v>1</v>
      </c>
      <c r="H411" s="408">
        <v>51.377400000000002</v>
      </c>
      <c r="I411" s="408">
        <v>7.7686299999999999</v>
      </c>
      <c r="J411" s="408">
        <v>-17.407399999999999</v>
      </c>
      <c r="K411" s="408">
        <v>-16.572800000000001</v>
      </c>
      <c r="L411" s="408">
        <v>1009.37</v>
      </c>
      <c r="M411" s="408">
        <v>118.49979999999999</v>
      </c>
      <c r="N411" s="408">
        <v>18213.13</v>
      </c>
      <c r="O411" s="408">
        <v>0</v>
      </c>
      <c r="P411" s="410">
        <v>0</v>
      </c>
      <c r="Q411" s="396" t="s">
        <v>18</v>
      </c>
      <c r="R411" s="396" t="s">
        <v>18</v>
      </c>
      <c r="S411" s="396" t="s">
        <v>18</v>
      </c>
      <c r="T411" s="408" t="s">
        <v>592</v>
      </c>
      <c r="U411" s="408">
        <v>15</v>
      </c>
      <c r="V411" s="408">
        <v>5</v>
      </c>
      <c r="W411" s="408">
        <v>0.7</v>
      </c>
      <c r="X411" s="408">
        <v>0.7</v>
      </c>
      <c r="Y411" s="408">
        <v>0.7</v>
      </c>
      <c r="Z411" s="411">
        <v>1700</v>
      </c>
      <c r="AA411" s="411" t="s">
        <v>533</v>
      </c>
      <c r="AB411" s="411">
        <v>0.85</v>
      </c>
      <c r="AC411" s="411" t="s">
        <v>534</v>
      </c>
      <c r="AD411" s="411" t="s">
        <v>535</v>
      </c>
      <c r="AE411" s="411">
        <v>220</v>
      </c>
      <c r="AF411" s="416"/>
      <c r="AG411" s="416"/>
    </row>
    <row r="412" spans="1:33" ht="15.75">
      <c r="A412" s="408" t="s">
        <v>744</v>
      </c>
      <c r="B412" s="408">
        <v>8</v>
      </c>
      <c r="C412" s="408">
        <v>509</v>
      </c>
      <c r="D412" s="408" t="s">
        <v>585</v>
      </c>
      <c r="E412" s="408">
        <v>1.5</v>
      </c>
      <c r="F412" s="412">
        <v>45345.585416666669</v>
      </c>
      <c r="G412" s="408">
        <v>1</v>
      </c>
      <c r="H412" s="408">
        <v>51.3675</v>
      </c>
      <c r="I412" s="408">
        <v>7.63361</v>
      </c>
      <c r="J412" s="408">
        <v>-17.464500000000001</v>
      </c>
      <c r="K412" s="408">
        <v>-16.620799999999999</v>
      </c>
      <c r="L412" s="408">
        <v>1004.17</v>
      </c>
      <c r="M412" s="408">
        <v>189.49930000000001</v>
      </c>
      <c r="N412" s="408">
        <v>18191.57</v>
      </c>
      <c r="O412" s="408">
        <v>0</v>
      </c>
      <c r="P412" s="410">
        <v>0</v>
      </c>
      <c r="Q412" s="396" t="s">
        <v>18</v>
      </c>
      <c r="R412" s="396" t="s">
        <v>18</v>
      </c>
      <c r="S412" s="396" t="s">
        <v>18</v>
      </c>
      <c r="T412" s="408" t="s">
        <v>592</v>
      </c>
      <c r="U412" s="408">
        <v>15</v>
      </c>
      <c r="V412" s="408">
        <v>5</v>
      </c>
      <c r="W412" s="408">
        <v>0.7</v>
      </c>
      <c r="X412" s="408">
        <v>0.7</v>
      </c>
      <c r="Y412" s="408">
        <v>0.7</v>
      </c>
      <c r="Z412" s="411">
        <v>1700</v>
      </c>
      <c r="AA412" s="411" t="s">
        <v>533</v>
      </c>
      <c r="AB412" s="411">
        <v>0.85</v>
      </c>
      <c r="AC412" s="411" t="s">
        <v>534</v>
      </c>
      <c r="AD412" s="411" t="s">
        <v>535</v>
      </c>
      <c r="AE412" s="411">
        <v>220</v>
      </c>
      <c r="AF412" s="416"/>
      <c r="AG412" s="416"/>
    </row>
    <row r="413" spans="1:33" ht="15.75">
      <c r="A413" s="408" t="s">
        <v>745</v>
      </c>
      <c r="B413" s="408">
        <v>8</v>
      </c>
      <c r="C413" s="408">
        <v>509</v>
      </c>
      <c r="D413" s="408" t="s">
        <v>585</v>
      </c>
      <c r="E413" s="408">
        <v>1.5</v>
      </c>
      <c r="F413" s="412">
        <v>45345.589583333334</v>
      </c>
      <c r="G413" s="408">
        <v>2</v>
      </c>
      <c r="H413" s="408">
        <v>51.370800000000003</v>
      </c>
      <c r="I413" s="408">
        <v>7.8041099999999997</v>
      </c>
      <c r="J413" s="408">
        <v>-17.453199999999999</v>
      </c>
      <c r="K413" s="408">
        <v>-16.712599999999998</v>
      </c>
      <c r="L413" s="408">
        <v>1012.05</v>
      </c>
      <c r="M413" s="408">
        <v>174.00020000000001</v>
      </c>
      <c r="N413" s="408">
        <v>18216.509999999998</v>
      </c>
      <c r="O413" s="408">
        <v>18227.14</v>
      </c>
      <c r="P413" s="410">
        <v>2109.4110000000001</v>
      </c>
      <c r="Q413" s="396" t="s">
        <v>18</v>
      </c>
      <c r="R413" s="410">
        <f t="shared" ref="R413:R426" si="37">((B413-B$387)/(B$426-B$387))*R$427+((1-((B413-B$387)/(B$426-B$387)))*R$386)</f>
        <v>3.2173333333334995</v>
      </c>
      <c r="S413" s="396">
        <f t="shared" ref="S413:S461" si="38">P413+R413</f>
        <v>2112.6283333333336</v>
      </c>
      <c r="T413" s="408" t="s">
        <v>532</v>
      </c>
      <c r="U413" s="408">
        <v>15</v>
      </c>
      <c r="V413" s="408">
        <v>5</v>
      </c>
      <c r="W413" s="408">
        <v>0.7</v>
      </c>
      <c r="X413" s="408">
        <v>0.7</v>
      </c>
      <c r="Y413" s="408">
        <v>0.7</v>
      </c>
      <c r="Z413" s="411">
        <v>1700</v>
      </c>
      <c r="AA413" s="411" t="s">
        <v>533</v>
      </c>
      <c r="AB413" s="411">
        <v>0.85</v>
      </c>
      <c r="AC413" s="411" t="s">
        <v>534</v>
      </c>
      <c r="AD413" s="411" t="s">
        <v>535</v>
      </c>
      <c r="AE413" s="411">
        <v>220</v>
      </c>
      <c r="AF413" s="416"/>
      <c r="AG413" s="416"/>
    </row>
    <row r="414" spans="1:33" ht="15.75">
      <c r="A414" s="408" t="s">
        <v>746</v>
      </c>
      <c r="B414" s="408">
        <v>8</v>
      </c>
      <c r="C414" s="408">
        <v>509</v>
      </c>
      <c r="D414" s="408" t="s">
        <v>585</v>
      </c>
      <c r="E414" s="408">
        <v>1.5</v>
      </c>
      <c r="F414" s="412">
        <v>45345.59375</v>
      </c>
      <c r="G414" s="408">
        <v>2</v>
      </c>
      <c r="H414" s="408">
        <v>51.374099999999999</v>
      </c>
      <c r="I414" s="408">
        <v>7.6143400000000003</v>
      </c>
      <c r="J414" s="408">
        <v>-17.529599999999999</v>
      </c>
      <c r="K414" s="408">
        <v>-16.7182</v>
      </c>
      <c r="L414" s="408">
        <v>1012.9</v>
      </c>
      <c r="M414" s="408">
        <v>156.99979999999999</v>
      </c>
      <c r="N414" s="408">
        <v>18226.93</v>
      </c>
      <c r="O414" s="408">
        <v>18227.14</v>
      </c>
      <c r="P414" s="410">
        <v>2109.4110000000001</v>
      </c>
      <c r="Q414" s="396" t="s">
        <v>18</v>
      </c>
      <c r="R414" s="410">
        <f t="shared" si="37"/>
        <v>3.2173333333334995</v>
      </c>
      <c r="S414" s="396">
        <f t="shared" si="38"/>
        <v>2112.6283333333336</v>
      </c>
      <c r="T414" s="408" t="s">
        <v>532</v>
      </c>
      <c r="U414" s="408">
        <v>15</v>
      </c>
      <c r="V414" s="408">
        <v>5</v>
      </c>
      <c r="W414" s="408">
        <v>0.7</v>
      </c>
      <c r="X414" s="408">
        <v>0.7</v>
      </c>
      <c r="Y414" s="408">
        <v>0.7</v>
      </c>
      <c r="Z414" s="411">
        <v>1700</v>
      </c>
      <c r="AA414" s="411" t="s">
        <v>533</v>
      </c>
      <c r="AB414" s="411">
        <v>0.85</v>
      </c>
      <c r="AC414" s="411" t="s">
        <v>534</v>
      </c>
      <c r="AD414" s="411" t="s">
        <v>535</v>
      </c>
      <c r="AE414" s="411">
        <v>220</v>
      </c>
      <c r="AF414" s="416"/>
      <c r="AG414" s="416"/>
    </row>
    <row r="415" spans="1:33" ht="15.75">
      <c r="A415" s="408" t="s">
        <v>747</v>
      </c>
      <c r="B415" s="408">
        <v>8</v>
      </c>
      <c r="C415" s="408">
        <v>509</v>
      </c>
      <c r="D415" s="408" t="s">
        <v>585</v>
      </c>
      <c r="E415" s="408">
        <v>1.5</v>
      </c>
      <c r="F415" s="412">
        <v>45345.597916666666</v>
      </c>
      <c r="G415" s="408">
        <v>2</v>
      </c>
      <c r="H415" s="408">
        <v>51.370800000000003</v>
      </c>
      <c r="I415" s="408">
        <v>7.6868100000000004</v>
      </c>
      <c r="J415" s="408">
        <v>-17.435700000000001</v>
      </c>
      <c r="K415" s="408">
        <v>-16.590699999999998</v>
      </c>
      <c r="L415" s="408">
        <v>1014.05</v>
      </c>
      <c r="M415" s="408">
        <v>121.00020000000001</v>
      </c>
      <c r="N415" s="408">
        <v>18179.52</v>
      </c>
      <c r="O415" s="408">
        <v>18227.14</v>
      </c>
      <c r="P415" s="410">
        <v>2109.4110000000001</v>
      </c>
      <c r="Q415" s="396" t="s">
        <v>18</v>
      </c>
      <c r="R415" s="410">
        <f t="shared" si="37"/>
        <v>3.2173333333334995</v>
      </c>
      <c r="S415" s="396">
        <f t="shared" si="38"/>
        <v>2112.6283333333336</v>
      </c>
      <c r="T415" s="408" t="s">
        <v>542</v>
      </c>
      <c r="U415" s="408">
        <v>15</v>
      </c>
      <c r="V415" s="408">
        <v>5</v>
      </c>
      <c r="W415" s="408">
        <v>0.7</v>
      </c>
      <c r="X415" s="408">
        <v>0.7</v>
      </c>
      <c r="Y415" s="408">
        <v>0.7</v>
      </c>
      <c r="Z415" s="411">
        <v>1700</v>
      </c>
      <c r="AA415" s="411" t="s">
        <v>533</v>
      </c>
      <c r="AB415" s="411">
        <v>0.85</v>
      </c>
      <c r="AC415" s="411" t="s">
        <v>534</v>
      </c>
      <c r="AD415" s="411" t="s">
        <v>535</v>
      </c>
      <c r="AE415" s="411">
        <v>220</v>
      </c>
      <c r="AF415" s="416"/>
      <c r="AG415" s="416"/>
    </row>
    <row r="416" spans="1:33" ht="15.75">
      <c r="A416" s="408" t="s">
        <v>748</v>
      </c>
      <c r="B416" s="408">
        <v>8</v>
      </c>
      <c r="C416" s="408">
        <v>509</v>
      </c>
      <c r="D416" s="408" t="s">
        <v>585</v>
      </c>
      <c r="E416" s="408">
        <v>1.5</v>
      </c>
      <c r="F416" s="412">
        <v>45345.601388888892</v>
      </c>
      <c r="G416" s="408">
        <v>2</v>
      </c>
      <c r="H416" s="408">
        <v>51.370800000000003</v>
      </c>
      <c r="I416" s="408">
        <v>7.6338800000000004</v>
      </c>
      <c r="J416" s="408">
        <v>-17.493300000000001</v>
      </c>
      <c r="K416" s="408">
        <v>-16.643599999999999</v>
      </c>
      <c r="L416" s="408">
        <v>1008.83</v>
      </c>
      <c r="M416" s="408">
        <v>120.49930000000001</v>
      </c>
      <c r="N416" s="408">
        <v>18237.990000000002</v>
      </c>
      <c r="O416" s="408">
        <v>18227.14</v>
      </c>
      <c r="P416" s="410">
        <v>2109.4110000000001</v>
      </c>
      <c r="Q416" s="396" t="s">
        <v>18</v>
      </c>
      <c r="R416" s="410">
        <f t="shared" si="37"/>
        <v>3.2173333333334995</v>
      </c>
      <c r="S416" s="396">
        <f t="shared" si="38"/>
        <v>2112.6283333333336</v>
      </c>
      <c r="T416" s="408" t="s">
        <v>532</v>
      </c>
      <c r="U416" s="408">
        <v>15</v>
      </c>
      <c r="V416" s="408">
        <v>5</v>
      </c>
      <c r="W416" s="408">
        <v>0.7</v>
      </c>
      <c r="X416" s="408">
        <v>0.7</v>
      </c>
      <c r="Y416" s="408">
        <v>0.7</v>
      </c>
      <c r="Z416" s="411">
        <v>1700</v>
      </c>
      <c r="AA416" s="411" t="s">
        <v>533</v>
      </c>
      <c r="AB416" s="411">
        <v>0.85</v>
      </c>
      <c r="AC416" s="411" t="s">
        <v>534</v>
      </c>
      <c r="AD416" s="411" t="s">
        <v>535</v>
      </c>
      <c r="AE416" s="411">
        <v>220</v>
      </c>
      <c r="AF416" s="416"/>
      <c r="AG416" s="416"/>
    </row>
    <row r="417" spans="1:33" ht="15.75">
      <c r="A417" s="408" t="s">
        <v>633</v>
      </c>
      <c r="B417" s="408">
        <v>9</v>
      </c>
      <c r="C417" s="408">
        <v>495</v>
      </c>
      <c r="D417" s="408" t="s">
        <v>591</v>
      </c>
      <c r="E417" s="408">
        <v>1.5</v>
      </c>
      <c r="F417" s="412">
        <v>45345.605555555558</v>
      </c>
      <c r="G417" s="408">
        <v>1</v>
      </c>
      <c r="H417" s="408">
        <v>51.374099999999999</v>
      </c>
      <c r="I417" s="408">
        <v>7.6341999999999999</v>
      </c>
      <c r="J417" s="408">
        <v>-17.468800000000002</v>
      </c>
      <c r="K417" s="408">
        <v>-16.625599999999999</v>
      </c>
      <c r="L417" s="408">
        <v>990.09199999999998</v>
      </c>
      <c r="M417" s="408">
        <v>129.5</v>
      </c>
      <c r="N417" s="408">
        <v>18020.13</v>
      </c>
      <c r="O417" s="408">
        <v>17984.36</v>
      </c>
      <c r="P417" s="410">
        <v>2081.4690000000001</v>
      </c>
      <c r="Q417" s="396" t="s">
        <v>18</v>
      </c>
      <c r="R417" s="410">
        <f t="shared" si="37"/>
        <v>3.2105555555557048</v>
      </c>
      <c r="S417" s="396">
        <f t="shared" si="38"/>
        <v>2084.6795555555559</v>
      </c>
      <c r="T417" s="408" t="s">
        <v>542</v>
      </c>
      <c r="U417" s="408">
        <v>15</v>
      </c>
      <c r="V417" s="408">
        <v>5</v>
      </c>
      <c r="W417" s="408">
        <v>0.7</v>
      </c>
      <c r="X417" s="408">
        <v>0.7</v>
      </c>
      <c r="Y417" s="408">
        <v>0.7</v>
      </c>
      <c r="Z417" s="411">
        <v>1700</v>
      </c>
      <c r="AA417" s="411" t="s">
        <v>533</v>
      </c>
      <c r="AB417" s="411">
        <v>0.85</v>
      </c>
      <c r="AC417" s="411" t="s">
        <v>534</v>
      </c>
      <c r="AD417" s="411" t="s">
        <v>535</v>
      </c>
      <c r="AE417" s="411">
        <v>220</v>
      </c>
      <c r="AF417" s="416"/>
      <c r="AG417" s="416"/>
    </row>
    <row r="418" spans="1:33" ht="15.75">
      <c r="A418" s="408" t="s">
        <v>634</v>
      </c>
      <c r="B418" s="408">
        <v>9</v>
      </c>
      <c r="C418" s="408">
        <v>495</v>
      </c>
      <c r="D418" s="408" t="s">
        <v>591</v>
      </c>
      <c r="E418" s="408">
        <v>1.5</v>
      </c>
      <c r="F418" s="412">
        <v>45345.609027777777</v>
      </c>
      <c r="G418" s="408">
        <v>1</v>
      </c>
      <c r="H418" s="408">
        <v>51.374099999999999</v>
      </c>
      <c r="I418" s="408">
        <v>7.6384499999999997</v>
      </c>
      <c r="J418" s="408">
        <v>-17.503</v>
      </c>
      <c r="K418" s="408">
        <v>-16.6541</v>
      </c>
      <c r="L418" s="408">
        <v>1004.15</v>
      </c>
      <c r="M418" s="408">
        <v>121.49930000000001</v>
      </c>
      <c r="N418" s="408">
        <v>17828.419999999998</v>
      </c>
      <c r="O418" s="408">
        <v>17984.36</v>
      </c>
      <c r="P418" s="410">
        <v>2081.4690000000001</v>
      </c>
      <c r="Q418" s="396" t="s">
        <v>18</v>
      </c>
      <c r="R418" s="410">
        <f t="shared" si="37"/>
        <v>3.2105555555557048</v>
      </c>
      <c r="S418" s="396">
        <f t="shared" si="38"/>
        <v>2084.6795555555559</v>
      </c>
      <c r="T418" s="408" t="s">
        <v>542</v>
      </c>
      <c r="U418" s="408">
        <v>15</v>
      </c>
      <c r="V418" s="408">
        <v>5</v>
      </c>
      <c r="W418" s="408">
        <v>0.7</v>
      </c>
      <c r="X418" s="408">
        <v>0.7</v>
      </c>
      <c r="Y418" s="408">
        <v>0.7</v>
      </c>
      <c r="Z418" s="411">
        <v>1700</v>
      </c>
      <c r="AA418" s="411" t="s">
        <v>533</v>
      </c>
      <c r="AB418" s="411">
        <v>0.85</v>
      </c>
      <c r="AC418" s="411" t="s">
        <v>534</v>
      </c>
      <c r="AD418" s="411" t="s">
        <v>535</v>
      </c>
      <c r="AE418" s="411">
        <v>220</v>
      </c>
      <c r="AF418" s="416"/>
      <c r="AG418" s="416"/>
    </row>
    <row r="419" spans="1:33" ht="15.75">
      <c r="A419" s="408" t="s">
        <v>635</v>
      </c>
      <c r="B419" s="408">
        <v>9</v>
      </c>
      <c r="C419" s="408">
        <v>495</v>
      </c>
      <c r="D419" s="408" t="s">
        <v>591</v>
      </c>
      <c r="E419" s="408">
        <v>1.5</v>
      </c>
      <c r="F419" s="412">
        <v>45345.613194444442</v>
      </c>
      <c r="G419" s="408">
        <v>1</v>
      </c>
      <c r="H419" s="408">
        <v>51.370800000000003</v>
      </c>
      <c r="I419" s="408">
        <v>7.7950299999999997</v>
      </c>
      <c r="J419" s="408">
        <v>-17.544</v>
      </c>
      <c r="K419" s="408">
        <v>-16.696200000000001</v>
      </c>
      <c r="L419" s="408">
        <v>1004.47</v>
      </c>
      <c r="M419" s="408">
        <v>124.0012</v>
      </c>
      <c r="N419" s="408">
        <v>17975.400000000001</v>
      </c>
      <c r="O419" s="408">
        <v>17984.36</v>
      </c>
      <c r="P419" s="410">
        <v>2081.4690000000001</v>
      </c>
      <c r="Q419" s="396" t="s">
        <v>18</v>
      </c>
      <c r="R419" s="410">
        <f t="shared" si="37"/>
        <v>3.2105555555557048</v>
      </c>
      <c r="S419" s="396">
        <f t="shared" si="38"/>
        <v>2084.6795555555559</v>
      </c>
      <c r="T419" s="408" t="s">
        <v>532</v>
      </c>
      <c r="U419" s="408">
        <v>15</v>
      </c>
      <c r="V419" s="408">
        <v>5</v>
      </c>
      <c r="W419" s="408">
        <v>0.7</v>
      </c>
      <c r="X419" s="408">
        <v>0.7</v>
      </c>
      <c r="Y419" s="408">
        <v>0.7</v>
      </c>
      <c r="Z419" s="411">
        <v>1700</v>
      </c>
      <c r="AA419" s="411" t="s">
        <v>533</v>
      </c>
      <c r="AB419" s="411">
        <v>0.85</v>
      </c>
      <c r="AC419" s="411" t="s">
        <v>534</v>
      </c>
      <c r="AD419" s="411" t="s">
        <v>535</v>
      </c>
      <c r="AE419" s="411">
        <v>220</v>
      </c>
      <c r="AF419" s="416"/>
      <c r="AG419" s="416"/>
    </row>
    <row r="420" spans="1:33" ht="15.75">
      <c r="A420" s="408" t="s">
        <v>636</v>
      </c>
      <c r="B420" s="408">
        <v>9</v>
      </c>
      <c r="C420" s="408">
        <v>495</v>
      </c>
      <c r="D420" s="408" t="s">
        <v>591</v>
      </c>
      <c r="E420" s="408">
        <v>1.5</v>
      </c>
      <c r="F420" s="412">
        <v>45345.616666666669</v>
      </c>
      <c r="G420" s="408">
        <v>1</v>
      </c>
      <c r="H420" s="408">
        <v>51.374099999999999</v>
      </c>
      <c r="I420" s="408">
        <v>7.7119</v>
      </c>
      <c r="J420" s="408">
        <v>-17.526800000000001</v>
      </c>
      <c r="K420" s="408">
        <v>-16.686299999999999</v>
      </c>
      <c r="L420" s="408">
        <v>981.01900000000001</v>
      </c>
      <c r="M420" s="408">
        <v>194.5016</v>
      </c>
      <c r="N420" s="408">
        <v>17998.05</v>
      </c>
      <c r="O420" s="408">
        <v>17984.36</v>
      </c>
      <c r="P420" s="410">
        <v>2081.4690000000001</v>
      </c>
      <c r="Q420" s="396" t="s">
        <v>18</v>
      </c>
      <c r="R420" s="410">
        <f t="shared" si="37"/>
        <v>3.2105555555557048</v>
      </c>
      <c r="S420" s="396">
        <f t="shared" si="38"/>
        <v>2084.6795555555559</v>
      </c>
      <c r="T420" s="408" t="s">
        <v>532</v>
      </c>
      <c r="U420" s="408">
        <v>15</v>
      </c>
      <c r="V420" s="408">
        <v>5</v>
      </c>
      <c r="W420" s="408">
        <v>0.7</v>
      </c>
      <c r="X420" s="408">
        <v>0.7</v>
      </c>
      <c r="Y420" s="408">
        <v>0.7</v>
      </c>
      <c r="Z420" s="411">
        <v>1700</v>
      </c>
      <c r="AA420" s="411" t="s">
        <v>533</v>
      </c>
      <c r="AB420" s="411">
        <v>0.85</v>
      </c>
      <c r="AC420" s="411" t="s">
        <v>534</v>
      </c>
      <c r="AD420" s="411" t="s">
        <v>535</v>
      </c>
      <c r="AE420" s="411">
        <v>220</v>
      </c>
      <c r="AF420" s="416"/>
      <c r="AG420" s="416"/>
    </row>
    <row r="421" spans="1:33" ht="15.75">
      <c r="A421" s="408" t="s">
        <v>637</v>
      </c>
      <c r="B421" s="408">
        <v>9</v>
      </c>
      <c r="C421" s="408">
        <v>495</v>
      </c>
      <c r="D421" s="408" t="s">
        <v>591</v>
      </c>
      <c r="E421" s="408">
        <v>1.5</v>
      </c>
      <c r="F421" s="412">
        <v>45345.620833333334</v>
      </c>
      <c r="G421" s="408">
        <v>1</v>
      </c>
      <c r="H421" s="408">
        <v>51.370800000000003</v>
      </c>
      <c r="I421" s="408">
        <v>7.5296200000000004</v>
      </c>
      <c r="J421" s="408">
        <v>-17.5749</v>
      </c>
      <c r="K421" s="408">
        <v>-16.736599999999999</v>
      </c>
      <c r="L421" s="408">
        <v>988.99</v>
      </c>
      <c r="M421" s="408">
        <v>131.4999</v>
      </c>
      <c r="N421" s="408">
        <v>17979.64</v>
      </c>
      <c r="O421" s="408">
        <v>17984.36</v>
      </c>
      <c r="P421" s="410">
        <v>2081.4690000000001</v>
      </c>
      <c r="Q421" s="396" t="s">
        <v>18</v>
      </c>
      <c r="R421" s="410">
        <f t="shared" si="37"/>
        <v>3.2105555555557048</v>
      </c>
      <c r="S421" s="396">
        <f t="shared" si="38"/>
        <v>2084.6795555555559</v>
      </c>
      <c r="T421" s="408" t="s">
        <v>532</v>
      </c>
      <c r="U421" s="408">
        <v>15</v>
      </c>
      <c r="V421" s="408">
        <v>5</v>
      </c>
      <c r="W421" s="408">
        <v>0.7</v>
      </c>
      <c r="X421" s="408">
        <v>0.7</v>
      </c>
      <c r="Y421" s="408">
        <v>0.7</v>
      </c>
      <c r="Z421" s="411">
        <v>1700</v>
      </c>
      <c r="AA421" s="411" t="s">
        <v>533</v>
      </c>
      <c r="AB421" s="411">
        <v>0.85</v>
      </c>
      <c r="AC421" s="411" t="s">
        <v>534</v>
      </c>
      <c r="AD421" s="411" t="s">
        <v>535</v>
      </c>
      <c r="AE421" s="411">
        <v>220</v>
      </c>
      <c r="AF421" s="416"/>
      <c r="AG421" s="416"/>
    </row>
    <row r="422" spans="1:33" ht="15.75">
      <c r="A422" s="408" t="s">
        <v>638</v>
      </c>
      <c r="B422" s="408">
        <v>10</v>
      </c>
      <c r="C422" s="408">
        <v>496</v>
      </c>
      <c r="D422" s="408" t="s">
        <v>601</v>
      </c>
      <c r="E422" s="408">
        <v>1.5</v>
      </c>
      <c r="F422" s="412">
        <v>45345.625</v>
      </c>
      <c r="G422" s="408">
        <v>1</v>
      </c>
      <c r="H422" s="408">
        <v>51.374099999999999</v>
      </c>
      <c r="I422" s="408">
        <v>7.6949800000000002</v>
      </c>
      <c r="J422" s="408">
        <v>-17.596499999999999</v>
      </c>
      <c r="K422" s="408">
        <v>-16.7651</v>
      </c>
      <c r="L422" s="408">
        <v>1003.63</v>
      </c>
      <c r="M422" s="408">
        <v>155.00110000000001</v>
      </c>
      <c r="N422" s="408">
        <v>17975.91</v>
      </c>
      <c r="O422" s="408">
        <v>17964.68</v>
      </c>
      <c r="P422" s="410">
        <v>2079.2040000000002</v>
      </c>
      <c r="Q422" s="396" t="s">
        <v>18</v>
      </c>
      <c r="R422" s="410">
        <f t="shared" si="37"/>
        <v>3.2037777777779111</v>
      </c>
      <c r="S422" s="396">
        <f t="shared" si="38"/>
        <v>2082.4077777777779</v>
      </c>
      <c r="T422" s="408" t="s">
        <v>532</v>
      </c>
      <c r="U422" s="408">
        <v>15</v>
      </c>
      <c r="V422" s="408">
        <v>5</v>
      </c>
      <c r="W422" s="408">
        <v>0.7</v>
      </c>
      <c r="X422" s="408">
        <v>0.7</v>
      </c>
      <c r="Y422" s="408">
        <v>0.7</v>
      </c>
      <c r="Z422" s="411">
        <v>1700</v>
      </c>
      <c r="AA422" s="411" t="s">
        <v>533</v>
      </c>
      <c r="AB422" s="411">
        <v>0.85</v>
      </c>
      <c r="AC422" s="411" t="s">
        <v>534</v>
      </c>
      <c r="AD422" s="411" t="s">
        <v>535</v>
      </c>
      <c r="AE422" s="411">
        <v>220</v>
      </c>
      <c r="AF422" s="416"/>
      <c r="AG422" s="416"/>
    </row>
    <row r="423" spans="1:33" ht="15.75">
      <c r="A423" s="408" t="s">
        <v>639</v>
      </c>
      <c r="B423" s="408">
        <v>10</v>
      </c>
      <c r="C423" s="408">
        <v>496</v>
      </c>
      <c r="D423" s="408" t="s">
        <v>601</v>
      </c>
      <c r="E423" s="408">
        <v>1.5</v>
      </c>
      <c r="F423" s="412">
        <v>45345.629166666666</v>
      </c>
      <c r="G423" s="408">
        <v>1</v>
      </c>
      <c r="H423" s="408">
        <v>51.374099999999999</v>
      </c>
      <c r="I423" s="408">
        <v>7.6530300000000002</v>
      </c>
      <c r="J423" s="408">
        <v>-17.484300000000001</v>
      </c>
      <c r="K423" s="408">
        <v>-16.645099999999999</v>
      </c>
      <c r="L423" s="408">
        <v>992.85199999999998</v>
      </c>
      <c r="M423" s="408">
        <v>161.99879999999999</v>
      </c>
      <c r="N423" s="408">
        <v>17949.63</v>
      </c>
      <c r="O423" s="408">
        <v>17964.68</v>
      </c>
      <c r="P423" s="410">
        <v>2079.2040000000002</v>
      </c>
      <c r="Q423" s="396" t="s">
        <v>18</v>
      </c>
      <c r="R423" s="410">
        <f t="shared" si="37"/>
        <v>3.2037777777779111</v>
      </c>
      <c r="S423" s="396">
        <f t="shared" si="38"/>
        <v>2082.4077777777779</v>
      </c>
      <c r="T423" s="408" t="s">
        <v>532</v>
      </c>
      <c r="U423" s="408">
        <v>15</v>
      </c>
      <c r="V423" s="408">
        <v>5</v>
      </c>
      <c r="W423" s="408">
        <v>0.7</v>
      </c>
      <c r="X423" s="408">
        <v>0.7</v>
      </c>
      <c r="Y423" s="408">
        <v>0.7</v>
      </c>
      <c r="Z423" s="411">
        <v>1700</v>
      </c>
      <c r="AA423" s="411" t="s">
        <v>533</v>
      </c>
      <c r="AB423" s="411">
        <v>0.85</v>
      </c>
      <c r="AC423" s="411" t="s">
        <v>534</v>
      </c>
      <c r="AD423" s="411" t="s">
        <v>535</v>
      </c>
      <c r="AE423" s="411">
        <v>220</v>
      </c>
      <c r="AF423" s="416"/>
      <c r="AG423" s="416"/>
    </row>
    <row r="424" spans="1:33" ht="15.75">
      <c r="A424" s="408" t="s">
        <v>640</v>
      </c>
      <c r="B424" s="408">
        <v>10</v>
      </c>
      <c r="C424" s="408">
        <v>496</v>
      </c>
      <c r="D424" s="408" t="s">
        <v>601</v>
      </c>
      <c r="E424" s="408">
        <v>1.5</v>
      </c>
      <c r="F424" s="412">
        <v>45345.633333333331</v>
      </c>
      <c r="G424" s="408">
        <v>1</v>
      </c>
      <c r="H424" s="408">
        <v>51.374099999999999</v>
      </c>
      <c r="I424" s="408">
        <v>7.66798</v>
      </c>
      <c r="J424" s="408">
        <v>-17.3657</v>
      </c>
      <c r="K424" s="408">
        <v>-16.5303</v>
      </c>
      <c r="L424" s="408">
        <v>990.55600000000004</v>
      </c>
      <c r="M424" s="408">
        <v>122.00020000000001</v>
      </c>
      <c r="N424" s="408">
        <v>17921.38</v>
      </c>
      <c r="O424" s="408">
        <v>17964.68</v>
      </c>
      <c r="P424" s="410">
        <v>2079.2040000000002</v>
      </c>
      <c r="Q424" s="396" t="s">
        <v>18</v>
      </c>
      <c r="R424" s="410">
        <f t="shared" si="37"/>
        <v>3.2037777777779111</v>
      </c>
      <c r="S424" s="396">
        <f t="shared" si="38"/>
        <v>2082.4077777777779</v>
      </c>
      <c r="T424" s="408" t="s">
        <v>542</v>
      </c>
      <c r="U424" s="408">
        <v>15</v>
      </c>
      <c r="V424" s="408">
        <v>5</v>
      </c>
      <c r="W424" s="408">
        <v>0.7</v>
      </c>
      <c r="X424" s="408">
        <v>0.7</v>
      </c>
      <c r="Y424" s="408">
        <v>0.7</v>
      </c>
      <c r="Z424" s="411">
        <v>1700</v>
      </c>
      <c r="AA424" s="411" t="s">
        <v>533</v>
      </c>
      <c r="AB424" s="411">
        <v>0.85</v>
      </c>
      <c r="AC424" s="411" t="s">
        <v>534</v>
      </c>
      <c r="AD424" s="411" t="s">
        <v>535</v>
      </c>
      <c r="AE424" s="411">
        <v>220</v>
      </c>
      <c r="AF424" s="416"/>
      <c r="AG424" s="416"/>
    </row>
    <row r="425" spans="1:33" ht="15.75">
      <c r="A425" s="408" t="s">
        <v>641</v>
      </c>
      <c r="B425" s="408">
        <v>10</v>
      </c>
      <c r="C425" s="408">
        <v>496</v>
      </c>
      <c r="D425" s="408" t="s">
        <v>601</v>
      </c>
      <c r="E425" s="408">
        <v>1.5</v>
      </c>
      <c r="F425" s="412">
        <v>45345.636805555558</v>
      </c>
      <c r="G425" s="408">
        <v>1</v>
      </c>
      <c r="H425" s="408">
        <v>51.3675</v>
      </c>
      <c r="I425" s="408">
        <v>7.6715799999999996</v>
      </c>
      <c r="J425" s="408">
        <v>-17.5672</v>
      </c>
      <c r="K425" s="408">
        <v>-16.739999999999998</v>
      </c>
      <c r="L425" s="408">
        <v>999.09100000000001</v>
      </c>
      <c r="M425" s="408">
        <v>124.5009</v>
      </c>
      <c r="N425" s="408">
        <v>17968.490000000002</v>
      </c>
      <c r="O425" s="408">
        <v>17964.68</v>
      </c>
      <c r="P425" s="410">
        <v>2079.2040000000002</v>
      </c>
      <c r="Q425" s="396" t="s">
        <v>18</v>
      </c>
      <c r="R425" s="410">
        <f t="shared" si="37"/>
        <v>3.2037777777779111</v>
      </c>
      <c r="S425" s="396">
        <f t="shared" si="38"/>
        <v>2082.4077777777779</v>
      </c>
      <c r="T425" s="408" t="s">
        <v>532</v>
      </c>
      <c r="U425" s="408">
        <v>15</v>
      </c>
      <c r="V425" s="408">
        <v>5</v>
      </c>
      <c r="W425" s="408">
        <v>0.7</v>
      </c>
      <c r="X425" s="408">
        <v>0.7</v>
      </c>
      <c r="Y425" s="408">
        <v>0.7</v>
      </c>
      <c r="Z425" s="411">
        <v>1700</v>
      </c>
      <c r="AA425" s="411" t="s">
        <v>533</v>
      </c>
      <c r="AB425" s="411">
        <v>0.85</v>
      </c>
      <c r="AC425" s="411" t="s">
        <v>534</v>
      </c>
      <c r="AD425" s="411" t="s">
        <v>535</v>
      </c>
      <c r="AE425" s="411">
        <v>220</v>
      </c>
      <c r="AF425" s="416"/>
      <c r="AG425" s="416"/>
    </row>
    <row r="426" spans="1:33" ht="15.75">
      <c r="A426" s="408" t="s">
        <v>643</v>
      </c>
      <c r="B426" s="408">
        <v>11</v>
      </c>
      <c r="C426" s="408" t="s">
        <v>732</v>
      </c>
      <c r="D426" s="408" t="s">
        <v>531</v>
      </c>
      <c r="E426" s="408">
        <v>1.5</v>
      </c>
      <c r="F426" s="412">
        <v>45345.640972222223</v>
      </c>
      <c r="G426" s="408">
        <v>1</v>
      </c>
      <c r="H426" s="408">
        <v>51.374099999999999</v>
      </c>
      <c r="I426" s="408">
        <v>7.5750999999999999</v>
      </c>
      <c r="J426" s="408">
        <v>-17.488499999999998</v>
      </c>
      <c r="K426" s="408">
        <v>-16.638999999999999</v>
      </c>
      <c r="L426" s="408">
        <v>1001.5</v>
      </c>
      <c r="M426" s="408">
        <v>138.49969999999999</v>
      </c>
      <c r="N426" s="408">
        <v>17820.560000000001</v>
      </c>
      <c r="O426" s="408">
        <v>17831.990000000002</v>
      </c>
      <c r="P426" s="410">
        <v>2063.933</v>
      </c>
      <c r="Q426" s="396" t="s">
        <v>18</v>
      </c>
      <c r="R426" s="410">
        <f t="shared" si="37"/>
        <v>3.1970000000001164</v>
      </c>
      <c r="S426" s="396">
        <f t="shared" si="38"/>
        <v>2067.13</v>
      </c>
      <c r="T426" s="408" t="s">
        <v>532</v>
      </c>
      <c r="U426" s="408">
        <v>15</v>
      </c>
      <c r="V426" s="408">
        <v>5</v>
      </c>
      <c r="W426" s="408">
        <v>0.7</v>
      </c>
      <c r="X426" s="408">
        <v>0.7</v>
      </c>
      <c r="Y426" s="408">
        <v>0.7</v>
      </c>
      <c r="Z426" s="411">
        <v>1700</v>
      </c>
      <c r="AA426" s="411" t="s">
        <v>533</v>
      </c>
      <c r="AB426" s="411">
        <v>0.85</v>
      </c>
      <c r="AC426" s="411" t="s">
        <v>534</v>
      </c>
      <c r="AD426" s="411" t="s">
        <v>535</v>
      </c>
      <c r="AE426" s="411">
        <v>220</v>
      </c>
      <c r="AF426" s="416"/>
      <c r="AG426" s="417"/>
    </row>
    <row r="427" spans="1:33" ht="15.75">
      <c r="A427" s="408" t="s">
        <v>644</v>
      </c>
      <c r="B427" s="408">
        <v>11</v>
      </c>
      <c r="C427" s="408" t="s">
        <v>732</v>
      </c>
      <c r="D427" s="408" t="s">
        <v>531</v>
      </c>
      <c r="E427" s="408">
        <v>1.5</v>
      </c>
      <c r="F427" s="412">
        <v>45345.644444444442</v>
      </c>
      <c r="G427" s="408">
        <v>1</v>
      </c>
      <c r="H427" s="408">
        <v>51.370800000000003</v>
      </c>
      <c r="I427" s="408">
        <v>7.6229199999999997</v>
      </c>
      <c r="J427" s="408">
        <v>-17.454599999999999</v>
      </c>
      <c r="K427" s="408">
        <v>-16.613299999999999</v>
      </c>
      <c r="L427" s="408">
        <v>989.65099999999995</v>
      </c>
      <c r="M427" s="408">
        <v>174.001</v>
      </c>
      <c r="N427" s="408">
        <v>17850.39</v>
      </c>
      <c r="O427" s="408">
        <v>17831.990000000002</v>
      </c>
      <c r="P427" s="410">
        <v>2063.933</v>
      </c>
      <c r="Q427" s="396" t="s">
        <v>18</v>
      </c>
      <c r="R427" s="410">
        <f>2067.13-P427</f>
        <v>3.1970000000001164</v>
      </c>
      <c r="S427" s="396">
        <f t="shared" si="38"/>
        <v>2067.13</v>
      </c>
      <c r="T427" s="408" t="s">
        <v>532</v>
      </c>
      <c r="U427" s="408">
        <v>15</v>
      </c>
      <c r="V427" s="408">
        <v>5</v>
      </c>
      <c r="W427" s="408">
        <v>0.7</v>
      </c>
      <c r="X427" s="408">
        <v>0.7</v>
      </c>
      <c r="Y427" s="408">
        <v>0.7</v>
      </c>
      <c r="Z427" s="411">
        <v>1700</v>
      </c>
      <c r="AA427" s="411" t="s">
        <v>533</v>
      </c>
      <c r="AB427" s="411">
        <v>0.85</v>
      </c>
      <c r="AC427" s="411" t="s">
        <v>534</v>
      </c>
      <c r="AD427" s="411" t="s">
        <v>535</v>
      </c>
      <c r="AE427" s="411">
        <v>220</v>
      </c>
      <c r="AF427" s="416"/>
      <c r="AG427" s="417"/>
    </row>
    <row r="428" spans="1:33" ht="15.75">
      <c r="A428" s="408" t="s">
        <v>645</v>
      </c>
      <c r="B428" s="408">
        <v>11</v>
      </c>
      <c r="C428" s="408" t="s">
        <v>732</v>
      </c>
      <c r="D428" s="408" t="s">
        <v>531</v>
      </c>
      <c r="E428" s="408">
        <v>1.5</v>
      </c>
      <c r="F428" s="412">
        <v>45345.648611111108</v>
      </c>
      <c r="G428" s="408">
        <v>1</v>
      </c>
      <c r="H428" s="408">
        <v>51.374099999999999</v>
      </c>
      <c r="I428" s="408">
        <v>7.4998899999999997</v>
      </c>
      <c r="J428" s="408">
        <v>-17.423100000000002</v>
      </c>
      <c r="K428" s="408">
        <v>-16.5837</v>
      </c>
      <c r="L428" s="408">
        <v>990.86900000000003</v>
      </c>
      <c r="M428" s="408">
        <v>113.5003</v>
      </c>
      <c r="N428" s="408">
        <v>17825.02</v>
      </c>
      <c r="O428" s="408">
        <v>17831.990000000002</v>
      </c>
      <c r="P428" s="410">
        <v>2063.933</v>
      </c>
      <c r="Q428" s="396" t="s">
        <v>18</v>
      </c>
      <c r="R428" s="410">
        <f t="shared" ref="R428:R458" si="39">((B428-B$428)/(B$458-B$428))*R$459+((1-((B428-B$428)/(B$458-B$428)))*R$427)</f>
        <v>3.1970000000001164</v>
      </c>
      <c r="S428" s="396">
        <f t="shared" si="38"/>
        <v>2067.13</v>
      </c>
      <c r="T428" s="408" t="s">
        <v>532</v>
      </c>
      <c r="U428" s="408">
        <v>15</v>
      </c>
      <c r="V428" s="408">
        <v>5</v>
      </c>
      <c r="W428" s="408">
        <v>0.7</v>
      </c>
      <c r="X428" s="408">
        <v>0.7</v>
      </c>
      <c r="Y428" s="408">
        <v>0.7</v>
      </c>
      <c r="Z428" s="411">
        <v>1700</v>
      </c>
      <c r="AA428" s="411" t="s">
        <v>533</v>
      </c>
      <c r="AB428" s="411">
        <v>0.85</v>
      </c>
      <c r="AC428" s="411" t="s">
        <v>534</v>
      </c>
      <c r="AD428" s="411" t="s">
        <v>535</v>
      </c>
      <c r="AE428" s="411">
        <v>220</v>
      </c>
      <c r="AF428" s="416"/>
      <c r="AG428" s="417"/>
    </row>
    <row r="429" spans="1:33" ht="15.75">
      <c r="A429" s="408" t="s">
        <v>646</v>
      </c>
      <c r="B429" s="408">
        <v>12</v>
      </c>
      <c r="C429" s="408">
        <v>443</v>
      </c>
      <c r="D429" s="408" t="s">
        <v>561</v>
      </c>
      <c r="E429" s="408">
        <v>1.5</v>
      </c>
      <c r="F429" s="412">
        <v>45345.652777777781</v>
      </c>
      <c r="G429" s="408">
        <v>1</v>
      </c>
      <c r="H429" s="408">
        <v>51.370800000000003</v>
      </c>
      <c r="I429" s="408">
        <v>7.6361800000000004</v>
      </c>
      <c r="J429" s="408">
        <v>-17.6053</v>
      </c>
      <c r="K429" s="408">
        <v>-16.756699999999999</v>
      </c>
      <c r="L429" s="408">
        <v>987.31399999999996</v>
      </c>
      <c r="M429" s="408">
        <v>164.5017</v>
      </c>
      <c r="N429" s="408">
        <v>17865.830000000002</v>
      </c>
      <c r="O429" s="408">
        <v>17904.080000000002</v>
      </c>
      <c r="P429" s="410">
        <v>2072.2289999999998</v>
      </c>
      <c r="Q429" s="396" t="s">
        <v>18</v>
      </c>
      <c r="R429" s="410">
        <f t="shared" si="39"/>
        <v>3.7117777777778729</v>
      </c>
      <c r="S429" s="396">
        <f t="shared" si="38"/>
        <v>2075.9407777777778</v>
      </c>
      <c r="T429" s="408" t="s">
        <v>542</v>
      </c>
      <c r="U429" s="408">
        <v>15</v>
      </c>
      <c r="V429" s="408">
        <v>5</v>
      </c>
      <c r="W429" s="408">
        <v>0.7</v>
      </c>
      <c r="X429" s="408">
        <v>0.7</v>
      </c>
      <c r="Y429" s="408">
        <v>0.7</v>
      </c>
      <c r="Z429" s="411">
        <v>1700</v>
      </c>
      <c r="AA429" s="411" t="s">
        <v>533</v>
      </c>
      <c r="AB429" s="411">
        <v>0.85</v>
      </c>
      <c r="AC429" s="411" t="s">
        <v>534</v>
      </c>
      <c r="AD429" s="411" t="s">
        <v>535</v>
      </c>
      <c r="AE429" s="411">
        <v>220</v>
      </c>
      <c r="AF429" s="416"/>
      <c r="AG429" s="416"/>
    </row>
    <row r="430" spans="1:33" ht="15.75">
      <c r="A430" s="408" t="s">
        <v>647</v>
      </c>
      <c r="B430" s="408">
        <v>12</v>
      </c>
      <c r="C430" s="408">
        <v>443</v>
      </c>
      <c r="D430" s="408" t="s">
        <v>561</v>
      </c>
      <c r="E430" s="408">
        <v>1.5</v>
      </c>
      <c r="F430" s="412">
        <v>45345.656944444447</v>
      </c>
      <c r="G430" s="408">
        <v>1</v>
      </c>
      <c r="H430" s="408">
        <v>51.374099999999999</v>
      </c>
      <c r="I430" s="408">
        <v>7.77942</v>
      </c>
      <c r="J430" s="408">
        <v>-17.4176</v>
      </c>
      <c r="K430" s="408">
        <v>-16.577300000000001</v>
      </c>
      <c r="L430" s="408">
        <v>986.23699999999997</v>
      </c>
      <c r="M430" s="408">
        <v>137.00069999999999</v>
      </c>
      <c r="N430" s="408">
        <v>17922.63</v>
      </c>
      <c r="O430" s="408">
        <v>17904.080000000002</v>
      </c>
      <c r="P430" s="410">
        <v>2072.2289999999998</v>
      </c>
      <c r="Q430" s="396" t="s">
        <v>18</v>
      </c>
      <c r="R430" s="410">
        <f t="shared" si="39"/>
        <v>3.7117777777778729</v>
      </c>
      <c r="S430" s="396">
        <f t="shared" si="38"/>
        <v>2075.9407777777778</v>
      </c>
      <c r="T430" s="408" t="s">
        <v>532</v>
      </c>
      <c r="U430" s="408">
        <v>15</v>
      </c>
      <c r="V430" s="408">
        <v>5</v>
      </c>
      <c r="W430" s="408">
        <v>0.7</v>
      </c>
      <c r="X430" s="408">
        <v>0.7</v>
      </c>
      <c r="Y430" s="408">
        <v>0.7</v>
      </c>
      <c r="Z430" s="411">
        <v>1700</v>
      </c>
      <c r="AA430" s="411" t="s">
        <v>533</v>
      </c>
      <c r="AB430" s="411">
        <v>0.85</v>
      </c>
      <c r="AC430" s="411" t="s">
        <v>534</v>
      </c>
      <c r="AD430" s="411" t="s">
        <v>535</v>
      </c>
      <c r="AE430" s="411">
        <v>220</v>
      </c>
      <c r="AF430" s="416"/>
      <c r="AG430" s="416"/>
    </row>
    <row r="431" spans="1:33" ht="15.75">
      <c r="A431" s="408" t="s">
        <v>648</v>
      </c>
      <c r="B431" s="408">
        <v>12</v>
      </c>
      <c r="C431" s="408">
        <v>443</v>
      </c>
      <c r="D431" s="408" t="s">
        <v>561</v>
      </c>
      <c r="E431" s="408">
        <v>1.5</v>
      </c>
      <c r="F431" s="412">
        <v>45345.660416666666</v>
      </c>
      <c r="G431" s="408">
        <v>1</v>
      </c>
      <c r="H431" s="408">
        <v>51.374099999999999</v>
      </c>
      <c r="I431" s="408">
        <v>7.7295199999999999</v>
      </c>
      <c r="J431" s="408">
        <v>-17.459399999999999</v>
      </c>
      <c r="K431" s="408">
        <v>-16.630500000000001</v>
      </c>
      <c r="L431" s="408">
        <v>995.59500000000003</v>
      </c>
      <c r="M431" s="408">
        <v>206.49959999999999</v>
      </c>
      <c r="N431" s="408">
        <v>17901.98</v>
      </c>
      <c r="O431" s="408">
        <v>17904.080000000002</v>
      </c>
      <c r="P431" s="410">
        <v>2072.2289999999998</v>
      </c>
      <c r="Q431" s="396" t="s">
        <v>18</v>
      </c>
      <c r="R431" s="410">
        <f t="shared" si="39"/>
        <v>3.7117777777778729</v>
      </c>
      <c r="S431" s="396">
        <f t="shared" si="38"/>
        <v>2075.9407777777778</v>
      </c>
      <c r="T431" s="408" t="s">
        <v>532</v>
      </c>
      <c r="U431" s="408">
        <v>15</v>
      </c>
      <c r="V431" s="408">
        <v>5</v>
      </c>
      <c r="W431" s="408">
        <v>0.7</v>
      </c>
      <c r="X431" s="408">
        <v>0.7</v>
      </c>
      <c r="Y431" s="408">
        <v>0.7</v>
      </c>
      <c r="Z431" s="411">
        <v>1700</v>
      </c>
      <c r="AA431" s="411" t="s">
        <v>533</v>
      </c>
      <c r="AB431" s="411">
        <v>0.85</v>
      </c>
      <c r="AC431" s="411" t="s">
        <v>534</v>
      </c>
      <c r="AD431" s="411" t="s">
        <v>535</v>
      </c>
      <c r="AE431" s="411">
        <v>220</v>
      </c>
      <c r="AF431" s="416"/>
      <c r="AG431" s="416"/>
    </row>
    <row r="432" spans="1:33" ht="15.75">
      <c r="A432" s="408" t="s">
        <v>649</v>
      </c>
      <c r="B432" s="408">
        <v>12</v>
      </c>
      <c r="C432" s="408">
        <v>443</v>
      </c>
      <c r="D432" s="408" t="s">
        <v>561</v>
      </c>
      <c r="E432" s="408">
        <v>1.5</v>
      </c>
      <c r="F432" s="412">
        <v>45345.665277777778</v>
      </c>
      <c r="G432" s="408">
        <v>1</v>
      </c>
      <c r="H432" s="408">
        <v>51.374099999999999</v>
      </c>
      <c r="I432" s="408">
        <v>7.6279899999999996</v>
      </c>
      <c r="J432" s="408">
        <v>-17.221800000000002</v>
      </c>
      <c r="K432" s="408">
        <v>-16.422799999999999</v>
      </c>
      <c r="L432" s="408">
        <v>990.702</v>
      </c>
      <c r="M432" s="408">
        <v>131.0001</v>
      </c>
      <c r="N432" s="408">
        <v>17824.82</v>
      </c>
      <c r="O432" s="408">
        <v>17904.080000000002</v>
      </c>
      <c r="P432" s="410">
        <v>2072.2289999999998</v>
      </c>
      <c r="Q432" s="396" t="s">
        <v>18</v>
      </c>
      <c r="R432" s="410">
        <f t="shared" si="39"/>
        <v>3.7117777777778729</v>
      </c>
      <c r="S432" s="396">
        <f t="shared" si="38"/>
        <v>2075.9407777777778</v>
      </c>
      <c r="T432" s="408" t="s">
        <v>542</v>
      </c>
      <c r="U432" s="408">
        <v>15</v>
      </c>
      <c r="V432" s="408">
        <v>5</v>
      </c>
      <c r="W432" s="408">
        <v>0.7</v>
      </c>
      <c r="X432" s="408">
        <v>0.7</v>
      </c>
      <c r="Y432" s="408">
        <v>0.7</v>
      </c>
      <c r="Z432" s="411">
        <v>1700</v>
      </c>
      <c r="AA432" s="411" t="s">
        <v>533</v>
      </c>
      <c r="AB432" s="411">
        <v>0.85</v>
      </c>
      <c r="AC432" s="411" t="s">
        <v>534</v>
      </c>
      <c r="AD432" s="411" t="s">
        <v>535</v>
      </c>
      <c r="AE432" s="411">
        <v>220</v>
      </c>
      <c r="AF432" s="416"/>
      <c r="AG432" s="416"/>
    </row>
    <row r="433" spans="1:33" ht="15.75">
      <c r="A433" s="408" t="s">
        <v>650</v>
      </c>
      <c r="B433" s="408">
        <v>12</v>
      </c>
      <c r="C433" s="408">
        <v>443</v>
      </c>
      <c r="D433" s="408" t="s">
        <v>561</v>
      </c>
      <c r="E433" s="408">
        <v>1.5</v>
      </c>
      <c r="F433" s="412">
        <v>45345.668749999997</v>
      </c>
      <c r="G433" s="408">
        <v>1</v>
      </c>
      <c r="H433" s="408">
        <v>51.3675</v>
      </c>
      <c r="I433" s="408">
        <v>7.7128899999999998</v>
      </c>
      <c r="J433" s="408">
        <v>-17.555700000000002</v>
      </c>
      <c r="K433" s="408">
        <v>-16.708200000000001</v>
      </c>
      <c r="L433" s="408">
        <v>992.495</v>
      </c>
      <c r="M433" s="408">
        <v>140.5</v>
      </c>
      <c r="N433" s="408">
        <v>17887.62</v>
      </c>
      <c r="O433" s="408">
        <v>17904.080000000002</v>
      </c>
      <c r="P433" s="410">
        <v>2072.2289999999998</v>
      </c>
      <c r="Q433" s="396" t="s">
        <v>18</v>
      </c>
      <c r="R433" s="410">
        <f t="shared" si="39"/>
        <v>3.7117777777778729</v>
      </c>
      <c r="S433" s="396">
        <f t="shared" si="38"/>
        <v>2075.9407777777778</v>
      </c>
      <c r="T433" s="408" t="s">
        <v>532</v>
      </c>
      <c r="U433" s="408">
        <v>15</v>
      </c>
      <c r="V433" s="408">
        <v>5</v>
      </c>
      <c r="W433" s="408">
        <v>0.7</v>
      </c>
      <c r="X433" s="408">
        <v>0.7</v>
      </c>
      <c r="Y433" s="408">
        <v>0.7</v>
      </c>
      <c r="Z433" s="411">
        <v>1700</v>
      </c>
      <c r="AA433" s="411" t="s">
        <v>533</v>
      </c>
      <c r="AB433" s="411">
        <v>0.85</v>
      </c>
      <c r="AC433" s="411" t="s">
        <v>534</v>
      </c>
      <c r="AD433" s="411" t="s">
        <v>535</v>
      </c>
      <c r="AE433" s="411">
        <v>220</v>
      </c>
      <c r="AF433" s="416"/>
      <c r="AG433" s="416"/>
    </row>
    <row r="434" spans="1:33" ht="15.75">
      <c r="A434" s="408" t="s">
        <v>651</v>
      </c>
      <c r="B434" s="408">
        <v>13</v>
      </c>
      <c r="C434" s="408">
        <v>444</v>
      </c>
      <c r="D434" s="408" t="s">
        <v>565</v>
      </c>
      <c r="E434" s="408">
        <v>1.5</v>
      </c>
      <c r="F434" s="412">
        <v>45345.67291666667</v>
      </c>
      <c r="G434" s="408">
        <v>1</v>
      </c>
      <c r="H434" s="408">
        <v>51.374099999999999</v>
      </c>
      <c r="I434" s="408">
        <v>7.7050299999999998</v>
      </c>
      <c r="J434" s="408">
        <v>-17.3614</v>
      </c>
      <c r="K434" s="408">
        <v>-16.519400000000001</v>
      </c>
      <c r="L434" s="408">
        <v>985.29899999999998</v>
      </c>
      <c r="M434" s="408">
        <v>127.5005</v>
      </c>
      <c r="N434" s="408">
        <v>17944.25</v>
      </c>
      <c r="O434" s="408">
        <v>17957.939999999999</v>
      </c>
      <c r="P434" s="410">
        <v>2078.4279999999999</v>
      </c>
      <c r="Q434" s="396" t="s">
        <v>18</v>
      </c>
      <c r="R434" s="410">
        <f t="shared" si="39"/>
        <v>4.2265555555556293</v>
      </c>
      <c r="S434" s="396">
        <f t="shared" si="38"/>
        <v>2082.6545555555554</v>
      </c>
      <c r="T434" s="408" t="s">
        <v>532</v>
      </c>
      <c r="U434" s="408">
        <v>15</v>
      </c>
      <c r="V434" s="408">
        <v>5</v>
      </c>
      <c r="W434" s="408">
        <v>0.7</v>
      </c>
      <c r="X434" s="408">
        <v>0.7</v>
      </c>
      <c r="Y434" s="408">
        <v>0.7</v>
      </c>
      <c r="Z434" s="411">
        <v>1700</v>
      </c>
      <c r="AA434" s="411" t="s">
        <v>533</v>
      </c>
      <c r="AB434" s="411">
        <v>0.85</v>
      </c>
      <c r="AC434" s="411" t="s">
        <v>534</v>
      </c>
      <c r="AD434" s="411" t="s">
        <v>535</v>
      </c>
      <c r="AE434" s="411">
        <v>220</v>
      </c>
      <c r="AF434" s="416"/>
      <c r="AG434" s="416"/>
    </row>
    <row r="435" spans="1:33" ht="15.75">
      <c r="A435" s="408" t="s">
        <v>652</v>
      </c>
      <c r="B435" s="408">
        <v>13</v>
      </c>
      <c r="C435" s="408">
        <v>444</v>
      </c>
      <c r="D435" s="408" t="s">
        <v>565</v>
      </c>
      <c r="E435" s="408">
        <v>1.5</v>
      </c>
      <c r="F435" s="412">
        <v>45345.677083333336</v>
      </c>
      <c r="G435" s="408">
        <v>1</v>
      </c>
      <c r="H435" s="408">
        <v>51.377400000000002</v>
      </c>
      <c r="I435" s="408">
        <v>7.6780400000000002</v>
      </c>
      <c r="J435" s="408">
        <v>-17.3675</v>
      </c>
      <c r="K435" s="408">
        <v>-16.5273</v>
      </c>
      <c r="L435" s="408">
        <v>996.78700000000003</v>
      </c>
      <c r="M435" s="408">
        <v>144.50020000000001</v>
      </c>
      <c r="N435" s="408">
        <v>17953.27</v>
      </c>
      <c r="O435" s="408">
        <v>17957.939999999999</v>
      </c>
      <c r="P435" s="410">
        <v>2078.4279999999999</v>
      </c>
      <c r="Q435" s="396" t="s">
        <v>18</v>
      </c>
      <c r="R435" s="410">
        <f t="shared" si="39"/>
        <v>4.2265555555556293</v>
      </c>
      <c r="S435" s="396">
        <f t="shared" si="38"/>
        <v>2082.6545555555554</v>
      </c>
      <c r="T435" s="408" t="s">
        <v>532</v>
      </c>
      <c r="U435" s="408">
        <v>15</v>
      </c>
      <c r="V435" s="408">
        <v>5</v>
      </c>
      <c r="W435" s="408">
        <v>0.7</v>
      </c>
      <c r="X435" s="408">
        <v>0.7</v>
      </c>
      <c r="Y435" s="408">
        <v>0.7</v>
      </c>
      <c r="Z435" s="411">
        <v>1700</v>
      </c>
      <c r="AA435" s="411" t="s">
        <v>533</v>
      </c>
      <c r="AB435" s="411">
        <v>0.85</v>
      </c>
      <c r="AC435" s="411" t="s">
        <v>534</v>
      </c>
      <c r="AD435" s="411" t="s">
        <v>535</v>
      </c>
      <c r="AE435" s="411">
        <v>220</v>
      </c>
      <c r="AF435" s="416"/>
      <c r="AG435" s="416"/>
    </row>
    <row r="436" spans="1:33" ht="15.75">
      <c r="A436" s="408" t="s">
        <v>653</v>
      </c>
      <c r="B436" s="408">
        <v>13</v>
      </c>
      <c r="C436" s="408">
        <v>444</v>
      </c>
      <c r="D436" s="408" t="s">
        <v>565</v>
      </c>
      <c r="E436" s="408">
        <v>1.5</v>
      </c>
      <c r="F436" s="412">
        <v>45345.680555555555</v>
      </c>
      <c r="G436" s="408">
        <v>1</v>
      </c>
      <c r="H436" s="408">
        <v>51.377400000000002</v>
      </c>
      <c r="I436" s="408">
        <v>7.7119</v>
      </c>
      <c r="J436" s="408">
        <v>-17.487500000000001</v>
      </c>
      <c r="K436" s="408">
        <v>-16.638400000000001</v>
      </c>
      <c r="L436" s="408">
        <v>988.56399999999996</v>
      </c>
      <c r="M436" s="408">
        <v>161.50020000000001</v>
      </c>
      <c r="N436" s="408">
        <v>17976.3</v>
      </c>
      <c r="O436" s="408">
        <v>17957.939999999999</v>
      </c>
      <c r="P436" s="410">
        <v>2078.4279999999999</v>
      </c>
      <c r="Q436" s="396" t="s">
        <v>18</v>
      </c>
      <c r="R436" s="410">
        <f t="shared" si="39"/>
        <v>4.2265555555556293</v>
      </c>
      <c r="S436" s="396">
        <f t="shared" si="38"/>
        <v>2082.6545555555554</v>
      </c>
      <c r="T436" s="408" t="s">
        <v>532</v>
      </c>
      <c r="U436" s="408">
        <v>15</v>
      </c>
      <c r="V436" s="408">
        <v>5</v>
      </c>
      <c r="W436" s="408">
        <v>0.7</v>
      </c>
      <c r="X436" s="408">
        <v>0.7</v>
      </c>
      <c r="Y436" s="408">
        <v>0.7</v>
      </c>
      <c r="Z436" s="411">
        <v>1700</v>
      </c>
      <c r="AA436" s="411" t="s">
        <v>533</v>
      </c>
      <c r="AB436" s="411">
        <v>0.85</v>
      </c>
      <c r="AC436" s="411" t="s">
        <v>534</v>
      </c>
      <c r="AD436" s="411" t="s">
        <v>535</v>
      </c>
      <c r="AE436" s="411">
        <v>220</v>
      </c>
      <c r="AF436" s="416"/>
      <c r="AG436" s="416"/>
    </row>
    <row r="437" spans="1:33" ht="15.75">
      <c r="A437" s="408" t="s">
        <v>660</v>
      </c>
      <c r="B437" s="408">
        <v>14</v>
      </c>
      <c r="C437" s="408">
        <v>469</v>
      </c>
      <c r="D437" s="408" t="s">
        <v>569</v>
      </c>
      <c r="E437" s="408">
        <v>1.5</v>
      </c>
      <c r="F437" s="412">
        <v>45345.685416666667</v>
      </c>
      <c r="G437" s="408">
        <v>1</v>
      </c>
      <c r="H437" s="408">
        <v>51.374099999999999</v>
      </c>
      <c r="I437" s="408">
        <v>7.7099000000000002</v>
      </c>
      <c r="J437" s="408">
        <v>-17.481100000000001</v>
      </c>
      <c r="K437" s="408">
        <v>-16.637499999999999</v>
      </c>
      <c r="L437" s="408">
        <v>987.12599999999998</v>
      </c>
      <c r="M437" s="408">
        <v>145.49940000000001</v>
      </c>
      <c r="N437" s="408">
        <v>17789.13</v>
      </c>
      <c r="O437" s="408">
        <v>17789.849999999999</v>
      </c>
      <c r="P437" s="410">
        <v>2059.0830000000001</v>
      </c>
      <c r="Q437" s="396" t="s">
        <v>18</v>
      </c>
      <c r="R437" s="410">
        <f t="shared" si="39"/>
        <v>4.7413333333333867</v>
      </c>
      <c r="S437" s="396">
        <f t="shared" si="38"/>
        <v>2063.8243333333335</v>
      </c>
      <c r="T437" s="408" t="s">
        <v>532</v>
      </c>
      <c r="U437" s="408">
        <v>15</v>
      </c>
      <c r="V437" s="408">
        <v>5</v>
      </c>
      <c r="W437" s="408">
        <v>0.7</v>
      </c>
      <c r="X437" s="408">
        <v>0.7</v>
      </c>
      <c r="Y437" s="408">
        <v>0.7</v>
      </c>
      <c r="Z437" s="411">
        <v>1700</v>
      </c>
      <c r="AA437" s="411" t="s">
        <v>533</v>
      </c>
      <c r="AB437" s="411">
        <v>0.85</v>
      </c>
      <c r="AC437" s="411" t="s">
        <v>534</v>
      </c>
      <c r="AD437" s="411" t="s">
        <v>535</v>
      </c>
      <c r="AE437" s="411">
        <v>220</v>
      </c>
      <c r="AF437" s="416"/>
      <c r="AG437" s="416"/>
    </row>
    <row r="438" spans="1:33" ht="15.75">
      <c r="A438" s="408" t="s">
        <v>661</v>
      </c>
      <c r="B438" s="408">
        <v>14</v>
      </c>
      <c r="C438" s="408">
        <v>469</v>
      </c>
      <c r="D438" s="408" t="s">
        <v>569</v>
      </c>
      <c r="E438" s="408">
        <v>1.5</v>
      </c>
      <c r="F438" s="412">
        <v>45345.688888888886</v>
      </c>
      <c r="G438" s="408">
        <v>1</v>
      </c>
      <c r="H438" s="408">
        <v>51.377400000000002</v>
      </c>
      <c r="I438" s="408">
        <v>7.6981099999999998</v>
      </c>
      <c r="J438" s="408">
        <v>-17.3934</v>
      </c>
      <c r="K438" s="408">
        <v>-16.555700000000002</v>
      </c>
      <c r="L438" s="408">
        <v>978.01300000000003</v>
      </c>
      <c r="M438" s="408">
        <v>120.5005</v>
      </c>
      <c r="N438" s="408">
        <v>17751.29</v>
      </c>
      <c r="O438" s="408">
        <v>17789.849999999999</v>
      </c>
      <c r="P438" s="410">
        <v>2059.0830000000001</v>
      </c>
      <c r="Q438" s="396" t="s">
        <v>18</v>
      </c>
      <c r="R438" s="410">
        <f t="shared" si="39"/>
        <v>4.7413333333333867</v>
      </c>
      <c r="S438" s="396">
        <f t="shared" si="38"/>
        <v>2063.8243333333335</v>
      </c>
      <c r="T438" s="408" t="s">
        <v>542</v>
      </c>
      <c r="U438" s="408">
        <v>15</v>
      </c>
      <c r="V438" s="408">
        <v>5</v>
      </c>
      <c r="W438" s="408">
        <v>0.7</v>
      </c>
      <c r="X438" s="408">
        <v>0.7</v>
      </c>
      <c r="Y438" s="408">
        <v>0.7</v>
      </c>
      <c r="Z438" s="411">
        <v>1700</v>
      </c>
      <c r="AA438" s="411" t="s">
        <v>533</v>
      </c>
      <c r="AB438" s="411">
        <v>0.85</v>
      </c>
      <c r="AC438" s="411" t="s">
        <v>534</v>
      </c>
      <c r="AD438" s="411" t="s">
        <v>535</v>
      </c>
      <c r="AE438" s="411">
        <v>220</v>
      </c>
      <c r="AF438" s="416"/>
      <c r="AG438" s="416"/>
    </row>
    <row r="439" spans="1:33" ht="15.75">
      <c r="A439" s="408" t="s">
        <v>662</v>
      </c>
      <c r="B439" s="408">
        <v>14</v>
      </c>
      <c r="C439" s="408">
        <v>469</v>
      </c>
      <c r="D439" s="408" t="s">
        <v>569</v>
      </c>
      <c r="E439" s="408">
        <v>1.5</v>
      </c>
      <c r="F439" s="412">
        <v>45345.692361111112</v>
      </c>
      <c r="G439" s="408">
        <v>1</v>
      </c>
      <c r="H439" s="408">
        <v>51.370800000000003</v>
      </c>
      <c r="I439" s="408">
        <v>7.6657400000000004</v>
      </c>
      <c r="J439" s="408">
        <v>-17.4895</v>
      </c>
      <c r="K439" s="408">
        <v>-16.654499999999999</v>
      </c>
      <c r="L439" s="408">
        <v>986.83</v>
      </c>
      <c r="M439" s="408">
        <v>115.99939999999999</v>
      </c>
      <c r="N439" s="408">
        <v>17780.68</v>
      </c>
      <c r="O439" s="408">
        <v>17789.849999999999</v>
      </c>
      <c r="P439" s="410">
        <v>2059.0830000000001</v>
      </c>
      <c r="Q439" s="396" t="s">
        <v>18</v>
      </c>
      <c r="R439" s="410">
        <f t="shared" si="39"/>
        <v>4.7413333333333867</v>
      </c>
      <c r="S439" s="396">
        <f t="shared" si="38"/>
        <v>2063.8243333333335</v>
      </c>
      <c r="T439" s="408" t="s">
        <v>532</v>
      </c>
      <c r="U439" s="408">
        <v>15</v>
      </c>
      <c r="V439" s="408">
        <v>5</v>
      </c>
      <c r="W439" s="408">
        <v>0.7</v>
      </c>
      <c r="X439" s="408">
        <v>0.7</v>
      </c>
      <c r="Y439" s="408">
        <v>0.7</v>
      </c>
      <c r="Z439" s="411">
        <v>1700</v>
      </c>
      <c r="AA439" s="411" t="s">
        <v>533</v>
      </c>
      <c r="AB439" s="411">
        <v>0.85</v>
      </c>
      <c r="AC439" s="411" t="s">
        <v>534</v>
      </c>
      <c r="AD439" s="411" t="s">
        <v>535</v>
      </c>
      <c r="AE439" s="411">
        <v>220</v>
      </c>
      <c r="AF439" s="416"/>
      <c r="AG439" s="416"/>
    </row>
    <row r="440" spans="1:33" ht="15.75">
      <c r="A440" s="408" t="s">
        <v>749</v>
      </c>
      <c r="B440" s="408">
        <v>14</v>
      </c>
      <c r="C440" s="408">
        <v>469</v>
      </c>
      <c r="D440" s="408" t="s">
        <v>569</v>
      </c>
      <c r="E440" s="408">
        <v>1.5</v>
      </c>
      <c r="F440" s="412">
        <v>45345.695833333331</v>
      </c>
      <c r="G440" s="408">
        <v>1</v>
      </c>
      <c r="H440" s="408">
        <v>51.377400000000002</v>
      </c>
      <c r="I440" s="408">
        <v>7.6327400000000001</v>
      </c>
      <c r="J440" s="408">
        <v>-17.578900000000001</v>
      </c>
      <c r="K440" s="408">
        <v>-16.777000000000001</v>
      </c>
      <c r="L440" s="408">
        <v>976.66</v>
      </c>
      <c r="M440" s="408">
        <v>212.5</v>
      </c>
      <c r="N440" s="408">
        <v>17799.740000000002</v>
      </c>
      <c r="O440" s="408">
        <v>17789.849999999999</v>
      </c>
      <c r="P440" s="410">
        <v>2059.0830000000001</v>
      </c>
      <c r="Q440" s="396" t="s">
        <v>18</v>
      </c>
      <c r="R440" s="410">
        <f t="shared" si="39"/>
        <v>4.7413333333333867</v>
      </c>
      <c r="S440" s="396">
        <f t="shared" si="38"/>
        <v>2063.8243333333335</v>
      </c>
      <c r="T440" s="408" t="s">
        <v>532</v>
      </c>
      <c r="U440" s="408">
        <v>15</v>
      </c>
      <c r="V440" s="408">
        <v>5</v>
      </c>
      <c r="W440" s="408">
        <v>0.7</v>
      </c>
      <c r="X440" s="408">
        <v>0.7</v>
      </c>
      <c r="Y440" s="408">
        <v>0.7</v>
      </c>
      <c r="Z440" s="411">
        <v>1700</v>
      </c>
      <c r="AA440" s="411" t="s">
        <v>533</v>
      </c>
      <c r="AB440" s="411">
        <v>0.85</v>
      </c>
      <c r="AC440" s="411" t="s">
        <v>534</v>
      </c>
      <c r="AD440" s="411" t="s">
        <v>535</v>
      </c>
      <c r="AE440" s="411">
        <v>220</v>
      </c>
      <c r="AF440" s="416"/>
      <c r="AG440" s="416"/>
    </row>
    <row r="441" spans="1:33" ht="15.75">
      <c r="A441" s="408" t="s">
        <v>663</v>
      </c>
      <c r="B441" s="408">
        <v>15</v>
      </c>
      <c r="C441" s="408">
        <v>470</v>
      </c>
      <c r="D441" s="408" t="s">
        <v>575</v>
      </c>
      <c r="E441" s="408">
        <v>1.5</v>
      </c>
      <c r="F441" s="412">
        <v>45345.701388888891</v>
      </c>
      <c r="G441" s="408">
        <v>1</v>
      </c>
      <c r="H441" s="408">
        <v>51.377400000000002</v>
      </c>
      <c r="I441" s="408">
        <v>7.5991200000000001</v>
      </c>
      <c r="J441" s="408">
        <v>-17.491499999999998</v>
      </c>
      <c r="K441" s="408">
        <v>-16.661300000000001</v>
      </c>
      <c r="L441" s="408">
        <v>984.83600000000001</v>
      </c>
      <c r="M441" s="408">
        <v>124.00109999999999</v>
      </c>
      <c r="N441" s="408">
        <v>17798.419999999998</v>
      </c>
      <c r="O441" s="408">
        <v>17793.57</v>
      </c>
      <c r="P441" s="410">
        <v>2059.511</v>
      </c>
      <c r="Q441" s="396" t="s">
        <v>18</v>
      </c>
      <c r="R441" s="410">
        <f t="shared" si="39"/>
        <v>5.2561111111111432</v>
      </c>
      <c r="S441" s="396">
        <f t="shared" si="38"/>
        <v>2064.7671111111113</v>
      </c>
      <c r="T441" s="408" t="s">
        <v>532</v>
      </c>
      <c r="U441" s="408">
        <v>15</v>
      </c>
      <c r="V441" s="408">
        <v>5</v>
      </c>
      <c r="W441" s="408">
        <v>0.7</v>
      </c>
      <c r="X441" s="408">
        <v>0.7</v>
      </c>
      <c r="Y441" s="408">
        <v>0.7</v>
      </c>
      <c r="Z441" s="411">
        <v>1700</v>
      </c>
      <c r="AA441" s="411" t="s">
        <v>533</v>
      </c>
      <c r="AB441" s="411">
        <v>0.85</v>
      </c>
      <c r="AC441" s="411" t="s">
        <v>534</v>
      </c>
      <c r="AD441" s="411" t="s">
        <v>535</v>
      </c>
      <c r="AE441" s="411">
        <v>220</v>
      </c>
      <c r="AF441" s="416"/>
      <c r="AG441" s="416"/>
    </row>
    <row r="442" spans="1:33" ht="15.75">
      <c r="A442" s="408" t="s">
        <v>664</v>
      </c>
      <c r="B442" s="408">
        <v>15</v>
      </c>
      <c r="C442" s="408">
        <v>470</v>
      </c>
      <c r="D442" s="408" t="s">
        <v>575</v>
      </c>
      <c r="E442" s="408">
        <v>1.5</v>
      </c>
      <c r="F442" s="412">
        <v>45345.704861111109</v>
      </c>
      <c r="G442" s="408">
        <v>1</v>
      </c>
      <c r="H442" s="408">
        <v>51.377400000000002</v>
      </c>
      <c r="I442" s="408">
        <v>7.6669600000000004</v>
      </c>
      <c r="J442" s="408">
        <v>-17.585899999999999</v>
      </c>
      <c r="K442" s="408">
        <v>-16.739699999999999</v>
      </c>
      <c r="L442" s="408">
        <v>992.19799999999998</v>
      </c>
      <c r="M442" s="408">
        <v>131.99860000000001</v>
      </c>
      <c r="N442" s="408">
        <v>17793.89</v>
      </c>
      <c r="O442" s="408">
        <v>17793.57</v>
      </c>
      <c r="P442" s="410">
        <v>2059.511</v>
      </c>
      <c r="Q442" s="396" t="s">
        <v>18</v>
      </c>
      <c r="R442" s="410">
        <f t="shared" si="39"/>
        <v>5.2561111111111432</v>
      </c>
      <c r="S442" s="396">
        <f t="shared" si="38"/>
        <v>2064.7671111111113</v>
      </c>
      <c r="T442" s="408" t="s">
        <v>532</v>
      </c>
      <c r="U442" s="408">
        <v>15</v>
      </c>
      <c r="V442" s="408">
        <v>5</v>
      </c>
      <c r="W442" s="408">
        <v>0.7</v>
      </c>
      <c r="X442" s="408">
        <v>0.7</v>
      </c>
      <c r="Y442" s="408">
        <v>0.7</v>
      </c>
      <c r="Z442" s="411">
        <v>1700</v>
      </c>
      <c r="AA442" s="411" t="s">
        <v>533</v>
      </c>
      <c r="AB442" s="411">
        <v>0.85</v>
      </c>
      <c r="AC442" s="411" t="s">
        <v>534</v>
      </c>
      <c r="AD442" s="411" t="s">
        <v>535</v>
      </c>
      <c r="AE442" s="411">
        <v>220</v>
      </c>
      <c r="AF442" s="416"/>
      <c r="AG442" s="416"/>
    </row>
    <row r="443" spans="1:33" ht="15.75">
      <c r="A443" s="408" t="s">
        <v>665</v>
      </c>
      <c r="B443" s="408">
        <v>15</v>
      </c>
      <c r="C443" s="408">
        <v>470</v>
      </c>
      <c r="D443" s="408" t="s">
        <v>575</v>
      </c>
      <c r="E443" s="408">
        <v>1.5</v>
      </c>
      <c r="F443" s="412">
        <v>45345.708333333336</v>
      </c>
      <c r="G443" s="408">
        <v>1</v>
      </c>
      <c r="H443" s="408">
        <v>51.380699999999997</v>
      </c>
      <c r="I443" s="408">
        <v>7.5924199999999997</v>
      </c>
      <c r="J443" s="408">
        <v>-17.615300000000001</v>
      </c>
      <c r="K443" s="408">
        <v>-16.768799999999999</v>
      </c>
      <c r="L443" s="408">
        <v>996.22799999999995</v>
      </c>
      <c r="M443" s="408">
        <v>142.9992</v>
      </c>
      <c r="N443" s="408">
        <v>17788.400000000001</v>
      </c>
      <c r="O443" s="408">
        <v>17793.57</v>
      </c>
      <c r="P443" s="410">
        <v>2059.511</v>
      </c>
      <c r="Q443" s="396" t="s">
        <v>18</v>
      </c>
      <c r="R443" s="410">
        <f t="shared" si="39"/>
        <v>5.2561111111111432</v>
      </c>
      <c r="S443" s="396">
        <f t="shared" si="38"/>
        <v>2064.7671111111113</v>
      </c>
      <c r="T443" s="408" t="s">
        <v>532</v>
      </c>
      <c r="U443" s="408">
        <v>15</v>
      </c>
      <c r="V443" s="408">
        <v>5</v>
      </c>
      <c r="W443" s="408">
        <v>0.7</v>
      </c>
      <c r="X443" s="408">
        <v>0.7</v>
      </c>
      <c r="Y443" s="408">
        <v>0.7</v>
      </c>
      <c r="Z443" s="411">
        <v>1700</v>
      </c>
      <c r="AA443" s="411" t="s">
        <v>533</v>
      </c>
      <c r="AB443" s="411">
        <v>0.85</v>
      </c>
      <c r="AC443" s="411" t="s">
        <v>534</v>
      </c>
      <c r="AD443" s="411" t="s">
        <v>535</v>
      </c>
      <c r="AE443" s="411">
        <v>220</v>
      </c>
      <c r="AF443" s="416"/>
      <c r="AG443" s="416"/>
    </row>
    <row r="444" spans="1:33" ht="15.75">
      <c r="A444" s="408" t="s">
        <v>666</v>
      </c>
      <c r="B444" s="408">
        <v>16</v>
      </c>
      <c r="C444" s="408">
        <v>547</v>
      </c>
      <c r="D444" s="408" t="s">
        <v>579</v>
      </c>
      <c r="E444" s="408">
        <v>1.5</v>
      </c>
      <c r="F444" s="412">
        <v>45345.712500000001</v>
      </c>
      <c r="G444" s="408">
        <v>1</v>
      </c>
      <c r="H444" s="408">
        <v>51.380699999999997</v>
      </c>
      <c r="I444" s="408">
        <v>7.6227200000000002</v>
      </c>
      <c r="J444" s="408">
        <v>-17.532299999999999</v>
      </c>
      <c r="K444" s="408">
        <v>-16.774100000000001</v>
      </c>
      <c r="L444" s="408">
        <v>978.274</v>
      </c>
      <c r="M444" s="408">
        <v>191.00020000000001</v>
      </c>
      <c r="N444" s="408">
        <v>17793.89</v>
      </c>
      <c r="O444" s="408">
        <v>17782.939999999999</v>
      </c>
      <c r="P444" s="410">
        <v>2058.288</v>
      </c>
      <c r="Q444" s="396" t="s">
        <v>18</v>
      </c>
      <c r="R444" s="410">
        <f t="shared" si="39"/>
        <v>5.7708888888889005</v>
      </c>
      <c r="S444" s="396">
        <f t="shared" si="38"/>
        <v>2064.0588888888888</v>
      </c>
      <c r="T444" s="408" t="s">
        <v>532</v>
      </c>
      <c r="U444" s="408">
        <v>15</v>
      </c>
      <c r="V444" s="408">
        <v>5</v>
      </c>
      <c r="W444" s="408">
        <v>0.7</v>
      </c>
      <c r="X444" s="408">
        <v>0.7</v>
      </c>
      <c r="Y444" s="408">
        <v>0.7</v>
      </c>
      <c r="Z444" s="411">
        <v>1700</v>
      </c>
      <c r="AA444" s="411" t="s">
        <v>533</v>
      </c>
      <c r="AB444" s="411">
        <v>0.85</v>
      </c>
      <c r="AC444" s="411" t="s">
        <v>534</v>
      </c>
      <c r="AD444" s="411" t="s">
        <v>535</v>
      </c>
      <c r="AE444" s="411">
        <v>220</v>
      </c>
      <c r="AF444" s="416"/>
      <c r="AG444" s="416"/>
    </row>
    <row r="445" spans="1:33" ht="15.75">
      <c r="A445" s="408" t="s">
        <v>667</v>
      </c>
      <c r="B445" s="408">
        <v>16</v>
      </c>
      <c r="C445" s="408">
        <v>547</v>
      </c>
      <c r="D445" s="408" t="s">
        <v>579</v>
      </c>
      <c r="E445" s="408">
        <v>1.5</v>
      </c>
      <c r="F445" s="412">
        <v>45345.717361111114</v>
      </c>
      <c r="G445" s="408">
        <v>1</v>
      </c>
      <c r="H445" s="408">
        <v>51.3675</v>
      </c>
      <c r="I445" s="408">
        <v>7.5267400000000002</v>
      </c>
      <c r="J445" s="408">
        <v>-17.605799999999999</v>
      </c>
      <c r="K445" s="408">
        <v>-16.765999999999998</v>
      </c>
      <c r="L445" s="408">
        <v>996.63699999999994</v>
      </c>
      <c r="M445" s="408">
        <v>136.49930000000001</v>
      </c>
      <c r="N445" s="408">
        <v>17780.71</v>
      </c>
      <c r="O445" s="408">
        <v>17782.939999999999</v>
      </c>
      <c r="P445" s="410">
        <v>2058.288</v>
      </c>
      <c r="Q445" s="396" t="s">
        <v>18</v>
      </c>
      <c r="R445" s="410">
        <f t="shared" si="39"/>
        <v>5.7708888888889005</v>
      </c>
      <c r="S445" s="396">
        <f t="shared" si="38"/>
        <v>2064.0588888888888</v>
      </c>
      <c r="T445" s="408" t="s">
        <v>532</v>
      </c>
      <c r="U445" s="408">
        <v>15</v>
      </c>
      <c r="V445" s="408">
        <v>5</v>
      </c>
      <c r="W445" s="408">
        <v>0.7</v>
      </c>
      <c r="X445" s="408">
        <v>0.7</v>
      </c>
      <c r="Y445" s="408">
        <v>0.7</v>
      </c>
      <c r="Z445" s="411">
        <v>1700</v>
      </c>
      <c r="AA445" s="411" t="s">
        <v>533</v>
      </c>
      <c r="AB445" s="411">
        <v>0.85</v>
      </c>
      <c r="AC445" s="411" t="s">
        <v>534</v>
      </c>
      <c r="AD445" s="411" t="s">
        <v>535</v>
      </c>
      <c r="AE445" s="411">
        <v>220</v>
      </c>
      <c r="AF445" s="416"/>
      <c r="AG445" s="416"/>
    </row>
    <row r="446" spans="1:33" ht="15.75">
      <c r="A446" s="408" t="s">
        <v>668</v>
      </c>
      <c r="B446" s="408">
        <v>16</v>
      </c>
      <c r="C446" s="408">
        <v>547</v>
      </c>
      <c r="D446" s="408" t="s">
        <v>579</v>
      </c>
      <c r="E446" s="408">
        <v>1.5</v>
      </c>
      <c r="F446" s="412">
        <v>45345.720833333333</v>
      </c>
      <c r="G446" s="408">
        <v>1</v>
      </c>
      <c r="H446" s="408">
        <v>51.374099999999999</v>
      </c>
      <c r="I446" s="408">
        <v>7.6106800000000003</v>
      </c>
      <c r="J446" s="408">
        <v>-17.613499999999998</v>
      </c>
      <c r="K446" s="408">
        <v>-16.763500000000001</v>
      </c>
      <c r="L446" s="408">
        <v>980.84199999999998</v>
      </c>
      <c r="M446" s="408">
        <v>130.00049999999999</v>
      </c>
      <c r="N446" s="408">
        <v>17774.23</v>
      </c>
      <c r="O446" s="408">
        <v>17782.939999999999</v>
      </c>
      <c r="P446" s="410">
        <v>2058.288</v>
      </c>
      <c r="Q446" s="396" t="s">
        <v>18</v>
      </c>
      <c r="R446" s="410">
        <f t="shared" si="39"/>
        <v>5.7708888888889005</v>
      </c>
      <c r="S446" s="396">
        <f t="shared" si="38"/>
        <v>2064.0588888888888</v>
      </c>
      <c r="T446" s="408" t="s">
        <v>532</v>
      </c>
      <c r="U446" s="408">
        <v>15</v>
      </c>
      <c r="V446" s="408">
        <v>5</v>
      </c>
      <c r="W446" s="408">
        <v>0.7</v>
      </c>
      <c r="X446" s="408">
        <v>0.7</v>
      </c>
      <c r="Y446" s="408">
        <v>0.7</v>
      </c>
      <c r="Z446" s="411">
        <v>1700</v>
      </c>
      <c r="AA446" s="411" t="s">
        <v>533</v>
      </c>
      <c r="AB446" s="411">
        <v>0.85</v>
      </c>
      <c r="AC446" s="411" t="s">
        <v>534</v>
      </c>
      <c r="AD446" s="411" t="s">
        <v>535</v>
      </c>
      <c r="AE446" s="411">
        <v>220</v>
      </c>
      <c r="AF446" s="416"/>
      <c r="AG446" s="416"/>
    </row>
    <row r="447" spans="1:33" ht="15.75">
      <c r="A447" s="408" t="s">
        <v>671</v>
      </c>
      <c r="B447" s="408">
        <v>17</v>
      </c>
      <c r="C447" s="408">
        <v>548</v>
      </c>
      <c r="D447" s="408" t="s">
        <v>585</v>
      </c>
      <c r="E447" s="408">
        <v>1.5</v>
      </c>
      <c r="F447" s="412">
        <v>45345.724999999999</v>
      </c>
      <c r="G447" s="408">
        <v>1</v>
      </c>
      <c r="H447" s="408">
        <v>51.370800000000003</v>
      </c>
      <c r="I447" s="408">
        <v>7.6441499999999998</v>
      </c>
      <c r="J447" s="408">
        <v>-17.648499999999999</v>
      </c>
      <c r="K447" s="408">
        <v>-16.811800000000002</v>
      </c>
      <c r="L447" s="408">
        <v>988.76099999999997</v>
      </c>
      <c r="M447" s="408">
        <v>160.50049999999999</v>
      </c>
      <c r="N447" s="408">
        <v>17792.47</v>
      </c>
      <c r="O447" s="408">
        <v>17777.38</v>
      </c>
      <c r="P447" s="410">
        <v>2057.6480000000001</v>
      </c>
      <c r="Q447" s="396" t="s">
        <v>18</v>
      </c>
      <c r="R447" s="410">
        <f t="shared" si="39"/>
        <v>6.285666666666657</v>
      </c>
      <c r="S447" s="396">
        <f t="shared" si="38"/>
        <v>2063.9336666666668</v>
      </c>
      <c r="T447" s="408" t="s">
        <v>532</v>
      </c>
      <c r="U447" s="408">
        <v>15</v>
      </c>
      <c r="V447" s="408">
        <v>5</v>
      </c>
      <c r="W447" s="408">
        <v>0.7</v>
      </c>
      <c r="X447" s="408">
        <v>0.7</v>
      </c>
      <c r="Y447" s="408">
        <v>0.7</v>
      </c>
      <c r="Z447" s="411">
        <v>1700</v>
      </c>
      <c r="AA447" s="411" t="s">
        <v>533</v>
      </c>
      <c r="AB447" s="411">
        <v>0.85</v>
      </c>
      <c r="AC447" s="411" t="s">
        <v>534</v>
      </c>
      <c r="AD447" s="411" t="s">
        <v>535</v>
      </c>
      <c r="AE447" s="411">
        <v>220</v>
      </c>
      <c r="AF447" s="416"/>
      <c r="AG447" s="416"/>
    </row>
    <row r="448" spans="1:33" ht="15.75">
      <c r="A448" s="408" t="s">
        <v>672</v>
      </c>
      <c r="B448" s="408">
        <v>17</v>
      </c>
      <c r="C448" s="408">
        <v>548</v>
      </c>
      <c r="D448" s="408" t="s">
        <v>585</v>
      </c>
      <c r="E448" s="408">
        <v>1.5</v>
      </c>
      <c r="F448" s="412">
        <v>45345.729166666664</v>
      </c>
      <c r="G448" s="408">
        <v>1</v>
      </c>
      <c r="H448" s="408">
        <v>51.374099999999999</v>
      </c>
      <c r="I448" s="408">
        <v>7.5947399999999998</v>
      </c>
      <c r="J448" s="408">
        <v>-17.661300000000001</v>
      </c>
      <c r="K448" s="408">
        <v>-16.8264</v>
      </c>
      <c r="L448" s="408">
        <v>984.64</v>
      </c>
      <c r="M448" s="408">
        <v>143.99979999999999</v>
      </c>
      <c r="N448" s="408">
        <v>17765.990000000002</v>
      </c>
      <c r="O448" s="408">
        <v>17777.38</v>
      </c>
      <c r="P448" s="410">
        <v>2057.6480000000001</v>
      </c>
      <c r="Q448" s="396" t="s">
        <v>18</v>
      </c>
      <c r="R448" s="410">
        <f t="shared" si="39"/>
        <v>6.285666666666657</v>
      </c>
      <c r="S448" s="396">
        <f t="shared" si="38"/>
        <v>2063.9336666666668</v>
      </c>
      <c r="T448" s="408" t="s">
        <v>532</v>
      </c>
      <c r="U448" s="408">
        <v>15</v>
      </c>
      <c r="V448" s="408">
        <v>5</v>
      </c>
      <c r="W448" s="408">
        <v>0.7</v>
      </c>
      <c r="X448" s="408">
        <v>0.7</v>
      </c>
      <c r="Y448" s="408">
        <v>0.7</v>
      </c>
      <c r="Z448" s="411">
        <v>1700</v>
      </c>
      <c r="AA448" s="411" t="s">
        <v>533</v>
      </c>
      <c r="AB448" s="411">
        <v>0.85</v>
      </c>
      <c r="AC448" s="411" t="s">
        <v>534</v>
      </c>
      <c r="AD448" s="411" t="s">
        <v>535</v>
      </c>
      <c r="AE448" s="411">
        <v>220</v>
      </c>
      <c r="AF448" s="416"/>
      <c r="AG448" s="416"/>
    </row>
    <row r="449" spans="1:33" ht="15.75">
      <c r="A449" s="408" t="s">
        <v>673</v>
      </c>
      <c r="B449" s="408">
        <v>17</v>
      </c>
      <c r="C449" s="408">
        <v>548</v>
      </c>
      <c r="D449" s="408" t="s">
        <v>585</v>
      </c>
      <c r="E449" s="408">
        <v>1.5</v>
      </c>
      <c r="F449" s="412">
        <v>45345.732638888891</v>
      </c>
      <c r="G449" s="408">
        <v>1</v>
      </c>
      <c r="H449" s="408">
        <v>51.370800000000003</v>
      </c>
      <c r="I449" s="408">
        <v>7.59178</v>
      </c>
      <c r="J449" s="408">
        <v>-17.470700000000001</v>
      </c>
      <c r="K449" s="408">
        <v>-16.628900000000002</v>
      </c>
      <c r="L449" s="408">
        <v>982.50900000000001</v>
      </c>
      <c r="M449" s="408">
        <v>109.50069999999999</v>
      </c>
      <c r="N449" s="408">
        <v>17773.689999999999</v>
      </c>
      <c r="O449" s="408">
        <v>17777.38</v>
      </c>
      <c r="P449" s="410">
        <v>2057.6480000000001</v>
      </c>
      <c r="Q449" s="396" t="s">
        <v>18</v>
      </c>
      <c r="R449" s="410">
        <f t="shared" si="39"/>
        <v>6.285666666666657</v>
      </c>
      <c r="S449" s="396">
        <f t="shared" si="38"/>
        <v>2063.9336666666668</v>
      </c>
      <c r="T449" s="408" t="s">
        <v>532</v>
      </c>
      <c r="U449" s="408">
        <v>15</v>
      </c>
      <c r="V449" s="408">
        <v>5</v>
      </c>
      <c r="W449" s="408">
        <v>0.7</v>
      </c>
      <c r="X449" s="408">
        <v>0.7</v>
      </c>
      <c r="Y449" s="408">
        <v>0.7</v>
      </c>
      <c r="Z449" s="411">
        <v>1700</v>
      </c>
      <c r="AA449" s="411" t="s">
        <v>533</v>
      </c>
      <c r="AB449" s="411">
        <v>0.85</v>
      </c>
      <c r="AC449" s="411" t="s">
        <v>534</v>
      </c>
      <c r="AD449" s="411" t="s">
        <v>535</v>
      </c>
      <c r="AE449" s="411">
        <v>220</v>
      </c>
      <c r="AF449" s="416"/>
      <c r="AG449" s="416"/>
    </row>
    <row r="450" spans="1:33" ht="15.75">
      <c r="A450" s="408" t="s">
        <v>676</v>
      </c>
      <c r="B450" s="408">
        <v>18</v>
      </c>
      <c r="C450" s="408">
        <v>404</v>
      </c>
      <c r="D450" s="408" t="s">
        <v>591</v>
      </c>
      <c r="E450" s="408">
        <v>1.5</v>
      </c>
      <c r="F450" s="412">
        <v>45345.736805555556</v>
      </c>
      <c r="G450" s="408">
        <v>1</v>
      </c>
      <c r="H450" s="408">
        <v>51.374099999999999</v>
      </c>
      <c r="I450" s="408">
        <v>7.5517399999999997</v>
      </c>
      <c r="J450" s="408">
        <v>-17.698</v>
      </c>
      <c r="K450" s="408">
        <v>-16.8506</v>
      </c>
      <c r="L450" s="408">
        <v>995.904</v>
      </c>
      <c r="M450" s="408">
        <v>136</v>
      </c>
      <c r="N450" s="408">
        <v>17761.759999999998</v>
      </c>
      <c r="O450" s="408">
        <v>17751.28</v>
      </c>
      <c r="P450" s="410">
        <v>2054.6439999999998</v>
      </c>
      <c r="Q450" s="396" t="s">
        <v>18</v>
      </c>
      <c r="R450" s="410">
        <f t="shared" si="39"/>
        <v>6.8004444444444143</v>
      </c>
      <c r="S450" s="396">
        <f t="shared" si="38"/>
        <v>2061.4444444444443</v>
      </c>
      <c r="T450" s="408" t="s">
        <v>532</v>
      </c>
      <c r="U450" s="408">
        <v>15</v>
      </c>
      <c r="V450" s="408">
        <v>5</v>
      </c>
      <c r="W450" s="408">
        <v>0.7</v>
      </c>
      <c r="X450" s="408">
        <v>0.7</v>
      </c>
      <c r="Y450" s="408">
        <v>0.7</v>
      </c>
      <c r="Z450" s="411">
        <v>1700</v>
      </c>
      <c r="AA450" s="411" t="s">
        <v>533</v>
      </c>
      <c r="AB450" s="411">
        <v>0.85</v>
      </c>
      <c r="AC450" s="411" t="s">
        <v>534</v>
      </c>
      <c r="AD450" s="411" t="s">
        <v>535</v>
      </c>
      <c r="AE450" s="411">
        <v>220</v>
      </c>
      <c r="AF450" s="416"/>
      <c r="AG450" s="416"/>
    </row>
    <row r="451" spans="1:33" ht="15.75">
      <c r="A451" s="408" t="s">
        <v>677</v>
      </c>
      <c r="B451" s="408">
        <v>18</v>
      </c>
      <c r="C451" s="408">
        <v>404</v>
      </c>
      <c r="D451" s="408" t="s">
        <v>591</v>
      </c>
      <c r="E451" s="408">
        <v>1.5</v>
      </c>
      <c r="F451" s="412">
        <v>45345.740972222222</v>
      </c>
      <c r="G451" s="408">
        <v>1</v>
      </c>
      <c r="H451" s="408">
        <v>51.374099999999999</v>
      </c>
      <c r="I451" s="408">
        <v>7.64933</v>
      </c>
      <c r="J451" s="408">
        <v>-17.597799999999999</v>
      </c>
      <c r="K451" s="408">
        <v>-16.747800000000002</v>
      </c>
      <c r="L451" s="408">
        <v>980.31100000000004</v>
      </c>
      <c r="M451" s="408">
        <v>133.50020000000001</v>
      </c>
      <c r="N451" s="408">
        <v>17731.68</v>
      </c>
      <c r="O451" s="408">
        <v>17751.28</v>
      </c>
      <c r="P451" s="410">
        <v>2054.6439999999998</v>
      </c>
      <c r="Q451" s="396" t="s">
        <v>18</v>
      </c>
      <c r="R451" s="410">
        <f t="shared" si="39"/>
        <v>6.8004444444444143</v>
      </c>
      <c r="S451" s="396">
        <f t="shared" si="38"/>
        <v>2061.4444444444443</v>
      </c>
      <c r="T451" s="408" t="s">
        <v>532</v>
      </c>
      <c r="U451" s="408">
        <v>15</v>
      </c>
      <c r="V451" s="408">
        <v>5</v>
      </c>
      <c r="W451" s="408">
        <v>0.7</v>
      </c>
      <c r="X451" s="408">
        <v>0.7</v>
      </c>
      <c r="Y451" s="408">
        <v>0.7</v>
      </c>
      <c r="Z451" s="411">
        <v>1700</v>
      </c>
      <c r="AA451" s="411" t="s">
        <v>533</v>
      </c>
      <c r="AB451" s="411">
        <v>0.85</v>
      </c>
      <c r="AC451" s="411" t="s">
        <v>534</v>
      </c>
      <c r="AD451" s="411" t="s">
        <v>535</v>
      </c>
      <c r="AE451" s="411">
        <v>220</v>
      </c>
      <c r="AF451" s="416"/>
      <c r="AG451" s="416"/>
    </row>
    <row r="452" spans="1:33" ht="15.75">
      <c r="A452" s="408" t="s">
        <v>678</v>
      </c>
      <c r="B452" s="408">
        <v>18</v>
      </c>
      <c r="C452" s="408">
        <v>404</v>
      </c>
      <c r="D452" s="408" t="s">
        <v>591</v>
      </c>
      <c r="E452" s="408">
        <v>1.5</v>
      </c>
      <c r="F452" s="412">
        <v>45345.744444444441</v>
      </c>
      <c r="G452" s="408">
        <v>1</v>
      </c>
      <c r="H452" s="408">
        <v>51.374099999999999</v>
      </c>
      <c r="I452" s="408">
        <v>7.7055199999999999</v>
      </c>
      <c r="J452" s="408">
        <v>-17.5227</v>
      </c>
      <c r="K452" s="408">
        <v>-16.694299999999998</v>
      </c>
      <c r="L452" s="408">
        <v>985.73800000000006</v>
      </c>
      <c r="M452" s="408">
        <v>149.49879999999999</v>
      </c>
      <c r="N452" s="408">
        <v>17797.419999999998</v>
      </c>
      <c r="O452" s="408">
        <v>17751.28</v>
      </c>
      <c r="P452" s="410">
        <v>2054.6439999999998</v>
      </c>
      <c r="Q452" s="396" t="s">
        <v>18</v>
      </c>
      <c r="R452" s="410">
        <f t="shared" si="39"/>
        <v>6.8004444444444143</v>
      </c>
      <c r="S452" s="396">
        <f t="shared" si="38"/>
        <v>2061.4444444444443</v>
      </c>
      <c r="T452" s="408" t="s">
        <v>542</v>
      </c>
      <c r="U452" s="408">
        <v>15</v>
      </c>
      <c r="V452" s="408">
        <v>5</v>
      </c>
      <c r="W452" s="408">
        <v>0.7</v>
      </c>
      <c r="X452" s="408">
        <v>0.7</v>
      </c>
      <c r="Y452" s="408">
        <v>0.7</v>
      </c>
      <c r="Z452" s="411">
        <v>1700</v>
      </c>
      <c r="AA452" s="411" t="s">
        <v>533</v>
      </c>
      <c r="AB452" s="411">
        <v>0.85</v>
      </c>
      <c r="AC452" s="411" t="s">
        <v>534</v>
      </c>
      <c r="AD452" s="411" t="s">
        <v>535</v>
      </c>
      <c r="AE452" s="411">
        <v>220</v>
      </c>
      <c r="AF452" s="416"/>
      <c r="AG452" s="416"/>
    </row>
    <row r="453" spans="1:33" ht="15.75">
      <c r="A453" s="408" t="s">
        <v>679</v>
      </c>
      <c r="B453" s="408">
        <v>18</v>
      </c>
      <c r="C453" s="408">
        <v>404</v>
      </c>
      <c r="D453" s="408" t="s">
        <v>591</v>
      </c>
      <c r="E453" s="408">
        <v>1.5</v>
      </c>
      <c r="F453" s="412">
        <v>45345.747916666667</v>
      </c>
      <c r="G453" s="408">
        <v>1</v>
      </c>
      <c r="H453" s="408">
        <v>51.377400000000002</v>
      </c>
      <c r="I453" s="408">
        <v>7.7511099999999997</v>
      </c>
      <c r="J453" s="408">
        <v>-17.738900000000001</v>
      </c>
      <c r="K453" s="408">
        <v>-16.895</v>
      </c>
      <c r="L453" s="408">
        <v>985.91700000000003</v>
      </c>
      <c r="M453" s="408">
        <v>137.9999</v>
      </c>
      <c r="N453" s="408">
        <v>17760.400000000001</v>
      </c>
      <c r="O453" s="408">
        <v>17751.28</v>
      </c>
      <c r="P453" s="410">
        <v>2054.6439999999998</v>
      </c>
      <c r="Q453" s="396" t="s">
        <v>18</v>
      </c>
      <c r="R453" s="410">
        <f t="shared" si="39"/>
        <v>6.8004444444444143</v>
      </c>
      <c r="S453" s="396">
        <f t="shared" si="38"/>
        <v>2061.4444444444443</v>
      </c>
      <c r="T453" s="408" t="s">
        <v>532</v>
      </c>
      <c r="U453" s="408">
        <v>15</v>
      </c>
      <c r="V453" s="408">
        <v>5</v>
      </c>
      <c r="W453" s="408">
        <v>0.7</v>
      </c>
      <c r="X453" s="408">
        <v>0.7</v>
      </c>
      <c r="Y453" s="408">
        <v>0.7</v>
      </c>
      <c r="Z453" s="411">
        <v>1700</v>
      </c>
      <c r="AA453" s="411" t="s">
        <v>533</v>
      </c>
      <c r="AB453" s="411">
        <v>0.85</v>
      </c>
      <c r="AC453" s="411" t="s">
        <v>534</v>
      </c>
      <c r="AD453" s="411" t="s">
        <v>535</v>
      </c>
      <c r="AE453" s="411">
        <v>220</v>
      </c>
      <c r="AF453" s="416"/>
      <c r="AG453" s="416"/>
    </row>
    <row r="454" spans="1:33" ht="15.75">
      <c r="A454" s="408" t="s">
        <v>680</v>
      </c>
      <c r="B454" s="408">
        <v>19</v>
      </c>
      <c r="C454" s="408">
        <v>405</v>
      </c>
      <c r="D454" s="408" t="s">
        <v>601</v>
      </c>
      <c r="E454" s="408">
        <v>1.5</v>
      </c>
      <c r="F454" s="412">
        <v>45345.75277777778</v>
      </c>
      <c r="G454" s="408">
        <v>1</v>
      </c>
      <c r="H454" s="408">
        <v>51.370800000000003</v>
      </c>
      <c r="I454" s="408">
        <v>7.7847900000000001</v>
      </c>
      <c r="J454" s="408">
        <v>-17.704000000000001</v>
      </c>
      <c r="K454" s="408">
        <v>-16.867999999999999</v>
      </c>
      <c r="L454" s="408">
        <v>978.404</v>
      </c>
      <c r="M454" s="408">
        <v>132.49959999999999</v>
      </c>
      <c r="N454" s="408">
        <v>17794.150000000001</v>
      </c>
      <c r="O454" s="408">
        <v>17787.88</v>
      </c>
      <c r="P454" s="410">
        <v>2058.857</v>
      </c>
      <c r="Q454" s="396" t="s">
        <v>18</v>
      </c>
      <c r="R454" s="410">
        <f t="shared" si="39"/>
        <v>7.3152222222221708</v>
      </c>
      <c r="S454" s="396">
        <f t="shared" si="38"/>
        <v>2066.172222222222</v>
      </c>
      <c r="T454" s="408" t="s">
        <v>532</v>
      </c>
      <c r="U454" s="408">
        <v>15</v>
      </c>
      <c r="V454" s="408">
        <v>5</v>
      </c>
      <c r="W454" s="408">
        <v>0.7</v>
      </c>
      <c r="X454" s="408">
        <v>0.7</v>
      </c>
      <c r="Y454" s="408">
        <v>0.7</v>
      </c>
      <c r="Z454" s="411">
        <v>1700</v>
      </c>
      <c r="AA454" s="411" t="s">
        <v>533</v>
      </c>
      <c r="AB454" s="411">
        <v>0.85</v>
      </c>
      <c r="AC454" s="411" t="s">
        <v>534</v>
      </c>
      <c r="AD454" s="411" t="s">
        <v>535</v>
      </c>
      <c r="AE454" s="411">
        <v>220</v>
      </c>
      <c r="AF454" s="416"/>
      <c r="AG454" s="416"/>
    </row>
    <row r="455" spans="1:33" ht="15.75">
      <c r="A455" s="408" t="s">
        <v>681</v>
      </c>
      <c r="B455" s="408">
        <v>19</v>
      </c>
      <c r="C455" s="408">
        <v>405</v>
      </c>
      <c r="D455" s="408" t="s">
        <v>601</v>
      </c>
      <c r="E455" s="408">
        <v>1.5</v>
      </c>
      <c r="F455" s="412">
        <v>45345.756249999999</v>
      </c>
      <c r="G455" s="408">
        <v>1</v>
      </c>
      <c r="H455" s="408">
        <v>51.370800000000003</v>
      </c>
      <c r="I455" s="408">
        <v>7.74817</v>
      </c>
      <c r="J455" s="408">
        <v>-17.556100000000001</v>
      </c>
      <c r="K455" s="408">
        <v>-16.712599999999998</v>
      </c>
      <c r="L455" s="408">
        <v>992.36199999999997</v>
      </c>
      <c r="M455" s="408">
        <v>135</v>
      </c>
      <c r="N455" s="408">
        <v>17748.68</v>
      </c>
      <c r="O455" s="408">
        <v>17787.88</v>
      </c>
      <c r="P455" s="410">
        <v>2058.857</v>
      </c>
      <c r="Q455" s="396" t="s">
        <v>18</v>
      </c>
      <c r="R455" s="410">
        <f t="shared" si="39"/>
        <v>7.3152222222221708</v>
      </c>
      <c r="S455" s="396">
        <f t="shared" si="38"/>
        <v>2066.172222222222</v>
      </c>
      <c r="T455" s="408" t="s">
        <v>542</v>
      </c>
      <c r="U455" s="408">
        <v>15</v>
      </c>
      <c r="V455" s="408">
        <v>5</v>
      </c>
      <c r="W455" s="408">
        <v>0.7</v>
      </c>
      <c r="X455" s="408">
        <v>0.7</v>
      </c>
      <c r="Y455" s="408">
        <v>0.7</v>
      </c>
      <c r="Z455" s="411">
        <v>1700</v>
      </c>
      <c r="AA455" s="411" t="s">
        <v>533</v>
      </c>
      <c r="AB455" s="411">
        <v>0.85</v>
      </c>
      <c r="AC455" s="411" t="s">
        <v>534</v>
      </c>
      <c r="AD455" s="411" t="s">
        <v>535</v>
      </c>
      <c r="AE455" s="411">
        <v>220</v>
      </c>
      <c r="AF455" s="416"/>
      <c r="AG455" s="416"/>
    </row>
    <row r="456" spans="1:33" ht="15.75">
      <c r="A456" s="408" t="s">
        <v>682</v>
      </c>
      <c r="B456" s="408">
        <v>19</v>
      </c>
      <c r="C456" s="408">
        <v>405</v>
      </c>
      <c r="D456" s="408" t="s">
        <v>601</v>
      </c>
      <c r="E456" s="408">
        <v>1.5</v>
      </c>
      <c r="F456" s="412">
        <v>45345.759722222225</v>
      </c>
      <c r="G456" s="408">
        <v>1</v>
      </c>
      <c r="H456" s="408">
        <v>51.374099999999999</v>
      </c>
      <c r="I456" s="408">
        <v>7.7626400000000002</v>
      </c>
      <c r="J456" s="408">
        <v>-17.506499999999999</v>
      </c>
      <c r="K456" s="408">
        <v>-16.754100000000001</v>
      </c>
      <c r="L456" s="408">
        <v>991.54499999999996</v>
      </c>
      <c r="M456" s="408">
        <v>149.9999</v>
      </c>
      <c r="N456" s="408">
        <v>17795.12</v>
      </c>
      <c r="O456" s="408">
        <v>17787.88</v>
      </c>
      <c r="P456" s="410">
        <v>2058.857</v>
      </c>
      <c r="Q456" s="396" t="s">
        <v>18</v>
      </c>
      <c r="R456" s="410">
        <f t="shared" si="39"/>
        <v>7.3152222222221708</v>
      </c>
      <c r="S456" s="396">
        <f t="shared" si="38"/>
        <v>2066.172222222222</v>
      </c>
      <c r="T456" s="408" t="s">
        <v>532</v>
      </c>
      <c r="U456" s="408">
        <v>15</v>
      </c>
      <c r="V456" s="408">
        <v>5</v>
      </c>
      <c r="W456" s="408">
        <v>0.7</v>
      </c>
      <c r="X456" s="408">
        <v>0.7</v>
      </c>
      <c r="Y456" s="408">
        <v>0.7</v>
      </c>
      <c r="Z456" s="411">
        <v>1700</v>
      </c>
      <c r="AA456" s="411" t="s">
        <v>533</v>
      </c>
      <c r="AB456" s="411">
        <v>0.85</v>
      </c>
      <c r="AC456" s="411" t="s">
        <v>534</v>
      </c>
      <c r="AD456" s="411" t="s">
        <v>535</v>
      </c>
      <c r="AE456" s="411">
        <v>220</v>
      </c>
      <c r="AF456" s="416"/>
      <c r="AG456" s="416"/>
    </row>
    <row r="457" spans="1:33" ht="15.75">
      <c r="A457" s="408" t="s">
        <v>711</v>
      </c>
      <c r="B457" s="408">
        <v>19</v>
      </c>
      <c r="C457" s="408">
        <v>405</v>
      </c>
      <c r="D457" s="408" t="s">
        <v>601</v>
      </c>
      <c r="E457" s="408">
        <v>1.5</v>
      </c>
      <c r="F457" s="412">
        <v>45345.763888888891</v>
      </c>
      <c r="G457" s="408">
        <v>1</v>
      </c>
      <c r="H457" s="408">
        <v>51.374099999999999</v>
      </c>
      <c r="I457" s="408">
        <v>7.8163400000000003</v>
      </c>
      <c r="J457" s="408">
        <v>-17.463799999999999</v>
      </c>
      <c r="K457" s="408">
        <v>-16.616</v>
      </c>
      <c r="L457" s="408">
        <v>981.69799999999998</v>
      </c>
      <c r="M457" s="408">
        <v>150.5009</v>
      </c>
      <c r="N457" s="408">
        <v>17774.37</v>
      </c>
      <c r="O457" s="408">
        <v>17787.88</v>
      </c>
      <c r="P457" s="410">
        <v>2058.857</v>
      </c>
      <c r="Q457" s="396" t="s">
        <v>18</v>
      </c>
      <c r="R457" s="410">
        <f t="shared" si="39"/>
        <v>7.3152222222221708</v>
      </c>
      <c r="S457" s="396">
        <f t="shared" si="38"/>
        <v>2066.172222222222</v>
      </c>
      <c r="T457" s="408" t="s">
        <v>532</v>
      </c>
      <c r="U457" s="408">
        <v>15</v>
      </c>
      <c r="V457" s="408">
        <v>5</v>
      </c>
      <c r="W457" s="408">
        <v>0.7</v>
      </c>
      <c r="X457" s="408">
        <v>0.7</v>
      </c>
      <c r="Y457" s="408">
        <v>0.7</v>
      </c>
      <c r="Z457" s="411">
        <v>1700</v>
      </c>
      <c r="AA457" s="411" t="s">
        <v>533</v>
      </c>
      <c r="AB457" s="411">
        <v>0.85</v>
      </c>
      <c r="AC457" s="411" t="s">
        <v>534</v>
      </c>
      <c r="AD457" s="411" t="s">
        <v>535</v>
      </c>
      <c r="AE457" s="411">
        <v>220</v>
      </c>
      <c r="AF457" s="416"/>
      <c r="AG457" s="416"/>
    </row>
    <row r="458" spans="1:33" ht="15.75">
      <c r="A458" s="408" t="s">
        <v>683</v>
      </c>
      <c r="B458" s="408">
        <v>20</v>
      </c>
      <c r="C458" s="408" t="s">
        <v>750</v>
      </c>
      <c r="D458" s="408" t="s">
        <v>531</v>
      </c>
      <c r="E458" s="408">
        <v>1.5</v>
      </c>
      <c r="F458" s="412">
        <v>45345.768055555556</v>
      </c>
      <c r="G458" s="408">
        <v>1</v>
      </c>
      <c r="H458" s="408">
        <v>51.374099999999999</v>
      </c>
      <c r="I458" s="408">
        <v>7.7907099999999998</v>
      </c>
      <c r="J458" s="408">
        <v>-17.493600000000001</v>
      </c>
      <c r="K458" s="408">
        <v>-16.656300000000002</v>
      </c>
      <c r="L458" s="408">
        <v>981.822</v>
      </c>
      <c r="M458" s="408">
        <v>139.4999</v>
      </c>
      <c r="N458" s="408">
        <v>17748.72</v>
      </c>
      <c r="O458" s="408">
        <v>17791.73</v>
      </c>
      <c r="P458" s="410">
        <v>2059.3000000000002</v>
      </c>
      <c r="Q458" s="396" t="s">
        <v>18</v>
      </c>
      <c r="R458" s="410">
        <f t="shared" si="39"/>
        <v>7.8299999999999272</v>
      </c>
      <c r="S458" s="396">
        <f t="shared" si="38"/>
        <v>2067.13</v>
      </c>
      <c r="T458" s="408" t="s">
        <v>542</v>
      </c>
      <c r="U458" s="408">
        <v>15</v>
      </c>
      <c r="V458" s="408">
        <v>5</v>
      </c>
      <c r="W458" s="408">
        <v>0.7</v>
      </c>
      <c r="X458" s="408">
        <v>0.7</v>
      </c>
      <c r="Y458" s="408">
        <v>0.7</v>
      </c>
      <c r="Z458" s="411">
        <v>1700</v>
      </c>
      <c r="AA458" s="411" t="s">
        <v>533</v>
      </c>
      <c r="AB458" s="411">
        <v>0.85</v>
      </c>
      <c r="AC458" s="411" t="s">
        <v>534</v>
      </c>
      <c r="AD458" s="411" t="s">
        <v>535</v>
      </c>
      <c r="AE458" s="411">
        <v>220</v>
      </c>
      <c r="AF458" s="416"/>
      <c r="AG458" s="417"/>
    </row>
    <row r="459" spans="1:33" ht="15.75">
      <c r="A459" s="408" t="s">
        <v>684</v>
      </c>
      <c r="B459" s="408">
        <v>20</v>
      </c>
      <c r="C459" s="408" t="s">
        <v>750</v>
      </c>
      <c r="D459" s="408" t="s">
        <v>531</v>
      </c>
      <c r="E459" s="408">
        <v>1.5</v>
      </c>
      <c r="F459" s="412">
        <v>45345.772222222222</v>
      </c>
      <c r="G459" s="408">
        <v>1</v>
      </c>
      <c r="H459" s="408">
        <v>51.377400000000002</v>
      </c>
      <c r="I459" s="408">
        <v>7.7681300000000002</v>
      </c>
      <c r="J459" s="408">
        <v>-17.630199999999999</v>
      </c>
      <c r="K459" s="408">
        <v>-16.782800000000002</v>
      </c>
      <c r="L459" s="408">
        <v>998.91600000000005</v>
      </c>
      <c r="M459" s="408">
        <v>124.0009</v>
      </c>
      <c r="N459" s="408">
        <v>17778.05</v>
      </c>
      <c r="O459" s="408">
        <v>17791.73</v>
      </c>
      <c r="P459" s="410">
        <v>2059.3000000000002</v>
      </c>
      <c r="Q459" s="396" t="s">
        <v>18</v>
      </c>
      <c r="R459" s="410">
        <f t="shared" ref="R459:R461" si="40">2067.13-P459</f>
        <v>7.8299999999999272</v>
      </c>
      <c r="S459" s="396">
        <f t="shared" si="38"/>
        <v>2067.13</v>
      </c>
      <c r="T459" s="408" t="s">
        <v>532</v>
      </c>
      <c r="U459" s="408">
        <v>15</v>
      </c>
      <c r="V459" s="408">
        <v>5</v>
      </c>
      <c r="W459" s="408">
        <v>0.7</v>
      </c>
      <c r="X459" s="408">
        <v>0.7</v>
      </c>
      <c r="Y459" s="408">
        <v>0.7</v>
      </c>
      <c r="Z459" s="411">
        <v>1700</v>
      </c>
      <c r="AA459" s="411" t="s">
        <v>533</v>
      </c>
      <c r="AB459" s="411">
        <v>0.85</v>
      </c>
      <c r="AC459" s="411" t="s">
        <v>534</v>
      </c>
      <c r="AD459" s="411" t="s">
        <v>535</v>
      </c>
      <c r="AE459" s="411">
        <v>220</v>
      </c>
      <c r="AF459" s="416"/>
      <c r="AG459" s="417"/>
    </row>
    <row r="460" spans="1:33" ht="15.75">
      <c r="A460" s="408" t="s">
        <v>685</v>
      </c>
      <c r="B460" s="408">
        <v>20</v>
      </c>
      <c r="C460" s="408" t="s">
        <v>750</v>
      </c>
      <c r="D460" s="408" t="s">
        <v>531</v>
      </c>
      <c r="E460" s="408">
        <v>1.5</v>
      </c>
      <c r="F460" s="412">
        <v>45345.775694444441</v>
      </c>
      <c r="G460" s="408">
        <v>1</v>
      </c>
      <c r="H460" s="408">
        <v>51.374099999999999</v>
      </c>
      <c r="I460" s="408">
        <v>7.6882799999999998</v>
      </c>
      <c r="J460" s="408">
        <v>-17.7301</v>
      </c>
      <c r="K460" s="408">
        <v>-16.8858</v>
      </c>
      <c r="L460" s="408">
        <v>973.81600000000003</v>
      </c>
      <c r="M460" s="408">
        <v>133.49959999999999</v>
      </c>
      <c r="N460" s="408">
        <v>17788.54</v>
      </c>
      <c r="O460" s="408">
        <v>17791.73</v>
      </c>
      <c r="P460" s="410">
        <v>2059.3000000000002</v>
      </c>
      <c r="Q460" s="396" t="s">
        <v>18</v>
      </c>
      <c r="R460" s="410">
        <f t="shared" si="40"/>
        <v>7.8299999999999272</v>
      </c>
      <c r="S460" s="396">
        <f t="shared" si="38"/>
        <v>2067.13</v>
      </c>
      <c r="T460" s="408" t="s">
        <v>532</v>
      </c>
      <c r="U460" s="408">
        <v>15</v>
      </c>
      <c r="V460" s="408">
        <v>5</v>
      </c>
      <c r="W460" s="408">
        <v>0.7</v>
      </c>
      <c r="X460" s="408">
        <v>0.7</v>
      </c>
      <c r="Y460" s="408">
        <v>0.7</v>
      </c>
      <c r="Z460" s="411">
        <v>1700</v>
      </c>
      <c r="AA460" s="411" t="s">
        <v>533</v>
      </c>
      <c r="AB460" s="411">
        <v>0.85</v>
      </c>
      <c r="AC460" s="411" t="s">
        <v>534</v>
      </c>
      <c r="AD460" s="411" t="s">
        <v>535</v>
      </c>
      <c r="AE460" s="411">
        <v>220</v>
      </c>
      <c r="AF460" s="416"/>
      <c r="AG460" s="417"/>
    </row>
    <row r="461" spans="1:33" ht="15.75">
      <c r="A461" s="408" t="s">
        <v>686</v>
      </c>
      <c r="B461" s="408">
        <v>20</v>
      </c>
      <c r="C461" s="408" t="s">
        <v>750</v>
      </c>
      <c r="D461" s="408" t="s">
        <v>531</v>
      </c>
      <c r="E461" s="408">
        <v>1.5</v>
      </c>
      <c r="F461" s="412">
        <v>45345.779166666667</v>
      </c>
      <c r="G461" s="408">
        <v>1</v>
      </c>
      <c r="H461" s="408">
        <v>51.370800000000003</v>
      </c>
      <c r="I461" s="408">
        <v>7.7268400000000002</v>
      </c>
      <c r="J461" s="408">
        <v>-17.616900000000001</v>
      </c>
      <c r="K461" s="408">
        <v>-16.819900000000001</v>
      </c>
      <c r="L461" s="408">
        <v>993.22900000000004</v>
      </c>
      <c r="M461" s="408">
        <v>146.99969999999999</v>
      </c>
      <c r="N461" s="408">
        <v>17808.599999999999</v>
      </c>
      <c r="O461" s="408">
        <v>17791.73</v>
      </c>
      <c r="P461" s="410">
        <v>2059.3000000000002</v>
      </c>
      <c r="Q461" s="396" t="s">
        <v>18</v>
      </c>
      <c r="R461" s="410">
        <f t="shared" si="40"/>
        <v>7.8299999999999272</v>
      </c>
      <c r="S461" s="396">
        <f t="shared" si="38"/>
        <v>2067.13</v>
      </c>
      <c r="T461" s="408" t="s">
        <v>532</v>
      </c>
      <c r="U461" s="408">
        <v>15</v>
      </c>
      <c r="V461" s="408">
        <v>5</v>
      </c>
      <c r="W461" s="408">
        <v>0.7</v>
      </c>
      <c r="X461" s="408">
        <v>0.7</v>
      </c>
      <c r="Y461" s="408">
        <v>0.7</v>
      </c>
      <c r="Z461" s="411">
        <v>1700</v>
      </c>
      <c r="AA461" s="411" t="s">
        <v>533</v>
      </c>
      <c r="AB461" s="411">
        <v>0.85</v>
      </c>
      <c r="AC461" s="411" t="s">
        <v>534</v>
      </c>
      <c r="AD461" s="411" t="s">
        <v>535</v>
      </c>
      <c r="AE461" s="411">
        <v>220</v>
      </c>
      <c r="AF461" s="416"/>
      <c r="AG461" s="417"/>
    </row>
    <row r="462" spans="1:33" ht="15" customHeight="1">
      <c r="A462" s="418" t="s">
        <v>528</v>
      </c>
      <c r="B462" s="419" t="s">
        <v>529</v>
      </c>
      <c r="C462" s="419" t="s">
        <v>530</v>
      </c>
      <c r="D462" s="419" t="s">
        <v>531</v>
      </c>
      <c r="E462" s="419">
        <v>1</v>
      </c>
      <c r="F462" s="420">
        <v>45348.36041666667</v>
      </c>
      <c r="G462" s="419">
        <v>1</v>
      </c>
      <c r="H462" s="419">
        <v>51.374099999999999</v>
      </c>
      <c r="I462" s="419">
        <v>12.0153</v>
      </c>
      <c r="J462" s="419">
        <v>-16.6615</v>
      </c>
      <c r="K462" s="419">
        <v>-15.8185</v>
      </c>
      <c r="L462" s="419">
        <v>871.69200000000001</v>
      </c>
      <c r="M462" s="419">
        <v>94.500100000000003</v>
      </c>
      <c r="N462" s="419">
        <v>11383.72</v>
      </c>
      <c r="O462" s="419">
        <v>11383.72</v>
      </c>
      <c r="P462" s="421">
        <v>1982.7380000000001</v>
      </c>
      <c r="Q462" s="396" t="s">
        <v>18</v>
      </c>
      <c r="R462" s="396" t="s">
        <v>18</v>
      </c>
      <c r="S462" s="396" t="s">
        <v>18</v>
      </c>
      <c r="T462" s="419" t="s">
        <v>532</v>
      </c>
      <c r="U462" s="419">
        <v>15</v>
      </c>
      <c r="V462" s="419">
        <v>5</v>
      </c>
      <c r="W462" s="419">
        <v>0.7</v>
      </c>
      <c r="X462" s="419">
        <v>0.7</v>
      </c>
      <c r="Y462" s="419">
        <v>0.7</v>
      </c>
      <c r="Z462" s="422">
        <v>1700</v>
      </c>
      <c r="AA462" s="422" t="s">
        <v>533</v>
      </c>
      <c r="AB462" s="422">
        <v>0.85</v>
      </c>
      <c r="AC462" s="422" t="s">
        <v>534</v>
      </c>
      <c r="AD462" s="422" t="s">
        <v>535</v>
      </c>
      <c r="AE462" s="422">
        <v>220</v>
      </c>
      <c r="AF462" s="423"/>
      <c r="AG462" s="423"/>
    </row>
    <row r="463" spans="1:33" ht="15" customHeight="1">
      <c r="A463" s="418" t="s">
        <v>536</v>
      </c>
      <c r="B463" s="419" t="s">
        <v>529</v>
      </c>
      <c r="C463" s="419" t="s">
        <v>530</v>
      </c>
      <c r="D463" s="419" t="s">
        <v>531</v>
      </c>
      <c r="E463" s="419">
        <v>1</v>
      </c>
      <c r="F463" s="420">
        <v>45348.363194444442</v>
      </c>
      <c r="G463" s="419">
        <v>1</v>
      </c>
      <c r="H463" s="419">
        <v>51.370800000000003</v>
      </c>
      <c r="I463" s="419">
        <v>11.8048</v>
      </c>
      <c r="J463" s="419">
        <v>-17.041399999999999</v>
      </c>
      <c r="K463" s="419">
        <v>-16.206399999999999</v>
      </c>
      <c r="L463" s="419">
        <v>876.21799999999996</v>
      </c>
      <c r="M463" s="419">
        <v>117.9983</v>
      </c>
      <c r="N463" s="419">
        <v>11349.43</v>
      </c>
      <c r="O463" s="419">
        <v>11349.43</v>
      </c>
      <c r="P463" s="421">
        <v>1976.818</v>
      </c>
      <c r="Q463" s="396" t="s">
        <v>18</v>
      </c>
      <c r="R463" s="396" t="s">
        <v>18</v>
      </c>
      <c r="S463" s="396" t="s">
        <v>18</v>
      </c>
      <c r="T463" s="419" t="s">
        <v>532</v>
      </c>
      <c r="U463" s="419">
        <v>15</v>
      </c>
      <c r="V463" s="419">
        <v>5</v>
      </c>
      <c r="W463" s="419">
        <v>0.7</v>
      </c>
      <c r="X463" s="419">
        <v>0.7</v>
      </c>
      <c r="Y463" s="419">
        <v>0.7</v>
      </c>
      <c r="Z463" s="422">
        <v>1700</v>
      </c>
      <c r="AA463" s="422" t="s">
        <v>533</v>
      </c>
      <c r="AB463" s="422">
        <v>0.85</v>
      </c>
      <c r="AC463" s="422" t="s">
        <v>534</v>
      </c>
      <c r="AD463" s="422" t="s">
        <v>535</v>
      </c>
      <c r="AE463" s="422">
        <v>220</v>
      </c>
      <c r="AF463" s="423"/>
      <c r="AG463" s="423"/>
    </row>
    <row r="464" spans="1:33" ht="15" customHeight="1">
      <c r="A464" s="418" t="s">
        <v>537</v>
      </c>
      <c r="B464" s="419" t="s">
        <v>529</v>
      </c>
      <c r="C464" s="419" t="s">
        <v>530</v>
      </c>
      <c r="D464" s="419" t="s">
        <v>531</v>
      </c>
      <c r="E464" s="419">
        <v>1</v>
      </c>
      <c r="F464" s="420">
        <v>45348.366666666669</v>
      </c>
      <c r="G464" s="419">
        <v>1</v>
      </c>
      <c r="H464" s="419">
        <v>51.3675</v>
      </c>
      <c r="I464" s="419">
        <v>10.664099999999999</v>
      </c>
      <c r="J464" s="419">
        <v>-17.164000000000001</v>
      </c>
      <c r="K464" s="419">
        <v>-16.354800000000001</v>
      </c>
      <c r="L464" s="419">
        <v>873.00800000000004</v>
      </c>
      <c r="M464" s="419">
        <v>112.49930000000001</v>
      </c>
      <c r="N464" s="419">
        <v>11364.55</v>
      </c>
      <c r="O464" s="419">
        <v>11364.55</v>
      </c>
      <c r="P464" s="421">
        <v>1979.43</v>
      </c>
      <c r="Q464" s="396" t="s">
        <v>18</v>
      </c>
      <c r="R464" s="396" t="s">
        <v>18</v>
      </c>
      <c r="S464" s="396" t="s">
        <v>18</v>
      </c>
      <c r="T464" s="419" t="s">
        <v>532</v>
      </c>
      <c r="U464" s="419">
        <v>15</v>
      </c>
      <c r="V464" s="419">
        <v>5</v>
      </c>
      <c r="W464" s="419">
        <v>0.7</v>
      </c>
      <c r="X464" s="419">
        <v>0.7</v>
      </c>
      <c r="Y464" s="419">
        <v>0.7</v>
      </c>
      <c r="Z464" s="422">
        <v>1700</v>
      </c>
      <c r="AA464" s="422" t="s">
        <v>533</v>
      </c>
      <c r="AB464" s="422">
        <v>0.85</v>
      </c>
      <c r="AC464" s="422" t="s">
        <v>534</v>
      </c>
      <c r="AD464" s="422" t="s">
        <v>535</v>
      </c>
      <c r="AE464" s="422">
        <v>220</v>
      </c>
      <c r="AF464" s="423"/>
      <c r="AG464" s="423"/>
    </row>
    <row r="465" spans="1:33" ht="15" customHeight="1">
      <c r="A465" s="418" t="s">
        <v>538</v>
      </c>
      <c r="B465" s="419" t="s">
        <v>529</v>
      </c>
      <c r="C465" s="419" t="s">
        <v>530</v>
      </c>
      <c r="D465" s="419" t="s">
        <v>531</v>
      </c>
      <c r="E465" s="419">
        <v>1</v>
      </c>
      <c r="F465" s="420">
        <v>45348.370138888888</v>
      </c>
      <c r="G465" s="419">
        <v>1</v>
      </c>
      <c r="H465" s="419">
        <v>51.370800000000003</v>
      </c>
      <c r="I465" s="419">
        <v>9.9575800000000001</v>
      </c>
      <c r="J465" s="419">
        <v>-17.108799999999999</v>
      </c>
      <c r="K465" s="419">
        <v>-16.270600000000002</v>
      </c>
      <c r="L465" s="419">
        <v>880.37099999999998</v>
      </c>
      <c r="M465" s="419">
        <v>88.500410000000002</v>
      </c>
      <c r="N465" s="419">
        <v>11327.17</v>
      </c>
      <c r="O465" s="419">
        <v>11327.17</v>
      </c>
      <c r="P465" s="421">
        <v>1972.9760000000001</v>
      </c>
      <c r="Q465" s="396" t="s">
        <v>18</v>
      </c>
      <c r="R465" s="396" t="s">
        <v>18</v>
      </c>
      <c r="S465" s="396" t="s">
        <v>18</v>
      </c>
      <c r="T465" s="419" t="s">
        <v>532</v>
      </c>
      <c r="U465" s="419">
        <v>15</v>
      </c>
      <c r="V465" s="419">
        <v>5</v>
      </c>
      <c r="W465" s="419">
        <v>0.7</v>
      </c>
      <c r="X465" s="419">
        <v>0.7</v>
      </c>
      <c r="Y465" s="419">
        <v>0.7</v>
      </c>
      <c r="Z465" s="422">
        <v>1700</v>
      </c>
      <c r="AA465" s="422" t="s">
        <v>533</v>
      </c>
      <c r="AB465" s="422">
        <v>0.85</v>
      </c>
      <c r="AC465" s="422" t="s">
        <v>534</v>
      </c>
      <c r="AD465" s="422" t="s">
        <v>535</v>
      </c>
      <c r="AE465" s="422">
        <v>220</v>
      </c>
      <c r="AF465" s="423"/>
      <c r="AG465" s="423"/>
    </row>
    <row r="466" spans="1:33" ht="15" customHeight="1">
      <c r="A466" s="418" t="s">
        <v>688</v>
      </c>
      <c r="B466" s="419" t="s">
        <v>529</v>
      </c>
      <c r="C466" s="419" t="s">
        <v>530</v>
      </c>
      <c r="D466" s="419" t="s">
        <v>531</v>
      </c>
      <c r="E466" s="419">
        <v>1</v>
      </c>
      <c r="F466" s="420">
        <v>45348.373611111114</v>
      </c>
      <c r="G466" s="419">
        <v>1</v>
      </c>
      <c r="H466" s="419">
        <v>51.374099999999999</v>
      </c>
      <c r="I466" s="419">
        <v>9.6295999999999999</v>
      </c>
      <c r="J466" s="419">
        <v>-17.134499999999999</v>
      </c>
      <c r="K466" s="419">
        <v>-16.289100000000001</v>
      </c>
      <c r="L466" s="419">
        <v>889.13699999999994</v>
      </c>
      <c r="M466" s="419">
        <v>91.499480000000005</v>
      </c>
      <c r="N466" s="419">
        <v>11309.99</v>
      </c>
      <c r="O466" s="419">
        <v>11309.99</v>
      </c>
      <c r="P466" s="421">
        <v>1970.011</v>
      </c>
      <c r="Q466" s="396" t="s">
        <v>18</v>
      </c>
      <c r="R466" s="396" t="s">
        <v>18</v>
      </c>
      <c r="S466" s="396" t="s">
        <v>18</v>
      </c>
      <c r="T466" s="419" t="s">
        <v>532</v>
      </c>
      <c r="U466" s="419">
        <v>15</v>
      </c>
      <c r="V466" s="419">
        <v>5</v>
      </c>
      <c r="W466" s="419">
        <v>0.7</v>
      </c>
      <c r="X466" s="419">
        <v>0.7</v>
      </c>
      <c r="Y466" s="419">
        <v>0.7</v>
      </c>
      <c r="Z466" s="422">
        <v>1700</v>
      </c>
      <c r="AA466" s="422" t="s">
        <v>533</v>
      </c>
      <c r="AB466" s="422">
        <v>0.85</v>
      </c>
      <c r="AC466" s="422" t="s">
        <v>534</v>
      </c>
      <c r="AD466" s="422" t="s">
        <v>535</v>
      </c>
      <c r="AE466" s="422">
        <v>220</v>
      </c>
      <c r="AF466" s="423"/>
      <c r="AG466" s="423"/>
    </row>
    <row r="467" spans="1:33" ht="15" customHeight="1">
      <c r="A467" s="418" t="s">
        <v>555</v>
      </c>
      <c r="B467" s="419" t="s">
        <v>529</v>
      </c>
      <c r="C467" s="419" t="s">
        <v>530</v>
      </c>
      <c r="D467" s="419" t="s">
        <v>531</v>
      </c>
      <c r="E467" s="419">
        <v>1</v>
      </c>
      <c r="F467" s="420">
        <v>45348.376388888886</v>
      </c>
      <c r="G467" s="419">
        <v>1</v>
      </c>
      <c r="H467" s="419">
        <v>51.3675</v>
      </c>
      <c r="I467" s="419">
        <v>8.8386499999999995</v>
      </c>
      <c r="J467" s="419">
        <v>-17.265899999999998</v>
      </c>
      <c r="K467" s="419">
        <v>-16.417999999999999</v>
      </c>
      <c r="L467" s="419">
        <v>872.70100000000002</v>
      </c>
      <c r="M467" s="419">
        <v>96.499889999999994</v>
      </c>
      <c r="N467" s="419">
        <v>11327.24</v>
      </c>
      <c r="O467" s="419">
        <v>11327.24</v>
      </c>
      <c r="P467" s="421">
        <v>1972.989</v>
      </c>
      <c r="Q467" s="396" t="s">
        <v>18</v>
      </c>
      <c r="R467" s="396" t="s">
        <v>18</v>
      </c>
      <c r="S467" s="396" t="s">
        <v>18</v>
      </c>
      <c r="T467" s="419" t="s">
        <v>532</v>
      </c>
      <c r="U467" s="419">
        <v>15</v>
      </c>
      <c r="V467" s="419">
        <v>5</v>
      </c>
      <c r="W467" s="419">
        <v>0.7</v>
      </c>
      <c r="X467" s="419">
        <v>0.7</v>
      </c>
      <c r="Y467" s="419">
        <v>0.7</v>
      </c>
      <c r="Z467" s="422">
        <v>1700</v>
      </c>
      <c r="AA467" s="422" t="s">
        <v>533</v>
      </c>
      <c r="AB467" s="422">
        <v>0.85</v>
      </c>
      <c r="AC467" s="422" t="s">
        <v>534</v>
      </c>
      <c r="AD467" s="422" t="s">
        <v>535</v>
      </c>
      <c r="AE467" s="422">
        <v>220</v>
      </c>
      <c r="AF467" s="423"/>
      <c r="AG467" s="423"/>
    </row>
    <row r="468" spans="1:33" ht="15" customHeight="1">
      <c r="A468" s="418" t="s">
        <v>690</v>
      </c>
      <c r="B468" s="419" t="s">
        <v>540</v>
      </c>
      <c r="C468" s="419" t="s">
        <v>751</v>
      </c>
      <c r="D468" s="419" t="s">
        <v>531</v>
      </c>
      <c r="E468" s="419">
        <v>1.2</v>
      </c>
      <c r="F468" s="420">
        <v>45348.383333333331</v>
      </c>
      <c r="G468" s="419">
        <v>1</v>
      </c>
      <c r="H468" s="419">
        <v>51.374099999999999</v>
      </c>
      <c r="I468" s="419">
        <v>8.4803599999999992</v>
      </c>
      <c r="J468" s="419">
        <v>-17.427800000000001</v>
      </c>
      <c r="K468" s="419">
        <v>-16.578399999999998</v>
      </c>
      <c r="L468" s="419">
        <v>982.43299999999999</v>
      </c>
      <c r="M468" s="419">
        <v>110.4999</v>
      </c>
      <c r="N468" s="419">
        <v>14067.45</v>
      </c>
      <c r="O468" s="419">
        <v>14221.97</v>
      </c>
      <c r="P468" s="421">
        <v>2067.6869999999999</v>
      </c>
      <c r="Q468" s="396" t="s">
        <v>18</v>
      </c>
      <c r="R468" s="396" t="s">
        <v>18</v>
      </c>
      <c r="S468" s="396" t="s">
        <v>18</v>
      </c>
      <c r="T468" s="419" t="s">
        <v>542</v>
      </c>
      <c r="U468" s="419">
        <v>15</v>
      </c>
      <c r="V468" s="419">
        <v>5</v>
      </c>
      <c r="W468" s="419">
        <v>0.7</v>
      </c>
      <c r="X468" s="419">
        <v>0.7</v>
      </c>
      <c r="Y468" s="419">
        <v>0.7</v>
      </c>
      <c r="Z468" s="422">
        <v>1700</v>
      </c>
      <c r="AA468" s="422" t="s">
        <v>533</v>
      </c>
      <c r="AB468" s="422">
        <v>0.85</v>
      </c>
      <c r="AC468" s="422" t="s">
        <v>534</v>
      </c>
      <c r="AD468" s="422" t="s">
        <v>535</v>
      </c>
      <c r="AE468" s="422">
        <v>220</v>
      </c>
      <c r="AF468" s="423"/>
      <c r="AG468" s="423"/>
    </row>
    <row r="469" spans="1:33" ht="15" customHeight="1">
      <c r="A469" s="418" t="s">
        <v>692</v>
      </c>
      <c r="B469" s="419" t="s">
        <v>540</v>
      </c>
      <c r="C469" s="419" t="s">
        <v>751</v>
      </c>
      <c r="D469" s="419" t="s">
        <v>531</v>
      </c>
      <c r="E469" s="419">
        <v>1.2</v>
      </c>
      <c r="F469" s="420">
        <v>45348.386805555558</v>
      </c>
      <c r="G469" s="419">
        <v>1</v>
      </c>
      <c r="H469" s="419">
        <v>51.370800000000003</v>
      </c>
      <c r="I469" s="419">
        <v>8.0530600000000003</v>
      </c>
      <c r="J469" s="419">
        <v>-17.396699999999999</v>
      </c>
      <c r="K469" s="419">
        <v>-16.570900000000002</v>
      </c>
      <c r="L469" s="419">
        <v>963.84199999999998</v>
      </c>
      <c r="M469" s="419">
        <v>126.9988</v>
      </c>
      <c r="N469" s="419">
        <v>14225.25</v>
      </c>
      <c r="O469" s="419">
        <v>14221.97</v>
      </c>
      <c r="P469" s="421">
        <v>2067.6869999999999</v>
      </c>
      <c r="Q469" s="396" t="s">
        <v>18</v>
      </c>
      <c r="R469" s="396" t="s">
        <v>18</v>
      </c>
      <c r="S469" s="396" t="s">
        <v>18</v>
      </c>
      <c r="T469" s="419" t="s">
        <v>532</v>
      </c>
      <c r="U469" s="419">
        <v>15</v>
      </c>
      <c r="V469" s="419">
        <v>5</v>
      </c>
      <c r="W469" s="419">
        <v>0.7</v>
      </c>
      <c r="X469" s="419">
        <v>0.7</v>
      </c>
      <c r="Y469" s="419">
        <v>0.7</v>
      </c>
      <c r="Z469" s="422">
        <v>1700</v>
      </c>
      <c r="AA469" s="422" t="s">
        <v>533</v>
      </c>
      <c r="AB469" s="422">
        <v>0.85</v>
      </c>
      <c r="AC469" s="422" t="s">
        <v>534</v>
      </c>
      <c r="AD469" s="422" t="s">
        <v>535</v>
      </c>
      <c r="AE469" s="422">
        <v>220</v>
      </c>
      <c r="AF469" s="423"/>
      <c r="AG469" s="423"/>
    </row>
    <row r="470" spans="1:33" ht="15" customHeight="1">
      <c r="A470" s="418" t="s">
        <v>693</v>
      </c>
      <c r="B470" s="419" t="s">
        <v>540</v>
      </c>
      <c r="C470" s="419" t="s">
        <v>751</v>
      </c>
      <c r="D470" s="419" t="s">
        <v>531</v>
      </c>
      <c r="E470" s="419">
        <v>1.2</v>
      </c>
      <c r="F470" s="420">
        <v>45348.390277777777</v>
      </c>
      <c r="G470" s="419">
        <v>1</v>
      </c>
      <c r="H470" s="419">
        <v>51.370800000000003</v>
      </c>
      <c r="I470" s="419">
        <v>7.8289600000000004</v>
      </c>
      <c r="J470" s="419">
        <v>-17.583300000000001</v>
      </c>
      <c r="K470" s="419">
        <v>-16.764299999999999</v>
      </c>
      <c r="L470" s="419">
        <v>974.44399999999996</v>
      </c>
      <c r="M470" s="419">
        <v>120.5004</v>
      </c>
      <c r="N470" s="419">
        <v>14232.43</v>
      </c>
      <c r="O470" s="419">
        <v>14221.97</v>
      </c>
      <c r="P470" s="421">
        <v>2067.6869999999999</v>
      </c>
      <c r="Q470" s="396" t="s">
        <v>18</v>
      </c>
      <c r="R470" s="396" t="s">
        <v>18</v>
      </c>
      <c r="S470" s="396" t="s">
        <v>18</v>
      </c>
      <c r="T470" s="419" t="s">
        <v>532</v>
      </c>
      <c r="U470" s="419">
        <v>15</v>
      </c>
      <c r="V470" s="419">
        <v>5</v>
      </c>
      <c r="W470" s="419">
        <v>0.7</v>
      </c>
      <c r="X470" s="419">
        <v>0.7</v>
      </c>
      <c r="Y470" s="419">
        <v>0.7</v>
      </c>
      <c r="Z470" s="422">
        <v>1700</v>
      </c>
      <c r="AA470" s="422" t="s">
        <v>533</v>
      </c>
      <c r="AB470" s="422">
        <v>0.85</v>
      </c>
      <c r="AC470" s="422" t="s">
        <v>534</v>
      </c>
      <c r="AD470" s="422" t="s">
        <v>535</v>
      </c>
      <c r="AE470" s="422">
        <v>220</v>
      </c>
      <c r="AF470" s="423"/>
      <c r="AG470" s="423"/>
    </row>
    <row r="471" spans="1:33" ht="15" customHeight="1">
      <c r="A471" s="418" t="s">
        <v>694</v>
      </c>
      <c r="B471" s="419" t="s">
        <v>540</v>
      </c>
      <c r="C471" s="419" t="s">
        <v>751</v>
      </c>
      <c r="D471" s="419" t="s">
        <v>531</v>
      </c>
      <c r="E471" s="419">
        <v>1.2</v>
      </c>
      <c r="F471" s="420">
        <v>45348.393750000003</v>
      </c>
      <c r="G471" s="419">
        <v>1</v>
      </c>
      <c r="H471" s="419">
        <v>51.370800000000003</v>
      </c>
      <c r="I471" s="419">
        <v>7.6140299999999996</v>
      </c>
      <c r="J471" s="419">
        <v>-17.517199999999999</v>
      </c>
      <c r="K471" s="419">
        <v>-16.669</v>
      </c>
      <c r="L471" s="419">
        <v>979.64599999999996</v>
      </c>
      <c r="M471" s="419">
        <v>104.5008</v>
      </c>
      <c r="N471" s="419">
        <v>14192.64</v>
      </c>
      <c r="O471" s="419">
        <v>14221.97</v>
      </c>
      <c r="P471" s="421">
        <v>2067.6869999999999</v>
      </c>
      <c r="Q471" s="396" t="s">
        <v>18</v>
      </c>
      <c r="R471" s="396" t="s">
        <v>18</v>
      </c>
      <c r="S471" s="396" t="s">
        <v>18</v>
      </c>
      <c r="T471" s="419" t="s">
        <v>542</v>
      </c>
      <c r="U471" s="419">
        <v>15</v>
      </c>
      <c r="V471" s="419">
        <v>5</v>
      </c>
      <c r="W471" s="419">
        <v>0.7</v>
      </c>
      <c r="X471" s="419">
        <v>0.7</v>
      </c>
      <c r="Y471" s="419">
        <v>0.7</v>
      </c>
      <c r="Z471" s="422">
        <v>1700</v>
      </c>
      <c r="AA471" s="422" t="s">
        <v>533</v>
      </c>
      <c r="AB471" s="422">
        <v>0.85</v>
      </c>
      <c r="AC471" s="422" t="s">
        <v>534</v>
      </c>
      <c r="AD471" s="422" t="s">
        <v>535</v>
      </c>
      <c r="AE471" s="422">
        <v>220</v>
      </c>
      <c r="AF471" s="423"/>
      <c r="AG471" s="423"/>
    </row>
    <row r="472" spans="1:33" ht="15" customHeight="1">
      <c r="A472" s="418" t="s">
        <v>752</v>
      </c>
      <c r="B472" s="419" t="s">
        <v>540</v>
      </c>
      <c r="C472" s="419" t="s">
        <v>751</v>
      </c>
      <c r="D472" s="419" t="s">
        <v>531</v>
      </c>
      <c r="E472" s="419">
        <v>1.2</v>
      </c>
      <c r="F472" s="420">
        <v>45348.397222222222</v>
      </c>
      <c r="G472" s="419">
        <v>1</v>
      </c>
      <c r="H472" s="419">
        <v>51.370800000000003</v>
      </c>
      <c r="I472" s="419">
        <v>7.6151900000000001</v>
      </c>
      <c r="J472" s="419">
        <v>-17.630199999999999</v>
      </c>
      <c r="K472" s="419">
        <v>-16.800699999999999</v>
      </c>
      <c r="L472" s="419">
        <v>970.73699999999997</v>
      </c>
      <c r="M472" s="419">
        <v>110.99939999999999</v>
      </c>
      <c r="N472" s="419">
        <v>14208.22</v>
      </c>
      <c r="O472" s="419">
        <v>14221.97</v>
      </c>
      <c r="P472" s="421">
        <v>2067.6869999999999</v>
      </c>
      <c r="Q472" s="396" t="s">
        <v>18</v>
      </c>
      <c r="R472" s="396" t="s">
        <v>18</v>
      </c>
      <c r="S472" s="396" t="s">
        <v>18</v>
      </c>
      <c r="T472" s="419" t="s">
        <v>532</v>
      </c>
      <c r="U472" s="419">
        <v>15</v>
      </c>
      <c r="V472" s="419">
        <v>5</v>
      </c>
      <c r="W472" s="419">
        <v>0.7</v>
      </c>
      <c r="X472" s="419">
        <v>0.7</v>
      </c>
      <c r="Y472" s="419">
        <v>0.7</v>
      </c>
      <c r="Z472" s="422">
        <v>1700</v>
      </c>
      <c r="AA472" s="422" t="s">
        <v>533</v>
      </c>
      <c r="AB472" s="422">
        <v>0.85</v>
      </c>
      <c r="AC472" s="422" t="s">
        <v>534</v>
      </c>
      <c r="AD472" s="422" t="s">
        <v>535</v>
      </c>
      <c r="AE472" s="422">
        <v>220</v>
      </c>
      <c r="AF472" s="423"/>
      <c r="AG472" s="423"/>
    </row>
    <row r="473" spans="1:33" ht="15" customHeight="1">
      <c r="A473" s="418" t="s">
        <v>695</v>
      </c>
      <c r="B473" s="419" t="s">
        <v>547</v>
      </c>
      <c r="C473" s="419" t="s">
        <v>751</v>
      </c>
      <c r="D473" s="419" t="s">
        <v>531</v>
      </c>
      <c r="E473" s="419">
        <v>1.5</v>
      </c>
      <c r="F473" s="420">
        <v>45348.400694444441</v>
      </c>
      <c r="G473" s="419">
        <v>1</v>
      </c>
      <c r="H473" s="419">
        <v>51.370800000000003</v>
      </c>
      <c r="I473" s="419">
        <v>7.5890899999999997</v>
      </c>
      <c r="J473" s="419">
        <v>-17.645499999999998</v>
      </c>
      <c r="K473" s="419">
        <v>-16.803899999999999</v>
      </c>
      <c r="L473" s="419">
        <v>991.16399999999999</v>
      </c>
      <c r="M473" s="419">
        <v>129.00049999999999</v>
      </c>
      <c r="N473" s="419">
        <v>17796.07</v>
      </c>
      <c r="O473" s="419">
        <v>17814.16</v>
      </c>
      <c r="P473" s="421">
        <v>2067.6869999999999</v>
      </c>
      <c r="Q473" s="396" t="s">
        <v>18</v>
      </c>
      <c r="R473" s="396" t="s">
        <v>18</v>
      </c>
      <c r="S473" s="396" t="s">
        <v>18</v>
      </c>
      <c r="T473" s="419" t="s">
        <v>532</v>
      </c>
      <c r="U473" s="419">
        <v>15</v>
      </c>
      <c r="V473" s="419">
        <v>5</v>
      </c>
      <c r="W473" s="419">
        <v>0.7</v>
      </c>
      <c r="X473" s="419">
        <v>0.7</v>
      </c>
      <c r="Y473" s="419">
        <v>0.7</v>
      </c>
      <c r="Z473" s="422">
        <v>1700</v>
      </c>
      <c r="AA473" s="422" t="s">
        <v>533</v>
      </c>
      <c r="AB473" s="422">
        <v>0.85</v>
      </c>
      <c r="AC473" s="422" t="s">
        <v>534</v>
      </c>
      <c r="AD473" s="422" t="s">
        <v>535</v>
      </c>
      <c r="AE473" s="422">
        <v>220</v>
      </c>
      <c r="AF473" s="423"/>
      <c r="AG473" s="423"/>
    </row>
    <row r="474" spans="1:33" ht="15" customHeight="1">
      <c r="A474" s="418" t="s">
        <v>696</v>
      </c>
      <c r="B474" s="419" t="s">
        <v>547</v>
      </c>
      <c r="C474" s="419" t="s">
        <v>751</v>
      </c>
      <c r="D474" s="419" t="s">
        <v>531</v>
      </c>
      <c r="E474" s="419">
        <v>1.5</v>
      </c>
      <c r="F474" s="420">
        <v>45348.404166666667</v>
      </c>
      <c r="G474" s="419">
        <v>1</v>
      </c>
      <c r="H474" s="419">
        <v>51.374099999999999</v>
      </c>
      <c r="I474" s="419">
        <v>7.6547700000000001</v>
      </c>
      <c r="J474" s="419">
        <v>-17.579899999999999</v>
      </c>
      <c r="K474" s="419">
        <v>-16.7378</v>
      </c>
      <c r="L474" s="419">
        <v>997.08699999999999</v>
      </c>
      <c r="M474" s="419">
        <v>155.5</v>
      </c>
      <c r="N474" s="419">
        <v>17815.18</v>
      </c>
      <c r="O474" s="419">
        <v>17814.16</v>
      </c>
      <c r="P474" s="421">
        <v>2067.6869999999999</v>
      </c>
      <c r="Q474" s="396" t="s">
        <v>18</v>
      </c>
      <c r="R474" s="396" t="s">
        <v>18</v>
      </c>
      <c r="S474" s="396" t="s">
        <v>18</v>
      </c>
      <c r="T474" s="419" t="s">
        <v>532</v>
      </c>
      <c r="U474" s="419">
        <v>15</v>
      </c>
      <c r="V474" s="419">
        <v>5</v>
      </c>
      <c r="W474" s="419">
        <v>0.7</v>
      </c>
      <c r="X474" s="419">
        <v>0.7</v>
      </c>
      <c r="Y474" s="419">
        <v>0.7</v>
      </c>
      <c r="Z474" s="422">
        <v>1700</v>
      </c>
      <c r="AA474" s="422" t="s">
        <v>533</v>
      </c>
      <c r="AB474" s="422">
        <v>0.85</v>
      </c>
      <c r="AC474" s="422" t="s">
        <v>534</v>
      </c>
      <c r="AD474" s="422" t="s">
        <v>535</v>
      </c>
      <c r="AE474" s="422">
        <v>220</v>
      </c>
      <c r="AF474" s="423"/>
      <c r="AG474" s="423"/>
    </row>
    <row r="475" spans="1:33" ht="15" customHeight="1">
      <c r="A475" s="418" t="s">
        <v>697</v>
      </c>
      <c r="B475" s="419" t="s">
        <v>547</v>
      </c>
      <c r="C475" s="419" t="s">
        <v>751</v>
      </c>
      <c r="D475" s="419" t="s">
        <v>531</v>
      </c>
      <c r="E475" s="419">
        <v>1.5</v>
      </c>
      <c r="F475" s="420">
        <v>45348.408333333333</v>
      </c>
      <c r="G475" s="419">
        <v>1</v>
      </c>
      <c r="H475" s="419">
        <v>51.370800000000003</v>
      </c>
      <c r="I475" s="419">
        <v>7.5731200000000003</v>
      </c>
      <c r="J475" s="419">
        <v>-17.658799999999999</v>
      </c>
      <c r="K475" s="419">
        <v>-16.826799999999999</v>
      </c>
      <c r="L475" s="419">
        <v>999.98699999999997</v>
      </c>
      <c r="M475" s="419">
        <v>127.99890000000001</v>
      </c>
      <c r="N475" s="419">
        <v>17831.240000000002</v>
      </c>
      <c r="O475" s="419">
        <v>17814.16</v>
      </c>
      <c r="P475" s="421">
        <v>2067.6869999999999</v>
      </c>
      <c r="Q475" s="396" t="s">
        <v>18</v>
      </c>
      <c r="R475" s="396" t="s">
        <v>18</v>
      </c>
      <c r="S475" s="396" t="s">
        <v>18</v>
      </c>
      <c r="T475" s="419" t="s">
        <v>532</v>
      </c>
      <c r="U475" s="419">
        <v>15</v>
      </c>
      <c r="V475" s="419">
        <v>5</v>
      </c>
      <c r="W475" s="419">
        <v>0.7</v>
      </c>
      <c r="X475" s="419">
        <v>0.7</v>
      </c>
      <c r="Y475" s="419">
        <v>0.7</v>
      </c>
      <c r="Z475" s="422">
        <v>1700</v>
      </c>
      <c r="AA475" s="422" t="s">
        <v>533</v>
      </c>
      <c r="AB475" s="422">
        <v>0.85</v>
      </c>
      <c r="AC475" s="422" t="s">
        <v>534</v>
      </c>
      <c r="AD475" s="422" t="s">
        <v>535</v>
      </c>
      <c r="AE475" s="422">
        <v>220</v>
      </c>
      <c r="AF475" s="423"/>
      <c r="AG475" s="423"/>
    </row>
    <row r="476" spans="1:33" ht="15" customHeight="1">
      <c r="A476" s="418" t="s">
        <v>700</v>
      </c>
      <c r="B476" s="419" t="s">
        <v>552</v>
      </c>
      <c r="C476" s="419" t="s">
        <v>751</v>
      </c>
      <c r="D476" s="419" t="s">
        <v>531</v>
      </c>
      <c r="E476" s="419">
        <v>1.8</v>
      </c>
      <c r="F476" s="420">
        <v>45348.411805555559</v>
      </c>
      <c r="G476" s="419">
        <v>1</v>
      </c>
      <c r="H476" s="419">
        <v>51.374099999999999</v>
      </c>
      <c r="I476" s="419">
        <v>7.5958800000000002</v>
      </c>
      <c r="J476" s="419">
        <v>-17.665800000000001</v>
      </c>
      <c r="K476" s="419">
        <v>-16.823899999999998</v>
      </c>
      <c r="L476" s="419">
        <v>1004.85</v>
      </c>
      <c r="M476" s="419">
        <v>197.50059999999999</v>
      </c>
      <c r="N476" s="419">
        <v>21377.94</v>
      </c>
      <c r="O476" s="419">
        <v>21389.73</v>
      </c>
      <c r="P476" s="421">
        <v>2067.6869999999999</v>
      </c>
      <c r="Q476" s="396" t="s">
        <v>18</v>
      </c>
      <c r="R476" s="396" t="s">
        <v>18</v>
      </c>
      <c r="S476" s="396" t="s">
        <v>18</v>
      </c>
      <c r="T476" s="419" t="s">
        <v>532</v>
      </c>
      <c r="U476" s="419">
        <v>15</v>
      </c>
      <c r="V476" s="419">
        <v>5</v>
      </c>
      <c r="W476" s="419">
        <v>0.7</v>
      </c>
      <c r="X476" s="419">
        <v>0.7</v>
      </c>
      <c r="Y476" s="419">
        <v>0.7</v>
      </c>
      <c r="Z476" s="422">
        <v>1700</v>
      </c>
      <c r="AA476" s="422" t="s">
        <v>533</v>
      </c>
      <c r="AB476" s="422">
        <v>0.85</v>
      </c>
      <c r="AC476" s="422" t="s">
        <v>534</v>
      </c>
      <c r="AD476" s="422" t="s">
        <v>535</v>
      </c>
      <c r="AE476" s="422">
        <v>220</v>
      </c>
      <c r="AF476" s="423"/>
      <c r="AG476" s="423"/>
    </row>
    <row r="477" spans="1:33" ht="15" customHeight="1">
      <c r="A477" s="418" t="s">
        <v>701</v>
      </c>
      <c r="B477" s="419" t="s">
        <v>552</v>
      </c>
      <c r="C477" s="419" t="s">
        <v>751</v>
      </c>
      <c r="D477" s="419" t="s">
        <v>531</v>
      </c>
      <c r="E477" s="419">
        <v>1.8</v>
      </c>
      <c r="F477" s="420">
        <v>45348.415972222225</v>
      </c>
      <c r="G477" s="419">
        <v>1</v>
      </c>
      <c r="H477" s="419">
        <v>51.3675</v>
      </c>
      <c r="I477" s="419">
        <v>7.5783800000000001</v>
      </c>
      <c r="J477" s="419">
        <v>-17.596900000000002</v>
      </c>
      <c r="K477" s="419">
        <v>-16.762599999999999</v>
      </c>
      <c r="L477" s="419">
        <v>1014.16</v>
      </c>
      <c r="M477" s="419">
        <v>136.99979999999999</v>
      </c>
      <c r="N477" s="419">
        <v>21343.73</v>
      </c>
      <c r="O477" s="419">
        <v>21389.73</v>
      </c>
      <c r="P477" s="421">
        <v>2067.6869999999999</v>
      </c>
      <c r="Q477" s="396" t="s">
        <v>18</v>
      </c>
      <c r="R477" s="396" t="s">
        <v>18</v>
      </c>
      <c r="S477" s="396" t="s">
        <v>18</v>
      </c>
      <c r="T477" s="419" t="s">
        <v>542</v>
      </c>
      <c r="U477" s="419">
        <v>15</v>
      </c>
      <c r="V477" s="419">
        <v>5</v>
      </c>
      <c r="W477" s="419">
        <v>0.7</v>
      </c>
      <c r="X477" s="419">
        <v>0.7</v>
      </c>
      <c r="Y477" s="419">
        <v>0.7</v>
      </c>
      <c r="Z477" s="422">
        <v>1700</v>
      </c>
      <c r="AA477" s="422" t="s">
        <v>533</v>
      </c>
      <c r="AB477" s="422">
        <v>0.85</v>
      </c>
      <c r="AC477" s="422" t="s">
        <v>534</v>
      </c>
      <c r="AD477" s="422" t="s">
        <v>535</v>
      </c>
      <c r="AE477" s="422">
        <v>220</v>
      </c>
      <c r="AF477" s="423"/>
      <c r="AG477" s="423"/>
    </row>
    <row r="478" spans="1:33" ht="15" customHeight="1">
      <c r="A478" s="418" t="s">
        <v>702</v>
      </c>
      <c r="B478" s="419" t="s">
        <v>552</v>
      </c>
      <c r="C478" s="419" t="s">
        <v>751</v>
      </c>
      <c r="D478" s="419" t="s">
        <v>531</v>
      </c>
      <c r="E478" s="419">
        <v>1.8</v>
      </c>
      <c r="F478" s="420">
        <v>45348.420138888891</v>
      </c>
      <c r="G478" s="419">
        <v>1</v>
      </c>
      <c r="H478" s="419">
        <v>51.370800000000003</v>
      </c>
      <c r="I478" s="419">
        <v>7.5943800000000001</v>
      </c>
      <c r="J478" s="419">
        <v>-17.605399999999999</v>
      </c>
      <c r="K478" s="419">
        <v>-16.7638</v>
      </c>
      <c r="L478" s="419">
        <v>998.46699999999998</v>
      </c>
      <c r="M478" s="419">
        <v>158.0025</v>
      </c>
      <c r="N478" s="419">
        <v>21391.08</v>
      </c>
      <c r="O478" s="419">
        <v>21389.73</v>
      </c>
      <c r="P478" s="421">
        <v>2067.6869999999999</v>
      </c>
      <c r="Q478" s="396" t="s">
        <v>18</v>
      </c>
      <c r="R478" s="396" t="s">
        <v>18</v>
      </c>
      <c r="S478" s="396" t="s">
        <v>18</v>
      </c>
      <c r="T478" s="419" t="s">
        <v>532</v>
      </c>
      <c r="U478" s="419">
        <v>15</v>
      </c>
      <c r="V478" s="419">
        <v>5</v>
      </c>
      <c r="W478" s="419">
        <v>0.7</v>
      </c>
      <c r="X478" s="419">
        <v>0.7</v>
      </c>
      <c r="Y478" s="419">
        <v>0.7</v>
      </c>
      <c r="Z478" s="422">
        <v>1700</v>
      </c>
      <c r="AA478" s="422" t="s">
        <v>533</v>
      </c>
      <c r="AB478" s="422">
        <v>0.85</v>
      </c>
      <c r="AC478" s="422" t="s">
        <v>534</v>
      </c>
      <c r="AD478" s="422" t="s">
        <v>535</v>
      </c>
      <c r="AE478" s="422">
        <v>220</v>
      </c>
      <c r="AF478" s="423"/>
      <c r="AG478" s="423"/>
    </row>
    <row r="479" spans="1:33" ht="15" customHeight="1">
      <c r="A479" s="418" t="s">
        <v>753</v>
      </c>
      <c r="B479" s="419" t="s">
        <v>552</v>
      </c>
      <c r="C479" s="419" t="s">
        <v>751</v>
      </c>
      <c r="D479" s="419" t="s">
        <v>531</v>
      </c>
      <c r="E479" s="419">
        <v>1.8</v>
      </c>
      <c r="F479" s="420">
        <v>45348.424305555556</v>
      </c>
      <c r="G479" s="419">
        <v>1</v>
      </c>
      <c r="H479" s="419">
        <v>51.374099999999999</v>
      </c>
      <c r="I479" s="419">
        <v>7.5877800000000004</v>
      </c>
      <c r="J479" s="419">
        <v>-17.658999999999999</v>
      </c>
      <c r="K479" s="419">
        <v>-16.817299999999999</v>
      </c>
      <c r="L479" s="419">
        <v>1002.33</v>
      </c>
      <c r="M479" s="419">
        <v>163.4984</v>
      </c>
      <c r="N479" s="419">
        <v>21400.17</v>
      </c>
      <c r="O479" s="419">
        <v>21389.73</v>
      </c>
      <c r="P479" s="421">
        <v>2067.6869999999999</v>
      </c>
      <c r="Q479" s="396" t="s">
        <v>18</v>
      </c>
      <c r="R479" s="396" t="s">
        <v>18</v>
      </c>
      <c r="S479" s="396" t="s">
        <v>18</v>
      </c>
      <c r="T479" s="419" t="s">
        <v>532</v>
      </c>
      <c r="U479" s="419">
        <v>15</v>
      </c>
      <c r="V479" s="419">
        <v>5</v>
      </c>
      <c r="W479" s="419">
        <v>0.7</v>
      </c>
      <c r="X479" s="419">
        <v>0.7</v>
      </c>
      <c r="Y479" s="419">
        <v>0.7</v>
      </c>
      <c r="Z479" s="422">
        <v>1700</v>
      </c>
      <c r="AA479" s="422" t="s">
        <v>533</v>
      </c>
      <c r="AB479" s="422">
        <v>0.85</v>
      </c>
      <c r="AC479" s="422" t="s">
        <v>534</v>
      </c>
      <c r="AD479" s="422" t="s">
        <v>535</v>
      </c>
      <c r="AE479" s="422">
        <v>220</v>
      </c>
      <c r="AF479" s="423"/>
      <c r="AG479" s="423"/>
    </row>
    <row r="480" spans="1:33" ht="15" customHeight="1">
      <c r="A480" s="418" t="s">
        <v>564</v>
      </c>
      <c r="B480" s="419">
        <v>2</v>
      </c>
      <c r="C480" s="419" t="s">
        <v>751</v>
      </c>
      <c r="D480" s="419" t="s">
        <v>531</v>
      </c>
      <c r="E480" s="419">
        <v>1.5</v>
      </c>
      <c r="F480" s="420">
        <v>45348.428472222222</v>
      </c>
      <c r="G480" s="419">
        <v>1</v>
      </c>
      <c r="H480" s="419">
        <v>51.374099999999999</v>
      </c>
      <c r="I480" s="419">
        <v>7.5403200000000004</v>
      </c>
      <c r="J480" s="419">
        <v>-17.625</v>
      </c>
      <c r="K480" s="419">
        <v>-16.7761</v>
      </c>
      <c r="L480" s="419">
        <v>996.02099999999996</v>
      </c>
      <c r="M480" s="419">
        <v>138.50149999999999</v>
      </c>
      <c r="N480" s="419">
        <v>17811.64</v>
      </c>
      <c r="O480" s="419">
        <v>17806.37</v>
      </c>
      <c r="P480" s="421">
        <v>2066.7910000000002</v>
      </c>
      <c r="Q480" s="396" t="s">
        <v>18</v>
      </c>
      <c r="R480" s="421">
        <f t="shared" ref="R480:R481" si="41">2067.13-P480</f>
        <v>0.33899999999994179</v>
      </c>
      <c r="S480" s="396">
        <f t="shared" ref="S480:S515" si="42">P480+R480</f>
        <v>2067.13</v>
      </c>
      <c r="T480" s="419" t="s">
        <v>532</v>
      </c>
      <c r="U480" s="419">
        <v>15</v>
      </c>
      <c r="V480" s="419">
        <v>5</v>
      </c>
      <c r="W480" s="419">
        <v>0.7</v>
      </c>
      <c r="X480" s="419">
        <v>0.7</v>
      </c>
      <c r="Y480" s="419">
        <v>0.7</v>
      </c>
      <c r="Z480" s="422">
        <v>1700</v>
      </c>
      <c r="AA480" s="422" t="s">
        <v>533</v>
      </c>
      <c r="AB480" s="422">
        <v>0.85</v>
      </c>
      <c r="AC480" s="422" t="s">
        <v>534</v>
      </c>
      <c r="AD480" s="422" t="s">
        <v>535</v>
      </c>
      <c r="AE480" s="422">
        <v>220</v>
      </c>
      <c r="AF480" s="423"/>
      <c r="AG480" s="424"/>
    </row>
    <row r="481" spans="1:33" ht="15" customHeight="1">
      <c r="A481" s="418" t="s">
        <v>566</v>
      </c>
      <c r="B481" s="419">
        <v>2</v>
      </c>
      <c r="C481" s="419" t="s">
        <v>751</v>
      </c>
      <c r="D481" s="419" t="s">
        <v>531</v>
      </c>
      <c r="E481" s="419">
        <v>1.5</v>
      </c>
      <c r="F481" s="420">
        <v>45348.431944444441</v>
      </c>
      <c r="G481" s="419">
        <v>1</v>
      </c>
      <c r="H481" s="419">
        <v>51.3675</v>
      </c>
      <c r="I481" s="419">
        <v>7.5973100000000002</v>
      </c>
      <c r="J481" s="419">
        <v>-17.575399999999998</v>
      </c>
      <c r="K481" s="419">
        <v>-16.726600000000001</v>
      </c>
      <c r="L481" s="419">
        <v>983.96299999999997</v>
      </c>
      <c r="M481" s="419">
        <v>130.49979999999999</v>
      </c>
      <c r="N481" s="419">
        <v>17808.52</v>
      </c>
      <c r="O481" s="419">
        <v>17806.37</v>
      </c>
      <c r="P481" s="421">
        <v>2066.7910000000002</v>
      </c>
      <c r="Q481" s="396" t="s">
        <v>18</v>
      </c>
      <c r="R481" s="421">
        <f t="shared" si="41"/>
        <v>0.33899999999994179</v>
      </c>
      <c r="S481" s="396">
        <f t="shared" si="42"/>
        <v>2067.13</v>
      </c>
      <c r="T481" s="419" t="s">
        <v>532</v>
      </c>
      <c r="U481" s="419">
        <v>15</v>
      </c>
      <c r="V481" s="419">
        <v>5</v>
      </c>
      <c r="W481" s="419">
        <v>0.7</v>
      </c>
      <c r="X481" s="419">
        <v>0.7</v>
      </c>
      <c r="Y481" s="419">
        <v>0.7</v>
      </c>
      <c r="Z481" s="422">
        <v>1700</v>
      </c>
      <c r="AA481" s="422" t="s">
        <v>533</v>
      </c>
      <c r="AB481" s="422">
        <v>0.85</v>
      </c>
      <c r="AC481" s="422" t="s">
        <v>534</v>
      </c>
      <c r="AD481" s="422" t="s">
        <v>535</v>
      </c>
      <c r="AE481" s="422">
        <v>220</v>
      </c>
      <c r="AF481" s="423"/>
      <c r="AG481" s="424"/>
    </row>
    <row r="482" spans="1:33" ht="15" customHeight="1">
      <c r="A482" s="418" t="s">
        <v>567</v>
      </c>
      <c r="B482" s="419">
        <v>2</v>
      </c>
      <c r="C482" s="419" t="s">
        <v>751</v>
      </c>
      <c r="D482" s="419" t="s">
        <v>531</v>
      </c>
      <c r="E482" s="419">
        <v>1.5</v>
      </c>
      <c r="F482" s="420">
        <v>45348.435416666667</v>
      </c>
      <c r="G482" s="419">
        <v>1</v>
      </c>
      <c r="H482" s="419">
        <v>51.380699999999997</v>
      </c>
      <c r="I482" s="419">
        <v>7.6341200000000002</v>
      </c>
      <c r="J482" s="419">
        <v>-17.642099999999999</v>
      </c>
      <c r="K482" s="419">
        <v>-16.799700000000001</v>
      </c>
      <c r="L482" s="419">
        <v>1001.1</v>
      </c>
      <c r="M482" s="419">
        <v>121.499</v>
      </c>
      <c r="N482" s="419">
        <v>17798.95</v>
      </c>
      <c r="O482" s="419">
        <v>17806.37</v>
      </c>
      <c r="P482" s="421">
        <v>2066.7910000000002</v>
      </c>
      <c r="Q482" s="396" t="s">
        <v>18</v>
      </c>
      <c r="R482" s="421">
        <f t="shared" ref="R482:R512" si="43">((B482-B$482)/(B$512-B$482))*R$513+((1-((B482-B$482)/(B$512-B$482)))*R$481)</f>
        <v>0.33899999999994179</v>
      </c>
      <c r="S482" s="396">
        <f t="shared" si="42"/>
        <v>2067.13</v>
      </c>
      <c r="T482" s="419" t="s">
        <v>532</v>
      </c>
      <c r="U482" s="419">
        <v>15</v>
      </c>
      <c r="V482" s="419">
        <v>5</v>
      </c>
      <c r="W482" s="419">
        <v>0.7</v>
      </c>
      <c r="X482" s="419">
        <v>0.7</v>
      </c>
      <c r="Y482" s="419">
        <v>0.7</v>
      </c>
      <c r="Z482" s="422">
        <v>1700</v>
      </c>
      <c r="AA482" s="422" t="s">
        <v>533</v>
      </c>
      <c r="AB482" s="422">
        <v>0.85</v>
      </c>
      <c r="AC482" s="422" t="s">
        <v>534</v>
      </c>
      <c r="AD482" s="422" t="s">
        <v>535</v>
      </c>
      <c r="AE482" s="422">
        <v>220</v>
      </c>
      <c r="AF482" s="423"/>
      <c r="AG482" s="424"/>
    </row>
    <row r="483" spans="1:33" ht="15" customHeight="1">
      <c r="A483" s="418" t="s">
        <v>568</v>
      </c>
      <c r="B483" s="419">
        <v>3</v>
      </c>
      <c r="C483" s="419">
        <v>521</v>
      </c>
      <c r="D483" s="419" t="s">
        <v>561</v>
      </c>
      <c r="E483" s="419">
        <v>1.5</v>
      </c>
      <c r="F483" s="420">
        <v>45348.439583333333</v>
      </c>
      <c r="G483" s="419">
        <v>1</v>
      </c>
      <c r="H483" s="419">
        <v>51.370800000000003</v>
      </c>
      <c r="I483" s="419">
        <v>7.5303399999999998</v>
      </c>
      <c r="J483" s="419">
        <v>-17.713200000000001</v>
      </c>
      <c r="K483" s="419">
        <v>-16.875399999999999</v>
      </c>
      <c r="L483" s="419">
        <v>983.41899999999998</v>
      </c>
      <c r="M483" s="419">
        <v>136.4999</v>
      </c>
      <c r="N483" s="419">
        <v>17741.849999999999</v>
      </c>
      <c r="O483" s="419">
        <v>17743.22</v>
      </c>
      <c r="P483" s="421">
        <v>2059.52</v>
      </c>
      <c r="Q483" s="396" t="s">
        <v>18</v>
      </c>
      <c r="R483" s="421">
        <f t="shared" si="43"/>
        <v>1.0153333333332739</v>
      </c>
      <c r="S483" s="396">
        <f t="shared" si="42"/>
        <v>2060.5353333333333</v>
      </c>
      <c r="T483" s="419" t="s">
        <v>532</v>
      </c>
      <c r="U483" s="419">
        <v>15</v>
      </c>
      <c r="V483" s="419">
        <v>5</v>
      </c>
      <c r="W483" s="419">
        <v>0.7</v>
      </c>
      <c r="X483" s="419">
        <v>0.7</v>
      </c>
      <c r="Y483" s="419">
        <v>0.7</v>
      </c>
      <c r="Z483" s="422">
        <v>1700</v>
      </c>
      <c r="AA483" s="422" t="s">
        <v>533</v>
      </c>
      <c r="AB483" s="422">
        <v>0.85</v>
      </c>
      <c r="AC483" s="422" t="s">
        <v>534</v>
      </c>
      <c r="AD483" s="422" t="s">
        <v>535</v>
      </c>
      <c r="AE483" s="422">
        <v>220</v>
      </c>
      <c r="AF483" s="423"/>
      <c r="AG483" s="423"/>
    </row>
    <row r="484" spans="1:33" ht="15" customHeight="1">
      <c r="A484" s="418" t="s">
        <v>570</v>
      </c>
      <c r="B484" s="419">
        <v>3</v>
      </c>
      <c r="C484" s="419">
        <v>521</v>
      </c>
      <c r="D484" s="419" t="s">
        <v>561</v>
      </c>
      <c r="E484" s="419">
        <v>1.5</v>
      </c>
      <c r="F484" s="420">
        <v>45348.443055555559</v>
      </c>
      <c r="G484" s="419">
        <v>1</v>
      </c>
      <c r="H484" s="419">
        <v>51.364100000000001</v>
      </c>
      <c r="I484" s="419">
        <v>7.5316999999999998</v>
      </c>
      <c r="J484" s="419">
        <v>-17.702500000000001</v>
      </c>
      <c r="K484" s="419">
        <v>-16.8599</v>
      </c>
      <c r="L484" s="419">
        <v>981.13400000000001</v>
      </c>
      <c r="M484" s="419">
        <v>125.0017</v>
      </c>
      <c r="N484" s="419">
        <v>17734.46</v>
      </c>
      <c r="O484" s="419">
        <v>17743.22</v>
      </c>
      <c r="P484" s="421">
        <v>2059.52</v>
      </c>
      <c r="Q484" s="396" t="s">
        <v>18</v>
      </c>
      <c r="R484" s="421">
        <f t="shared" si="43"/>
        <v>1.0153333333332739</v>
      </c>
      <c r="S484" s="396">
        <f t="shared" si="42"/>
        <v>2060.5353333333333</v>
      </c>
      <c r="T484" s="419" t="s">
        <v>532</v>
      </c>
      <c r="U484" s="419">
        <v>15</v>
      </c>
      <c r="V484" s="419">
        <v>5</v>
      </c>
      <c r="W484" s="419">
        <v>0.7</v>
      </c>
      <c r="X484" s="419">
        <v>0.7</v>
      </c>
      <c r="Y484" s="419">
        <v>0.7</v>
      </c>
      <c r="Z484" s="422">
        <v>1700</v>
      </c>
      <c r="AA484" s="422" t="s">
        <v>533</v>
      </c>
      <c r="AB484" s="422">
        <v>0.85</v>
      </c>
      <c r="AC484" s="422" t="s">
        <v>534</v>
      </c>
      <c r="AD484" s="422" t="s">
        <v>535</v>
      </c>
      <c r="AE484" s="422">
        <v>220</v>
      </c>
      <c r="AF484" s="423"/>
      <c r="AG484" s="423"/>
    </row>
    <row r="485" spans="1:33" ht="15" customHeight="1">
      <c r="A485" s="418" t="s">
        <v>571</v>
      </c>
      <c r="B485" s="419">
        <v>3</v>
      </c>
      <c r="C485" s="419">
        <v>521</v>
      </c>
      <c r="D485" s="419" t="s">
        <v>561</v>
      </c>
      <c r="E485" s="419">
        <v>1.5</v>
      </c>
      <c r="F485" s="420">
        <v>45348.447222222225</v>
      </c>
      <c r="G485" s="419">
        <v>1</v>
      </c>
      <c r="H485" s="419">
        <v>51.370800000000003</v>
      </c>
      <c r="I485" s="419">
        <v>7.5409499999999996</v>
      </c>
      <c r="J485" s="419">
        <v>-17.692499999999999</v>
      </c>
      <c r="K485" s="419">
        <v>-16.8642</v>
      </c>
      <c r="L485" s="419">
        <v>991.23099999999999</v>
      </c>
      <c r="M485" s="419">
        <v>137.4999</v>
      </c>
      <c r="N485" s="419">
        <v>17753.34</v>
      </c>
      <c r="O485" s="419">
        <v>17743.22</v>
      </c>
      <c r="P485" s="421">
        <v>2059.52</v>
      </c>
      <c r="Q485" s="396" t="s">
        <v>18</v>
      </c>
      <c r="R485" s="421">
        <f t="shared" si="43"/>
        <v>1.0153333333332739</v>
      </c>
      <c r="S485" s="396">
        <f t="shared" si="42"/>
        <v>2060.5353333333333</v>
      </c>
      <c r="T485" s="419" t="s">
        <v>532</v>
      </c>
      <c r="U485" s="419">
        <v>15</v>
      </c>
      <c r="V485" s="419">
        <v>5</v>
      </c>
      <c r="W485" s="419">
        <v>0.7</v>
      </c>
      <c r="X485" s="419">
        <v>0.7</v>
      </c>
      <c r="Y485" s="419">
        <v>0.7</v>
      </c>
      <c r="Z485" s="422">
        <v>1700</v>
      </c>
      <c r="AA485" s="422" t="s">
        <v>533</v>
      </c>
      <c r="AB485" s="422">
        <v>0.85</v>
      </c>
      <c r="AC485" s="422" t="s">
        <v>534</v>
      </c>
      <c r="AD485" s="422" t="s">
        <v>535</v>
      </c>
      <c r="AE485" s="422">
        <v>220</v>
      </c>
      <c r="AF485" s="423"/>
      <c r="AG485" s="423"/>
    </row>
    <row r="486" spans="1:33" ht="15" customHeight="1">
      <c r="A486" s="418" t="s">
        <v>574</v>
      </c>
      <c r="B486" s="419">
        <v>4</v>
      </c>
      <c r="C486" s="419">
        <v>522</v>
      </c>
      <c r="D486" s="419" t="s">
        <v>565</v>
      </c>
      <c r="E486" s="419">
        <v>1.5</v>
      </c>
      <c r="F486" s="420">
        <v>45348.451388888891</v>
      </c>
      <c r="G486" s="419">
        <v>1</v>
      </c>
      <c r="H486" s="419">
        <v>51.370800000000003</v>
      </c>
      <c r="I486" s="419">
        <v>7.5216500000000002</v>
      </c>
      <c r="J486" s="419">
        <v>-17.777200000000001</v>
      </c>
      <c r="K486" s="419">
        <v>-16.930099999999999</v>
      </c>
      <c r="L486" s="419">
        <v>977.48800000000006</v>
      </c>
      <c r="M486" s="419">
        <v>132.0009</v>
      </c>
      <c r="N486" s="419">
        <v>17690.13</v>
      </c>
      <c r="O486" s="419">
        <v>17693.02</v>
      </c>
      <c r="P486" s="421">
        <v>2053.7420000000002</v>
      </c>
      <c r="Q486" s="396" t="s">
        <v>18</v>
      </c>
      <c r="R486" s="421">
        <f t="shared" si="43"/>
        <v>1.691666666666606</v>
      </c>
      <c r="S486" s="396">
        <f t="shared" si="42"/>
        <v>2055.4336666666668</v>
      </c>
      <c r="T486" s="419" t="s">
        <v>532</v>
      </c>
      <c r="U486" s="419">
        <v>15</v>
      </c>
      <c r="V486" s="419">
        <v>5</v>
      </c>
      <c r="W486" s="419">
        <v>0.7</v>
      </c>
      <c r="X486" s="419">
        <v>0.7</v>
      </c>
      <c r="Y486" s="419">
        <v>0.7</v>
      </c>
      <c r="Z486" s="422">
        <v>1700</v>
      </c>
      <c r="AA486" s="422" t="s">
        <v>533</v>
      </c>
      <c r="AB486" s="422">
        <v>0.85</v>
      </c>
      <c r="AC486" s="422" t="s">
        <v>534</v>
      </c>
      <c r="AD486" s="422" t="s">
        <v>535</v>
      </c>
      <c r="AE486" s="422">
        <v>220</v>
      </c>
      <c r="AF486" s="423"/>
      <c r="AG486" s="423"/>
    </row>
    <row r="487" spans="1:33" ht="15" customHeight="1">
      <c r="A487" s="418" t="s">
        <v>576</v>
      </c>
      <c r="B487" s="419">
        <v>4</v>
      </c>
      <c r="C487" s="419">
        <v>522</v>
      </c>
      <c r="D487" s="419" t="s">
        <v>565</v>
      </c>
      <c r="E487" s="419">
        <v>1.5</v>
      </c>
      <c r="F487" s="420">
        <v>45348.454861111109</v>
      </c>
      <c r="G487" s="419">
        <v>1</v>
      </c>
      <c r="H487" s="419">
        <v>51.374099999999999</v>
      </c>
      <c r="I487" s="419">
        <v>7.5026900000000003</v>
      </c>
      <c r="J487" s="419">
        <v>-17.564800000000002</v>
      </c>
      <c r="K487" s="419">
        <v>-16.715499999999999</v>
      </c>
      <c r="L487" s="419">
        <v>978.98599999999999</v>
      </c>
      <c r="M487" s="419">
        <v>121.9992</v>
      </c>
      <c r="N487" s="419">
        <v>17705.099999999999</v>
      </c>
      <c r="O487" s="419">
        <v>17693.02</v>
      </c>
      <c r="P487" s="421">
        <v>2053.7420000000002</v>
      </c>
      <c r="Q487" s="396" t="s">
        <v>18</v>
      </c>
      <c r="R487" s="421">
        <f t="shared" si="43"/>
        <v>1.691666666666606</v>
      </c>
      <c r="S487" s="396">
        <f t="shared" si="42"/>
        <v>2055.4336666666668</v>
      </c>
      <c r="T487" s="419" t="s">
        <v>532</v>
      </c>
      <c r="U487" s="419">
        <v>15</v>
      </c>
      <c r="V487" s="419">
        <v>5</v>
      </c>
      <c r="W487" s="419">
        <v>0.7</v>
      </c>
      <c r="X487" s="419">
        <v>0.7</v>
      </c>
      <c r="Y487" s="419">
        <v>0.7</v>
      </c>
      <c r="Z487" s="422">
        <v>1700</v>
      </c>
      <c r="AA487" s="422" t="s">
        <v>533</v>
      </c>
      <c r="AB487" s="422">
        <v>0.85</v>
      </c>
      <c r="AC487" s="422" t="s">
        <v>534</v>
      </c>
      <c r="AD487" s="422" t="s">
        <v>535</v>
      </c>
      <c r="AE487" s="422">
        <v>220</v>
      </c>
      <c r="AF487" s="423"/>
      <c r="AG487" s="423"/>
    </row>
    <row r="488" spans="1:33" ht="15" customHeight="1">
      <c r="A488" s="418" t="s">
        <v>577</v>
      </c>
      <c r="B488" s="419">
        <v>4</v>
      </c>
      <c r="C488" s="419">
        <v>522</v>
      </c>
      <c r="D488" s="419" t="s">
        <v>565</v>
      </c>
      <c r="E488" s="419">
        <v>1.5</v>
      </c>
      <c r="F488" s="420">
        <v>45348.458333333336</v>
      </c>
      <c r="G488" s="419">
        <v>1</v>
      </c>
      <c r="H488" s="419">
        <v>51.374099999999999</v>
      </c>
      <c r="I488" s="419">
        <v>7.5430900000000003</v>
      </c>
      <c r="J488" s="419">
        <v>-17.752400000000002</v>
      </c>
      <c r="K488" s="419">
        <v>-16.909400000000002</v>
      </c>
      <c r="L488" s="419">
        <v>978.83799999999997</v>
      </c>
      <c r="M488" s="419">
        <v>157.00110000000001</v>
      </c>
      <c r="N488" s="419">
        <v>17683.84</v>
      </c>
      <c r="O488" s="419">
        <v>17693.02</v>
      </c>
      <c r="P488" s="421">
        <v>2053.7420000000002</v>
      </c>
      <c r="Q488" s="396" t="s">
        <v>18</v>
      </c>
      <c r="R488" s="421">
        <f t="shared" si="43"/>
        <v>1.691666666666606</v>
      </c>
      <c r="S488" s="396">
        <f t="shared" si="42"/>
        <v>2055.4336666666668</v>
      </c>
      <c r="T488" s="419" t="s">
        <v>532</v>
      </c>
      <c r="U488" s="419">
        <v>15</v>
      </c>
      <c r="V488" s="419">
        <v>5</v>
      </c>
      <c r="W488" s="419">
        <v>0.7</v>
      </c>
      <c r="X488" s="419">
        <v>0.7</v>
      </c>
      <c r="Y488" s="419">
        <v>0.7</v>
      </c>
      <c r="Z488" s="422">
        <v>1700</v>
      </c>
      <c r="AA488" s="422" t="s">
        <v>533</v>
      </c>
      <c r="AB488" s="422">
        <v>0.85</v>
      </c>
      <c r="AC488" s="422" t="s">
        <v>534</v>
      </c>
      <c r="AD488" s="422" t="s">
        <v>535</v>
      </c>
      <c r="AE488" s="422">
        <v>220</v>
      </c>
      <c r="AF488" s="423"/>
      <c r="AG488" s="423"/>
    </row>
    <row r="489" spans="1:33" ht="15" customHeight="1">
      <c r="A489" s="418" t="s">
        <v>578</v>
      </c>
      <c r="B489" s="419">
        <v>5</v>
      </c>
      <c r="C489" s="419">
        <v>560</v>
      </c>
      <c r="D489" s="419" t="s">
        <v>569</v>
      </c>
      <c r="E489" s="419">
        <v>1.5</v>
      </c>
      <c r="F489" s="420">
        <v>45348.463194444441</v>
      </c>
      <c r="G489" s="419">
        <v>1</v>
      </c>
      <c r="H489" s="419">
        <v>51.374099999999999</v>
      </c>
      <c r="I489" s="419">
        <v>7.5321199999999999</v>
      </c>
      <c r="J489" s="419">
        <v>-17.692799999999998</v>
      </c>
      <c r="K489" s="419">
        <v>-16.844799999999999</v>
      </c>
      <c r="L489" s="419">
        <v>982.41600000000005</v>
      </c>
      <c r="M489" s="419">
        <v>117.4995</v>
      </c>
      <c r="N489" s="419">
        <v>17679.62</v>
      </c>
      <c r="O489" s="419">
        <v>17664.09</v>
      </c>
      <c r="P489" s="421">
        <v>2050.4110000000001</v>
      </c>
      <c r="Q489" s="396" t="s">
        <v>18</v>
      </c>
      <c r="R489" s="421">
        <f t="shared" si="43"/>
        <v>2.3679999999999382</v>
      </c>
      <c r="S489" s="396">
        <f t="shared" si="42"/>
        <v>2052.779</v>
      </c>
      <c r="T489" s="419" t="s">
        <v>532</v>
      </c>
      <c r="U489" s="419">
        <v>15</v>
      </c>
      <c r="V489" s="419">
        <v>5</v>
      </c>
      <c r="W489" s="419">
        <v>0.7</v>
      </c>
      <c r="X489" s="419">
        <v>0.7</v>
      </c>
      <c r="Y489" s="419">
        <v>0.7</v>
      </c>
      <c r="Z489" s="422">
        <v>1700</v>
      </c>
      <c r="AA489" s="422" t="s">
        <v>533</v>
      </c>
      <c r="AB489" s="422">
        <v>0.85</v>
      </c>
      <c r="AC489" s="422" t="s">
        <v>534</v>
      </c>
      <c r="AD489" s="422" t="s">
        <v>535</v>
      </c>
      <c r="AE489" s="422">
        <v>220</v>
      </c>
      <c r="AF489" s="423"/>
      <c r="AG489" s="423"/>
    </row>
    <row r="490" spans="1:33" ht="15" customHeight="1">
      <c r="A490" s="418" t="s">
        <v>580</v>
      </c>
      <c r="B490" s="419">
        <v>5</v>
      </c>
      <c r="C490" s="419">
        <v>560</v>
      </c>
      <c r="D490" s="419" t="s">
        <v>569</v>
      </c>
      <c r="E490" s="419">
        <v>1.5</v>
      </c>
      <c r="F490" s="420">
        <v>45348.466666666667</v>
      </c>
      <c r="G490" s="419">
        <v>1</v>
      </c>
      <c r="H490" s="419">
        <v>51.3675</v>
      </c>
      <c r="I490" s="419">
        <v>7.5348899999999999</v>
      </c>
      <c r="J490" s="419">
        <v>-17.7712</v>
      </c>
      <c r="K490" s="419">
        <v>-16.935400000000001</v>
      </c>
      <c r="L490" s="419">
        <v>973.51</v>
      </c>
      <c r="M490" s="419">
        <v>165.99979999999999</v>
      </c>
      <c r="N490" s="419">
        <v>17695.89</v>
      </c>
      <c r="O490" s="419">
        <v>17664.09</v>
      </c>
      <c r="P490" s="421">
        <v>2050.4110000000001</v>
      </c>
      <c r="Q490" s="396" t="s">
        <v>18</v>
      </c>
      <c r="R490" s="421">
        <f t="shared" si="43"/>
        <v>2.3679999999999382</v>
      </c>
      <c r="S490" s="396">
        <f t="shared" si="42"/>
        <v>2052.779</v>
      </c>
      <c r="T490" s="419" t="s">
        <v>542</v>
      </c>
      <c r="U490" s="419">
        <v>15</v>
      </c>
      <c r="V490" s="419">
        <v>5</v>
      </c>
      <c r="W490" s="419">
        <v>0.7</v>
      </c>
      <c r="X490" s="419">
        <v>0.7</v>
      </c>
      <c r="Y490" s="419">
        <v>0.7</v>
      </c>
      <c r="Z490" s="422">
        <v>1700</v>
      </c>
      <c r="AA490" s="422" t="s">
        <v>533</v>
      </c>
      <c r="AB490" s="422">
        <v>0.85</v>
      </c>
      <c r="AC490" s="422" t="s">
        <v>534</v>
      </c>
      <c r="AD490" s="422" t="s">
        <v>535</v>
      </c>
      <c r="AE490" s="422">
        <v>220</v>
      </c>
      <c r="AF490" s="423"/>
      <c r="AG490" s="423"/>
    </row>
    <row r="491" spans="1:33" ht="15" customHeight="1">
      <c r="A491" s="418" t="s">
        <v>581</v>
      </c>
      <c r="B491" s="419">
        <v>5</v>
      </c>
      <c r="C491" s="419">
        <v>560</v>
      </c>
      <c r="D491" s="419" t="s">
        <v>569</v>
      </c>
      <c r="E491" s="419">
        <v>1.5</v>
      </c>
      <c r="F491" s="420">
        <v>45348.470833333333</v>
      </c>
      <c r="G491" s="419">
        <v>1</v>
      </c>
      <c r="H491" s="419">
        <v>51.374099999999999</v>
      </c>
      <c r="I491" s="419">
        <v>7.6196099999999998</v>
      </c>
      <c r="J491" s="419">
        <v>-17.691800000000001</v>
      </c>
      <c r="K491" s="419">
        <v>-16.854199999999999</v>
      </c>
      <c r="L491" s="419">
        <v>986.81399999999996</v>
      </c>
      <c r="M491" s="419">
        <v>128.5001</v>
      </c>
      <c r="N491" s="419">
        <v>17657.07</v>
      </c>
      <c r="O491" s="419">
        <v>17664.09</v>
      </c>
      <c r="P491" s="421">
        <v>2050.4110000000001</v>
      </c>
      <c r="Q491" s="396" t="s">
        <v>18</v>
      </c>
      <c r="R491" s="421">
        <f t="shared" si="43"/>
        <v>2.3679999999999382</v>
      </c>
      <c r="S491" s="396">
        <f t="shared" si="42"/>
        <v>2052.779</v>
      </c>
      <c r="T491" s="419" t="s">
        <v>532</v>
      </c>
      <c r="U491" s="419">
        <v>15</v>
      </c>
      <c r="V491" s="419">
        <v>5</v>
      </c>
      <c r="W491" s="419">
        <v>0.7</v>
      </c>
      <c r="X491" s="419">
        <v>0.7</v>
      </c>
      <c r="Y491" s="419">
        <v>0.7</v>
      </c>
      <c r="Z491" s="422">
        <v>1700</v>
      </c>
      <c r="AA491" s="422" t="s">
        <v>533</v>
      </c>
      <c r="AB491" s="422">
        <v>0.85</v>
      </c>
      <c r="AC491" s="422" t="s">
        <v>534</v>
      </c>
      <c r="AD491" s="422" t="s">
        <v>535</v>
      </c>
      <c r="AE491" s="422">
        <v>220</v>
      </c>
      <c r="AF491" s="423"/>
      <c r="AG491" s="423"/>
    </row>
    <row r="492" spans="1:33" ht="15" customHeight="1">
      <c r="A492" s="418" t="s">
        <v>582</v>
      </c>
      <c r="B492" s="419">
        <v>5</v>
      </c>
      <c r="C492" s="419">
        <v>560</v>
      </c>
      <c r="D492" s="419" t="s">
        <v>569</v>
      </c>
      <c r="E492" s="419">
        <v>1.5</v>
      </c>
      <c r="F492" s="420">
        <v>45348.474305555559</v>
      </c>
      <c r="G492" s="419">
        <v>1</v>
      </c>
      <c r="H492" s="419">
        <v>51.3675</v>
      </c>
      <c r="I492" s="419">
        <v>7.6520200000000003</v>
      </c>
      <c r="J492" s="419">
        <v>-17.6936</v>
      </c>
      <c r="K492" s="419">
        <v>-16.871200000000002</v>
      </c>
      <c r="L492" s="419">
        <v>975.83900000000006</v>
      </c>
      <c r="M492" s="419">
        <v>119.99890000000001</v>
      </c>
      <c r="N492" s="419">
        <v>17655.580000000002</v>
      </c>
      <c r="O492" s="419">
        <v>17664.09</v>
      </c>
      <c r="P492" s="421">
        <v>2050.4110000000001</v>
      </c>
      <c r="Q492" s="396" t="s">
        <v>18</v>
      </c>
      <c r="R492" s="421">
        <f t="shared" si="43"/>
        <v>2.3679999999999382</v>
      </c>
      <c r="S492" s="396">
        <f t="shared" si="42"/>
        <v>2052.779</v>
      </c>
      <c r="T492" s="419" t="s">
        <v>532</v>
      </c>
      <c r="U492" s="419">
        <v>15</v>
      </c>
      <c r="V492" s="419">
        <v>5</v>
      </c>
      <c r="W492" s="419">
        <v>0.7</v>
      </c>
      <c r="X492" s="419">
        <v>0.7</v>
      </c>
      <c r="Y492" s="419">
        <v>0.7</v>
      </c>
      <c r="Z492" s="422">
        <v>1700</v>
      </c>
      <c r="AA492" s="422" t="s">
        <v>533</v>
      </c>
      <c r="AB492" s="422">
        <v>0.85</v>
      </c>
      <c r="AC492" s="422" t="s">
        <v>534</v>
      </c>
      <c r="AD492" s="422" t="s">
        <v>535</v>
      </c>
      <c r="AE492" s="422">
        <v>220</v>
      </c>
      <c r="AF492" s="423"/>
      <c r="AG492" s="423"/>
    </row>
    <row r="493" spans="1:33" ht="15" customHeight="1">
      <c r="A493" s="418" t="s">
        <v>584</v>
      </c>
      <c r="B493" s="419">
        <v>6</v>
      </c>
      <c r="C493" s="419">
        <v>561</v>
      </c>
      <c r="D493" s="419" t="s">
        <v>575</v>
      </c>
      <c r="E493" s="419">
        <v>1.5</v>
      </c>
      <c r="F493" s="420">
        <v>45348.478472222225</v>
      </c>
      <c r="G493" s="419">
        <v>1</v>
      </c>
      <c r="H493" s="419">
        <v>51.370800000000003</v>
      </c>
      <c r="I493" s="419">
        <v>7.6456200000000001</v>
      </c>
      <c r="J493" s="419">
        <v>-17.6599</v>
      </c>
      <c r="K493" s="419">
        <v>-16.810400000000001</v>
      </c>
      <c r="L493" s="419">
        <v>990.69600000000003</v>
      </c>
      <c r="M493" s="419">
        <v>139.49969999999999</v>
      </c>
      <c r="N493" s="419">
        <v>17719.96</v>
      </c>
      <c r="O493" s="419">
        <v>17721.849999999999</v>
      </c>
      <c r="P493" s="421">
        <v>2057.06</v>
      </c>
      <c r="Q493" s="396" t="s">
        <v>18</v>
      </c>
      <c r="R493" s="421">
        <f t="shared" si="43"/>
        <v>3.0443333333332703</v>
      </c>
      <c r="S493" s="396">
        <f t="shared" si="42"/>
        <v>2060.1043333333332</v>
      </c>
      <c r="T493" s="419" t="s">
        <v>532</v>
      </c>
      <c r="U493" s="419">
        <v>15</v>
      </c>
      <c r="V493" s="419">
        <v>5</v>
      </c>
      <c r="W493" s="419">
        <v>0.7</v>
      </c>
      <c r="X493" s="419">
        <v>0.7</v>
      </c>
      <c r="Y493" s="419">
        <v>0.7</v>
      </c>
      <c r="Z493" s="422">
        <v>1700</v>
      </c>
      <c r="AA493" s="422" t="s">
        <v>533</v>
      </c>
      <c r="AB493" s="422">
        <v>0.85</v>
      </c>
      <c r="AC493" s="422" t="s">
        <v>534</v>
      </c>
      <c r="AD493" s="422" t="s">
        <v>535</v>
      </c>
      <c r="AE493" s="422">
        <v>220</v>
      </c>
      <c r="AF493" s="423"/>
      <c r="AG493" s="423"/>
    </row>
    <row r="494" spans="1:33" ht="15" customHeight="1">
      <c r="A494" s="418" t="s">
        <v>586</v>
      </c>
      <c r="B494" s="419">
        <v>6</v>
      </c>
      <c r="C494" s="419">
        <v>561</v>
      </c>
      <c r="D494" s="419" t="s">
        <v>575</v>
      </c>
      <c r="E494" s="419">
        <v>1.5</v>
      </c>
      <c r="F494" s="420">
        <v>45348.481944444444</v>
      </c>
      <c r="G494" s="419">
        <v>1</v>
      </c>
      <c r="H494" s="419">
        <v>51.370800000000003</v>
      </c>
      <c r="I494" s="419">
        <v>7.6111399999999998</v>
      </c>
      <c r="J494" s="419">
        <v>-17.670500000000001</v>
      </c>
      <c r="K494" s="419">
        <v>-16.834399999999999</v>
      </c>
      <c r="L494" s="419">
        <v>987.21500000000003</v>
      </c>
      <c r="M494" s="419">
        <v>134.49930000000001</v>
      </c>
      <c r="N494" s="419">
        <v>17728.22</v>
      </c>
      <c r="O494" s="419">
        <v>17721.849999999999</v>
      </c>
      <c r="P494" s="421">
        <v>2057.06</v>
      </c>
      <c r="Q494" s="396" t="s">
        <v>18</v>
      </c>
      <c r="R494" s="421">
        <f t="shared" si="43"/>
        <v>3.0443333333332703</v>
      </c>
      <c r="S494" s="396">
        <f t="shared" si="42"/>
        <v>2060.1043333333332</v>
      </c>
      <c r="T494" s="419" t="s">
        <v>532</v>
      </c>
      <c r="U494" s="419">
        <v>15</v>
      </c>
      <c r="V494" s="419">
        <v>5</v>
      </c>
      <c r="W494" s="419">
        <v>0.7</v>
      </c>
      <c r="X494" s="419">
        <v>0.7</v>
      </c>
      <c r="Y494" s="419">
        <v>0.7</v>
      </c>
      <c r="Z494" s="422">
        <v>1700</v>
      </c>
      <c r="AA494" s="422" t="s">
        <v>533</v>
      </c>
      <c r="AB494" s="422">
        <v>0.85</v>
      </c>
      <c r="AC494" s="422" t="s">
        <v>534</v>
      </c>
      <c r="AD494" s="422" t="s">
        <v>535</v>
      </c>
      <c r="AE494" s="422">
        <v>220</v>
      </c>
      <c r="AF494" s="423"/>
      <c r="AG494" s="423"/>
    </row>
    <row r="495" spans="1:33" ht="15" customHeight="1">
      <c r="A495" s="418" t="s">
        <v>587</v>
      </c>
      <c r="B495" s="419">
        <v>6</v>
      </c>
      <c r="C495" s="419">
        <v>561</v>
      </c>
      <c r="D495" s="419" t="s">
        <v>575</v>
      </c>
      <c r="E495" s="419">
        <v>1.5</v>
      </c>
      <c r="F495" s="420">
        <v>45348.486111111109</v>
      </c>
      <c r="G495" s="419">
        <v>1</v>
      </c>
      <c r="H495" s="419">
        <v>51.370800000000003</v>
      </c>
      <c r="I495" s="419">
        <v>7.5454800000000004</v>
      </c>
      <c r="J495" s="419">
        <v>-17.6828</v>
      </c>
      <c r="K495" s="419">
        <v>-16.841000000000001</v>
      </c>
      <c r="L495" s="419">
        <v>984.13599999999997</v>
      </c>
      <c r="M495" s="419">
        <v>132.49959999999999</v>
      </c>
      <c r="N495" s="419">
        <v>17770.400000000001</v>
      </c>
      <c r="O495" s="419">
        <v>17721.849999999999</v>
      </c>
      <c r="P495" s="421">
        <v>2057.06</v>
      </c>
      <c r="Q495" s="396" t="s">
        <v>18</v>
      </c>
      <c r="R495" s="421">
        <f t="shared" si="43"/>
        <v>3.0443333333332703</v>
      </c>
      <c r="S495" s="396">
        <f t="shared" si="42"/>
        <v>2060.1043333333332</v>
      </c>
      <c r="T495" s="419" t="s">
        <v>542</v>
      </c>
      <c r="U495" s="419">
        <v>15</v>
      </c>
      <c r="V495" s="419">
        <v>5</v>
      </c>
      <c r="W495" s="419">
        <v>0.7</v>
      </c>
      <c r="X495" s="419">
        <v>0.7</v>
      </c>
      <c r="Y495" s="419">
        <v>0.7</v>
      </c>
      <c r="Z495" s="422">
        <v>1700</v>
      </c>
      <c r="AA495" s="422" t="s">
        <v>533</v>
      </c>
      <c r="AB495" s="422">
        <v>0.85</v>
      </c>
      <c r="AC495" s="422" t="s">
        <v>534</v>
      </c>
      <c r="AD495" s="422" t="s">
        <v>535</v>
      </c>
      <c r="AE495" s="422">
        <v>220</v>
      </c>
      <c r="AF495" s="423"/>
      <c r="AG495" s="423"/>
    </row>
    <row r="496" spans="1:33" ht="15" customHeight="1">
      <c r="A496" s="418" t="s">
        <v>588</v>
      </c>
      <c r="B496" s="419">
        <v>6</v>
      </c>
      <c r="C496" s="419">
        <v>561</v>
      </c>
      <c r="D496" s="419" t="s">
        <v>575</v>
      </c>
      <c r="E496" s="419">
        <v>1.5</v>
      </c>
      <c r="F496" s="420">
        <v>45348.489583333336</v>
      </c>
      <c r="G496" s="419">
        <v>1</v>
      </c>
      <c r="H496" s="419">
        <v>51.374099999999999</v>
      </c>
      <c r="I496" s="419">
        <v>7.5347900000000001</v>
      </c>
      <c r="J496" s="419">
        <v>-17.684999999999999</v>
      </c>
      <c r="K496" s="419">
        <v>-16.850200000000001</v>
      </c>
      <c r="L496" s="419">
        <v>978.01499999999999</v>
      </c>
      <c r="M496" s="419">
        <v>123.9997</v>
      </c>
      <c r="N496" s="419">
        <v>17717.36</v>
      </c>
      <c r="O496" s="419">
        <v>17721.849999999999</v>
      </c>
      <c r="P496" s="421">
        <v>2057.06</v>
      </c>
      <c r="Q496" s="396" t="s">
        <v>18</v>
      </c>
      <c r="R496" s="421">
        <f t="shared" si="43"/>
        <v>3.0443333333332703</v>
      </c>
      <c r="S496" s="396">
        <f t="shared" si="42"/>
        <v>2060.1043333333332</v>
      </c>
      <c r="T496" s="419" t="s">
        <v>532</v>
      </c>
      <c r="U496" s="419">
        <v>15</v>
      </c>
      <c r="V496" s="419">
        <v>5</v>
      </c>
      <c r="W496" s="419">
        <v>0.7</v>
      </c>
      <c r="X496" s="419">
        <v>0.7</v>
      </c>
      <c r="Y496" s="419">
        <v>0.7</v>
      </c>
      <c r="Z496" s="422">
        <v>1700</v>
      </c>
      <c r="AA496" s="422" t="s">
        <v>533</v>
      </c>
      <c r="AB496" s="422">
        <v>0.85</v>
      </c>
      <c r="AC496" s="422" t="s">
        <v>534</v>
      </c>
      <c r="AD496" s="422" t="s">
        <v>535</v>
      </c>
      <c r="AE496" s="422">
        <v>220</v>
      </c>
      <c r="AF496" s="423"/>
      <c r="AG496" s="423"/>
    </row>
    <row r="497" spans="1:33" ht="15" customHeight="1">
      <c r="A497" s="418" t="s">
        <v>590</v>
      </c>
      <c r="B497" s="419">
        <v>7</v>
      </c>
      <c r="C497" s="419">
        <v>573</v>
      </c>
      <c r="D497" s="419" t="s">
        <v>579</v>
      </c>
      <c r="E497" s="419">
        <v>1.5</v>
      </c>
      <c r="F497" s="420">
        <v>45348.493750000001</v>
      </c>
      <c r="G497" s="419">
        <v>1</v>
      </c>
      <c r="H497" s="419">
        <v>51.374099999999999</v>
      </c>
      <c r="I497" s="419">
        <v>7.52752</v>
      </c>
      <c r="J497" s="419">
        <v>-17.703299999999999</v>
      </c>
      <c r="K497" s="419">
        <v>-16.854900000000001</v>
      </c>
      <c r="L497" s="419">
        <v>973.67</v>
      </c>
      <c r="M497" s="419">
        <v>119.0004</v>
      </c>
      <c r="N497" s="419">
        <v>17598.97</v>
      </c>
      <c r="O497" s="419">
        <v>17588.34</v>
      </c>
      <c r="P497" s="421">
        <v>2041.691</v>
      </c>
      <c r="Q497" s="396" t="s">
        <v>18</v>
      </c>
      <c r="R497" s="421">
        <f t="shared" si="43"/>
        <v>3.7206666666666024</v>
      </c>
      <c r="S497" s="396">
        <f t="shared" si="42"/>
        <v>2045.4116666666666</v>
      </c>
      <c r="T497" s="419" t="s">
        <v>532</v>
      </c>
      <c r="U497" s="419">
        <v>15</v>
      </c>
      <c r="V497" s="419">
        <v>5</v>
      </c>
      <c r="W497" s="419">
        <v>0.7</v>
      </c>
      <c r="X497" s="419">
        <v>0.7</v>
      </c>
      <c r="Y497" s="419">
        <v>0.7</v>
      </c>
      <c r="Z497" s="422">
        <v>1700</v>
      </c>
      <c r="AA497" s="422" t="s">
        <v>533</v>
      </c>
      <c r="AB497" s="422">
        <v>0.85</v>
      </c>
      <c r="AC497" s="422" t="s">
        <v>534</v>
      </c>
      <c r="AD497" s="422" t="s">
        <v>535</v>
      </c>
      <c r="AE497" s="422">
        <v>220</v>
      </c>
      <c r="AF497" s="423"/>
      <c r="AG497" s="423"/>
    </row>
    <row r="498" spans="1:33" ht="15" customHeight="1">
      <c r="A498" s="418" t="s">
        <v>593</v>
      </c>
      <c r="B498" s="419">
        <v>7</v>
      </c>
      <c r="C498" s="419">
        <v>573</v>
      </c>
      <c r="D498" s="419" t="s">
        <v>579</v>
      </c>
      <c r="E498" s="419">
        <v>1.5</v>
      </c>
      <c r="F498" s="420">
        <v>45348.49722222222</v>
      </c>
      <c r="G498" s="419">
        <v>1</v>
      </c>
      <c r="H498" s="419">
        <v>51.3675</v>
      </c>
      <c r="I498" s="419">
        <v>7.5316299999999998</v>
      </c>
      <c r="J498" s="419">
        <v>-17.591000000000001</v>
      </c>
      <c r="K498" s="419">
        <v>-16.756399999999999</v>
      </c>
      <c r="L498" s="419">
        <v>971.54100000000005</v>
      </c>
      <c r="M498" s="419">
        <v>105.999</v>
      </c>
      <c r="N498" s="419">
        <v>17588.59</v>
      </c>
      <c r="O498" s="419">
        <v>17588.34</v>
      </c>
      <c r="P498" s="421">
        <v>2041.691</v>
      </c>
      <c r="Q498" s="396" t="s">
        <v>18</v>
      </c>
      <c r="R498" s="421">
        <f t="shared" si="43"/>
        <v>3.7206666666666024</v>
      </c>
      <c r="S498" s="396">
        <f t="shared" si="42"/>
        <v>2045.4116666666666</v>
      </c>
      <c r="T498" s="419" t="s">
        <v>532</v>
      </c>
      <c r="U498" s="419">
        <v>15</v>
      </c>
      <c r="V498" s="419">
        <v>5</v>
      </c>
      <c r="W498" s="419">
        <v>0.7</v>
      </c>
      <c r="X498" s="419">
        <v>0.7</v>
      </c>
      <c r="Y498" s="419">
        <v>0.7</v>
      </c>
      <c r="Z498" s="422">
        <v>1700</v>
      </c>
      <c r="AA498" s="422" t="s">
        <v>533</v>
      </c>
      <c r="AB498" s="422">
        <v>0.85</v>
      </c>
      <c r="AC498" s="422" t="s">
        <v>534</v>
      </c>
      <c r="AD498" s="422" t="s">
        <v>535</v>
      </c>
      <c r="AE498" s="422">
        <v>220</v>
      </c>
      <c r="AF498" s="423"/>
      <c r="AG498" s="423"/>
    </row>
    <row r="499" spans="1:33" ht="15" customHeight="1">
      <c r="A499" s="418" t="s">
        <v>594</v>
      </c>
      <c r="B499" s="419">
        <v>7</v>
      </c>
      <c r="C499" s="419">
        <v>573</v>
      </c>
      <c r="D499" s="419" t="s">
        <v>579</v>
      </c>
      <c r="E499" s="419">
        <v>1.5</v>
      </c>
      <c r="F499" s="420">
        <v>45348.500694444447</v>
      </c>
      <c r="G499" s="419">
        <v>1</v>
      </c>
      <c r="H499" s="419">
        <v>51.370800000000003</v>
      </c>
      <c r="I499" s="419">
        <v>7.6430899999999999</v>
      </c>
      <c r="J499" s="419">
        <v>-17.664300000000001</v>
      </c>
      <c r="K499" s="419">
        <v>-16.840199999999999</v>
      </c>
      <c r="L499" s="419">
        <v>974.17</v>
      </c>
      <c r="M499" s="419">
        <v>142.99860000000001</v>
      </c>
      <c r="N499" s="419">
        <v>17577.47</v>
      </c>
      <c r="O499" s="419">
        <v>17588.34</v>
      </c>
      <c r="P499" s="421">
        <v>2041.691</v>
      </c>
      <c r="Q499" s="396" t="s">
        <v>18</v>
      </c>
      <c r="R499" s="421">
        <f t="shared" si="43"/>
        <v>3.7206666666666024</v>
      </c>
      <c r="S499" s="396">
        <f t="shared" si="42"/>
        <v>2045.4116666666666</v>
      </c>
      <c r="T499" s="419" t="s">
        <v>532</v>
      </c>
      <c r="U499" s="419">
        <v>15</v>
      </c>
      <c r="V499" s="419">
        <v>5</v>
      </c>
      <c r="W499" s="419">
        <v>0.7</v>
      </c>
      <c r="X499" s="419">
        <v>0.7</v>
      </c>
      <c r="Y499" s="419">
        <v>0.7</v>
      </c>
      <c r="Z499" s="422">
        <v>1700</v>
      </c>
      <c r="AA499" s="422" t="s">
        <v>533</v>
      </c>
      <c r="AB499" s="422">
        <v>0.85</v>
      </c>
      <c r="AC499" s="422" t="s">
        <v>534</v>
      </c>
      <c r="AD499" s="422" t="s">
        <v>535</v>
      </c>
      <c r="AE499" s="422">
        <v>220</v>
      </c>
      <c r="AF499" s="423"/>
      <c r="AG499" s="423"/>
    </row>
    <row r="500" spans="1:33" ht="15" customHeight="1">
      <c r="A500" s="418" t="s">
        <v>600</v>
      </c>
      <c r="B500" s="419">
        <v>8</v>
      </c>
      <c r="C500" s="419">
        <v>574</v>
      </c>
      <c r="D500" s="419" t="s">
        <v>585</v>
      </c>
      <c r="E500" s="419">
        <v>1.5</v>
      </c>
      <c r="F500" s="420">
        <v>45348.504861111112</v>
      </c>
      <c r="G500" s="419">
        <v>1</v>
      </c>
      <c r="H500" s="419">
        <v>51.374099999999999</v>
      </c>
      <c r="I500" s="419">
        <v>7.5725699999999998</v>
      </c>
      <c r="J500" s="419">
        <v>-17.699400000000001</v>
      </c>
      <c r="K500" s="419">
        <v>-16.876799999999999</v>
      </c>
      <c r="L500" s="419">
        <v>982.49599999999998</v>
      </c>
      <c r="M500" s="419">
        <v>123.0018</v>
      </c>
      <c r="N500" s="419">
        <v>17680.78</v>
      </c>
      <c r="O500" s="419">
        <v>17670.18</v>
      </c>
      <c r="P500" s="421">
        <v>2051.1120000000001</v>
      </c>
      <c r="Q500" s="396" t="s">
        <v>18</v>
      </c>
      <c r="R500" s="421">
        <f t="shared" si="43"/>
        <v>4.3969999999999345</v>
      </c>
      <c r="S500" s="396">
        <f t="shared" si="42"/>
        <v>2055.509</v>
      </c>
      <c r="T500" s="419" t="s">
        <v>532</v>
      </c>
      <c r="U500" s="419">
        <v>15</v>
      </c>
      <c r="V500" s="419">
        <v>5</v>
      </c>
      <c r="W500" s="419">
        <v>0.7</v>
      </c>
      <c r="X500" s="419">
        <v>0.7</v>
      </c>
      <c r="Y500" s="419">
        <v>0.7</v>
      </c>
      <c r="Z500" s="422">
        <v>1700</v>
      </c>
      <c r="AA500" s="422" t="s">
        <v>533</v>
      </c>
      <c r="AB500" s="422">
        <v>0.85</v>
      </c>
      <c r="AC500" s="422" t="s">
        <v>534</v>
      </c>
      <c r="AD500" s="422" t="s">
        <v>535</v>
      </c>
      <c r="AE500" s="422">
        <v>220</v>
      </c>
      <c r="AF500" s="423"/>
      <c r="AG500" s="423"/>
    </row>
    <row r="501" spans="1:33" ht="15" customHeight="1">
      <c r="A501" s="418" t="s">
        <v>602</v>
      </c>
      <c r="B501" s="419">
        <v>8</v>
      </c>
      <c r="C501" s="425">
        <v>574</v>
      </c>
      <c r="D501" s="419" t="s">
        <v>585</v>
      </c>
      <c r="E501" s="419">
        <v>1.5</v>
      </c>
      <c r="F501" s="420">
        <v>45348.508333333331</v>
      </c>
      <c r="G501" s="419">
        <v>1</v>
      </c>
      <c r="H501" s="419">
        <v>51.374099999999999</v>
      </c>
      <c r="I501" s="419">
        <v>7.5878300000000003</v>
      </c>
      <c r="J501" s="419">
        <v>-17.7639</v>
      </c>
      <c r="K501" s="419">
        <v>-16.9193</v>
      </c>
      <c r="L501" s="419">
        <v>978.73400000000004</v>
      </c>
      <c r="M501" s="419">
        <v>131.49950000000001</v>
      </c>
      <c r="N501" s="419">
        <v>17650.77</v>
      </c>
      <c r="O501" s="419">
        <v>17670.18</v>
      </c>
      <c r="P501" s="421">
        <v>2051.1120000000001</v>
      </c>
      <c r="Q501" s="396" t="s">
        <v>18</v>
      </c>
      <c r="R501" s="421">
        <f t="shared" si="43"/>
        <v>4.3969999999999345</v>
      </c>
      <c r="S501" s="396">
        <f t="shared" si="42"/>
        <v>2055.509</v>
      </c>
      <c r="T501" s="419" t="s">
        <v>532</v>
      </c>
      <c r="U501" s="419">
        <v>15</v>
      </c>
      <c r="V501" s="419">
        <v>5</v>
      </c>
      <c r="W501" s="419">
        <v>0.7</v>
      </c>
      <c r="X501" s="419">
        <v>0.7</v>
      </c>
      <c r="Y501" s="419">
        <v>0.7</v>
      </c>
      <c r="Z501" s="422">
        <v>1700</v>
      </c>
      <c r="AA501" s="422" t="s">
        <v>533</v>
      </c>
      <c r="AB501" s="422">
        <v>0.85</v>
      </c>
      <c r="AC501" s="422" t="s">
        <v>534</v>
      </c>
      <c r="AD501" s="422" t="s">
        <v>535</v>
      </c>
      <c r="AE501" s="422">
        <v>220</v>
      </c>
      <c r="AF501" s="423"/>
      <c r="AG501" s="423"/>
    </row>
    <row r="502" spans="1:33" ht="15" customHeight="1">
      <c r="A502" s="418" t="s">
        <v>603</v>
      </c>
      <c r="B502" s="419">
        <v>8</v>
      </c>
      <c r="C502" s="425">
        <v>574</v>
      </c>
      <c r="D502" s="419" t="s">
        <v>585</v>
      </c>
      <c r="E502" s="419">
        <v>1.5</v>
      </c>
      <c r="F502" s="420">
        <v>45348.512499999997</v>
      </c>
      <c r="G502" s="419">
        <v>1</v>
      </c>
      <c r="H502" s="419">
        <v>51.370800000000003</v>
      </c>
      <c r="I502" s="419">
        <v>7.5329899999999999</v>
      </c>
      <c r="J502" s="419">
        <v>-17.771799999999999</v>
      </c>
      <c r="K502" s="419">
        <v>-16.923300000000001</v>
      </c>
      <c r="L502" s="419">
        <v>977.04200000000003</v>
      </c>
      <c r="M502" s="419">
        <v>159.001</v>
      </c>
      <c r="N502" s="419">
        <v>17640.98</v>
      </c>
      <c r="O502" s="419">
        <v>17670.18</v>
      </c>
      <c r="P502" s="421">
        <v>2051.1120000000001</v>
      </c>
      <c r="Q502" s="396" t="s">
        <v>18</v>
      </c>
      <c r="R502" s="421">
        <f t="shared" si="43"/>
        <v>4.3969999999999345</v>
      </c>
      <c r="S502" s="396">
        <f t="shared" si="42"/>
        <v>2055.509</v>
      </c>
      <c r="T502" s="419" t="s">
        <v>542</v>
      </c>
      <c r="U502" s="419">
        <v>15</v>
      </c>
      <c r="V502" s="419">
        <v>5</v>
      </c>
      <c r="W502" s="419">
        <v>0.7</v>
      </c>
      <c r="X502" s="419">
        <v>0.7</v>
      </c>
      <c r="Y502" s="419">
        <v>0.7</v>
      </c>
      <c r="Z502" s="422">
        <v>1700</v>
      </c>
      <c r="AA502" s="422" t="s">
        <v>533</v>
      </c>
      <c r="AB502" s="422">
        <v>0.85</v>
      </c>
      <c r="AC502" s="422" t="s">
        <v>534</v>
      </c>
      <c r="AD502" s="422" t="s">
        <v>535</v>
      </c>
      <c r="AE502" s="422">
        <v>220</v>
      </c>
      <c r="AF502" s="423"/>
      <c r="AG502" s="423"/>
    </row>
    <row r="503" spans="1:33" ht="15" customHeight="1">
      <c r="A503" s="418" t="s">
        <v>604</v>
      </c>
      <c r="B503" s="419">
        <v>8</v>
      </c>
      <c r="C503" s="425">
        <v>574</v>
      </c>
      <c r="D503" s="419" t="s">
        <v>585</v>
      </c>
      <c r="E503" s="419">
        <v>1.5</v>
      </c>
      <c r="F503" s="420">
        <v>45348.515972222223</v>
      </c>
      <c r="G503" s="419">
        <v>1</v>
      </c>
      <c r="H503" s="419">
        <v>51.370800000000003</v>
      </c>
      <c r="I503" s="419">
        <v>7.57531</v>
      </c>
      <c r="J503" s="419">
        <v>-17.7179</v>
      </c>
      <c r="K503" s="419">
        <v>-16.879799999999999</v>
      </c>
      <c r="L503" s="419">
        <v>974.16300000000001</v>
      </c>
      <c r="M503" s="419">
        <v>122.00109999999999</v>
      </c>
      <c r="N503" s="419">
        <v>17678.98</v>
      </c>
      <c r="O503" s="419">
        <v>17670.18</v>
      </c>
      <c r="P503" s="421">
        <v>2051.1120000000001</v>
      </c>
      <c r="Q503" s="396" t="s">
        <v>18</v>
      </c>
      <c r="R503" s="421">
        <f t="shared" si="43"/>
        <v>4.3969999999999345</v>
      </c>
      <c r="S503" s="396">
        <f t="shared" si="42"/>
        <v>2055.509</v>
      </c>
      <c r="T503" s="419" t="s">
        <v>532</v>
      </c>
      <c r="U503" s="419">
        <v>15</v>
      </c>
      <c r="V503" s="419">
        <v>5</v>
      </c>
      <c r="W503" s="419">
        <v>0.7</v>
      </c>
      <c r="X503" s="419">
        <v>0.7</v>
      </c>
      <c r="Y503" s="419">
        <v>0.7</v>
      </c>
      <c r="Z503" s="422">
        <v>1700</v>
      </c>
      <c r="AA503" s="422" t="s">
        <v>533</v>
      </c>
      <c r="AB503" s="422">
        <v>0.85</v>
      </c>
      <c r="AC503" s="422" t="s">
        <v>534</v>
      </c>
      <c r="AD503" s="422" t="s">
        <v>535</v>
      </c>
      <c r="AE503" s="422">
        <v>220</v>
      </c>
      <c r="AF503" s="423"/>
      <c r="AG503" s="423"/>
    </row>
    <row r="504" spans="1:33" ht="15" customHeight="1">
      <c r="A504" s="418" t="s">
        <v>605</v>
      </c>
      <c r="B504" s="419">
        <v>9</v>
      </c>
      <c r="C504" s="419">
        <v>625</v>
      </c>
      <c r="D504" s="419" t="s">
        <v>591</v>
      </c>
      <c r="E504" s="419">
        <v>1.5</v>
      </c>
      <c r="F504" s="420">
        <v>45348.520138888889</v>
      </c>
      <c r="G504" s="419">
        <v>1</v>
      </c>
      <c r="H504" s="419">
        <v>51.3675</v>
      </c>
      <c r="I504" s="419">
        <v>7.5633999999999997</v>
      </c>
      <c r="J504" s="419">
        <v>-17.788799999999998</v>
      </c>
      <c r="K504" s="419">
        <v>-16.959499999999998</v>
      </c>
      <c r="L504" s="419">
        <v>964.79300000000001</v>
      </c>
      <c r="M504" s="419">
        <v>142.49959999999999</v>
      </c>
      <c r="N504" s="419">
        <v>17598.87</v>
      </c>
      <c r="O504" s="419">
        <v>17691.400000000001</v>
      </c>
      <c r="P504" s="421">
        <v>2053.5549999999998</v>
      </c>
      <c r="Q504" s="396" t="s">
        <v>18</v>
      </c>
      <c r="R504" s="421">
        <f t="shared" si="43"/>
        <v>5.0733333333332666</v>
      </c>
      <c r="S504" s="396">
        <f t="shared" si="42"/>
        <v>2058.6283333333331</v>
      </c>
      <c r="T504" s="419" t="s">
        <v>542</v>
      </c>
      <c r="U504" s="419">
        <v>15</v>
      </c>
      <c r="V504" s="419">
        <v>5</v>
      </c>
      <c r="W504" s="419">
        <v>0.7</v>
      </c>
      <c r="X504" s="419">
        <v>0.7</v>
      </c>
      <c r="Y504" s="419">
        <v>0.7</v>
      </c>
      <c r="Z504" s="422">
        <v>1700</v>
      </c>
      <c r="AA504" s="422" t="s">
        <v>533</v>
      </c>
      <c r="AB504" s="422">
        <v>0.85</v>
      </c>
      <c r="AC504" s="422" t="s">
        <v>534</v>
      </c>
      <c r="AD504" s="422" t="s">
        <v>535</v>
      </c>
      <c r="AE504" s="422">
        <v>220</v>
      </c>
      <c r="AF504" s="423"/>
      <c r="AG504" s="423"/>
    </row>
    <row r="505" spans="1:33" ht="15" customHeight="1">
      <c r="A505" s="418" t="s">
        <v>606</v>
      </c>
      <c r="B505" s="419">
        <v>9</v>
      </c>
      <c r="C505" s="419">
        <v>625</v>
      </c>
      <c r="D505" s="419" t="s">
        <v>591</v>
      </c>
      <c r="E505" s="419">
        <v>1.5</v>
      </c>
      <c r="F505" s="420">
        <v>45348.524305555555</v>
      </c>
      <c r="G505" s="419">
        <v>1</v>
      </c>
      <c r="H505" s="419">
        <v>51.370800000000003</v>
      </c>
      <c r="I505" s="419">
        <v>7.5232000000000001</v>
      </c>
      <c r="J505" s="419">
        <v>-17.756</v>
      </c>
      <c r="K505" s="419">
        <v>-16.907699999999998</v>
      </c>
      <c r="L505" s="419">
        <v>980.83199999999999</v>
      </c>
      <c r="M505" s="419">
        <v>132.5</v>
      </c>
      <c r="N505" s="419">
        <v>17687.25</v>
      </c>
      <c r="O505" s="419">
        <v>17691.400000000001</v>
      </c>
      <c r="P505" s="421">
        <v>2053.5549999999998</v>
      </c>
      <c r="Q505" s="396" t="s">
        <v>18</v>
      </c>
      <c r="R505" s="421">
        <f t="shared" si="43"/>
        <v>5.0733333333332666</v>
      </c>
      <c r="S505" s="396">
        <f t="shared" si="42"/>
        <v>2058.6283333333331</v>
      </c>
      <c r="T505" s="419" t="s">
        <v>532</v>
      </c>
      <c r="U505" s="419">
        <v>15</v>
      </c>
      <c r="V505" s="419">
        <v>5</v>
      </c>
      <c r="W505" s="419">
        <v>0.7</v>
      </c>
      <c r="X505" s="419">
        <v>0.7</v>
      </c>
      <c r="Y505" s="419">
        <v>0.7</v>
      </c>
      <c r="Z505" s="422">
        <v>1700</v>
      </c>
      <c r="AA505" s="422" t="s">
        <v>533</v>
      </c>
      <c r="AB505" s="422">
        <v>0.85</v>
      </c>
      <c r="AC505" s="422" t="s">
        <v>534</v>
      </c>
      <c r="AD505" s="422" t="s">
        <v>535</v>
      </c>
      <c r="AE505" s="422">
        <v>220</v>
      </c>
      <c r="AF505" s="423"/>
      <c r="AG505" s="423"/>
    </row>
    <row r="506" spans="1:33" ht="15" customHeight="1">
      <c r="A506" s="418" t="s">
        <v>607</v>
      </c>
      <c r="B506" s="419">
        <v>9</v>
      </c>
      <c r="C506" s="419">
        <v>625</v>
      </c>
      <c r="D506" s="419" t="s">
        <v>591</v>
      </c>
      <c r="E506" s="419">
        <v>1.5</v>
      </c>
      <c r="F506" s="420">
        <v>45348.527777777781</v>
      </c>
      <c r="G506" s="419">
        <v>1</v>
      </c>
      <c r="H506" s="419">
        <v>51.374099999999999</v>
      </c>
      <c r="I506" s="419">
        <v>7.4895699999999996</v>
      </c>
      <c r="J506" s="419">
        <v>-17.8201</v>
      </c>
      <c r="K506" s="419">
        <v>-16.999400000000001</v>
      </c>
      <c r="L506" s="419">
        <v>983.37800000000004</v>
      </c>
      <c r="M506" s="419">
        <v>133.999</v>
      </c>
      <c r="N506" s="419">
        <v>17684.990000000002</v>
      </c>
      <c r="O506" s="419">
        <v>17691.400000000001</v>
      </c>
      <c r="P506" s="421">
        <v>2053.5549999999998</v>
      </c>
      <c r="Q506" s="396" t="s">
        <v>18</v>
      </c>
      <c r="R506" s="421">
        <f t="shared" si="43"/>
        <v>5.0733333333332666</v>
      </c>
      <c r="S506" s="396">
        <f t="shared" si="42"/>
        <v>2058.6283333333331</v>
      </c>
      <c r="T506" s="419" t="s">
        <v>532</v>
      </c>
      <c r="U506" s="419">
        <v>15</v>
      </c>
      <c r="V506" s="419">
        <v>5</v>
      </c>
      <c r="W506" s="419">
        <v>0.7</v>
      </c>
      <c r="X506" s="419">
        <v>0.7</v>
      </c>
      <c r="Y506" s="419">
        <v>0.7</v>
      </c>
      <c r="Z506" s="422">
        <v>1700</v>
      </c>
      <c r="AA506" s="422" t="s">
        <v>533</v>
      </c>
      <c r="AB506" s="422">
        <v>0.85</v>
      </c>
      <c r="AC506" s="422" t="s">
        <v>534</v>
      </c>
      <c r="AD506" s="422" t="s">
        <v>535</v>
      </c>
      <c r="AE506" s="422">
        <v>220</v>
      </c>
      <c r="AF506" s="423"/>
      <c r="AG506" s="423"/>
    </row>
    <row r="507" spans="1:33" ht="15" customHeight="1">
      <c r="A507" s="418" t="s">
        <v>608</v>
      </c>
      <c r="B507" s="419">
        <v>9</v>
      </c>
      <c r="C507" s="419">
        <v>625</v>
      </c>
      <c r="D507" s="419" t="s">
        <v>591</v>
      </c>
      <c r="E507" s="419">
        <v>1.5</v>
      </c>
      <c r="F507" s="420">
        <v>45348.53125</v>
      </c>
      <c r="G507" s="419">
        <v>1</v>
      </c>
      <c r="H507" s="419">
        <v>51.374099999999999</v>
      </c>
      <c r="I507" s="419">
        <v>7.53416</v>
      </c>
      <c r="J507" s="419">
        <v>-17.685600000000001</v>
      </c>
      <c r="K507" s="419">
        <v>-16.866299999999999</v>
      </c>
      <c r="L507" s="419">
        <v>984.82100000000003</v>
      </c>
      <c r="M507" s="419">
        <v>128.50020000000001</v>
      </c>
      <c r="N507" s="419">
        <v>17701.95</v>
      </c>
      <c r="O507" s="419">
        <v>17691.400000000001</v>
      </c>
      <c r="P507" s="421">
        <v>2053.5549999999998</v>
      </c>
      <c r="Q507" s="396" t="s">
        <v>18</v>
      </c>
      <c r="R507" s="421">
        <f t="shared" si="43"/>
        <v>5.0733333333332666</v>
      </c>
      <c r="S507" s="396">
        <f t="shared" si="42"/>
        <v>2058.6283333333331</v>
      </c>
      <c r="T507" s="419" t="s">
        <v>532</v>
      </c>
      <c r="U507" s="419">
        <v>15</v>
      </c>
      <c r="V507" s="419">
        <v>5</v>
      </c>
      <c r="W507" s="419">
        <v>0.7</v>
      </c>
      <c r="X507" s="419">
        <v>0.7</v>
      </c>
      <c r="Y507" s="419">
        <v>0.7</v>
      </c>
      <c r="Z507" s="422">
        <v>1700</v>
      </c>
      <c r="AA507" s="422" t="s">
        <v>533</v>
      </c>
      <c r="AB507" s="422">
        <v>0.85</v>
      </c>
      <c r="AC507" s="422" t="s">
        <v>534</v>
      </c>
      <c r="AD507" s="422" t="s">
        <v>535</v>
      </c>
      <c r="AE507" s="422">
        <v>220</v>
      </c>
      <c r="AF507" s="423"/>
      <c r="AG507" s="423"/>
    </row>
    <row r="508" spans="1:33" ht="15" customHeight="1">
      <c r="A508" s="418" t="s">
        <v>609</v>
      </c>
      <c r="B508" s="419">
        <v>10</v>
      </c>
      <c r="C508" s="419">
        <v>626</v>
      </c>
      <c r="D508" s="419" t="s">
        <v>601</v>
      </c>
      <c r="E508" s="419">
        <v>1.5</v>
      </c>
      <c r="F508" s="420">
        <v>45348.535416666666</v>
      </c>
      <c r="G508" s="419">
        <v>1</v>
      </c>
      <c r="H508" s="419">
        <v>51.3675</v>
      </c>
      <c r="I508" s="419">
        <v>7.5763999999999996</v>
      </c>
      <c r="J508" s="419">
        <v>-17.802199999999999</v>
      </c>
      <c r="K508" s="419">
        <v>-16.953499999999998</v>
      </c>
      <c r="L508" s="419">
        <v>978.17200000000003</v>
      </c>
      <c r="M508" s="419">
        <v>153.4999</v>
      </c>
      <c r="N508" s="419">
        <v>17629.099999999999</v>
      </c>
      <c r="O508" s="419">
        <v>17691.560000000001</v>
      </c>
      <c r="P508" s="421">
        <v>2053.5729999999999</v>
      </c>
      <c r="Q508" s="396" t="s">
        <v>18</v>
      </c>
      <c r="R508" s="421">
        <f t="shared" si="43"/>
        <v>5.7496666666665988</v>
      </c>
      <c r="S508" s="396">
        <f t="shared" si="42"/>
        <v>2059.3226666666665</v>
      </c>
      <c r="T508" s="419" t="s">
        <v>542</v>
      </c>
      <c r="U508" s="419">
        <v>15</v>
      </c>
      <c r="V508" s="419">
        <v>5</v>
      </c>
      <c r="W508" s="419">
        <v>0.7</v>
      </c>
      <c r="X508" s="419">
        <v>0.7</v>
      </c>
      <c r="Y508" s="419">
        <v>0.7</v>
      </c>
      <c r="Z508" s="422">
        <v>1700</v>
      </c>
      <c r="AA508" s="422" t="s">
        <v>533</v>
      </c>
      <c r="AB508" s="422">
        <v>0.85</v>
      </c>
      <c r="AC508" s="422" t="s">
        <v>534</v>
      </c>
      <c r="AD508" s="422" t="s">
        <v>535</v>
      </c>
      <c r="AE508" s="422">
        <v>220</v>
      </c>
      <c r="AF508" s="423"/>
      <c r="AG508" s="423"/>
    </row>
    <row r="509" spans="1:33" ht="15" customHeight="1">
      <c r="A509" s="418" t="s">
        <v>610</v>
      </c>
      <c r="B509" s="419">
        <v>10</v>
      </c>
      <c r="C509" s="419">
        <v>626</v>
      </c>
      <c r="D509" s="419" t="s">
        <v>601</v>
      </c>
      <c r="E509" s="419">
        <v>1.5</v>
      </c>
      <c r="F509" s="420">
        <v>45348.539583333331</v>
      </c>
      <c r="G509" s="419">
        <v>1</v>
      </c>
      <c r="H509" s="419">
        <v>51.370800000000003</v>
      </c>
      <c r="I509" s="419">
        <v>7.6348099999999999</v>
      </c>
      <c r="J509" s="419">
        <v>-17.707999999999998</v>
      </c>
      <c r="K509" s="419">
        <v>-16.891999999999999</v>
      </c>
      <c r="L509" s="419">
        <v>982.83299999999997</v>
      </c>
      <c r="M509" s="419">
        <v>139.4992</v>
      </c>
      <c r="N509" s="419">
        <v>17696.22</v>
      </c>
      <c r="O509" s="419">
        <v>17691.560000000001</v>
      </c>
      <c r="P509" s="421">
        <v>2053.5729999999999</v>
      </c>
      <c r="Q509" s="396" t="s">
        <v>18</v>
      </c>
      <c r="R509" s="421">
        <f t="shared" si="43"/>
        <v>5.7496666666665988</v>
      </c>
      <c r="S509" s="396">
        <f t="shared" si="42"/>
        <v>2059.3226666666665</v>
      </c>
      <c r="T509" s="419" t="s">
        <v>532</v>
      </c>
      <c r="U509" s="419">
        <v>15</v>
      </c>
      <c r="V509" s="419">
        <v>5</v>
      </c>
      <c r="W509" s="419">
        <v>0.7</v>
      </c>
      <c r="X509" s="419">
        <v>0.7</v>
      </c>
      <c r="Y509" s="419">
        <v>0.7</v>
      </c>
      <c r="Z509" s="422">
        <v>1700</v>
      </c>
      <c r="AA509" s="422" t="s">
        <v>533</v>
      </c>
      <c r="AB509" s="422">
        <v>0.85</v>
      </c>
      <c r="AC509" s="422" t="s">
        <v>534</v>
      </c>
      <c r="AD509" s="422" t="s">
        <v>535</v>
      </c>
      <c r="AE509" s="422">
        <v>220</v>
      </c>
      <c r="AF509" s="423"/>
      <c r="AG509" s="423"/>
    </row>
    <row r="510" spans="1:33" ht="15" customHeight="1">
      <c r="A510" s="418" t="s">
        <v>611</v>
      </c>
      <c r="B510" s="419">
        <v>10</v>
      </c>
      <c r="C510" s="419">
        <v>626</v>
      </c>
      <c r="D510" s="419" t="s">
        <v>601</v>
      </c>
      <c r="E510" s="419">
        <v>1.5</v>
      </c>
      <c r="F510" s="420">
        <v>45348.543749999997</v>
      </c>
      <c r="G510" s="419">
        <v>1</v>
      </c>
      <c r="H510" s="419">
        <v>51.370800000000003</v>
      </c>
      <c r="I510" s="419">
        <v>7.5800299999999998</v>
      </c>
      <c r="J510" s="419">
        <v>-17.860800000000001</v>
      </c>
      <c r="K510" s="419">
        <v>-17.0153</v>
      </c>
      <c r="L510" s="419">
        <v>977.97500000000002</v>
      </c>
      <c r="M510" s="419">
        <v>130.00149999999999</v>
      </c>
      <c r="N510" s="419">
        <v>17694.150000000001</v>
      </c>
      <c r="O510" s="419">
        <v>17691.560000000001</v>
      </c>
      <c r="P510" s="421">
        <v>2053.5729999999999</v>
      </c>
      <c r="Q510" s="396" t="s">
        <v>18</v>
      </c>
      <c r="R510" s="421">
        <f t="shared" si="43"/>
        <v>5.7496666666665988</v>
      </c>
      <c r="S510" s="396">
        <f t="shared" si="42"/>
        <v>2059.3226666666665</v>
      </c>
      <c r="T510" s="419" t="s">
        <v>532</v>
      </c>
      <c r="U510" s="419">
        <v>15</v>
      </c>
      <c r="V510" s="419">
        <v>5</v>
      </c>
      <c r="W510" s="419">
        <v>0.7</v>
      </c>
      <c r="X510" s="419">
        <v>0.7</v>
      </c>
      <c r="Y510" s="419">
        <v>0.7</v>
      </c>
      <c r="Z510" s="422">
        <v>1700</v>
      </c>
      <c r="AA510" s="422" t="s">
        <v>533</v>
      </c>
      <c r="AB510" s="422">
        <v>0.85</v>
      </c>
      <c r="AC510" s="422" t="s">
        <v>534</v>
      </c>
      <c r="AD510" s="422" t="s">
        <v>535</v>
      </c>
      <c r="AE510" s="422">
        <v>220</v>
      </c>
      <c r="AF510" s="423"/>
      <c r="AG510" s="423"/>
    </row>
    <row r="511" spans="1:33" ht="15" customHeight="1">
      <c r="A511" s="418" t="s">
        <v>612</v>
      </c>
      <c r="B511" s="419">
        <v>10</v>
      </c>
      <c r="C511" s="419">
        <v>626</v>
      </c>
      <c r="D511" s="419" t="s">
        <v>601</v>
      </c>
      <c r="E511" s="419">
        <v>1.5</v>
      </c>
      <c r="F511" s="420">
        <v>45348.547222222223</v>
      </c>
      <c r="G511" s="419">
        <v>1</v>
      </c>
      <c r="H511" s="419">
        <v>51.370800000000003</v>
      </c>
      <c r="I511" s="419">
        <v>7.66629</v>
      </c>
      <c r="J511" s="419">
        <v>-17.770800000000001</v>
      </c>
      <c r="K511" s="419">
        <v>-16.9209</v>
      </c>
      <c r="L511" s="419">
        <v>979.08199999999999</v>
      </c>
      <c r="M511" s="419">
        <v>156.50020000000001</v>
      </c>
      <c r="N511" s="419">
        <v>17684.3</v>
      </c>
      <c r="O511" s="419">
        <v>17691.560000000001</v>
      </c>
      <c r="P511" s="421">
        <v>2053.5729999999999</v>
      </c>
      <c r="Q511" s="396" t="s">
        <v>18</v>
      </c>
      <c r="R511" s="421">
        <f t="shared" si="43"/>
        <v>5.7496666666665988</v>
      </c>
      <c r="S511" s="396">
        <f t="shared" si="42"/>
        <v>2059.3226666666665</v>
      </c>
      <c r="T511" s="419" t="s">
        <v>532</v>
      </c>
      <c r="U511" s="419">
        <v>15</v>
      </c>
      <c r="V511" s="419">
        <v>5</v>
      </c>
      <c r="W511" s="419">
        <v>0.7</v>
      </c>
      <c r="X511" s="419">
        <v>0.7</v>
      </c>
      <c r="Y511" s="419">
        <v>0.7</v>
      </c>
      <c r="Z511" s="422">
        <v>1700</v>
      </c>
      <c r="AA511" s="422" t="s">
        <v>533</v>
      </c>
      <c r="AB511" s="422">
        <v>0.85</v>
      </c>
      <c r="AC511" s="422" t="s">
        <v>534</v>
      </c>
      <c r="AD511" s="422" t="s">
        <v>535</v>
      </c>
      <c r="AE511" s="422">
        <v>220</v>
      </c>
      <c r="AF511" s="423"/>
      <c r="AG511" s="423"/>
    </row>
    <row r="512" spans="1:33" ht="15" customHeight="1">
      <c r="A512" s="418" t="s">
        <v>613</v>
      </c>
      <c r="B512" s="419">
        <v>11</v>
      </c>
      <c r="C512" s="419" t="s">
        <v>751</v>
      </c>
      <c r="D512" s="419" t="s">
        <v>531</v>
      </c>
      <c r="E512" s="419">
        <v>1.5</v>
      </c>
      <c r="F512" s="420">
        <v>45348.551388888889</v>
      </c>
      <c r="G512" s="419">
        <v>1</v>
      </c>
      <c r="H512" s="419">
        <v>51.364100000000001</v>
      </c>
      <c r="I512" s="419">
        <v>7.5489100000000002</v>
      </c>
      <c r="J512" s="419">
        <v>-17.743300000000001</v>
      </c>
      <c r="K512" s="419">
        <v>-16.907900000000001</v>
      </c>
      <c r="L512" s="419">
        <v>997.68399999999997</v>
      </c>
      <c r="M512" s="419">
        <v>123.5008</v>
      </c>
      <c r="N512" s="419">
        <v>17712.259999999998</v>
      </c>
      <c r="O512" s="419">
        <v>17753.5</v>
      </c>
      <c r="P512" s="421">
        <v>2060.7040000000002</v>
      </c>
      <c r="Q512" s="396" t="s">
        <v>18</v>
      </c>
      <c r="R512" s="421">
        <f t="shared" si="43"/>
        <v>6.4259999999999309</v>
      </c>
      <c r="S512" s="396">
        <f t="shared" si="42"/>
        <v>2067.13</v>
      </c>
      <c r="T512" s="419" t="s">
        <v>542</v>
      </c>
      <c r="U512" s="419">
        <v>15</v>
      </c>
      <c r="V512" s="419">
        <v>5</v>
      </c>
      <c r="W512" s="419">
        <v>0.7</v>
      </c>
      <c r="X512" s="419">
        <v>0.7</v>
      </c>
      <c r="Y512" s="419">
        <v>0.7</v>
      </c>
      <c r="Z512" s="422">
        <v>1700</v>
      </c>
      <c r="AA512" s="422" t="s">
        <v>533</v>
      </c>
      <c r="AB512" s="422">
        <v>0.85</v>
      </c>
      <c r="AC512" s="422" t="s">
        <v>534</v>
      </c>
      <c r="AD512" s="422" t="s">
        <v>535</v>
      </c>
      <c r="AE512" s="422">
        <v>220</v>
      </c>
      <c r="AF512" s="423"/>
      <c r="AG512" s="424"/>
    </row>
    <row r="513" spans="1:33" ht="15" customHeight="1">
      <c r="A513" s="418" t="s">
        <v>614</v>
      </c>
      <c r="B513" s="419">
        <v>11</v>
      </c>
      <c r="C513" s="419" t="s">
        <v>751</v>
      </c>
      <c r="D513" s="419" t="s">
        <v>531</v>
      </c>
      <c r="E513" s="419">
        <v>1.5</v>
      </c>
      <c r="F513" s="420">
        <v>45348.554861111108</v>
      </c>
      <c r="G513" s="419">
        <v>1</v>
      </c>
      <c r="H513" s="419">
        <v>51.374099999999999</v>
      </c>
      <c r="I513" s="419">
        <v>7.6157399999999997</v>
      </c>
      <c r="J513" s="419">
        <v>-17.658899999999999</v>
      </c>
      <c r="K513" s="419">
        <v>-16.8629</v>
      </c>
      <c r="L513" s="419">
        <v>983.39800000000002</v>
      </c>
      <c r="M513" s="419">
        <v>167.49889999999999</v>
      </c>
      <c r="N513" s="419">
        <v>17740.189999999999</v>
      </c>
      <c r="O513" s="419">
        <v>17753.5</v>
      </c>
      <c r="P513" s="421">
        <v>2060.7040000000002</v>
      </c>
      <c r="Q513" s="396" t="s">
        <v>18</v>
      </c>
      <c r="R513" s="421">
        <f t="shared" ref="R513:R514" si="44">2067.13-P513</f>
        <v>6.4259999999999309</v>
      </c>
      <c r="S513" s="396">
        <f t="shared" si="42"/>
        <v>2067.13</v>
      </c>
      <c r="T513" s="419" t="s">
        <v>532</v>
      </c>
      <c r="U513" s="419">
        <v>15</v>
      </c>
      <c r="V513" s="419">
        <v>5</v>
      </c>
      <c r="W513" s="419">
        <v>0.7</v>
      </c>
      <c r="X513" s="419">
        <v>0.7</v>
      </c>
      <c r="Y513" s="419">
        <v>0.7</v>
      </c>
      <c r="Z513" s="422">
        <v>1700</v>
      </c>
      <c r="AA513" s="422" t="s">
        <v>533</v>
      </c>
      <c r="AB513" s="422">
        <v>0.85</v>
      </c>
      <c r="AC513" s="422" t="s">
        <v>534</v>
      </c>
      <c r="AD513" s="422" t="s">
        <v>535</v>
      </c>
      <c r="AE513" s="422">
        <v>220</v>
      </c>
      <c r="AF513" s="423"/>
      <c r="AG513" s="424"/>
    </row>
    <row r="514" spans="1:33" ht="15" customHeight="1">
      <c r="A514" s="418" t="s">
        <v>615</v>
      </c>
      <c r="B514" s="419">
        <v>11</v>
      </c>
      <c r="C514" s="419" t="s">
        <v>751</v>
      </c>
      <c r="D514" s="419" t="s">
        <v>531</v>
      </c>
      <c r="E514" s="419">
        <v>1.5</v>
      </c>
      <c r="F514" s="420">
        <v>45348.559027777781</v>
      </c>
      <c r="G514" s="419">
        <v>1</v>
      </c>
      <c r="H514" s="419">
        <v>51.374099999999999</v>
      </c>
      <c r="I514" s="419">
        <v>7.6505000000000001</v>
      </c>
      <c r="J514" s="419">
        <v>-17.704499999999999</v>
      </c>
      <c r="K514" s="419">
        <v>-16.8751</v>
      </c>
      <c r="L514" s="419">
        <v>982.60299999999995</v>
      </c>
      <c r="M514" s="419">
        <v>116.50060000000001</v>
      </c>
      <c r="N514" s="419">
        <v>17764.22</v>
      </c>
      <c r="O514" s="419">
        <v>17753.5</v>
      </c>
      <c r="P514" s="421">
        <v>2060.7040000000002</v>
      </c>
      <c r="Q514" s="396" t="s">
        <v>18</v>
      </c>
      <c r="R514" s="421">
        <f t="shared" si="44"/>
        <v>6.4259999999999309</v>
      </c>
      <c r="S514" s="396">
        <f t="shared" si="42"/>
        <v>2067.13</v>
      </c>
      <c r="T514" s="419" t="s">
        <v>532</v>
      </c>
      <c r="U514" s="419">
        <v>15</v>
      </c>
      <c r="V514" s="419">
        <v>5</v>
      </c>
      <c r="W514" s="419">
        <v>0.7</v>
      </c>
      <c r="X514" s="419">
        <v>0.7</v>
      </c>
      <c r="Y514" s="419">
        <v>0.7</v>
      </c>
      <c r="Z514" s="422">
        <v>1700</v>
      </c>
      <c r="AA514" s="422" t="s">
        <v>533</v>
      </c>
      <c r="AB514" s="422">
        <v>0.85</v>
      </c>
      <c r="AC514" s="422" t="s">
        <v>534</v>
      </c>
      <c r="AD514" s="422" t="s">
        <v>535</v>
      </c>
      <c r="AE514" s="422">
        <v>220</v>
      </c>
      <c r="AF514" s="423"/>
      <c r="AG514" s="424"/>
    </row>
    <row r="515" spans="1:33" ht="15" customHeight="1">
      <c r="A515" s="418" t="s">
        <v>616</v>
      </c>
      <c r="B515" s="419">
        <v>11</v>
      </c>
      <c r="C515" s="419" t="s">
        <v>751</v>
      </c>
      <c r="D515" s="419" t="s">
        <v>531</v>
      </c>
      <c r="E515" s="419">
        <v>1.5</v>
      </c>
      <c r="F515" s="420">
        <v>45348.5625</v>
      </c>
      <c r="G515" s="419">
        <v>1</v>
      </c>
      <c r="H515" s="419">
        <v>51.374099999999999</v>
      </c>
      <c r="I515" s="419">
        <v>7.63375</v>
      </c>
      <c r="J515" s="419">
        <v>-17.748999999999999</v>
      </c>
      <c r="K515" s="419">
        <v>-16.904699999999998</v>
      </c>
      <c r="L515" s="419">
        <v>984.97199999999998</v>
      </c>
      <c r="M515" s="419">
        <v>127.0009</v>
      </c>
      <c r="N515" s="419">
        <v>17756.09</v>
      </c>
      <c r="O515" s="419">
        <v>17753.5</v>
      </c>
      <c r="P515" s="421">
        <v>2060.7040000000002</v>
      </c>
      <c r="Q515" s="396" t="s">
        <v>18</v>
      </c>
      <c r="R515" s="421">
        <f>((B515-B$515)/(B$519-B$515))*R$520+((1-((B515-B$515)/(B$519-B$515)))*R$514)</f>
        <v>6.4259999999999309</v>
      </c>
      <c r="S515" s="396">
        <f t="shared" si="42"/>
        <v>2067.13</v>
      </c>
      <c r="T515" s="419" t="s">
        <v>532</v>
      </c>
      <c r="U515" s="419">
        <v>15</v>
      </c>
      <c r="V515" s="419">
        <v>5</v>
      </c>
      <c r="W515" s="419">
        <v>0.7</v>
      </c>
      <c r="X515" s="419">
        <v>0.7</v>
      </c>
      <c r="Y515" s="419">
        <v>0.7</v>
      </c>
      <c r="Z515" s="422">
        <v>1700</v>
      </c>
      <c r="AA515" s="422" t="s">
        <v>533</v>
      </c>
      <c r="AB515" s="422">
        <v>0.85</v>
      </c>
      <c r="AC515" s="422" t="s">
        <v>534</v>
      </c>
      <c r="AD515" s="422" t="s">
        <v>535</v>
      </c>
      <c r="AE515" s="422">
        <v>220</v>
      </c>
      <c r="AF515" s="423"/>
      <c r="AG515" s="424"/>
    </row>
    <row r="516" spans="1:33" ht="15" customHeight="1">
      <c r="A516" s="418" t="s">
        <v>618</v>
      </c>
      <c r="B516" s="419">
        <v>12</v>
      </c>
      <c r="C516" s="426">
        <v>586</v>
      </c>
      <c r="D516" s="419" t="s">
        <v>561</v>
      </c>
      <c r="E516" s="419">
        <v>1.5</v>
      </c>
      <c r="F516" s="420">
        <v>45348.566666666666</v>
      </c>
      <c r="G516" s="419">
        <v>1</v>
      </c>
      <c r="H516" s="419">
        <v>51.370800000000003</v>
      </c>
      <c r="I516" s="419">
        <v>7.6290500000000003</v>
      </c>
      <c r="J516" s="419">
        <v>-17.759799999999998</v>
      </c>
      <c r="K516" s="419">
        <v>-16.934200000000001</v>
      </c>
      <c r="L516" s="419">
        <v>981.33299999999997</v>
      </c>
      <c r="M516" s="419">
        <v>119.49979999999999</v>
      </c>
      <c r="N516" s="419">
        <v>17679.89</v>
      </c>
      <c r="O516" s="419">
        <v>17671.599999999999</v>
      </c>
      <c r="P516" s="421">
        <v>2051.2759999999998</v>
      </c>
      <c r="Q516" s="396" t="s">
        <v>18</v>
      </c>
      <c r="R516" s="421" t="s">
        <v>18</v>
      </c>
      <c r="S516" s="396" t="s">
        <v>18</v>
      </c>
      <c r="T516" s="419" t="s">
        <v>532</v>
      </c>
      <c r="U516" s="419">
        <v>15</v>
      </c>
      <c r="V516" s="419">
        <v>5</v>
      </c>
      <c r="W516" s="419">
        <v>0.7</v>
      </c>
      <c r="X516" s="419">
        <v>0.7</v>
      </c>
      <c r="Y516" s="419">
        <v>0.7</v>
      </c>
      <c r="Z516" s="422">
        <v>1700</v>
      </c>
      <c r="AA516" s="422" t="s">
        <v>533</v>
      </c>
      <c r="AB516" s="422">
        <v>0.85</v>
      </c>
      <c r="AC516" s="422" t="s">
        <v>534</v>
      </c>
      <c r="AD516" s="422" t="s">
        <v>535</v>
      </c>
      <c r="AE516" s="422">
        <v>220</v>
      </c>
      <c r="AF516" s="423" t="s">
        <v>754</v>
      </c>
      <c r="AG516" s="423"/>
    </row>
    <row r="517" spans="1:33" ht="15" customHeight="1">
      <c r="A517" s="418" t="s">
        <v>619</v>
      </c>
      <c r="B517" s="419">
        <v>12</v>
      </c>
      <c r="C517" s="426">
        <v>586</v>
      </c>
      <c r="D517" s="419" t="s">
        <v>561</v>
      </c>
      <c r="E517" s="419">
        <v>1.5</v>
      </c>
      <c r="F517" s="420">
        <v>45348.570833333331</v>
      </c>
      <c r="G517" s="419">
        <v>1</v>
      </c>
      <c r="H517" s="419">
        <v>51.377400000000002</v>
      </c>
      <c r="I517" s="419">
        <v>7.6031199999999997</v>
      </c>
      <c r="J517" s="419">
        <v>-17.7026</v>
      </c>
      <c r="K517" s="419">
        <v>-16.8795</v>
      </c>
      <c r="L517" s="419">
        <v>989.45500000000004</v>
      </c>
      <c r="M517" s="419">
        <v>118.49890000000001</v>
      </c>
      <c r="N517" s="419">
        <v>17677.88</v>
      </c>
      <c r="O517" s="419">
        <v>17671.599999999999</v>
      </c>
      <c r="P517" s="421">
        <v>2051.2759999999998</v>
      </c>
      <c r="Q517" s="396" t="s">
        <v>18</v>
      </c>
      <c r="R517" s="421" t="s">
        <v>18</v>
      </c>
      <c r="S517" s="396" t="s">
        <v>18</v>
      </c>
      <c r="T517" s="419" t="s">
        <v>532</v>
      </c>
      <c r="U517" s="419">
        <v>15</v>
      </c>
      <c r="V517" s="419">
        <v>5</v>
      </c>
      <c r="W517" s="419">
        <v>0.7</v>
      </c>
      <c r="X517" s="419">
        <v>0.7</v>
      </c>
      <c r="Y517" s="419">
        <v>0.7</v>
      </c>
      <c r="Z517" s="422">
        <v>1700</v>
      </c>
      <c r="AA517" s="422" t="s">
        <v>533</v>
      </c>
      <c r="AB517" s="422">
        <v>0.85</v>
      </c>
      <c r="AC517" s="422" t="s">
        <v>534</v>
      </c>
      <c r="AD517" s="422" t="s">
        <v>535</v>
      </c>
      <c r="AE517" s="422">
        <v>220</v>
      </c>
      <c r="AF517" s="423" t="s">
        <v>754</v>
      </c>
      <c r="AG517" s="423"/>
    </row>
    <row r="518" spans="1:33" ht="15" customHeight="1">
      <c r="A518" s="418" t="s">
        <v>620</v>
      </c>
      <c r="B518" s="419">
        <v>12</v>
      </c>
      <c r="C518" s="426">
        <v>586</v>
      </c>
      <c r="D518" s="419" t="s">
        <v>561</v>
      </c>
      <c r="E518" s="419">
        <v>1.5</v>
      </c>
      <c r="F518" s="420">
        <v>45348.574305555558</v>
      </c>
      <c r="G518" s="419">
        <v>1</v>
      </c>
      <c r="H518" s="419">
        <v>51.3675</v>
      </c>
      <c r="I518" s="419">
        <v>7.6393700000000004</v>
      </c>
      <c r="J518" s="419">
        <v>-17.529</v>
      </c>
      <c r="K518" s="419">
        <v>-16.711600000000001</v>
      </c>
      <c r="L518" s="419">
        <v>981.95100000000002</v>
      </c>
      <c r="M518" s="419">
        <v>129.0026</v>
      </c>
      <c r="N518" s="419">
        <v>17657.03</v>
      </c>
      <c r="O518" s="419">
        <v>17671.599999999999</v>
      </c>
      <c r="P518" s="421">
        <v>2051.2759999999998</v>
      </c>
      <c r="Q518" s="396" t="s">
        <v>18</v>
      </c>
      <c r="R518" s="421" t="s">
        <v>18</v>
      </c>
      <c r="S518" s="396" t="s">
        <v>18</v>
      </c>
      <c r="T518" s="419" t="s">
        <v>532</v>
      </c>
      <c r="U518" s="419">
        <v>15</v>
      </c>
      <c r="V518" s="419">
        <v>5</v>
      </c>
      <c r="W518" s="419">
        <v>0.7</v>
      </c>
      <c r="X518" s="419">
        <v>0.7</v>
      </c>
      <c r="Y518" s="419">
        <v>0.7</v>
      </c>
      <c r="Z518" s="422">
        <v>1700</v>
      </c>
      <c r="AA518" s="422" t="s">
        <v>533</v>
      </c>
      <c r="AB518" s="422">
        <v>0.85</v>
      </c>
      <c r="AC518" s="422" t="s">
        <v>534</v>
      </c>
      <c r="AD518" s="422" t="s">
        <v>535</v>
      </c>
      <c r="AE518" s="422">
        <v>220</v>
      </c>
      <c r="AF518" s="423" t="s">
        <v>754</v>
      </c>
      <c r="AG518" s="423"/>
    </row>
    <row r="519" spans="1:33" ht="15" customHeight="1">
      <c r="A519" s="418" t="s">
        <v>621</v>
      </c>
      <c r="B519" s="419">
        <v>13</v>
      </c>
      <c r="C519" s="419" t="s">
        <v>755</v>
      </c>
      <c r="D519" s="419" t="s">
        <v>531</v>
      </c>
      <c r="E519" s="419">
        <v>1.5</v>
      </c>
      <c r="F519" s="420">
        <v>45348.578472222223</v>
      </c>
      <c r="G519" s="419">
        <v>1</v>
      </c>
      <c r="H519" s="419">
        <v>51.377400000000002</v>
      </c>
      <c r="I519" s="419">
        <v>7.58216</v>
      </c>
      <c r="J519" s="419">
        <v>-17.584499999999998</v>
      </c>
      <c r="K519" s="419">
        <v>-16.739699999999999</v>
      </c>
      <c r="L519" s="419">
        <v>996.09100000000001</v>
      </c>
      <c r="M519" s="419">
        <v>116.0003</v>
      </c>
      <c r="N519" s="419">
        <v>17774.490000000002</v>
      </c>
      <c r="O519" s="419">
        <v>17782.5</v>
      </c>
      <c r="P519" s="421">
        <v>2064.0430000000001</v>
      </c>
      <c r="Q519" s="396" t="s">
        <v>18</v>
      </c>
      <c r="R519" s="421">
        <f>((B519-B$515)/(B$519-B$515))*R$520+((1-((B519-B$515)/(B$519-B$515)))*R$514)</f>
        <v>6.3569999999999709</v>
      </c>
      <c r="S519" s="396">
        <f t="shared" ref="S519:S548" si="45">P519+R519</f>
        <v>2070.4</v>
      </c>
      <c r="T519" s="419" t="s">
        <v>532</v>
      </c>
      <c r="U519" s="419">
        <v>15</v>
      </c>
      <c r="V519" s="419">
        <v>5</v>
      </c>
      <c r="W519" s="419">
        <v>0.7</v>
      </c>
      <c r="X519" s="419">
        <v>0.7</v>
      </c>
      <c r="Y519" s="419">
        <v>0.7</v>
      </c>
      <c r="Z519" s="422">
        <v>1700</v>
      </c>
      <c r="AA519" s="422" t="s">
        <v>533</v>
      </c>
      <c r="AB519" s="422">
        <v>0.85</v>
      </c>
      <c r="AC519" s="422" t="s">
        <v>534</v>
      </c>
      <c r="AD519" s="422" t="s">
        <v>535</v>
      </c>
      <c r="AE519" s="422">
        <v>220</v>
      </c>
      <c r="AF519" s="423"/>
      <c r="AG519" s="424"/>
    </row>
    <row r="520" spans="1:33" ht="15" customHeight="1">
      <c r="A520" s="418" t="s">
        <v>622</v>
      </c>
      <c r="B520" s="419">
        <v>13</v>
      </c>
      <c r="C520" s="419" t="s">
        <v>755</v>
      </c>
      <c r="D520" s="419" t="s">
        <v>531</v>
      </c>
      <c r="E520" s="419">
        <v>1.5</v>
      </c>
      <c r="F520" s="420">
        <v>45348.581944444442</v>
      </c>
      <c r="G520" s="419">
        <v>1</v>
      </c>
      <c r="H520" s="419">
        <v>51.370800000000003</v>
      </c>
      <c r="I520" s="419">
        <v>7.5661500000000004</v>
      </c>
      <c r="J520" s="419">
        <v>-17.6645</v>
      </c>
      <c r="K520" s="419">
        <v>-16.836099999999998</v>
      </c>
      <c r="L520" s="419">
        <v>984.71199999999999</v>
      </c>
      <c r="M520" s="419">
        <v>125.99890000000001</v>
      </c>
      <c r="N520" s="419">
        <v>17792.46</v>
      </c>
      <c r="O520" s="419">
        <v>17782.5</v>
      </c>
      <c r="P520" s="421">
        <v>2064.0430000000001</v>
      </c>
      <c r="Q520" s="396" t="s">
        <v>18</v>
      </c>
      <c r="R520" s="421">
        <f t="shared" ref="R520:R521" si="46">2070.4-P520</f>
        <v>6.3569999999999709</v>
      </c>
      <c r="S520" s="396">
        <f t="shared" si="45"/>
        <v>2070.4</v>
      </c>
      <c r="T520" s="419" t="s">
        <v>532</v>
      </c>
      <c r="U520" s="419">
        <v>15</v>
      </c>
      <c r="V520" s="419">
        <v>5</v>
      </c>
      <c r="W520" s="419">
        <v>0.7</v>
      </c>
      <c r="X520" s="419">
        <v>0.7</v>
      </c>
      <c r="Y520" s="419">
        <v>0.7</v>
      </c>
      <c r="Z520" s="422">
        <v>1700</v>
      </c>
      <c r="AA520" s="422" t="s">
        <v>533</v>
      </c>
      <c r="AB520" s="422">
        <v>0.85</v>
      </c>
      <c r="AC520" s="422" t="s">
        <v>534</v>
      </c>
      <c r="AD520" s="422" t="s">
        <v>535</v>
      </c>
      <c r="AE520" s="422">
        <v>220</v>
      </c>
      <c r="AF520" s="423"/>
      <c r="AG520" s="424"/>
    </row>
    <row r="521" spans="1:33" ht="15" customHeight="1">
      <c r="A521" s="418" t="s">
        <v>623</v>
      </c>
      <c r="B521" s="419">
        <v>13</v>
      </c>
      <c r="C521" s="419" t="s">
        <v>755</v>
      </c>
      <c r="D521" s="419" t="s">
        <v>531</v>
      </c>
      <c r="E521" s="419">
        <v>1.5</v>
      </c>
      <c r="F521" s="420">
        <v>45348.585416666669</v>
      </c>
      <c r="G521" s="419">
        <v>1</v>
      </c>
      <c r="H521" s="419">
        <v>51.374099999999999</v>
      </c>
      <c r="I521" s="419">
        <v>7.5843999999999996</v>
      </c>
      <c r="J521" s="419">
        <v>-17.691400000000002</v>
      </c>
      <c r="K521" s="419">
        <v>-16.8489</v>
      </c>
      <c r="L521" s="419">
        <v>985.03300000000002</v>
      </c>
      <c r="M521" s="419">
        <v>138.99979999999999</v>
      </c>
      <c r="N521" s="419">
        <v>17826.54</v>
      </c>
      <c r="O521" s="419">
        <v>17782.5</v>
      </c>
      <c r="P521" s="421">
        <v>2064.0430000000001</v>
      </c>
      <c r="Q521" s="396" t="s">
        <v>18</v>
      </c>
      <c r="R521" s="421">
        <f t="shared" si="46"/>
        <v>6.3569999999999709</v>
      </c>
      <c r="S521" s="396">
        <f t="shared" si="45"/>
        <v>2070.4</v>
      </c>
      <c r="T521" s="419" t="s">
        <v>542</v>
      </c>
      <c r="U521" s="419">
        <v>15</v>
      </c>
      <c r="V521" s="419">
        <v>5</v>
      </c>
      <c r="W521" s="419">
        <v>0.7</v>
      </c>
      <c r="X521" s="419">
        <v>0.7</v>
      </c>
      <c r="Y521" s="419">
        <v>0.7</v>
      </c>
      <c r="Z521" s="422">
        <v>1700</v>
      </c>
      <c r="AA521" s="422" t="s">
        <v>533</v>
      </c>
      <c r="AB521" s="422">
        <v>0.85</v>
      </c>
      <c r="AC521" s="422" t="s">
        <v>534</v>
      </c>
      <c r="AD521" s="422" t="s">
        <v>535</v>
      </c>
      <c r="AE521" s="422">
        <v>220</v>
      </c>
      <c r="AF521" s="423"/>
      <c r="AG521" s="424"/>
    </row>
    <row r="522" spans="1:33" ht="15" customHeight="1">
      <c r="A522" s="418" t="s">
        <v>624</v>
      </c>
      <c r="B522" s="419">
        <v>13</v>
      </c>
      <c r="C522" s="419" t="s">
        <v>755</v>
      </c>
      <c r="D522" s="419" t="s">
        <v>531</v>
      </c>
      <c r="E522" s="419">
        <v>1.5</v>
      </c>
      <c r="F522" s="420">
        <v>45348.588888888888</v>
      </c>
      <c r="G522" s="419">
        <v>1</v>
      </c>
      <c r="H522" s="419">
        <v>51.374099999999999</v>
      </c>
      <c r="I522" s="419">
        <v>7.59117</v>
      </c>
      <c r="J522" s="419">
        <v>-17.7332</v>
      </c>
      <c r="K522" s="419">
        <v>-16.891999999999999</v>
      </c>
      <c r="L522" s="419">
        <v>994.13300000000004</v>
      </c>
      <c r="M522" s="419">
        <v>131.50020000000001</v>
      </c>
      <c r="N522" s="419">
        <v>17780.55</v>
      </c>
      <c r="O522" s="419">
        <v>17782.5</v>
      </c>
      <c r="P522" s="421">
        <v>2064.0430000000001</v>
      </c>
      <c r="Q522" s="396" t="s">
        <v>18</v>
      </c>
      <c r="R522" s="421">
        <f t="shared" ref="R522:R545" si="47">((B522-B$522)/(B$545-B$522))*R$546+((1-((B522-B$522)/(B$545-B$522)))*R$521)</f>
        <v>6.3569999999999709</v>
      </c>
      <c r="S522" s="396">
        <f t="shared" si="45"/>
        <v>2070.4</v>
      </c>
      <c r="T522" s="419" t="s">
        <v>532</v>
      </c>
      <c r="U522" s="419">
        <v>15</v>
      </c>
      <c r="V522" s="419">
        <v>5</v>
      </c>
      <c r="W522" s="419">
        <v>0.7</v>
      </c>
      <c r="X522" s="419">
        <v>0.7</v>
      </c>
      <c r="Y522" s="419">
        <v>0.7</v>
      </c>
      <c r="Z522" s="422">
        <v>1700</v>
      </c>
      <c r="AA522" s="422" t="s">
        <v>533</v>
      </c>
      <c r="AB522" s="422">
        <v>0.85</v>
      </c>
      <c r="AC522" s="422" t="s">
        <v>534</v>
      </c>
      <c r="AD522" s="422" t="s">
        <v>535</v>
      </c>
      <c r="AE522" s="422">
        <v>220</v>
      </c>
      <c r="AF522" s="423"/>
      <c r="AG522" s="424"/>
    </row>
    <row r="523" spans="1:33" ht="15" customHeight="1">
      <c r="A523" s="418" t="s">
        <v>625</v>
      </c>
      <c r="B523" s="419">
        <v>14</v>
      </c>
      <c r="C523" s="419">
        <v>586</v>
      </c>
      <c r="D523" s="419" t="s">
        <v>561</v>
      </c>
      <c r="E523" s="419">
        <v>1.5</v>
      </c>
      <c r="F523" s="420">
        <v>45348.59375</v>
      </c>
      <c r="G523" s="419">
        <v>1</v>
      </c>
      <c r="H523" s="419">
        <v>51.3675</v>
      </c>
      <c r="I523" s="419">
        <v>7.5781099999999997</v>
      </c>
      <c r="J523" s="419">
        <v>-17.766300000000001</v>
      </c>
      <c r="K523" s="419">
        <v>-16.954799999999999</v>
      </c>
      <c r="L523" s="419">
        <v>981.53099999999995</v>
      </c>
      <c r="M523" s="419">
        <v>194.99940000000001</v>
      </c>
      <c r="N523" s="419">
        <v>17711.689999999999</v>
      </c>
      <c r="O523" s="419">
        <v>17703.349999999999</v>
      </c>
      <c r="P523" s="421">
        <v>2054.931</v>
      </c>
      <c r="Q523" s="396" t="s">
        <v>18</v>
      </c>
      <c r="R523" s="421">
        <f t="shared" si="47"/>
        <v>5.9801428571428401</v>
      </c>
      <c r="S523" s="396">
        <f t="shared" si="45"/>
        <v>2060.9111428571427</v>
      </c>
      <c r="T523" s="419" t="s">
        <v>532</v>
      </c>
      <c r="U523" s="419">
        <v>15</v>
      </c>
      <c r="V523" s="419">
        <v>5</v>
      </c>
      <c r="W523" s="419">
        <v>0.7</v>
      </c>
      <c r="X523" s="419">
        <v>0.7</v>
      </c>
      <c r="Y523" s="419">
        <v>0.7</v>
      </c>
      <c r="Z523" s="422">
        <v>1700</v>
      </c>
      <c r="AA523" s="422" t="s">
        <v>533</v>
      </c>
      <c r="AB523" s="422">
        <v>0.85</v>
      </c>
      <c r="AC523" s="422" t="s">
        <v>534</v>
      </c>
      <c r="AD523" s="422" t="s">
        <v>535</v>
      </c>
      <c r="AE523" s="422">
        <v>220</v>
      </c>
      <c r="AF523" s="423"/>
      <c r="AG523" s="423"/>
    </row>
    <row r="524" spans="1:33" ht="15" customHeight="1">
      <c r="A524" s="418" t="s">
        <v>626</v>
      </c>
      <c r="B524" s="419">
        <v>14</v>
      </c>
      <c r="C524" s="419">
        <v>586</v>
      </c>
      <c r="D524" s="419" t="s">
        <v>561</v>
      </c>
      <c r="E524" s="419">
        <v>1.5</v>
      </c>
      <c r="F524" s="420">
        <v>45348.597916666666</v>
      </c>
      <c r="G524" s="419">
        <v>1</v>
      </c>
      <c r="H524" s="419">
        <v>51.374099999999999</v>
      </c>
      <c r="I524" s="419">
        <v>7.5842099999999997</v>
      </c>
      <c r="J524" s="419">
        <v>-17.679099999999998</v>
      </c>
      <c r="K524" s="419">
        <v>-16.837900000000001</v>
      </c>
      <c r="L524" s="419">
        <v>973.9</v>
      </c>
      <c r="M524" s="419">
        <v>124.9997</v>
      </c>
      <c r="N524" s="419">
        <v>17664.2</v>
      </c>
      <c r="O524" s="419">
        <v>17703.349999999999</v>
      </c>
      <c r="P524" s="421">
        <v>2054.931</v>
      </c>
      <c r="Q524" s="396" t="s">
        <v>18</v>
      </c>
      <c r="R524" s="421">
        <f t="shared" si="47"/>
        <v>5.9801428571428401</v>
      </c>
      <c r="S524" s="396">
        <f t="shared" si="45"/>
        <v>2060.9111428571427</v>
      </c>
      <c r="T524" s="419" t="s">
        <v>542</v>
      </c>
      <c r="U524" s="419">
        <v>15</v>
      </c>
      <c r="V524" s="419">
        <v>5</v>
      </c>
      <c r="W524" s="419">
        <v>0.7</v>
      </c>
      <c r="X524" s="419">
        <v>0.7</v>
      </c>
      <c r="Y524" s="419">
        <v>0.7</v>
      </c>
      <c r="Z524" s="422">
        <v>1700</v>
      </c>
      <c r="AA524" s="422" t="s">
        <v>533</v>
      </c>
      <c r="AB524" s="422">
        <v>0.85</v>
      </c>
      <c r="AC524" s="422" t="s">
        <v>534</v>
      </c>
      <c r="AD524" s="422" t="s">
        <v>535</v>
      </c>
      <c r="AE524" s="422">
        <v>220</v>
      </c>
      <c r="AF524" s="423"/>
      <c r="AG524" s="423"/>
    </row>
    <row r="525" spans="1:33" ht="15" customHeight="1">
      <c r="A525" s="418" t="s">
        <v>627</v>
      </c>
      <c r="B525" s="419">
        <v>14</v>
      </c>
      <c r="C525" s="419">
        <v>586</v>
      </c>
      <c r="D525" s="419" t="s">
        <v>561</v>
      </c>
      <c r="E525" s="419">
        <v>1.5</v>
      </c>
      <c r="F525" s="420">
        <v>45348.601388888892</v>
      </c>
      <c r="G525" s="419">
        <v>1</v>
      </c>
      <c r="H525" s="419">
        <v>51.374099999999999</v>
      </c>
      <c r="I525" s="419">
        <v>7.5953999999999997</v>
      </c>
      <c r="J525" s="419">
        <v>-17.625599999999999</v>
      </c>
      <c r="K525" s="419">
        <v>-16.778199999999998</v>
      </c>
      <c r="L525" s="419">
        <v>981.96500000000003</v>
      </c>
      <c r="M525" s="419">
        <v>137.50030000000001</v>
      </c>
      <c r="N525" s="419">
        <v>17612.080000000002</v>
      </c>
      <c r="O525" s="419">
        <v>17703.349999999999</v>
      </c>
      <c r="P525" s="421">
        <v>2054.931</v>
      </c>
      <c r="Q525" s="396" t="s">
        <v>18</v>
      </c>
      <c r="R525" s="421">
        <f t="shared" si="47"/>
        <v>5.9801428571428401</v>
      </c>
      <c r="S525" s="396">
        <f t="shared" si="45"/>
        <v>2060.9111428571427</v>
      </c>
      <c r="T525" s="419" t="s">
        <v>542</v>
      </c>
      <c r="U525" s="419">
        <v>15</v>
      </c>
      <c r="V525" s="419">
        <v>5</v>
      </c>
      <c r="W525" s="419">
        <v>0.7</v>
      </c>
      <c r="X525" s="419">
        <v>0.7</v>
      </c>
      <c r="Y525" s="419">
        <v>0.7</v>
      </c>
      <c r="Z525" s="422">
        <v>1700</v>
      </c>
      <c r="AA525" s="422" t="s">
        <v>533</v>
      </c>
      <c r="AB525" s="422">
        <v>0.85</v>
      </c>
      <c r="AC525" s="422" t="s">
        <v>534</v>
      </c>
      <c r="AD525" s="422" t="s">
        <v>535</v>
      </c>
      <c r="AE525" s="422">
        <v>220</v>
      </c>
      <c r="AF525" s="423"/>
      <c r="AG525" s="423"/>
    </row>
    <row r="526" spans="1:33" ht="15" customHeight="1">
      <c r="A526" s="418" t="s">
        <v>628</v>
      </c>
      <c r="B526" s="419">
        <v>14</v>
      </c>
      <c r="C526" s="419">
        <v>586</v>
      </c>
      <c r="D526" s="419" t="s">
        <v>561</v>
      </c>
      <c r="E526" s="419">
        <v>1.5</v>
      </c>
      <c r="F526" s="420">
        <v>45348.605555555558</v>
      </c>
      <c r="G526" s="419">
        <v>1</v>
      </c>
      <c r="H526" s="419">
        <v>51.377400000000002</v>
      </c>
      <c r="I526" s="419">
        <v>7.5925900000000004</v>
      </c>
      <c r="J526" s="419">
        <v>-17.7544</v>
      </c>
      <c r="K526" s="419">
        <v>-16.940100000000001</v>
      </c>
      <c r="L526" s="419">
        <v>974.32100000000003</v>
      </c>
      <c r="M526" s="419">
        <v>137.49950000000001</v>
      </c>
      <c r="N526" s="419">
        <v>17696.419999999998</v>
      </c>
      <c r="O526" s="419">
        <v>17703.349999999999</v>
      </c>
      <c r="P526" s="421">
        <v>2054.931</v>
      </c>
      <c r="Q526" s="396" t="s">
        <v>18</v>
      </c>
      <c r="R526" s="421">
        <f t="shared" si="47"/>
        <v>5.9801428571428401</v>
      </c>
      <c r="S526" s="396">
        <f t="shared" si="45"/>
        <v>2060.9111428571427</v>
      </c>
      <c r="T526" s="419" t="s">
        <v>532</v>
      </c>
      <c r="U526" s="419">
        <v>15</v>
      </c>
      <c r="V526" s="419">
        <v>5</v>
      </c>
      <c r="W526" s="419">
        <v>0.7</v>
      </c>
      <c r="X526" s="419">
        <v>0.7</v>
      </c>
      <c r="Y526" s="419">
        <v>0.7</v>
      </c>
      <c r="Z526" s="422">
        <v>1700</v>
      </c>
      <c r="AA526" s="422" t="s">
        <v>533</v>
      </c>
      <c r="AB526" s="422">
        <v>0.85</v>
      </c>
      <c r="AC526" s="422" t="s">
        <v>534</v>
      </c>
      <c r="AD526" s="422" t="s">
        <v>535</v>
      </c>
      <c r="AE526" s="422">
        <v>220</v>
      </c>
      <c r="AF526" s="423"/>
      <c r="AG526" s="423"/>
    </row>
    <row r="527" spans="1:33" ht="15" customHeight="1">
      <c r="A527" s="418" t="s">
        <v>725</v>
      </c>
      <c r="B527" s="419">
        <v>14</v>
      </c>
      <c r="C527" s="419">
        <v>586</v>
      </c>
      <c r="D527" s="419" t="s">
        <v>561</v>
      </c>
      <c r="E527" s="419">
        <v>1.5</v>
      </c>
      <c r="F527" s="420">
        <v>45348.609027777777</v>
      </c>
      <c r="G527" s="419">
        <v>1</v>
      </c>
      <c r="H527" s="419">
        <v>51.374099999999999</v>
      </c>
      <c r="I527" s="419">
        <v>7.51607</v>
      </c>
      <c r="J527" s="419">
        <v>-17.690000000000001</v>
      </c>
      <c r="K527" s="419">
        <v>-16.846399999999999</v>
      </c>
      <c r="L527" s="419">
        <v>986.18899999999996</v>
      </c>
      <c r="M527" s="419">
        <v>122.99890000000001</v>
      </c>
      <c r="N527" s="419">
        <v>17701.95</v>
      </c>
      <c r="O527" s="419">
        <v>17703.349999999999</v>
      </c>
      <c r="P527" s="421">
        <v>2054.931</v>
      </c>
      <c r="Q527" s="396" t="s">
        <v>18</v>
      </c>
      <c r="R527" s="421">
        <f t="shared" si="47"/>
        <v>5.9801428571428401</v>
      </c>
      <c r="S527" s="396">
        <f t="shared" si="45"/>
        <v>2060.9111428571427</v>
      </c>
      <c r="T527" s="419" t="s">
        <v>532</v>
      </c>
      <c r="U527" s="419">
        <v>15</v>
      </c>
      <c r="V527" s="419">
        <v>5</v>
      </c>
      <c r="W527" s="419">
        <v>0.7</v>
      </c>
      <c r="X527" s="419">
        <v>0.7</v>
      </c>
      <c r="Y527" s="419">
        <v>0.7</v>
      </c>
      <c r="Z527" s="422">
        <v>1700</v>
      </c>
      <c r="AA527" s="422" t="s">
        <v>533</v>
      </c>
      <c r="AB527" s="422">
        <v>0.85</v>
      </c>
      <c r="AC527" s="422" t="s">
        <v>534</v>
      </c>
      <c r="AD527" s="422" t="s">
        <v>535</v>
      </c>
      <c r="AE527" s="422">
        <v>220</v>
      </c>
      <c r="AF527" s="423"/>
      <c r="AG527" s="423"/>
    </row>
    <row r="528" spans="1:33" ht="15" customHeight="1">
      <c r="A528" s="418" t="s">
        <v>629</v>
      </c>
      <c r="B528" s="419">
        <v>15</v>
      </c>
      <c r="C528" s="419">
        <v>587</v>
      </c>
      <c r="D528" s="419" t="s">
        <v>565</v>
      </c>
      <c r="E528" s="419">
        <v>1.5</v>
      </c>
      <c r="F528" s="420">
        <v>45348.613194444442</v>
      </c>
      <c r="G528" s="419">
        <v>1</v>
      </c>
      <c r="H528" s="419">
        <v>51.374099999999999</v>
      </c>
      <c r="I528" s="419">
        <v>7.5676100000000002</v>
      </c>
      <c r="J528" s="419">
        <v>-17.5627</v>
      </c>
      <c r="K528" s="419">
        <v>-16.720700000000001</v>
      </c>
      <c r="L528" s="419">
        <v>1000.24</v>
      </c>
      <c r="M528" s="419">
        <v>130.00129999999999</v>
      </c>
      <c r="N528" s="419">
        <v>17695.75</v>
      </c>
      <c r="O528" s="419">
        <v>17696.080000000002</v>
      </c>
      <c r="P528" s="421">
        <v>2054.0940000000001</v>
      </c>
      <c r="Q528" s="396" t="s">
        <v>18</v>
      </c>
      <c r="R528" s="421">
        <f t="shared" si="47"/>
        <v>5.6032857142857084</v>
      </c>
      <c r="S528" s="396">
        <f t="shared" si="45"/>
        <v>2059.697285714286</v>
      </c>
      <c r="T528" s="419" t="s">
        <v>532</v>
      </c>
      <c r="U528" s="419">
        <v>15</v>
      </c>
      <c r="V528" s="419">
        <v>5</v>
      </c>
      <c r="W528" s="419">
        <v>0.7</v>
      </c>
      <c r="X528" s="419">
        <v>0.7</v>
      </c>
      <c r="Y528" s="419">
        <v>0.7</v>
      </c>
      <c r="Z528" s="422">
        <v>1700</v>
      </c>
      <c r="AA528" s="422" t="s">
        <v>533</v>
      </c>
      <c r="AB528" s="422">
        <v>0.85</v>
      </c>
      <c r="AC528" s="422" t="s">
        <v>534</v>
      </c>
      <c r="AD528" s="422" t="s">
        <v>535</v>
      </c>
      <c r="AE528" s="422">
        <v>220</v>
      </c>
      <c r="AF528" s="423"/>
      <c r="AG528" s="423"/>
    </row>
    <row r="529" spans="1:33" ht="15" customHeight="1">
      <c r="A529" s="418" t="s">
        <v>630</v>
      </c>
      <c r="B529" s="419">
        <v>15</v>
      </c>
      <c r="C529" s="419">
        <v>587</v>
      </c>
      <c r="D529" s="419" t="s">
        <v>565</v>
      </c>
      <c r="E529" s="419">
        <v>1.5</v>
      </c>
      <c r="F529" s="420">
        <v>45348.616666666669</v>
      </c>
      <c r="G529" s="419">
        <v>1</v>
      </c>
      <c r="H529" s="419">
        <v>51.3675</v>
      </c>
      <c r="I529" s="419">
        <v>7.5614800000000004</v>
      </c>
      <c r="J529" s="419">
        <v>-17.569400000000002</v>
      </c>
      <c r="K529" s="419">
        <v>-16.720400000000001</v>
      </c>
      <c r="L529" s="419">
        <v>974.85400000000004</v>
      </c>
      <c r="M529" s="419">
        <v>120.0009</v>
      </c>
      <c r="N529" s="419">
        <v>17704.18</v>
      </c>
      <c r="O529" s="419">
        <v>17696.080000000002</v>
      </c>
      <c r="P529" s="421">
        <v>2054.0940000000001</v>
      </c>
      <c r="Q529" s="396" t="s">
        <v>18</v>
      </c>
      <c r="R529" s="421">
        <f t="shared" si="47"/>
        <v>5.6032857142857084</v>
      </c>
      <c r="S529" s="396">
        <f t="shared" si="45"/>
        <v>2059.697285714286</v>
      </c>
      <c r="T529" s="419" t="s">
        <v>532</v>
      </c>
      <c r="U529" s="419">
        <v>15</v>
      </c>
      <c r="V529" s="419">
        <v>5</v>
      </c>
      <c r="W529" s="419">
        <v>0.7</v>
      </c>
      <c r="X529" s="419">
        <v>0.7</v>
      </c>
      <c r="Y529" s="419">
        <v>0.7</v>
      </c>
      <c r="Z529" s="422">
        <v>1700</v>
      </c>
      <c r="AA529" s="422" t="s">
        <v>533</v>
      </c>
      <c r="AB529" s="422">
        <v>0.85</v>
      </c>
      <c r="AC529" s="422" t="s">
        <v>534</v>
      </c>
      <c r="AD529" s="422" t="s">
        <v>535</v>
      </c>
      <c r="AE529" s="422">
        <v>220</v>
      </c>
      <c r="AF529" s="423"/>
      <c r="AG529" s="423"/>
    </row>
    <row r="530" spans="1:33" ht="15" customHeight="1">
      <c r="A530" s="418" t="s">
        <v>631</v>
      </c>
      <c r="B530" s="419">
        <v>15</v>
      </c>
      <c r="C530" s="419">
        <v>587</v>
      </c>
      <c r="D530" s="419" t="s">
        <v>565</v>
      </c>
      <c r="E530" s="419">
        <v>1.5</v>
      </c>
      <c r="F530" s="420">
        <v>45348.620138888888</v>
      </c>
      <c r="G530" s="419">
        <v>1</v>
      </c>
      <c r="H530" s="419">
        <v>51.374099999999999</v>
      </c>
      <c r="I530" s="419">
        <v>7.5826700000000002</v>
      </c>
      <c r="J530" s="419">
        <v>-17.6221</v>
      </c>
      <c r="K530" s="419">
        <v>-16.775600000000001</v>
      </c>
      <c r="L530" s="419">
        <v>967.69</v>
      </c>
      <c r="M530" s="419">
        <v>123.0018</v>
      </c>
      <c r="N530" s="419">
        <v>17688.32</v>
      </c>
      <c r="O530" s="419">
        <v>17696.080000000002</v>
      </c>
      <c r="P530" s="421">
        <v>2054.0940000000001</v>
      </c>
      <c r="Q530" s="396" t="s">
        <v>18</v>
      </c>
      <c r="R530" s="421">
        <f t="shared" si="47"/>
        <v>5.6032857142857084</v>
      </c>
      <c r="S530" s="396">
        <f t="shared" si="45"/>
        <v>2059.697285714286</v>
      </c>
      <c r="T530" s="419" t="s">
        <v>532</v>
      </c>
      <c r="U530" s="419">
        <v>15</v>
      </c>
      <c r="V530" s="419">
        <v>5</v>
      </c>
      <c r="W530" s="419">
        <v>0.7</v>
      </c>
      <c r="X530" s="419">
        <v>0.7</v>
      </c>
      <c r="Y530" s="419">
        <v>0.7</v>
      </c>
      <c r="Z530" s="422">
        <v>1700</v>
      </c>
      <c r="AA530" s="422" t="s">
        <v>533</v>
      </c>
      <c r="AB530" s="422">
        <v>0.85</v>
      </c>
      <c r="AC530" s="422" t="s">
        <v>534</v>
      </c>
      <c r="AD530" s="422" t="s">
        <v>535</v>
      </c>
      <c r="AE530" s="422">
        <v>220</v>
      </c>
      <c r="AF530" s="423"/>
      <c r="AG530" s="423"/>
    </row>
    <row r="531" spans="1:33" ht="15" customHeight="1">
      <c r="A531" s="418" t="s">
        <v>633</v>
      </c>
      <c r="B531" s="419">
        <v>16</v>
      </c>
      <c r="C531" s="419">
        <v>612</v>
      </c>
      <c r="D531" s="419" t="s">
        <v>569</v>
      </c>
      <c r="E531" s="419">
        <v>1.5</v>
      </c>
      <c r="F531" s="420">
        <v>45348.624305555553</v>
      </c>
      <c r="G531" s="419">
        <v>1</v>
      </c>
      <c r="H531" s="419">
        <v>51.364100000000001</v>
      </c>
      <c r="I531" s="419">
        <v>7.5897699999999997</v>
      </c>
      <c r="J531" s="419">
        <v>-17.712900000000001</v>
      </c>
      <c r="K531" s="419">
        <v>-16.872399999999999</v>
      </c>
      <c r="L531" s="419">
        <v>987.99400000000003</v>
      </c>
      <c r="M531" s="419">
        <v>137.0001</v>
      </c>
      <c r="N531" s="419">
        <v>17687.72</v>
      </c>
      <c r="O531" s="419">
        <v>17700.14</v>
      </c>
      <c r="P531" s="421">
        <v>2054.5610000000001</v>
      </c>
      <c r="Q531" s="396" t="s">
        <v>18</v>
      </c>
      <c r="R531" s="421">
        <f t="shared" si="47"/>
        <v>5.2264285714285759</v>
      </c>
      <c r="S531" s="396">
        <f t="shared" si="45"/>
        <v>2059.7874285714288</v>
      </c>
      <c r="T531" s="419" t="s">
        <v>532</v>
      </c>
      <c r="U531" s="419">
        <v>15</v>
      </c>
      <c r="V531" s="419">
        <v>5</v>
      </c>
      <c r="W531" s="419">
        <v>0.7</v>
      </c>
      <c r="X531" s="419">
        <v>0.7</v>
      </c>
      <c r="Y531" s="419">
        <v>0.7</v>
      </c>
      <c r="Z531" s="422">
        <v>1700</v>
      </c>
      <c r="AA531" s="422" t="s">
        <v>533</v>
      </c>
      <c r="AB531" s="422">
        <v>0.85</v>
      </c>
      <c r="AC531" s="422" t="s">
        <v>534</v>
      </c>
      <c r="AD531" s="422" t="s">
        <v>535</v>
      </c>
      <c r="AE531" s="422">
        <v>220</v>
      </c>
      <c r="AF531" s="423"/>
      <c r="AG531" s="423"/>
    </row>
    <row r="532" spans="1:33" ht="15" customHeight="1">
      <c r="A532" s="418" t="s">
        <v>634</v>
      </c>
      <c r="B532" s="419">
        <v>16</v>
      </c>
      <c r="C532" s="419">
        <v>612</v>
      </c>
      <c r="D532" s="419" t="s">
        <v>569</v>
      </c>
      <c r="E532" s="419">
        <v>1.5</v>
      </c>
      <c r="F532" s="420">
        <v>45348.628472222219</v>
      </c>
      <c r="G532" s="419">
        <v>1</v>
      </c>
      <c r="H532" s="419">
        <v>51.377400000000002</v>
      </c>
      <c r="I532" s="419">
        <v>7.6548699999999998</v>
      </c>
      <c r="J532" s="419">
        <v>-17.701000000000001</v>
      </c>
      <c r="K532" s="419">
        <v>-16.8796</v>
      </c>
      <c r="L532" s="419">
        <v>992.94600000000003</v>
      </c>
      <c r="M532" s="419">
        <v>134.49879999999999</v>
      </c>
      <c r="N532" s="419">
        <v>17664.86</v>
      </c>
      <c r="O532" s="419">
        <v>17700.14</v>
      </c>
      <c r="P532" s="421">
        <v>2054.5610000000001</v>
      </c>
      <c r="Q532" s="396" t="s">
        <v>18</v>
      </c>
      <c r="R532" s="421">
        <f t="shared" si="47"/>
        <v>5.2264285714285759</v>
      </c>
      <c r="S532" s="396">
        <f t="shared" si="45"/>
        <v>2059.7874285714288</v>
      </c>
      <c r="T532" s="419" t="s">
        <v>542</v>
      </c>
      <c r="U532" s="419">
        <v>15</v>
      </c>
      <c r="V532" s="419">
        <v>5</v>
      </c>
      <c r="W532" s="419">
        <v>0.7</v>
      </c>
      <c r="X532" s="419">
        <v>0.7</v>
      </c>
      <c r="Y532" s="419">
        <v>0.7</v>
      </c>
      <c r="Z532" s="422">
        <v>1700</v>
      </c>
      <c r="AA532" s="422" t="s">
        <v>533</v>
      </c>
      <c r="AB532" s="422">
        <v>0.85</v>
      </c>
      <c r="AC532" s="422" t="s">
        <v>534</v>
      </c>
      <c r="AD532" s="422" t="s">
        <v>535</v>
      </c>
      <c r="AE532" s="422">
        <v>220</v>
      </c>
      <c r="AF532" s="423"/>
      <c r="AG532" s="423"/>
    </row>
    <row r="533" spans="1:33" ht="15" customHeight="1">
      <c r="A533" s="418" t="s">
        <v>635</v>
      </c>
      <c r="B533" s="419">
        <v>16</v>
      </c>
      <c r="C533" s="419">
        <v>612</v>
      </c>
      <c r="D533" s="419" t="s">
        <v>569</v>
      </c>
      <c r="E533" s="419">
        <v>1.5</v>
      </c>
      <c r="F533" s="420">
        <v>45348.631944444445</v>
      </c>
      <c r="G533" s="419">
        <v>1</v>
      </c>
      <c r="H533" s="419">
        <v>51.374099999999999</v>
      </c>
      <c r="I533" s="419">
        <v>7.5135800000000001</v>
      </c>
      <c r="J533" s="419">
        <v>-17.700099999999999</v>
      </c>
      <c r="K533" s="419">
        <v>-16.871099999999998</v>
      </c>
      <c r="L533" s="419">
        <v>984.41600000000005</v>
      </c>
      <c r="M533" s="419">
        <v>119.5005</v>
      </c>
      <c r="N533" s="419">
        <v>17713.64</v>
      </c>
      <c r="O533" s="419">
        <v>17700.14</v>
      </c>
      <c r="P533" s="421">
        <v>2054.5610000000001</v>
      </c>
      <c r="Q533" s="396" t="s">
        <v>18</v>
      </c>
      <c r="R533" s="421">
        <f t="shared" si="47"/>
        <v>5.2264285714285759</v>
      </c>
      <c r="S533" s="396">
        <f t="shared" si="45"/>
        <v>2059.7874285714288</v>
      </c>
      <c r="T533" s="419" t="s">
        <v>532</v>
      </c>
      <c r="U533" s="419">
        <v>15</v>
      </c>
      <c r="V533" s="419">
        <v>5</v>
      </c>
      <c r="W533" s="419">
        <v>0.7</v>
      </c>
      <c r="X533" s="419">
        <v>0.7</v>
      </c>
      <c r="Y533" s="419">
        <v>0.7</v>
      </c>
      <c r="Z533" s="422">
        <v>1700</v>
      </c>
      <c r="AA533" s="422" t="s">
        <v>533</v>
      </c>
      <c r="AB533" s="422">
        <v>0.85</v>
      </c>
      <c r="AC533" s="422" t="s">
        <v>534</v>
      </c>
      <c r="AD533" s="422" t="s">
        <v>535</v>
      </c>
      <c r="AE533" s="422">
        <v>220</v>
      </c>
      <c r="AF533" s="423"/>
      <c r="AG533" s="423"/>
    </row>
    <row r="534" spans="1:33" ht="15" customHeight="1">
      <c r="A534" s="418" t="s">
        <v>636</v>
      </c>
      <c r="B534" s="419">
        <v>16</v>
      </c>
      <c r="C534" s="419">
        <v>612</v>
      </c>
      <c r="D534" s="419" t="s">
        <v>569</v>
      </c>
      <c r="E534" s="419">
        <v>1.5</v>
      </c>
      <c r="F534" s="420">
        <v>45348.635416666664</v>
      </c>
      <c r="G534" s="419">
        <v>1</v>
      </c>
      <c r="H534" s="419">
        <v>51.370800000000003</v>
      </c>
      <c r="I534" s="419">
        <v>7.41425</v>
      </c>
      <c r="J534" s="419">
        <v>-17.762</v>
      </c>
      <c r="K534" s="419">
        <v>-16.921500000000002</v>
      </c>
      <c r="L534" s="419">
        <v>975.01400000000001</v>
      </c>
      <c r="M534" s="419">
        <v>128.99850000000001</v>
      </c>
      <c r="N534" s="419">
        <v>17699.05</v>
      </c>
      <c r="O534" s="419">
        <v>17700.14</v>
      </c>
      <c r="P534" s="421">
        <v>2054.5610000000001</v>
      </c>
      <c r="Q534" s="396" t="s">
        <v>18</v>
      </c>
      <c r="R534" s="421">
        <f t="shared" si="47"/>
        <v>5.2264285714285759</v>
      </c>
      <c r="S534" s="396">
        <f t="shared" si="45"/>
        <v>2059.7874285714288</v>
      </c>
      <c r="T534" s="419" t="s">
        <v>532</v>
      </c>
      <c r="U534" s="419">
        <v>15</v>
      </c>
      <c r="V534" s="419">
        <v>5</v>
      </c>
      <c r="W534" s="419">
        <v>0.7</v>
      </c>
      <c r="X534" s="419">
        <v>0.7</v>
      </c>
      <c r="Y534" s="419">
        <v>0.7</v>
      </c>
      <c r="Z534" s="422">
        <v>1700</v>
      </c>
      <c r="AA534" s="422" t="s">
        <v>533</v>
      </c>
      <c r="AB534" s="422">
        <v>0.85</v>
      </c>
      <c r="AC534" s="422" t="s">
        <v>534</v>
      </c>
      <c r="AD534" s="422" t="s">
        <v>535</v>
      </c>
      <c r="AE534" s="422">
        <v>220</v>
      </c>
      <c r="AF534" s="423"/>
      <c r="AG534" s="423"/>
    </row>
    <row r="535" spans="1:33" ht="15" customHeight="1">
      <c r="A535" s="418" t="s">
        <v>638</v>
      </c>
      <c r="B535" s="419">
        <v>17</v>
      </c>
      <c r="C535" s="419">
        <v>613</v>
      </c>
      <c r="D535" s="419" t="s">
        <v>575</v>
      </c>
      <c r="E535" s="419">
        <v>1.5</v>
      </c>
      <c r="F535" s="420">
        <v>45348.63958333333</v>
      </c>
      <c r="G535" s="419">
        <v>1</v>
      </c>
      <c r="H535" s="419">
        <v>51.370800000000003</v>
      </c>
      <c r="I535" s="419">
        <v>7.5068400000000004</v>
      </c>
      <c r="J535" s="419">
        <v>-17.706199999999999</v>
      </c>
      <c r="K535" s="419">
        <v>-16.869199999999999</v>
      </c>
      <c r="L535" s="419">
        <v>986.48500000000001</v>
      </c>
      <c r="M535" s="419">
        <v>125.0005</v>
      </c>
      <c r="N535" s="419">
        <v>17691.18</v>
      </c>
      <c r="O535" s="419">
        <v>17691.2</v>
      </c>
      <c r="P535" s="421">
        <v>2053.5320000000002</v>
      </c>
      <c r="Q535" s="396" t="s">
        <v>18</v>
      </c>
      <c r="R535" s="421">
        <f t="shared" si="47"/>
        <v>4.849571428571446</v>
      </c>
      <c r="S535" s="396">
        <f t="shared" si="45"/>
        <v>2058.3815714285715</v>
      </c>
      <c r="T535" s="419" t="s">
        <v>532</v>
      </c>
      <c r="U535" s="419">
        <v>15</v>
      </c>
      <c r="V535" s="419">
        <v>5</v>
      </c>
      <c r="W535" s="419">
        <v>0.7</v>
      </c>
      <c r="X535" s="419">
        <v>0.7</v>
      </c>
      <c r="Y535" s="419">
        <v>0.7</v>
      </c>
      <c r="Z535" s="422">
        <v>1700</v>
      </c>
      <c r="AA535" s="422" t="s">
        <v>533</v>
      </c>
      <c r="AB535" s="422">
        <v>0.85</v>
      </c>
      <c r="AC535" s="422" t="s">
        <v>534</v>
      </c>
      <c r="AD535" s="422" t="s">
        <v>535</v>
      </c>
      <c r="AE535" s="422">
        <v>220</v>
      </c>
      <c r="AF535" s="423"/>
      <c r="AG535" s="423"/>
    </row>
    <row r="536" spans="1:33" ht="15" customHeight="1">
      <c r="A536" s="418" t="s">
        <v>639</v>
      </c>
      <c r="B536" s="419">
        <v>17</v>
      </c>
      <c r="C536" s="419">
        <v>613</v>
      </c>
      <c r="D536" s="419" t="s">
        <v>575</v>
      </c>
      <c r="E536" s="419">
        <v>1.5</v>
      </c>
      <c r="F536" s="420">
        <v>45348.643055555556</v>
      </c>
      <c r="G536" s="419">
        <v>1</v>
      </c>
      <c r="H536" s="419">
        <v>51.370800000000003</v>
      </c>
      <c r="I536" s="419">
        <v>7.55938</v>
      </c>
      <c r="J536" s="419">
        <v>-17.656700000000001</v>
      </c>
      <c r="K536" s="419">
        <v>-16.831499999999998</v>
      </c>
      <c r="L536" s="419">
        <v>979.01499999999999</v>
      </c>
      <c r="M536" s="419">
        <v>153.4999</v>
      </c>
      <c r="N536" s="419">
        <v>17701</v>
      </c>
      <c r="O536" s="419">
        <v>17691.2</v>
      </c>
      <c r="P536" s="421">
        <v>2053.5320000000002</v>
      </c>
      <c r="Q536" s="396" t="s">
        <v>18</v>
      </c>
      <c r="R536" s="421">
        <f t="shared" si="47"/>
        <v>4.849571428571446</v>
      </c>
      <c r="S536" s="396">
        <f t="shared" si="45"/>
        <v>2058.3815714285715</v>
      </c>
      <c r="T536" s="419" t="s">
        <v>532</v>
      </c>
      <c r="U536" s="419">
        <v>15</v>
      </c>
      <c r="V536" s="419">
        <v>5</v>
      </c>
      <c r="W536" s="419">
        <v>0.7</v>
      </c>
      <c r="X536" s="419">
        <v>0.7</v>
      </c>
      <c r="Y536" s="419">
        <v>0.7</v>
      </c>
      <c r="Z536" s="422">
        <v>1700</v>
      </c>
      <c r="AA536" s="422" t="s">
        <v>533</v>
      </c>
      <c r="AB536" s="422">
        <v>0.85</v>
      </c>
      <c r="AC536" s="422" t="s">
        <v>534</v>
      </c>
      <c r="AD536" s="422" t="s">
        <v>535</v>
      </c>
      <c r="AE536" s="422">
        <v>220</v>
      </c>
      <c r="AF536" s="423"/>
      <c r="AG536" s="423"/>
    </row>
    <row r="537" spans="1:33" ht="15" customHeight="1">
      <c r="A537" s="418" t="s">
        <v>640</v>
      </c>
      <c r="B537" s="419">
        <v>17</v>
      </c>
      <c r="C537" s="419">
        <v>613</v>
      </c>
      <c r="D537" s="419" t="s">
        <v>575</v>
      </c>
      <c r="E537" s="419">
        <v>1.5</v>
      </c>
      <c r="F537" s="420">
        <v>45348.647222222222</v>
      </c>
      <c r="G537" s="419">
        <v>1</v>
      </c>
      <c r="H537" s="419">
        <v>51.370800000000003</v>
      </c>
      <c r="I537" s="419">
        <v>7.5839299999999996</v>
      </c>
      <c r="J537" s="419">
        <v>-17.695399999999999</v>
      </c>
      <c r="K537" s="419">
        <v>-16.8626</v>
      </c>
      <c r="L537" s="419">
        <v>971.27300000000002</v>
      </c>
      <c r="M537" s="419">
        <v>128.4984</v>
      </c>
      <c r="N537" s="419">
        <v>17681.419999999998</v>
      </c>
      <c r="O537" s="419">
        <v>17691.2</v>
      </c>
      <c r="P537" s="421">
        <v>2053.5320000000002</v>
      </c>
      <c r="Q537" s="396" t="s">
        <v>18</v>
      </c>
      <c r="R537" s="421">
        <f t="shared" si="47"/>
        <v>4.849571428571446</v>
      </c>
      <c r="S537" s="396">
        <f t="shared" si="45"/>
        <v>2058.3815714285715</v>
      </c>
      <c r="T537" s="419" t="s">
        <v>532</v>
      </c>
      <c r="U537" s="419">
        <v>15</v>
      </c>
      <c r="V537" s="419">
        <v>5</v>
      </c>
      <c r="W537" s="419">
        <v>0.7</v>
      </c>
      <c r="X537" s="419">
        <v>0.7</v>
      </c>
      <c r="Y537" s="419">
        <v>0.7</v>
      </c>
      <c r="Z537" s="422">
        <v>1700</v>
      </c>
      <c r="AA537" s="422" t="s">
        <v>533</v>
      </c>
      <c r="AB537" s="422">
        <v>0.85</v>
      </c>
      <c r="AC537" s="422" t="s">
        <v>534</v>
      </c>
      <c r="AD537" s="422" t="s">
        <v>535</v>
      </c>
      <c r="AE537" s="422">
        <v>220</v>
      </c>
      <c r="AF537" s="423"/>
      <c r="AG537" s="423"/>
    </row>
    <row r="538" spans="1:33" ht="15" customHeight="1">
      <c r="A538" s="418" t="s">
        <v>643</v>
      </c>
      <c r="B538" s="419">
        <v>18</v>
      </c>
      <c r="C538" s="419">
        <v>534</v>
      </c>
      <c r="D538" s="419" t="s">
        <v>579</v>
      </c>
      <c r="E538" s="419">
        <v>1.5</v>
      </c>
      <c r="F538" s="420">
        <v>45348.651388888888</v>
      </c>
      <c r="G538" s="419">
        <v>1</v>
      </c>
      <c r="H538" s="419">
        <v>51.380699999999997</v>
      </c>
      <c r="I538" s="419">
        <v>7.5565499999999997</v>
      </c>
      <c r="J538" s="419">
        <v>-17.653300000000002</v>
      </c>
      <c r="K538" s="419">
        <v>-16.810300000000002</v>
      </c>
      <c r="L538" s="419">
        <v>980.26499999999999</v>
      </c>
      <c r="M538" s="419">
        <v>120</v>
      </c>
      <c r="N538" s="419">
        <v>17684.900000000001</v>
      </c>
      <c r="O538" s="419">
        <v>17678.22</v>
      </c>
      <c r="P538" s="421">
        <v>2052.038</v>
      </c>
      <c r="Q538" s="396" t="s">
        <v>18</v>
      </c>
      <c r="R538" s="421">
        <f t="shared" si="47"/>
        <v>4.4727142857143143</v>
      </c>
      <c r="S538" s="396">
        <f t="shared" si="45"/>
        <v>2056.5107142857141</v>
      </c>
      <c r="T538" s="419" t="s">
        <v>532</v>
      </c>
      <c r="U538" s="419">
        <v>15</v>
      </c>
      <c r="V538" s="419">
        <v>5</v>
      </c>
      <c r="W538" s="419">
        <v>0.7</v>
      </c>
      <c r="X538" s="419">
        <v>0.7</v>
      </c>
      <c r="Y538" s="419">
        <v>0.7</v>
      </c>
      <c r="Z538" s="422">
        <v>1700</v>
      </c>
      <c r="AA538" s="422" t="s">
        <v>533</v>
      </c>
      <c r="AB538" s="422">
        <v>0.85</v>
      </c>
      <c r="AC538" s="422" t="s">
        <v>534</v>
      </c>
      <c r="AD538" s="422" t="s">
        <v>535</v>
      </c>
      <c r="AE538" s="422">
        <v>220</v>
      </c>
      <c r="AF538" s="423"/>
      <c r="AG538" s="423"/>
    </row>
    <row r="539" spans="1:33" ht="15" customHeight="1">
      <c r="A539" s="418" t="s">
        <v>644</v>
      </c>
      <c r="B539" s="419">
        <v>18</v>
      </c>
      <c r="C539" s="419">
        <v>534</v>
      </c>
      <c r="D539" s="419" t="s">
        <v>579</v>
      </c>
      <c r="E539" s="419">
        <v>1.5</v>
      </c>
      <c r="F539" s="420">
        <v>45348.654861111114</v>
      </c>
      <c r="G539" s="419">
        <v>1</v>
      </c>
      <c r="H539" s="419">
        <v>51.3675</v>
      </c>
      <c r="I539" s="419">
        <v>7.5346399999999996</v>
      </c>
      <c r="J539" s="419">
        <v>-17.6584</v>
      </c>
      <c r="K539" s="419">
        <v>-16.811699999999998</v>
      </c>
      <c r="L539" s="419">
        <v>980.73500000000001</v>
      </c>
      <c r="M539" s="419">
        <v>125.49979999999999</v>
      </c>
      <c r="N539" s="419">
        <v>17729.439999999999</v>
      </c>
      <c r="O539" s="419">
        <v>17678.22</v>
      </c>
      <c r="P539" s="421">
        <v>2052.038</v>
      </c>
      <c r="Q539" s="396" t="s">
        <v>18</v>
      </c>
      <c r="R539" s="421">
        <f t="shared" si="47"/>
        <v>4.4727142857143143</v>
      </c>
      <c r="S539" s="396">
        <f t="shared" si="45"/>
        <v>2056.5107142857141</v>
      </c>
      <c r="T539" s="419" t="s">
        <v>542</v>
      </c>
      <c r="U539" s="419">
        <v>15</v>
      </c>
      <c r="V539" s="419">
        <v>5</v>
      </c>
      <c r="W539" s="419">
        <v>0.7</v>
      </c>
      <c r="X539" s="419">
        <v>0.7</v>
      </c>
      <c r="Y539" s="419">
        <v>0.7</v>
      </c>
      <c r="Z539" s="422">
        <v>1700</v>
      </c>
      <c r="AA539" s="422" t="s">
        <v>533</v>
      </c>
      <c r="AB539" s="422">
        <v>0.85</v>
      </c>
      <c r="AC539" s="422" t="s">
        <v>534</v>
      </c>
      <c r="AD539" s="422" t="s">
        <v>535</v>
      </c>
      <c r="AE539" s="422">
        <v>220</v>
      </c>
      <c r="AF539" s="423"/>
      <c r="AG539" s="423"/>
    </row>
    <row r="540" spans="1:33" ht="15" customHeight="1">
      <c r="A540" s="418" t="s">
        <v>645</v>
      </c>
      <c r="B540" s="419">
        <v>18</v>
      </c>
      <c r="C540" s="419">
        <v>534</v>
      </c>
      <c r="D540" s="419" t="s">
        <v>579</v>
      </c>
      <c r="E540" s="419">
        <v>1.5</v>
      </c>
      <c r="F540" s="420">
        <v>45348.658333333333</v>
      </c>
      <c r="G540" s="419">
        <v>1</v>
      </c>
      <c r="H540" s="419">
        <v>51.377400000000002</v>
      </c>
      <c r="I540" s="419">
        <v>7.5147500000000003</v>
      </c>
      <c r="J540" s="419">
        <v>-17.610199999999999</v>
      </c>
      <c r="K540" s="419">
        <v>-16.7835</v>
      </c>
      <c r="L540" s="419">
        <v>968.40700000000004</v>
      </c>
      <c r="M540" s="419">
        <v>123.0005</v>
      </c>
      <c r="N540" s="419">
        <v>17670.62</v>
      </c>
      <c r="O540" s="419">
        <v>17678.22</v>
      </c>
      <c r="P540" s="421">
        <v>2052.038</v>
      </c>
      <c r="Q540" s="396" t="s">
        <v>18</v>
      </c>
      <c r="R540" s="421">
        <f t="shared" si="47"/>
        <v>4.4727142857143143</v>
      </c>
      <c r="S540" s="396">
        <f t="shared" si="45"/>
        <v>2056.5107142857141</v>
      </c>
      <c r="T540" s="419" t="s">
        <v>532</v>
      </c>
      <c r="U540" s="419">
        <v>15</v>
      </c>
      <c r="V540" s="419">
        <v>5</v>
      </c>
      <c r="W540" s="419">
        <v>0.7</v>
      </c>
      <c r="X540" s="419">
        <v>0.7</v>
      </c>
      <c r="Y540" s="419">
        <v>0.7</v>
      </c>
      <c r="Z540" s="422">
        <v>1700</v>
      </c>
      <c r="AA540" s="422" t="s">
        <v>533</v>
      </c>
      <c r="AB540" s="422">
        <v>0.85</v>
      </c>
      <c r="AC540" s="422" t="s">
        <v>534</v>
      </c>
      <c r="AD540" s="422" t="s">
        <v>535</v>
      </c>
      <c r="AE540" s="422">
        <v>220</v>
      </c>
      <c r="AF540" s="423"/>
      <c r="AG540" s="423"/>
    </row>
    <row r="541" spans="1:33" ht="15" customHeight="1">
      <c r="A541" s="418" t="s">
        <v>708</v>
      </c>
      <c r="B541" s="419">
        <v>18</v>
      </c>
      <c r="C541" s="419">
        <v>534</v>
      </c>
      <c r="D541" s="419" t="s">
        <v>579</v>
      </c>
      <c r="E541" s="419">
        <v>1.5</v>
      </c>
      <c r="F541" s="420">
        <v>45348.661805555559</v>
      </c>
      <c r="G541" s="419">
        <v>1</v>
      </c>
      <c r="H541" s="419">
        <v>51.374099999999999</v>
      </c>
      <c r="I541" s="419">
        <v>7.6336300000000001</v>
      </c>
      <c r="J541" s="419">
        <v>-17.563500000000001</v>
      </c>
      <c r="K541" s="419">
        <v>-16.722200000000001</v>
      </c>
      <c r="L541" s="419">
        <v>994.92600000000004</v>
      </c>
      <c r="M541" s="419">
        <v>124.49939999999999</v>
      </c>
      <c r="N541" s="419">
        <v>17679.150000000001</v>
      </c>
      <c r="O541" s="419">
        <v>17678.22</v>
      </c>
      <c r="P541" s="421">
        <v>2052.038</v>
      </c>
      <c r="Q541" s="396" t="s">
        <v>18</v>
      </c>
      <c r="R541" s="421">
        <f t="shared" si="47"/>
        <v>4.4727142857143143</v>
      </c>
      <c r="S541" s="396">
        <f t="shared" si="45"/>
        <v>2056.5107142857141</v>
      </c>
      <c r="T541" s="419" t="s">
        <v>532</v>
      </c>
      <c r="U541" s="419">
        <v>15</v>
      </c>
      <c r="V541" s="419">
        <v>5</v>
      </c>
      <c r="W541" s="419">
        <v>0.7</v>
      </c>
      <c r="X541" s="419">
        <v>0.7</v>
      </c>
      <c r="Y541" s="419">
        <v>0.7</v>
      </c>
      <c r="Z541" s="422">
        <v>1700</v>
      </c>
      <c r="AA541" s="422" t="s">
        <v>533</v>
      </c>
      <c r="AB541" s="422">
        <v>0.85</v>
      </c>
      <c r="AC541" s="422" t="s">
        <v>534</v>
      </c>
      <c r="AD541" s="422" t="s">
        <v>535</v>
      </c>
      <c r="AE541" s="422">
        <v>220</v>
      </c>
      <c r="AF541" s="423"/>
      <c r="AG541" s="423"/>
    </row>
    <row r="542" spans="1:33" ht="15" customHeight="1">
      <c r="A542" s="418" t="s">
        <v>646</v>
      </c>
      <c r="B542" s="419">
        <v>19</v>
      </c>
      <c r="C542" s="419">
        <v>535</v>
      </c>
      <c r="D542" s="419" t="s">
        <v>585</v>
      </c>
      <c r="E542" s="419">
        <v>1.5</v>
      </c>
      <c r="F542" s="420">
        <v>45348.665972222225</v>
      </c>
      <c r="G542" s="419">
        <v>1</v>
      </c>
      <c r="H542" s="419">
        <v>51.374099999999999</v>
      </c>
      <c r="I542" s="419">
        <v>7.5904499999999997</v>
      </c>
      <c r="J542" s="419">
        <v>-17.718800000000002</v>
      </c>
      <c r="K542" s="419">
        <v>-16.873100000000001</v>
      </c>
      <c r="L542" s="419">
        <v>984.50300000000004</v>
      </c>
      <c r="M542" s="419">
        <v>122.49979999999999</v>
      </c>
      <c r="N542" s="419">
        <v>17687.13</v>
      </c>
      <c r="O542" s="419">
        <v>17682.43</v>
      </c>
      <c r="P542" s="421">
        <v>2052.5219999999999</v>
      </c>
      <c r="Q542" s="396" t="s">
        <v>18</v>
      </c>
      <c r="R542" s="421">
        <f t="shared" si="47"/>
        <v>4.0958571428571826</v>
      </c>
      <c r="S542" s="396">
        <f t="shared" si="45"/>
        <v>2056.6178571428572</v>
      </c>
      <c r="T542" s="419" t="s">
        <v>532</v>
      </c>
      <c r="U542" s="419">
        <v>15</v>
      </c>
      <c r="V542" s="419">
        <v>5</v>
      </c>
      <c r="W542" s="419">
        <v>0.7</v>
      </c>
      <c r="X542" s="419">
        <v>0.7</v>
      </c>
      <c r="Y542" s="419">
        <v>0.7</v>
      </c>
      <c r="Z542" s="422">
        <v>1700</v>
      </c>
      <c r="AA542" s="422" t="s">
        <v>533</v>
      </c>
      <c r="AB542" s="422">
        <v>0.85</v>
      </c>
      <c r="AC542" s="422" t="s">
        <v>534</v>
      </c>
      <c r="AD542" s="422" t="s">
        <v>535</v>
      </c>
      <c r="AE542" s="422">
        <v>220</v>
      </c>
      <c r="AF542" s="423"/>
      <c r="AG542" s="423"/>
    </row>
    <row r="543" spans="1:33" ht="15" customHeight="1">
      <c r="A543" s="418" t="s">
        <v>647</v>
      </c>
      <c r="B543" s="419">
        <v>19</v>
      </c>
      <c r="C543" s="419">
        <v>535</v>
      </c>
      <c r="D543" s="419" t="s">
        <v>585</v>
      </c>
      <c r="E543" s="419">
        <v>1.5</v>
      </c>
      <c r="F543" s="420">
        <v>45348.670138888891</v>
      </c>
      <c r="G543" s="419">
        <v>1</v>
      </c>
      <c r="H543" s="419">
        <v>51.374099999999999</v>
      </c>
      <c r="I543" s="419">
        <v>7.6510300000000004</v>
      </c>
      <c r="J543" s="419">
        <v>-17.650400000000001</v>
      </c>
      <c r="K543" s="419">
        <v>-16.8141</v>
      </c>
      <c r="L543" s="419">
        <v>984.07600000000002</v>
      </c>
      <c r="M543" s="419">
        <v>123.0001</v>
      </c>
      <c r="N543" s="419">
        <v>17681.900000000001</v>
      </c>
      <c r="O543" s="419">
        <v>17682.43</v>
      </c>
      <c r="P543" s="421">
        <v>2052.5219999999999</v>
      </c>
      <c r="Q543" s="396" t="s">
        <v>18</v>
      </c>
      <c r="R543" s="421">
        <f t="shared" si="47"/>
        <v>4.0958571428571826</v>
      </c>
      <c r="S543" s="396">
        <f t="shared" si="45"/>
        <v>2056.6178571428572</v>
      </c>
      <c r="T543" s="419" t="s">
        <v>532</v>
      </c>
      <c r="U543" s="419">
        <v>15</v>
      </c>
      <c r="V543" s="419">
        <v>5</v>
      </c>
      <c r="W543" s="419">
        <v>0.7</v>
      </c>
      <c r="X543" s="419">
        <v>0.7</v>
      </c>
      <c r="Y543" s="419">
        <v>0.7</v>
      </c>
      <c r="Z543" s="422">
        <v>1700</v>
      </c>
      <c r="AA543" s="422" t="s">
        <v>533</v>
      </c>
      <c r="AB543" s="422">
        <v>0.85</v>
      </c>
      <c r="AC543" s="422" t="s">
        <v>534</v>
      </c>
      <c r="AD543" s="422" t="s">
        <v>535</v>
      </c>
      <c r="AE543" s="422">
        <v>220</v>
      </c>
      <c r="AF543" s="423"/>
      <c r="AG543" s="423"/>
    </row>
    <row r="544" spans="1:33" ht="15" customHeight="1">
      <c r="A544" s="418" t="s">
        <v>648</v>
      </c>
      <c r="B544" s="419">
        <v>19</v>
      </c>
      <c r="C544" s="419">
        <v>535</v>
      </c>
      <c r="D544" s="419" t="s">
        <v>585</v>
      </c>
      <c r="E544" s="419">
        <v>1.5</v>
      </c>
      <c r="F544" s="420">
        <v>45348.673611111109</v>
      </c>
      <c r="G544" s="419">
        <v>1</v>
      </c>
      <c r="H544" s="419">
        <v>51.370800000000003</v>
      </c>
      <c r="I544" s="419">
        <v>7.5289799999999998</v>
      </c>
      <c r="J544" s="419">
        <v>-17.605399999999999</v>
      </c>
      <c r="K544" s="419">
        <v>-16.7654</v>
      </c>
      <c r="L544" s="419">
        <v>977.94500000000005</v>
      </c>
      <c r="M544" s="419">
        <v>129.00040000000001</v>
      </c>
      <c r="N544" s="419">
        <v>17678.259999999998</v>
      </c>
      <c r="O544" s="419">
        <v>17682.43</v>
      </c>
      <c r="P544" s="421">
        <v>2052.5219999999999</v>
      </c>
      <c r="Q544" s="396" t="s">
        <v>18</v>
      </c>
      <c r="R544" s="421">
        <f t="shared" si="47"/>
        <v>4.0958571428571826</v>
      </c>
      <c r="S544" s="396">
        <f t="shared" si="45"/>
        <v>2056.6178571428572</v>
      </c>
      <c r="T544" s="419" t="s">
        <v>532</v>
      </c>
      <c r="U544" s="419">
        <v>15</v>
      </c>
      <c r="V544" s="419">
        <v>5</v>
      </c>
      <c r="W544" s="419">
        <v>0.7</v>
      </c>
      <c r="X544" s="419">
        <v>0.7</v>
      </c>
      <c r="Y544" s="419">
        <v>0.7</v>
      </c>
      <c r="Z544" s="422">
        <v>1700</v>
      </c>
      <c r="AA544" s="422" t="s">
        <v>533</v>
      </c>
      <c r="AB544" s="422">
        <v>0.85</v>
      </c>
      <c r="AC544" s="422" t="s">
        <v>534</v>
      </c>
      <c r="AD544" s="422" t="s">
        <v>535</v>
      </c>
      <c r="AE544" s="422">
        <v>220</v>
      </c>
      <c r="AF544" s="423"/>
      <c r="AG544" s="423"/>
    </row>
    <row r="545" spans="1:33" ht="15" customHeight="1">
      <c r="A545" s="418" t="s">
        <v>651</v>
      </c>
      <c r="B545" s="419">
        <v>20</v>
      </c>
      <c r="C545" s="419" t="s">
        <v>755</v>
      </c>
      <c r="D545" s="419" t="s">
        <v>531</v>
      </c>
      <c r="E545" s="419">
        <v>1.5</v>
      </c>
      <c r="F545" s="420">
        <v>45348.677777777775</v>
      </c>
      <c r="G545" s="419">
        <v>1</v>
      </c>
      <c r="H545" s="419">
        <v>51.374099999999999</v>
      </c>
      <c r="I545" s="419">
        <v>7.4757800000000003</v>
      </c>
      <c r="J545" s="419">
        <v>-17.689699999999998</v>
      </c>
      <c r="K545" s="419">
        <v>-16.855899999999998</v>
      </c>
      <c r="L545" s="419">
        <v>981.13699999999994</v>
      </c>
      <c r="M545" s="419">
        <v>123.9992</v>
      </c>
      <c r="N545" s="419">
        <v>17778.13</v>
      </c>
      <c r="O545" s="419">
        <v>17805.419999999998</v>
      </c>
      <c r="P545" s="421">
        <v>2066.681</v>
      </c>
      <c r="Q545" s="396" t="s">
        <v>18</v>
      </c>
      <c r="R545" s="421">
        <f t="shared" si="47"/>
        <v>3.7190000000000509</v>
      </c>
      <c r="S545" s="396">
        <f t="shared" si="45"/>
        <v>2070.4</v>
      </c>
      <c r="T545" s="419" t="s">
        <v>542</v>
      </c>
      <c r="U545" s="419">
        <v>15</v>
      </c>
      <c r="V545" s="419">
        <v>5</v>
      </c>
      <c r="W545" s="419">
        <v>0.7</v>
      </c>
      <c r="X545" s="419">
        <v>0.7</v>
      </c>
      <c r="Y545" s="419">
        <v>0.7</v>
      </c>
      <c r="Z545" s="422">
        <v>1700</v>
      </c>
      <c r="AA545" s="422" t="s">
        <v>533</v>
      </c>
      <c r="AB545" s="422">
        <v>0.85</v>
      </c>
      <c r="AC545" s="422" t="s">
        <v>534</v>
      </c>
      <c r="AD545" s="422" t="s">
        <v>535</v>
      </c>
      <c r="AE545" s="422">
        <v>220</v>
      </c>
      <c r="AF545" s="423"/>
      <c r="AG545" s="424"/>
    </row>
    <row r="546" spans="1:33" ht="15" customHeight="1">
      <c r="A546" s="418" t="s">
        <v>652</v>
      </c>
      <c r="B546" s="419">
        <v>20</v>
      </c>
      <c r="C546" s="419" t="s">
        <v>755</v>
      </c>
      <c r="D546" s="419" t="s">
        <v>531</v>
      </c>
      <c r="E546" s="419">
        <v>1.5</v>
      </c>
      <c r="F546" s="420">
        <v>45348.681250000001</v>
      </c>
      <c r="G546" s="419">
        <v>1</v>
      </c>
      <c r="H546" s="419">
        <v>51.374099999999999</v>
      </c>
      <c r="I546" s="419">
        <v>7.5439299999999996</v>
      </c>
      <c r="J546" s="419">
        <v>-17.654</v>
      </c>
      <c r="K546" s="419">
        <v>-16.812999999999999</v>
      </c>
      <c r="L546" s="419">
        <v>991.51400000000001</v>
      </c>
      <c r="M546" s="419">
        <v>133.00049999999999</v>
      </c>
      <c r="N546" s="419">
        <v>17813.86</v>
      </c>
      <c r="O546" s="419">
        <v>17805.419999999998</v>
      </c>
      <c r="P546" s="421">
        <v>2066.681</v>
      </c>
      <c r="Q546" s="396" t="s">
        <v>18</v>
      </c>
      <c r="R546" s="421">
        <f t="shared" ref="R546:R548" si="48">2070.4-P546</f>
        <v>3.7190000000000509</v>
      </c>
      <c r="S546" s="396">
        <f t="shared" si="45"/>
        <v>2070.4</v>
      </c>
      <c r="T546" s="419" t="s">
        <v>532</v>
      </c>
      <c r="U546" s="419">
        <v>15</v>
      </c>
      <c r="V546" s="419">
        <v>5</v>
      </c>
      <c r="W546" s="419">
        <v>0.7</v>
      </c>
      <c r="X546" s="419">
        <v>0.7</v>
      </c>
      <c r="Y546" s="419">
        <v>0.7</v>
      </c>
      <c r="Z546" s="422">
        <v>1700</v>
      </c>
      <c r="AA546" s="422" t="s">
        <v>533</v>
      </c>
      <c r="AB546" s="422">
        <v>0.85</v>
      </c>
      <c r="AC546" s="422" t="s">
        <v>534</v>
      </c>
      <c r="AD546" s="422" t="s">
        <v>535</v>
      </c>
      <c r="AE546" s="422">
        <v>220</v>
      </c>
      <c r="AF546" s="423"/>
      <c r="AG546" s="424"/>
    </row>
    <row r="547" spans="1:33" ht="15" customHeight="1">
      <c r="A547" s="418" t="s">
        <v>653</v>
      </c>
      <c r="B547" s="419">
        <v>20</v>
      </c>
      <c r="C547" s="419" t="s">
        <v>755</v>
      </c>
      <c r="D547" s="419" t="s">
        <v>531</v>
      </c>
      <c r="E547" s="419">
        <v>1.5</v>
      </c>
      <c r="F547" s="420">
        <v>45348.68472222222</v>
      </c>
      <c r="G547" s="419">
        <v>1</v>
      </c>
      <c r="H547" s="419">
        <v>51.374099999999999</v>
      </c>
      <c r="I547" s="419">
        <v>7.5503</v>
      </c>
      <c r="J547" s="419">
        <v>-17.527999999999999</v>
      </c>
      <c r="K547" s="419">
        <v>-16.686</v>
      </c>
      <c r="L547" s="419">
        <v>987.48900000000003</v>
      </c>
      <c r="M547" s="419">
        <v>119.00060000000001</v>
      </c>
      <c r="N547" s="419">
        <v>17788.52</v>
      </c>
      <c r="O547" s="419">
        <v>17805.419999999998</v>
      </c>
      <c r="P547" s="421">
        <v>2066.681</v>
      </c>
      <c r="Q547" s="396" t="s">
        <v>18</v>
      </c>
      <c r="R547" s="421">
        <f t="shared" si="48"/>
        <v>3.7190000000000509</v>
      </c>
      <c r="S547" s="396">
        <f t="shared" si="45"/>
        <v>2070.4</v>
      </c>
      <c r="T547" s="419" t="s">
        <v>532</v>
      </c>
      <c r="U547" s="419">
        <v>15</v>
      </c>
      <c r="V547" s="419">
        <v>5</v>
      </c>
      <c r="W547" s="419">
        <v>0.7</v>
      </c>
      <c r="X547" s="419">
        <v>0.7</v>
      </c>
      <c r="Y547" s="419">
        <v>0.7</v>
      </c>
      <c r="Z547" s="422">
        <v>1700</v>
      </c>
      <c r="AA547" s="422" t="s">
        <v>533</v>
      </c>
      <c r="AB547" s="422">
        <v>0.85</v>
      </c>
      <c r="AC547" s="422" t="s">
        <v>534</v>
      </c>
      <c r="AD547" s="422" t="s">
        <v>535</v>
      </c>
      <c r="AE547" s="422">
        <v>220</v>
      </c>
      <c r="AF547" s="423"/>
      <c r="AG547" s="424"/>
    </row>
    <row r="548" spans="1:33" ht="15" customHeight="1">
      <c r="A548" s="418" t="s">
        <v>654</v>
      </c>
      <c r="B548" s="419">
        <v>20</v>
      </c>
      <c r="C548" s="419" t="s">
        <v>755</v>
      </c>
      <c r="D548" s="419" t="s">
        <v>531</v>
      </c>
      <c r="E548" s="419">
        <v>1.5</v>
      </c>
      <c r="F548" s="420">
        <v>45348.688194444447</v>
      </c>
      <c r="G548" s="419">
        <v>1</v>
      </c>
      <c r="H548" s="419">
        <v>51.3675</v>
      </c>
      <c r="I548" s="419">
        <v>7.5918400000000004</v>
      </c>
      <c r="J548" s="419">
        <v>-17.634599999999999</v>
      </c>
      <c r="K548" s="419">
        <v>-16.788799999999998</v>
      </c>
      <c r="L548" s="419">
        <v>980.22299999999996</v>
      </c>
      <c r="M548" s="419">
        <v>131.00110000000001</v>
      </c>
      <c r="N548" s="419">
        <v>17813.86</v>
      </c>
      <c r="O548" s="419">
        <v>17805.419999999998</v>
      </c>
      <c r="P548" s="421">
        <v>2066.681</v>
      </c>
      <c r="Q548" s="396" t="s">
        <v>18</v>
      </c>
      <c r="R548" s="421">
        <f t="shared" si="48"/>
        <v>3.7190000000000509</v>
      </c>
      <c r="S548" s="396">
        <f t="shared" si="45"/>
        <v>2070.4</v>
      </c>
      <c r="T548" s="419" t="s">
        <v>532</v>
      </c>
      <c r="U548" s="419">
        <v>15</v>
      </c>
      <c r="V548" s="419">
        <v>5</v>
      </c>
      <c r="W548" s="419">
        <v>0.7</v>
      </c>
      <c r="X548" s="419">
        <v>0.7</v>
      </c>
      <c r="Y548" s="419">
        <v>0.7</v>
      </c>
      <c r="Z548" s="422">
        <v>1700</v>
      </c>
      <c r="AA548" s="422" t="s">
        <v>533</v>
      </c>
      <c r="AB548" s="422">
        <v>0.85</v>
      </c>
      <c r="AC548" s="422" t="s">
        <v>534</v>
      </c>
      <c r="AD548" s="422" t="s">
        <v>535</v>
      </c>
      <c r="AE548" s="422">
        <v>220</v>
      </c>
      <c r="AF548" s="423"/>
      <c r="AG548" s="42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C1000"/>
  <sheetViews>
    <sheetView workbookViewId="0"/>
  </sheetViews>
  <sheetFormatPr defaultColWidth="11.25" defaultRowHeight="15" customHeight="1"/>
  <cols>
    <col min="3" max="3" width="13.5" customWidth="1"/>
  </cols>
  <sheetData>
    <row r="1" spans="1:3">
      <c r="A1" s="40" t="s">
        <v>756</v>
      </c>
      <c r="B1" s="40" t="s">
        <v>757</v>
      </c>
      <c r="C1" s="40" t="s">
        <v>758</v>
      </c>
    </row>
    <row r="2" spans="1:3">
      <c r="A2" s="427">
        <v>45328</v>
      </c>
      <c r="B2" s="40">
        <v>24</v>
      </c>
      <c r="C2" s="40">
        <v>21.62</v>
      </c>
    </row>
    <row r="3" spans="1:3">
      <c r="A3" s="427">
        <v>45328</v>
      </c>
      <c r="B3" s="40">
        <v>23</v>
      </c>
      <c r="C3" s="40">
        <v>22.77</v>
      </c>
    </row>
    <row r="4" spans="1:3">
      <c r="A4" s="427">
        <v>45328</v>
      </c>
      <c r="B4" s="40">
        <v>34</v>
      </c>
      <c r="C4" s="40">
        <v>21.62</v>
      </c>
    </row>
    <row r="5" spans="1:3">
      <c r="A5" s="427">
        <v>45328</v>
      </c>
      <c r="B5" s="40">
        <v>35</v>
      </c>
      <c r="C5" s="40">
        <v>21.43</v>
      </c>
    </row>
    <row r="6" spans="1:3">
      <c r="A6" s="427">
        <v>45328</v>
      </c>
      <c r="B6" s="40">
        <v>67</v>
      </c>
      <c r="C6" s="40">
        <v>21.12</v>
      </c>
    </row>
    <row r="7" spans="1:3">
      <c r="A7" s="427">
        <v>45328</v>
      </c>
      <c r="B7" s="40">
        <v>68</v>
      </c>
      <c r="C7" s="40">
        <v>21.34</v>
      </c>
    </row>
    <row r="8" spans="1:3">
      <c r="A8" s="427">
        <v>45328</v>
      </c>
      <c r="B8" s="40">
        <v>56</v>
      </c>
      <c r="C8" s="40">
        <v>22.29</v>
      </c>
    </row>
    <row r="9" spans="1:3">
      <c r="A9" s="427">
        <v>45328</v>
      </c>
      <c r="B9" s="40">
        <v>57</v>
      </c>
      <c r="C9" s="40">
        <v>22.71</v>
      </c>
    </row>
    <row r="10" spans="1:3">
      <c r="A10" s="427">
        <v>45328</v>
      </c>
      <c r="B10" s="40" t="s">
        <v>759</v>
      </c>
      <c r="C10" s="40">
        <v>22.71</v>
      </c>
    </row>
    <row r="11" spans="1:3">
      <c r="A11" s="427">
        <v>45328</v>
      </c>
      <c r="B11" s="40">
        <v>12</v>
      </c>
      <c r="C11" s="40">
        <v>23.76</v>
      </c>
    </row>
    <row r="12" spans="1:3">
      <c r="A12" s="427">
        <v>45328</v>
      </c>
      <c r="B12" s="40">
        <v>13</v>
      </c>
      <c r="C12" s="40">
        <v>23.62</v>
      </c>
    </row>
    <row r="13" spans="1:3">
      <c r="A13" s="427">
        <v>45328</v>
      </c>
      <c r="B13" s="40">
        <v>1</v>
      </c>
      <c r="C13" s="40">
        <v>23.72</v>
      </c>
    </row>
    <row r="14" spans="1:3">
      <c r="A14" s="427">
        <v>45328</v>
      </c>
      <c r="B14" s="40">
        <v>2</v>
      </c>
      <c r="C14" s="40">
        <v>23.44</v>
      </c>
    </row>
    <row r="15" spans="1:3">
      <c r="A15" s="427">
        <v>45328</v>
      </c>
      <c r="B15" s="40">
        <v>45</v>
      </c>
      <c r="C15" s="40">
        <v>23.51</v>
      </c>
    </row>
    <row r="16" spans="1:3">
      <c r="A16" s="427">
        <v>45328</v>
      </c>
      <c r="B16" s="40">
        <v>46</v>
      </c>
      <c r="C16" s="40">
        <v>23.49</v>
      </c>
    </row>
    <row r="17" spans="1:3">
      <c r="A17" s="427">
        <v>45328</v>
      </c>
      <c r="B17" s="40">
        <v>144</v>
      </c>
      <c r="C17" s="40">
        <v>22.91</v>
      </c>
    </row>
    <row r="18" spans="1:3">
      <c r="A18" s="427">
        <v>45328</v>
      </c>
      <c r="B18" s="40">
        <v>145</v>
      </c>
      <c r="C18" s="40">
        <v>22.99</v>
      </c>
    </row>
    <row r="19" spans="1:3">
      <c r="A19" s="427">
        <v>45328</v>
      </c>
      <c r="B19" s="40" t="s">
        <v>759</v>
      </c>
      <c r="C19" s="40">
        <v>22.9</v>
      </c>
    </row>
    <row r="20" spans="1:3">
      <c r="A20" s="427">
        <v>45328</v>
      </c>
      <c r="B20" s="40">
        <v>89</v>
      </c>
      <c r="C20" s="40">
        <v>23.93</v>
      </c>
    </row>
    <row r="21" spans="1:3">
      <c r="A21" s="427">
        <v>45328</v>
      </c>
      <c r="B21" s="40">
        <v>90</v>
      </c>
      <c r="C21" s="40">
        <v>23.83</v>
      </c>
    </row>
    <row r="22" spans="1:3">
      <c r="A22" s="427">
        <v>45328</v>
      </c>
      <c r="B22" s="40">
        <v>78</v>
      </c>
      <c r="C22" s="40">
        <v>23.76</v>
      </c>
    </row>
    <row r="23" spans="1:3">
      <c r="A23" s="427">
        <v>45328</v>
      </c>
      <c r="B23" s="40">
        <v>79</v>
      </c>
      <c r="C23" s="40">
        <v>23.7</v>
      </c>
    </row>
    <row r="24" spans="1:3">
      <c r="A24" s="427">
        <v>45328</v>
      </c>
      <c r="B24" s="40">
        <v>118</v>
      </c>
      <c r="C24" s="40">
        <v>23.96</v>
      </c>
    </row>
    <row r="25" spans="1:3">
      <c r="A25" s="427">
        <v>45328</v>
      </c>
      <c r="B25" s="40">
        <v>119</v>
      </c>
      <c r="C25" s="40">
        <v>23.95</v>
      </c>
    </row>
    <row r="26" spans="1:3">
      <c r="A26" s="428">
        <v>45328</v>
      </c>
      <c r="B26" s="429">
        <v>326</v>
      </c>
      <c r="C26" s="429">
        <v>23.8</v>
      </c>
    </row>
    <row r="27" spans="1:3">
      <c r="A27" s="428">
        <v>45328</v>
      </c>
      <c r="B27" s="429">
        <v>327</v>
      </c>
      <c r="C27" s="429">
        <v>23.45</v>
      </c>
    </row>
    <row r="28" spans="1:3">
      <c r="A28" s="427">
        <v>45328</v>
      </c>
      <c r="B28" s="40" t="s">
        <v>759</v>
      </c>
      <c r="C28" s="40">
        <v>23.85</v>
      </c>
    </row>
    <row r="29" spans="1:3">
      <c r="A29" s="427">
        <v>45330</v>
      </c>
      <c r="B29" s="40" t="s">
        <v>759</v>
      </c>
      <c r="C29" s="40">
        <v>22.71</v>
      </c>
    </row>
    <row r="30" spans="1:3">
      <c r="A30" s="427">
        <v>45330</v>
      </c>
      <c r="B30" s="40">
        <v>235</v>
      </c>
      <c r="C30" s="40">
        <v>22.33</v>
      </c>
    </row>
    <row r="31" spans="1:3">
      <c r="A31" s="427">
        <v>45330</v>
      </c>
      <c r="B31" s="40">
        <v>236</v>
      </c>
      <c r="C31" s="40">
        <v>22.43</v>
      </c>
    </row>
    <row r="32" spans="1:3">
      <c r="A32" s="427">
        <v>45330</v>
      </c>
      <c r="B32" s="40">
        <v>131</v>
      </c>
      <c r="C32" s="40">
        <v>22.4</v>
      </c>
    </row>
    <row r="33" spans="1:3">
      <c r="A33" s="427">
        <v>45330</v>
      </c>
      <c r="B33" s="40">
        <v>132</v>
      </c>
      <c r="C33" s="40">
        <v>22.41</v>
      </c>
    </row>
    <row r="34" spans="1:3">
      <c r="A34" s="427">
        <v>45330</v>
      </c>
      <c r="B34" s="40">
        <v>209</v>
      </c>
      <c r="C34" s="40">
        <v>22.28</v>
      </c>
    </row>
    <row r="35" spans="1:3">
      <c r="A35" s="427">
        <v>45330</v>
      </c>
      <c r="B35" s="40">
        <v>210</v>
      </c>
      <c r="C35" s="40">
        <v>22.56</v>
      </c>
    </row>
    <row r="36" spans="1:3">
      <c r="A36" s="427">
        <v>45330</v>
      </c>
      <c r="B36" s="40">
        <v>183</v>
      </c>
      <c r="C36" s="40">
        <v>23.03</v>
      </c>
    </row>
    <row r="37" spans="1:3">
      <c r="A37" s="427">
        <v>45330</v>
      </c>
      <c r="B37" s="40">
        <v>184</v>
      </c>
      <c r="C37" s="40">
        <v>23.25</v>
      </c>
    </row>
    <row r="38" spans="1:3">
      <c r="A38" s="427">
        <v>45330</v>
      </c>
      <c r="B38" s="40" t="s">
        <v>759</v>
      </c>
      <c r="C38" s="40" t="s">
        <v>18</v>
      </c>
    </row>
    <row r="39" spans="1:3">
      <c r="A39" s="427">
        <v>45330</v>
      </c>
      <c r="B39" s="40">
        <v>248</v>
      </c>
      <c r="C39" s="40">
        <v>24.04</v>
      </c>
    </row>
    <row r="40" spans="1:3">
      <c r="A40" s="427">
        <v>45330</v>
      </c>
      <c r="B40" s="40">
        <v>249</v>
      </c>
      <c r="C40" s="40">
        <v>23.76</v>
      </c>
    </row>
    <row r="41" spans="1:3">
      <c r="A41" s="427">
        <v>45330</v>
      </c>
      <c r="B41" s="40">
        <v>196</v>
      </c>
      <c r="C41" s="40">
        <v>23.4</v>
      </c>
    </row>
    <row r="42" spans="1:3">
      <c r="A42" s="427">
        <v>45330</v>
      </c>
      <c r="B42" s="40">
        <v>197</v>
      </c>
      <c r="C42" s="40">
        <v>23.47</v>
      </c>
    </row>
    <row r="43" spans="1:3">
      <c r="A43" s="427">
        <v>45330</v>
      </c>
      <c r="B43" s="40">
        <v>274</v>
      </c>
      <c r="C43" s="40">
        <v>24.04</v>
      </c>
    </row>
    <row r="44" spans="1:3">
      <c r="A44" s="427">
        <v>45330</v>
      </c>
      <c r="B44" s="40">
        <v>275</v>
      </c>
      <c r="C44" s="40">
        <v>24.13</v>
      </c>
    </row>
    <row r="45" spans="1:3">
      <c r="A45" s="427">
        <v>45330</v>
      </c>
      <c r="B45" s="40">
        <v>261</v>
      </c>
      <c r="C45" s="40">
        <v>24.35</v>
      </c>
    </row>
    <row r="46" spans="1:3">
      <c r="A46" s="427">
        <v>45330</v>
      </c>
      <c r="B46" s="40">
        <v>262</v>
      </c>
      <c r="C46" s="40">
        <v>24.52</v>
      </c>
    </row>
    <row r="47" spans="1:3">
      <c r="A47" s="427">
        <v>45330</v>
      </c>
      <c r="B47" s="40" t="s">
        <v>759</v>
      </c>
      <c r="C47" s="40" t="s">
        <v>18</v>
      </c>
    </row>
    <row r="48" spans="1:3">
      <c r="A48" s="427">
        <v>45330</v>
      </c>
      <c r="B48" s="40">
        <v>287</v>
      </c>
      <c r="C48" s="40">
        <v>24.33</v>
      </c>
    </row>
    <row r="49" spans="1:3">
      <c r="A49" s="427">
        <v>45330</v>
      </c>
      <c r="B49" s="40">
        <v>288</v>
      </c>
      <c r="C49" s="40">
        <v>24.14</v>
      </c>
    </row>
    <row r="50" spans="1:3">
      <c r="A50" s="427">
        <v>45330</v>
      </c>
      <c r="B50" s="40">
        <v>313</v>
      </c>
      <c r="C50" s="40">
        <v>24.02</v>
      </c>
    </row>
    <row r="51" spans="1:3">
      <c r="A51" s="427">
        <v>45330</v>
      </c>
      <c r="B51" s="40">
        <v>314</v>
      </c>
      <c r="C51" s="40">
        <v>24.22</v>
      </c>
    </row>
    <row r="52" spans="1:3">
      <c r="A52" s="427">
        <v>45330</v>
      </c>
      <c r="B52" s="40">
        <v>300</v>
      </c>
      <c r="C52" s="40">
        <v>24.32</v>
      </c>
    </row>
    <row r="53" spans="1:3">
      <c r="A53" s="427">
        <v>45330</v>
      </c>
      <c r="B53" s="40">
        <v>301</v>
      </c>
      <c r="C53" s="40">
        <v>24.31</v>
      </c>
    </row>
    <row r="54" spans="1:3">
      <c r="A54" s="427">
        <v>45330</v>
      </c>
      <c r="B54" s="40">
        <v>222</v>
      </c>
      <c r="C54" s="40">
        <v>24.29</v>
      </c>
    </row>
    <row r="55" spans="1:3">
      <c r="A55" s="427">
        <v>45330</v>
      </c>
      <c r="B55" s="40">
        <v>223</v>
      </c>
      <c r="C55" s="40">
        <v>24.38</v>
      </c>
    </row>
    <row r="56" spans="1:3">
      <c r="A56" s="427">
        <v>45330</v>
      </c>
      <c r="B56" s="40" t="s">
        <v>759</v>
      </c>
      <c r="C56" s="40" t="s">
        <v>18</v>
      </c>
    </row>
    <row r="57" spans="1:3">
      <c r="A57" s="427">
        <v>45337</v>
      </c>
      <c r="B57" s="40" t="s">
        <v>759</v>
      </c>
      <c r="C57" s="40" t="s">
        <v>18</v>
      </c>
    </row>
    <row r="58" spans="1:3">
      <c r="A58" s="427">
        <v>45337</v>
      </c>
      <c r="B58" s="40">
        <v>352</v>
      </c>
      <c r="C58" s="40">
        <v>20.399999999999999</v>
      </c>
    </row>
    <row r="59" spans="1:3">
      <c r="A59" s="427">
        <v>45337</v>
      </c>
      <c r="B59" s="40">
        <v>353</v>
      </c>
      <c r="C59" s="40">
        <v>19.89</v>
      </c>
    </row>
    <row r="60" spans="1:3">
      <c r="A60" s="427">
        <v>45337</v>
      </c>
      <c r="B60" s="40">
        <v>157</v>
      </c>
      <c r="C60" s="40">
        <v>19.88</v>
      </c>
    </row>
    <row r="61" spans="1:3">
      <c r="A61" s="427">
        <v>45337</v>
      </c>
      <c r="B61" s="40">
        <v>158</v>
      </c>
      <c r="C61" s="40">
        <v>20.100000000000001</v>
      </c>
    </row>
    <row r="62" spans="1:3">
      <c r="A62" s="427">
        <v>45337</v>
      </c>
      <c r="B62" s="40">
        <v>378</v>
      </c>
      <c r="C62" s="40">
        <v>21.1</v>
      </c>
    </row>
    <row r="63" spans="1:3">
      <c r="A63" s="427">
        <v>45337</v>
      </c>
      <c r="B63" s="40">
        <v>379</v>
      </c>
      <c r="C63" s="40">
        <v>21.29</v>
      </c>
    </row>
    <row r="64" spans="1:3">
      <c r="A64" s="427">
        <v>45337</v>
      </c>
      <c r="B64" s="40">
        <v>391</v>
      </c>
      <c r="C64" s="40">
        <v>21.51</v>
      </c>
    </row>
    <row r="65" spans="1:3">
      <c r="A65" s="427">
        <v>45337</v>
      </c>
      <c r="B65" s="40">
        <v>392</v>
      </c>
      <c r="C65" s="40">
        <v>20.58</v>
      </c>
    </row>
    <row r="66" spans="1:3">
      <c r="A66" s="427">
        <v>45337</v>
      </c>
      <c r="B66" s="40" t="s">
        <v>759</v>
      </c>
      <c r="C66" s="40" t="s">
        <v>18</v>
      </c>
    </row>
    <row r="67" spans="1:3">
      <c r="A67" s="427">
        <v>45337</v>
      </c>
      <c r="B67" s="40">
        <v>417</v>
      </c>
      <c r="C67" s="40">
        <v>21.97</v>
      </c>
    </row>
    <row r="68" spans="1:3">
      <c r="A68" s="427">
        <v>45337</v>
      </c>
      <c r="B68" s="40">
        <v>418</v>
      </c>
      <c r="C68" s="40">
        <v>22.12</v>
      </c>
    </row>
    <row r="69" spans="1:3">
      <c r="A69" s="427">
        <v>45337</v>
      </c>
      <c r="B69" s="40">
        <v>365</v>
      </c>
      <c r="C69" s="40">
        <v>21.85</v>
      </c>
    </row>
    <row r="70" spans="1:3">
      <c r="A70" s="427">
        <v>45337</v>
      </c>
      <c r="B70" s="40">
        <v>366</v>
      </c>
      <c r="C70" s="40">
        <v>22.2</v>
      </c>
    </row>
    <row r="71" spans="1:3">
      <c r="A71" s="427">
        <v>45337</v>
      </c>
      <c r="B71" s="40">
        <v>339</v>
      </c>
      <c r="C71" s="40">
        <v>21.88</v>
      </c>
    </row>
    <row r="72" spans="1:3">
      <c r="A72" s="427">
        <v>45337</v>
      </c>
      <c r="B72" s="40">
        <v>340</v>
      </c>
      <c r="C72" s="40">
        <v>22.3</v>
      </c>
    </row>
    <row r="73" spans="1:3">
      <c r="A73" s="427">
        <v>45337</v>
      </c>
      <c r="B73" s="40">
        <v>482</v>
      </c>
      <c r="C73" s="40">
        <v>22.52</v>
      </c>
    </row>
    <row r="74" spans="1:3">
      <c r="A74" s="427">
        <v>45337</v>
      </c>
      <c r="B74" s="40">
        <v>483</v>
      </c>
      <c r="C74" s="40">
        <v>22.59</v>
      </c>
    </row>
    <row r="75" spans="1:3">
      <c r="A75" s="427">
        <v>45337</v>
      </c>
      <c r="B75" s="40" t="s">
        <v>759</v>
      </c>
      <c r="C75" s="40" t="s">
        <v>18</v>
      </c>
    </row>
    <row r="76" spans="1:3">
      <c r="A76" s="427">
        <v>45345</v>
      </c>
      <c r="B76" s="40" t="s">
        <v>759</v>
      </c>
      <c r="C76" s="40" t="s">
        <v>18</v>
      </c>
    </row>
    <row r="77" spans="1:3">
      <c r="A77" s="427">
        <v>45345</v>
      </c>
      <c r="B77" s="40">
        <v>430</v>
      </c>
      <c r="C77" s="40">
        <v>23.38</v>
      </c>
    </row>
    <row r="78" spans="1:3">
      <c r="A78" s="427">
        <v>45345</v>
      </c>
      <c r="B78" s="40">
        <v>431</v>
      </c>
      <c r="C78" s="40">
        <v>22.94</v>
      </c>
    </row>
    <row r="79" spans="1:3">
      <c r="A79" s="427">
        <v>45345</v>
      </c>
      <c r="B79" s="40">
        <v>170</v>
      </c>
      <c r="C79" s="40">
        <v>23.34</v>
      </c>
    </row>
    <row r="80" spans="1:3">
      <c r="A80" s="427">
        <v>45345</v>
      </c>
      <c r="B80" s="40">
        <v>171</v>
      </c>
      <c r="C80" s="40">
        <v>23.81</v>
      </c>
    </row>
    <row r="81" spans="1:3">
      <c r="A81" s="427">
        <v>45345</v>
      </c>
      <c r="B81" s="40">
        <v>508</v>
      </c>
      <c r="C81" s="40">
        <v>23.39</v>
      </c>
    </row>
    <row r="82" spans="1:3">
      <c r="A82" s="427">
        <v>45345</v>
      </c>
      <c r="B82" s="40">
        <v>509</v>
      </c>
      <c r="C82" s="40">
        <v>23.5</v>
      </c>
    </row>
    <row r="83" spans="1:3">
      <c r="A83" s="427">
        <v>45345</v>
      </c>
      <c r="B83" s="40">
        <v>495</v>
      </c>
      <c r="C83" s="40">
        <v>23.46</v>
      </c>
    </row>
    <row r="84" spans="1:3">
      <c r="A84" s="427">
        <v>45345</v>
      </c>
      <c r="B84" s="40">
        <v>496</v>
      </c>
      <c r="C84" s="40">
        <v>23.95</v>
      </c>
    </row>
    <row r="85" spans="1:3">
      <c r="A85" s="427">
        <v>45345</v>
      </c>
      <c r="B85" s="40" t="s">
        <v>759</v>
      </c>
      <c r="C85" s="40">
        <v>23.49</v>
      </c>
    </row>
    <row r="86" spans="1:3">
      <c r="A86" s="427">
        <v>45345</v>
      </c>
      <c r="B86" s="40">
        <v>443</v>
      </c>
      <c r="C86" s="40">
        <v>23.48</v>
      </c>
    </row>
    <row r="87" spans="1:3">
      <c r="A87" s="427">
        <v>45345</v>
      </c>
      <c r="B87" s="40">
        <v>444</v>
      </c>
      <c r="C87" s="40">
        <v>23.38</v>
      </c>
    </row>
    <row r="88" spans="1:3">
      <c r="A88" s="427">
        <v>45345</v>
      </c>
      <c r="B88" s="40">
        <v>469</v>
      </c>
      <c r="C88" s="40">
        <v>23.28</v>
      </c>
    </row>
    <row r="89" spans="1:3">
      <c r="A89" s="427">
        <v>45345</v>
      </c>
      <c r="B89" s="40">
        <v>470</v>
      </c>
      <c r="C89" s="40">
        <v>23.36</v>
      </c>
    </row>
    <row r="90" spans="1:3">
      <c r="A90" s="427">
        <v>45345</v>
      </c>
      <c r="B90" s="40">
        <v>547</v>
      </c>
      <c r="C90" s="40">
        <v>23.44</v>
      </c>
    </row>
    <row r="91" spans="1:3">
      <c r="A91" s="427">
        <v>45345</v>
      </c>
      <c r="B91" s="40">
        <v>548</v>
      </c>
      <c r="C91" s="40">
        <v>23.6</v>
      </c>
    </row>
    <row r="92" spans="1:3">
      <c r="A92" s="427">
        <v>45345</v>
      </c>
      <c r="B92" s="40">
        <v>404</v>
      </c>
      <c r="C92" s="40">
        <v>23.73</v>
      </c>
    </row>
    <row r="93" spans="1:3">
      <c r="A93" s="427">
        <v>45345</v>
      </c>
      <c r="B93" s="40">
        <v>405</v>
      </c>
      <c r="C93" s="40">
        <v>23.58</v>
      </c>
    </row>
    <row r="94" spans="1:3">
      <c r="A94" s="427">
        <v>45345</v>
      </c>
      <c r="B94" s="40" t="s">
        <v>759</v>
      </c>
      <c r="C94" s="40">
        <v>20.46</v>
      </c>
    </row>
    <row r="95" spans="1:3">
      <c r="A95" s="427">
        <v>45348</v>
      </c>
      <c r="B95" s="40" t="s">
        <v>759</v>
      </c>
      <c r="C95" s="40" t="s">
        <v>18</v>
      </c>
    </row>
    <row r="96" spans="1:3">
      <c r="A96" s="427">
        <v>45348</v>
      </c>
      <c r="B96" s="40">
        <v>521</v>
      </c>
      <c r="C96" s="40">
        <v>19.36</v>
      </c>
    </row>
    <row r="97" spans="1:3">
      <c r="A97" s="427">
        <v>45348</v>
      </c>
      <c r="B97" s="40">
        <v>522</v>
      </c>
      <c r="C97" s="40">
        <v>18.86</v>
      </c>
    </row>
    <row r="98" spans="1:3">
      <c r="A98" s="427">
        <v>45348</v>
      </c>
      <c r="B98" s="40">
        <v>560</v>
      </c>
      <c r="C98" s="40">
        <v>18.32</v>
      </c>
    </row>
    <row r="99" spans="1:3">
      <c r="A99" s="427">
        <v>45348</v>
      </c>
      <c r="B99" s="40">
        <v>561</v>
      </c>
      <c r="C99" s="40">
        <v>19.03</v>
      </c>
    </row>
    <row r="100" spans="1:3">
      <c r="A100" s="427">
        <v>45348</v>
      </c>
      <c r="B100" s="40">
        <v>573</v>
      </c>
      <c r="C100" s="40">
        <v>20.23</v>
      </c>
    </row>
    <row r="101" spans="1:3">
      <c r="A101" s="427">
        <v>45348</v>
      </c>
      <c r="B101" s="40">
        <v>574</v>
      </c>
      <c r="C101" s="40">
        <v>21.76</v>
      </c>
    </row>
    <row r="102" spans="1:3">
      <c r="A102" s="427">
        <v>45348</v>
      </c>
      <c r="B102" s="40">
        <v>625</v>
      </c>
      <c r="C102" s="40">
        <v>22.52</v>
      </c>
    </row>
    <row r="103" spans="1:3">
      <c r="A103" s="427">
        <v>45348</v>
      </c>
      <c r="B103" s="40">
        <v>626</v>
      </c>
      <c r="C103" s="40">
        <v>24.07</v>
      </c>
    </row>
    <row r="104" spans="1:3">
      <c r="A104" s="427">
        <v>45348</v>
      </c>
      <c r="B104" s="40" t="s">
        <v>759</v>
      </c>
      <c r="C104" s="40" t="s">
        <v>18</v>
      </c>
    </row>
    <row r="105" spans="1:3">
      <c r="A105" s="427">
        <v>45348</v>
      </c>
      <c r="B105" s="40">
        <v>586</v>
      </c>
      <c r="C105" s="40">
        <v>24.03</v>
      </c>
    </row>
    <row r="106" spans="1:3">
      <c r="A106" s="427">
        <v>45348</v>
      </c>
      <c r="B106" s="40">
        <v>587</v>
      </c>
      <c r="C106" s="40">
        <v>23.69</v>
      </c>
    </row>
    <row r="107" spans="1:3">
      <c r="A107" s="427">
        <v>45348</v>
      </c>
      <c r="B107" s="40">
        <v>612</v>
      </c>
      <c r="C107" s="40">
        <v>23.71</v>
      </c>
    </row>
    <row r="108" spans="1:3">
      <c r="A108" s="427">
        <v>45348</v>
      </c>
      <c r="B108" s="40">
        <v>613</v>
      </c>
      <c r="C108" s="40">
        <v>23.3</v>
      </c>
    </row>
    <row r="109" spans="1:3">
      <c r="A109" s="427">
        <v>45348</v>
      </c>
      <c r="B109" s="40">
        <v>534</v>
      </c>
      <c r="C109" s="40">
        <v>23.84</v>
      </c>
    </row>
    <row r="110" spans="1:3">
      <c r="A110" s="427">
        <v>45348</v>
      </c>
      <c r="B110" s="40">
        <v>535</v>
      </c>
      <c r="C110" s="40">
        <v>24.09</v>
      </c>
    </row>
    <row r="111" spans="1:3">
      <c r="A111" s="427">
        <v>45348</v>
      </c>
      <c r="B111" s="40" t="s">
        <v>759</v>
      </c>
      <c r="C111" s="40" t="s">
        <v>18</v>
      </c>
    </row>
    <row r="112" spans="1:3">
      <c r="A112" s="40"/>
      <c r="B112" s="40"/>
      <c r="C112" s="40"/>
    </row>
    <row r="113" spans="1:3">
      <c r="A113" s="40"/>
      <c r="B113" s="40"/>
      <c r="C113" s="40"/>
    </row>
    <row r="114" spans="1:3">
      <c r="A114" s="40"/>
      <c r="B114" s="40"/>
      <c r="C114" s="40"/>
    </row>
    <row r="115" spans="1:3">
      <c r="A115" s="40"/>
      <c r="B115" s="40"/>
      <c r="C115" s="40"/>
    </row>
    <row r="116" spans="1:3">
      <c r="A116" s="40"/>
      <c r="B116" s="40"/>
      <c r="C116" s="40"/>
    </row>
    <row r="117" spans="1:3">
      <c r="A117" s="40"/>
      <c r="B117" s="40"/>
      <c r="C117" s="40"/>
    </row>
    <row r="118" spans="1:3">
      <c r="A118" s="40"/>
      <c r="B118" s="40"/>
      <c r="C118" s="40"/>
    </row>
    <row r="119" spans="1:3">
      <c r="A119" s="40"/>
      <c r="B119" s="40"/>
      <c r="C119" s="40"/>
    </row>
    <row r="120" spans="1:3">
      <c r="A120" s="40"/>
      <c r="B120" s="40"/>
      <c r="C120" s="40"/>
    </row>
    <row r="121" spans="1:3">
      <c r="A121" s="40"/>
      <c r="B121" s="40"/>
      <c r="C121" s="40"/>
    </row>
    <row r="122" spans="1:3">
      <c r="A122" s="40"/>
      <c r="B122" s="40"/>
      <c r="C122" s="40"/>
    </row>
    <row r="123" spans="1:3">
      <c r="A123" s="40"/>
      <c r="B123" s="40"/>
      <c r="C123" s="40"/>
    </row>
    <row r="124" spans="1:3">
      <c r="A124" s="40"/>
      <c r="B124" s="40"/>
      <c r="C124" s="40"/>
    </row>
    <row r="125" spans="1:3">
      <c r="A125" s="40"/>
      <c r="B125" s="40"/>
      <c r="C125" s="40"/>
    </row>
    <row r="126" spans="1:3">
      <c r="A126" s="40"/>
      <c r="B126" s="40"/>
      <c r="C126" s="40"/>
    </row>
    <row r="127" spans="1:3">
      <c r="A127" s="40"/>
      <c r="B127" s="40"/>
      <c r="C127" s="40"/>
    </row>
    <row r="128" spans="1:3">
      <c r="A128" s="40"/>
      <c r="B128" s="40"/>
      <c r="C128" s="40"/>
    </row>
    <row r="129" spans="1:3">
      <c r="A129" s="40"/>
      <c r="B129" s="40"/>
      <c r="C129" s="40"/>
    </row>
    <row r="130" spans="1:3">
      <c r="A130" s="40"/>
      <c r="B130" s="40"/>
      <c r="C130" s="40"/>
    </row>
    <row r="131" spans="1:3">
      <c r="A131" s="40"/>
      <c r="B131" s="40"/>
      <c r="C131" s="40"/>
    </row>
    <row r="132" spans="1:3">
      <c r="A132" s="40"/>
      <c r="B132" s="40"/>
      <c r="C132" s="40"/>
    </row>
    <row r="133" spans="1:3">
      <c r="A133" s="40"/>
      <c r="B133" s="40"/>
      <c r="C133" s="40"/>
    </row>
    <row r="134" spans="1:3">
      <c r="A134" s="40"/>
      <c r="B134" s="40"/>
      <c r="C134" s="40"/>
    </row>
    <row r="135" spans="1:3">
      <c r="A135" s="40"/>
      <c r="B135" s="40"/>
      <c r="C135" s="40"/>
    </row>
    <row r="136" spans="1:3">
      <c r="A136" s="40"/>
      <c r="B136" s="40"/>
      <c r="C136" s="40"/>
    </row>
    <row r="137" spans="1:3">
      <c r="A137" s="40"/>
      <c r="B137" s="40"/>
      <c r="C137" s="40"/>
    </row>
    <row r="138" spans="1:3">
      <c r="A138" s="40"/>
      <c r="B138" s="40"/>
      <c r="C138" s="40"/>
    </row>
    <row r="139" spans="1:3">
      <c r="A139" s="40"/>
      <c r="B139" s="40"/>
      <c r="C139" s="40"/>
    </row>
    <row r="140" spans="1:3">
      <c r="A140" s="40"/>
      <c r="B140" s="40"/>
      <c r="C140" s="40"/>
    </row>
    <row r="141" spans="1:3">
      <c r="A141" s="40"/>
      <c r="B141" s="40"/>
      <c r="C141" s="40"/>
    </row>
    <row r="142" spans="1:3">
      <c r="A142" s="40"/>
      <c r="B142" s="40"/>
      <c r="C142" s="40"/>
    </row>
    <row r="143" spans="1:3">
      <c r="A143" s="40"/>
      <c r="B143" s="40"/>
      <c r="C143" s="40"/>
    </row>
    <row r="144" spans="1:3">
      <c r="A144" s="40"/>
      <c r="B144" s="40"/>
      <c r="C144" s="40"/>
    </row>
    <row r="145" spans="1:3">
      <c r="A145" s="40"/>
      <c r="B145" s="40"/>
      <c r="C145" s="40"/>
    </row>
    <row r="146" spans="1:3">
      <c r="A146" s="40"/>
      <c r="B146" s="40"/>
      <c r="C146" s="40"/>
    </row>
    <row r="147" spans="1:3">
      <c r="A147" s="40"/>
      <c r="B147" s="40"/>
      <c r="C147" s="40"/>
    </row>
    <row r="148" spans="1:3">
      <c r="A148" s="40"/>
      <c r="B148" s="40"/>
      <c r="C148" s="40"/>
    </row>
    <row r="149" spans="1:3">
      <c r="A149" s="40"/>
      <c r="B149" s="40"/>
      <c r="C149" s="40"/>
    </row>
    <row r="150" spans="1:3">
      <c r="A150" s="40"/>
      <c r="B150" s="40"/>
      <c r="C150" s="40"/>
    </row>
    <row r="151" spans="1:3">
      <c r="A151" s="40"/>
      <c r="B151" s="40"/>
      <c r="C151" s="40"/>
    </row>
    <row r="152" spans="1:3">
      <c r="A152" s="40"/>
      <c r="B152" s="40"/>
      <c r="C152" s="40"/>
    </row>
    <row r="153" spans="1:3">
      <c r="A153" s="40"/>
      <c r="B153" s="40"/>
      <c r="C153" s="40"/>
    </row>
    <row r="154" spans="1:3">
      <c r="A154" s="40"/>
      <c r="B154" s="40"/>
      <c r="C154" s="40"/>
    </row>
    <row r="155" spans="1:3">
      <c r="A155" s="40"/>
      <c r="B155" s="40"/>
      <c r="C155" s="40"/>
    </row>
    <row r="156" spans="1:3">
      <c r="A156" s="40"/>
      <c r="B156" s="40"/>
      <c r="C156" s="40"/>
    </row>
    <row r="157" spans="1:3">
      <c r="A157" s="40"/>
      <c r="B157" s="40"/>
      <c r="C157" s="40"/>
    </row>
    <row r="158" spans="1:3">
      <c r="A158" s="40"/>
      <c r="B158" s="40"/>
      <c r="C158" s="40"/>
    </row>
    <row r="159" spans="1:3">
      <c r="A159" s="40"/>
      <c r="B159" s="40"/>
      <c r="C159" s="40"/>
    </row>
    <row r="160" spans="1:3">
      <c r="A160" s="40"/>
      <c r="B160" s="40"/>
      <c r="C160" s="40"/>
    </row>
    <row r="161" spans="1:3">
      <c r="A161" s="40"/>
      <c r="B161" s="40"/>
      <c r="C161" s="40"/>
    </row>
    <row r="162" spans="1:3">
      <c r="A162" s="40"/>
      <c r="B162" s="40"/>
      <c r="C162" s="40"/>
    </row>
    <row r="163" spans="1:3">
      <c r="A163" s="40"/>
      <c r="B163" s="40"/>
      <c r="C163" s="40"/>
    </row>
    <row r="164" spans="1:3">
      <c r="A164" s="40"/>
      <c r="B164" s="40"/>
      <c r="C164" s="40"/>
    </row>
    <row r="165" spans="1:3">
      <c r="A165" s="40"/>
      <c r="B165" s="40"/>
      <c r="C165" s="40"/>
    </row>
    <row r="166" spans="1:3">
      <c r="A166" s="40"/>
      <c r="B166" s="40"/>
      <c r="C166" s="40"/>
    </row>
    <row r="167" spans="1:3">
      <c r="A167" s="40"/>
      <c r="B167" s="40"/>
      <c r="C167" s="40"/>
    </row>
    <row r="168" spans="1:3">
      <c r="A168" s="40"/>
      <c r="B168" s="40"/>
      <c r="C168" s="40"/>
    </row>
    <row r="169" spans="1:3">
      <c r="A169" s="40"/>
      <c r="B169" s="40"/>
      <c r="C169" s="40"/>
    </row>
    <row r="170" spans="1:3">
      <c r="A170" s="40"/>
      <c r="B170" s="40"/>
      <c r="C170" s="40"/>
    </row>
    <row r="171" spans="1:3">
      <c r="A171" s="40"/>
      <c r="B171" s="40"/>
      <c r="C171" s="40"/>
    </row>
    <row r="172" spans="1:3">
      <c r="A172" s="40"/>
      <c r="B172" s="40"/>
      <c r="C172" s="40"/>
    </row>
    <row r="173" spans="1:3">
      <c r="A173" s="40"/>
      <c r="B173" s="40"/>
      <c r="C173" s="40"/>
    </row>
    <row r="174" spans="1:3">
      <c r="A174" s="40"/>
      <c r="B174" s="40"/>
      <c r="C174" s="40"/>
    </row>
    <row r="175" spans="1:3">
      <c r="A175" s="40"/>
      <c r="B175" s="40"/>
      <c r="C175" s="40"/>
    </row>
    <row r="176" spans="1:3">
      <c r="A176" s="40"/>
      <c r="B176" s="40"/>
      <c r="C176" s="40"/>
    </row>
    <row r="177" spans="1:3">
      <c r="A177" s="40"/>
      <c r="B177" s="40"/>
      <c r="C177" s="40"/>
    </row>
    <row r="178" spans="1:3">
      <c r="A178" s="40"/>
      <c r="B178" s="40"/>
      <c r="C178" s="40"/>
    </row>
    <row r="179" spans="1:3">
      <c r="A179" s="40"/>
      <c r="B179" s="40"/>
      <c r="C179" s="40"/>
    </row>
    <row r="180" spans="1:3">
      <c r="A180" s="40"/>
      <c r="B180" s="40"/>
      <c r="C180" s="40"/>
    </row>
    <row r="181" spans="1:3">
      <c r="A181" s="40"/>
      <c r="B181" s="40"/>
      <c r="C181" s="40"/>
    </row>
    <row r="182" spans="1:3">
      <c r="A182" s="40"/>
      <c r="B182" s="40"/>
      <c r="C182" s="40"/>
    </row>
    <row r="183" spans="1:3">
      <c r="A183" s="40"/>
      <c r="B183" s="40"/>
      <c r="C183" s="40"/>
    </row>
    <row r="184" spans="1:3">
      <c r="A184" s="40"/>
      <c r="B184" s="40"/>
      <c r="C184" s="40"/>
    </row>
    <row r="185" spans="1:3">
      <c r="A185" s="40"/>
      <c r="B185" s="40"/>
      <c r="C185" s="40"/>
    </row>
    <row r="186" spans="1:3">
      <c r="A186" s="40"/>
      <c r="B186" s="40"/>
      <c r="C186" s="40"/>
    </row>
    <row r="187" spans="1:3">
      <c r="A187" s="40"/>
      <c r="B187" s="40"/>
      <c r="C187" s="40"/>
    </row>
    <row r="188" spans="1:3">
      <c r="A188" s="40"/>
      <c r="B188" s="40"/>
      <c r="C188" s="40"/>
    </row>
    <row r="189" spans="1:3">
      <c r="A189" s="40"/>
      <c r="B189" s="40"/>
      <c r="C189" s="40"/>
    </row>
    <row r="190" spans="1:3">
      <c r="A190" s="40"/>
      <c r="B190" s="40"/>
      <c r="C190" s="40"/>
    </row>
    <row r="191" spans="1:3">
      <c r="A191" s="40"/>
      <c r="B191" s="40"/>
      <c r="C191" s="40"/>
    </row>
    <row r="192" spans="1:3">
      <c r="A192" s="40"/>
      <c r="B192" s="40"/>
      <c r="C192" s="40"/>
    </row>
    <row r="193" spans="1:3">
      <c r="A193" s="40"/>
      <c r="B193" s="40"/>
      <c r="C193" s="40"/>
    </row>
    <row r="194" spans="1:3">
      <c r="A194" s="40"/>
      <c r="B194" s="40"/>
      <c r="C194" s="40"/>
    </row>
    <row r="195" spans="1:3">
      <c r="A195" s="40"/>
      <c r="B195" s="40"/>
      <c r="C195" s="40"/>
    </row>
    <row r="196" spans="1:3">
      <c r="A196" s="40"/>
      <c r="B196" s="40"/>
      <c r="C196" s="40"/>
    </row>
    <row r="197" spans="1:3">
      <c r="A197" s="40"/>
      <c r="B197" s="40"/>
      <c r="C197" s="40"/>
    </row>
    <row r="198" spans="1:3">
      <c r="A198" s="40"/>
      <c r="B198" s="40"/>
      <c r="C198" s="40"/>
    </row>
    <row r="199" spans="1:3">
      <c r="A199" s="40"/>
      <c r="B199" s="40"/>
      <c r="C199" s="40"/>
    </row>
    <row r="200" spans="1:3">
      <c r="A200" s="40"/>
      <c r="B200" s="40"/>
      <c r="C200" s="40"/>
    </row>
    <row r="201" spans="1:3">
      <c r="A201" s="40"/>
      <c r="B201" s="40"/>
      <c r="C201" s="40"/>
    </row>
    <row r="202" spans="1:3">
      <c r="A202" s="40"/>
      <c r="B202" s="40"/>
      <c r="C202" s="40"/>
    </row>
    <row r="203" spans="1:3">
      <c r="A203" s="40"/>
      <c r="B203" s="40"/>
      <c r="C203" s="40"/>
    </row>
    <row r="204" spans="1:3">
      <c r="A204" s="40"/>
      <c r="B204" s="40"/>
      <c r="C204" s="40"/>
    </row>
    <row r="205" spans="1:3">
      <c r="A205" s="40"/>
      <c r="B205" s="40"/>
      <c r="C205" s="40"/>
    </row>
    <row r="206" spans="1:3">
      <c r="A206" s="40"/>
      <c r="B206" s="40"/>
      <c r="C206" s="40"/>
    </row>
    <row r="207" spans="1:3">
      <c r="A207" s="40"/>
      <c r="B207" s="40"/>
      <c r="C207" s="40"/>
    </row>
    <row r="208" spans="1:3">
      <c r="A208" s="40"/>
      <c r="B208" s="40"/>
      <c r="C208" s="40"/>
    </row>
    <row r="209" spans="1:3">
      <c r="A209" s="40"/>
      <c r="B209" s="40"/>
      <c r="C209" s="40"/>
    </row>
    <row r="210" spans="1:3">
      <c r="A210" s="40"/>
      <c r="B210" s="40"/>
      <c r="C210" s="40"/>
    </row>
    <row r="211" spans="1:3">
      <c r="A211" s="40"/>
      <c r="B211" s="40"/>
      <c r="C211" s="40"/>
    </row>
    <row r="212" spans="1:3">
      <c r="A212" s="40"/>
      <c r="B212" s="40"/>
      <c r="C212" s="40"/>
    </row>
    <row r="213" spans="1:3">
      <c r="A213" s="40"/>
      <c r="B213" s="40"/>
      <c r="C213" s="40"/>
    </row>
    <row r="214" spans="1:3">
      <c r="A214" s="40"/>
      <c r="B214" s="40"/>
      <c r="C214" s="40"/>
    </row>
    <row r="215" spans="1:3">
      <c r="A215" s="40"/>
      <c r="B215" s="40"/>
      <c r="C215" s="40"/>
    </row>
    <row r="216" spans="1:3">
      <c r="A216" s="40"/>
      <c r="B216" s="40"/>
      <c r="C216" s="40"/>
    </row>
    <row r="217" spans="1:3">
      <c r="A217" s="40"/>
      <c r="B217" s="40"/>
      <c r="C217" s="40"/>
    </row>
    <row r="218" spans="1:3">
      <c r="A218" s="40"/>
      <c r="B218" s="40"/>
      <c r="C218" s="40"/>
    </row>
    <row r="219" spans="1:3">
      <c r="A219" s="40"/>
      <c r="B219" s="40"/>
      <c r="C219" s="40"/>
    </row>
    <row r="220" spans="1:3">
      <c r="A220" s="40"/>
      <c r="B220" s="40"/>
      <c r="C220" s="40"/>
    </row>
    <row r="221" spans="1:3">
      <c r="A221" s="40"/>
      <c r="B221" s="40"/>
      <c r="C221" s="40"/>
    </row>
    <row r="222" spans="1:3">
      <c r="A222" s="40"/>
      <c r="B222" s="40"/>
      <c r="C222" s="40"/>
    </row>
    <row r="223" spans="1:3">
      <c r="A223" s="40"/>
      <c r="B223" s="40"/>
      <c r="C223" s="40"/>
    </row>
    <row r="224" spans="1:3">
      <c r="A224" s="40"/>
      <c r="B224" s="40"/>
      <c r="C224" s="40"/>
    </row>
    <row r="225" spans="1:3">
      <c r="A225" s="40"/>
      <c r="B225" s="40"/>
      <c r="C225" s="40"/>
    </row>
    <row r="226" spans="1:3">
      <c r="A226" s="40"/>
      <c r="B226" s="40"/>
      <c r="C226" s="40"/>
    </row>
    <row r="227" spans="1:3">
      <c r="A227" s="40"/>
      <c r="B227" s="40"/>
      <c r="C227" s="40"/>
    </row>
    <row r="228" spans="1:3">
      <c r="A228" s="40"/>
      <c r="B228" s="40"/>
      <c r="C228" s="40"/>
    </row>
    <row r="229" spans="1:3">
      <c r="A229" s="40"/>
      <c r="B229" s="40"/>
      <c r="C229" s="40"/>
    </row>
    <row r="230" spans="1:3">
      <c r="A230" s="40"/>
      <c r="B230" s="40"/>
      <c r="C230" s="40"/>
    </row>
    <row r="231" spans="1:3">
      <c r="A231" s="40"/>
      <c r="B231" s="40"/>
      <c r="C231" s="40"/>
    </row>
    <row r="232" spans="1:3">
      <c r="A232" s="40"/>
      <c r="B232" s="40"/>
      <c r="C232" s="40"/>
    </row>
    <row r="233" spans="1:3">
      <c r="A233" s="40"/>
      <c r="B233" s="40"/>
      <c r="C233" s="40"/>
    </row>
    <row r="234" spans="1:3">
      <c r="A234" s="40"/>
      <c r="B234" s="40"/>
      <c r="C234" s="40"/>
    </row>
    <row r="235" spans="1:3">
      <c r="A235" s="40"/>
      <c r="B235" s="40"/>
      <c r="C235" s="40"/>
    </row>
    <row r="236" spans="1:3">
      <c r="A236" s="40"/>
      <c r="B236" s="40"/>
      <c r="C236" s="40"/>
    </row>
    <row r="237" spans="1:3">
      <c r="A237" s="40"/>
      <c r="B237" s="40"/>
      <c r="C237" s="40"/>
    </row>
    <row r="238" spans="1:3">
      <c r="A238" s="40"/>
      <c r="B238" s="40"/>
      <c r="C238" s="40"/>
    </row>
    <row r="239" spans="1:3">
      <c r="A239" s="40"/>
      <c r="B239" s="40"/>
      <c r="C239" s="40"/>
    </row>
    <row r="240" spans="1:3">
      <c r="A240" s="40"/>
      <c r="B240" s="40"/>
      <c r="C240" s="40"/>
    </row>
    <row r="241" spans="1:3">
      <c r="A241" s="40"/>
      <c r="B241" s="40"/>
      <c r="C241" s="40"/>
    </row>
    <row r="242" spans="1:3">
      <c r="A242" s="40"/>
      <c r="B242" s="40"/>
      <c r="C242" s="40"/>
    </row>
    <row r="243" spans="1:3">
      <c r="A243" s="40"/>
      <c r="B243" s="40"/>
      <c r="C243" s="40"/>
    </row>
    <row r="244" spans="1:3">
      <c r="A244" s="40"/>
      <c r="B244" s="40"/>
      <c r="C244" s="40"/>
    </row>
    <row r="245" spans="1:3">
      <c r="A245" s="40"/>
      <c r="B245" s="40"/>
      <c r="C245" s="40"/>
    </row>
    <row r="246" spans="1:3">
      <c r="A246" s="40"/>
      <c r="B246" s="40"/>
      <c r="C246" s="40"/>
    </row>
    <row r="247" spans="1:3">
      <c r="A247" s="40"/>
      <c r="B247" s="40"/>
      <c r="C247" s="40"/>
    </row>
    <row r="248" spans="1:3">
      <c r="A248" s="40"/>
      <c r="B248" s="40"/>
      <c r="C248" s="40"/>
    </row>
    <row r="249" spans="1:3">
      <c r="A249" s="40"/>
      <c r="B249" s="40"/>
      <c r="C249" s="40"/>
    </row>
    <row r="250" spans="1:3">
      <c r="A250" s="40"/>
      <c r="B250" s="40"/>
      <c r="C250" s="40"/>
    </row>
    <row r="251" spans="1:3">
      <c r="A251" s="40"/>
      <c r="B251" s="40"/>
      <c r="C251" s="40"/>
    </row>
    <row r="252" spans="1:3">
      <c r="A252" s="40"/>
      <c r="B252" s="40"/>
      <c r="C252" s="40"/>
    </row>
    <row r="253" spans="1:3">
      <c r="A253" s="40"/>
      <c r="B253" s="40"/>
      <c r="C253" s="40"/>
    </row>
    <row r="254" spans="1:3">
      <c r="A254" s="40"/>
      <c r="B254" s="40"/>
      <c r="C254" s="40"/>
    </row>
    <row r="255" spans="1:3">
      <c r="A255" s="40"/>
      <c r="B255" s="40"/>
      <c r="C255" s="40"/>
    </row>
    <row r="256" spans="1:3">
      <c r="A256" s="40"/>
      <c r="B256" s="40"/>
      <c r="C256" s="40"/>
    </row>
    <row r="257" spans="1:3">
      <c r="A257" s="40"/>
      <c r="B257" s="40"/>
      <c r="C257" s="40"/>
    </row>
    <row r="258" spans="1:3">
      <c r="A258" s="40"/>
      <c r="B258" s="40"/>
      <c r="C258" s="40"/>
    </row>
    <row r="259" spans="1:3">
      <c r="A259" s="40"/>
      <c r="B259" s="40"/>
      <c r="C259" s="40"/>
    </row>
    <row r="260" spans="1:3">
      <c r="A260" s="40"/>
      <c r="B260" s="40"/>
      <c r="C260" s="40"/>
    </row>
    <row r="261" spans="1:3">
      <c r="A261" s="40"/>
      <c r="B261" s="40"/>
      <c r="C261" s="40"/>
    </row>
    <row r="262" spans="1:3">
      <c r="A262" s="40"/>
      <c r="B262" s="40"/>
      <c r="C262" s="40"/>
    </row>
    <row r="263" spans="1:3">
      <c r="A263" s="40"/>
      <c r="B263" s="40"/>
      <c r="C263" s="40"/>
    </row>
    <row r="264" spans="1:3">
      <c r="A264" s="40"/>
      <c r="B264" s="40"/>
      <c r="C264" s="40"/>
    </row>
    <row r="265" spans="1:3">
      <c r="A265" s="40"/>
      <c r="B265" s="40"/>
      <c r="C265" s="40"/>
    </row>
    <row r="266" spans="1:3">
      <c r="A266" s="40"/>
      <c r="B266" s="40"/>
      <c r="C266" s="40"/>
    </row>
    <row r="267" spans="1:3">
      <c r="A267" s="40"/>
      <c r="B267" s="40"/>
      <c r="C267" s="40"/>
    </row>
    <row r="268" spans="1:3">
      <c r="A268" s="40"/>
      <c r="B268" s="40"/>
      <c r="C268" s="40"/>
    </row>
    <row r="269" spans="1:3">
      <c r="A269" s="40"/>
      <c r="B269" s="40"/>
      <c r="C269" s="40"/>
    </row>
    <row r="270" spans="1:3">
      <c r="A270" s="40"/>
      <c r="B270" s="40"/>
      <c r="C270" s="40"/>
    </row>
    <row r="271" spans="1:3">
      <c r="A271" s="40"/>
      <c r="B271" s="40"/>
      <c r="C271" s="40"/>
    </row>
    <row r="272" spans="1:3">
      <c r="A272" s="40"/>
      <c r="B272" s="40"/>
      <c r="C272" s="40"/>
    </row>
    <row r="273" spans="1:3">
      <c r="A273" s="40"/>
      <c r="B273" s="40"/>
      <c r="C273" s="40"/>
    </row>
    <row r="274" spans="1:3">
      <c r="A274" s="40"/>
      <c r="B274" s="40"/>
      <c r="C274" s="40"/>
    </row>
    <row r="275" spans="1:3">
      <c r="A275" s="40"/>
      <c r="B275" s="40"/>
      <c r="C275" s="40"/>
    </row>
    <row r="276" spans="1:3">
      <c r="A276" s="40"/>
      <c r="B276" s="40"/>
      <c r="C276" s="40"/>
    </row>
    <row r="277" spans="1:3">
      <c r="A277" s="40"/>
      <c r="B277" s="40"/>
      <c r="C277" s="40"/>
    </row>
    <row r="278" spans="1:3">
      <c r="A278" s="40"/>
      <c r="B278" s="40"/>
      <c r="C278" s="40"/>
    </row>
    <row r="279" spans="1:3">
      <c r="A279" s="40"/>
      <c r="B279" s="40"/>
      <c r="C279" s="40"/>
    </row>
    <row r="280" spans="1:3">
      <c r="A280" s="40"/>
      <c r="B280" s="40"/>
      <c r="C280" s="40"/>
    </row>
    <row r="281" spans="1:3">
      <c r="A281" s="40"/>
      <c r="B281" s="40"/>
      <c r="C281" s="40"/>
    </row>
    <row r="282" spans="1:3">
      <c r="A282" s="40"/>
      <c r="B282" s="40"/>
      <c r="C282" s="40"/>
    </row>
    <row r="283" spans="1:3">
      <c r="A283" s="40"/>
      <c r="B283" s="40"/>
      <c r="C283" s="40"/>
    </row>
    <row r="284" spans="1:3">
      <c r="A284" s="40"/>
      <c r="B284" s="40"/>
      <c r="C284" s="40"/>
    </row>
    <row r="285" spans="1:3">
      <c r="A285" s="40"/>
      <c r="B285" s="40"/>
      <c r="C285" s="40"/>
    </row>
    <row r="286" spans="1:3">
      <c r="A286" s="40"/>
      <c r="B286" s="40"/>
      <c r="C286" s="40"/>
    </row>
    <row r="287" spans="1:3">
      <c r="A287" s="40"/>
      <c r="B287" s="40"/>
      <c r="C287" s="40"/>
    </row>
    <row r="288" spans="1:3">
      <c r="A288" s="40"/>
      <c r="B288" s="40"/>
      <c r="C288" s="40"/>
    </row>
    <row r="289" spans="1:3">
      <c r="A289" s="40"/>
      <c r="B289" s="40"/>
      <c r="C289" s="40"/>
    </row>
    <row r="290" spans="1:3">
      <c r="A290" s="40"/>
      <c r="B290" s="40"/>
      <c r="C290" s="40"/>
    </row>
    <row r="291" spans="1:3">
      <c r="A291" s="40"/>
      <c r="B291" s="40"/>
      <c r="C291" s="40"/>
    </row>
    <row r="292" spans="1:3">
      <c r="A292" s="40"/>
      <c r="B292" s="40"/>
      <c r="C292" s="40"/>
    </row>
    <row r="293" spans="1:3">
      <c r="A293" s="40"/>
      <c r="B293" s="40"/>
      <c r="C293" s="40"/>
    </row>
    <row r="294" spans="1:3">
      <c r="A294" s="40"/>
      <c r="B294" s="40"/>
      <c r="C294" s="40"/>
    </row>
    <row r="295" spans="1:3">
      <c r="A295" s="40"/>
      <c r="B295" s="40"/>
      <c r="C295" s="40"/>
    </row>
    <row r="296" spans="1:3">
      <c r="A296" s="40"/>
      <c r="B296" s="40"/>
      <c r="C296" s="40"/>
    </row>
    <row r="297" spans="1:3">
      <c r="A297" s="40"/>
      <c r="B297" s="40"/>
      <c r="C297" s="40"/>
    </row>
    <row r="298" spans="1:3">
      <c r="A298" s="40"/>
      <c r="B298" s="40"/>
      <c r="C298" s="40"/>
    </row>
    <row r="299" spans="1:3">
      <c r="A299" s="40"/>
      <c r="B299" s="40"/>
      <c r="C299" s="40"/>
    </row>
    <row r="300" spans="1:3">
      <c r="A300" s="40"/>
      <c r="B300" s="40"/>
      <c r="C300" s="40"/>
    </row>
    <row r="301" spans="1:3">
      <c r="A301" s="40"/>
      <c r="B301" s="40"/>
      <c r="C301" s="40"/>
    </row>
    <row r="302" spans="1:3">
      <c r="A302" s="40"/>
      <c r="B302" s="40"/>
      <c r="C302" s="40"/>
    </row>
    <row r="303" spans="1:3">
      <c r="A303" s="40"/>
      <c r="B303" s="40"/>
      <c r="C303" s="40"/>
    </row>
    <row r="304" spans="1:3">
      <c r="A304" s="40"/>
      <c r="B304" s="40"/>
      <c r="C304" s="40"/>
    </row>
    <row r="305" spans="1:3">
      <c r="A305" s="40"/>
      <c r="B305" s="40"/>
      <c r="C305" s="40"/>
    </row>
    <row r="306" spans="1:3">
      <c r="A306" s="40"/>
      <c r="B306" s="40"/>
      <c r="C306" s="40"/>
    </row>
    <row r="307" spans="1:3">
      <c r="A307" s="40"/>
      <c r="B307" s="40"/>
      <c r="C307" s="40"/>
    </row>
    <row r="308" spans="1:3">
      <c r="A308" s="40"/>
      <c r="B308" s="40"/>
      <c r="C308" s="40"/>
    </row>
    <row r="309" spans="1:3">
      <c r="A309" s="40"/>
      <c r="B309" s="40"/>
      <c r="C309" s="40"/>
    </row>
    <row r="310" spans="1:3">
      <c r="A310" s="40"/>
      <c r="B310" s="40"/>
      <c r="C310" s="40"/>
    </row>
    <row r="311" spans="1:3">
      <c r="A311" s="40"/>
      <c r="B311" s="40"/>
      <c r="C311" s="40"/>
    </row>
    <row r="312" spans="1:3">
      <c r="A312" s="40"/>
      <c r="B312" s="40"/>
      <c r="C312" s="40"/>
    </row>
    <row r="313" spans="1:3">
      <c r="A313" s="40"/>
      <c r="B313" s="40"/>
      <c r="C313" s="40"/>
    </row>
    <row r="314" spans="1:3">
      <c r="A314" s="40"/>
      <c r="B314" s="40"/>
      <c r="C314" s="40"/>
    </row>
    <row r="315" spans="1:3">
      <c r="A315" s="40"/>
      <c r="B315" s="40"/>
      <c r="C315" s="40"/>
    </row>
    <row r="316" spans="1:3">
      <c r="A316" s="40"/>
      <c r="B316" s="40"/>
      <c r="C316" s="40"/>
    </row>
    <row r="317" spans="1:3">
      <c r="A317" s="40"/>
      <c r="B317" s="40"/>
      <c r="C317" s="40"/>
    </row>
    <row r="318" spans="1:3">
      <c r="A318" s="40"/>
      <c r="B318" s="40"/>
      <c r="C318" s="40"/>
    </row>
    <row r="319" spans="1:3">
      <c r="A319" s="40"/>
      <c r="B319" s="40"/>
      <c r="C319" s="40"/>
    </row>
    <row r="320" spans="1:3">
      <c r="A320" s="40"/>
      <c r="B320" s="40"/>
      <c r="C320" s="40"/>
    </row>
    <row r="321" spans="1:3">
      <c r="A321" s="40"/>
      <c r="B321" s="40"/>
      <c r="C321" s="40"/>
    </row>
    <row r="322" spans="1:3">
      <c r="A322" s="40"/>
      <c r="B322" s="40"/>
      <c r="C322" s="40"/>
    </row>
    <row r="323" spans="1:3">
      <c r="A323" s="40"/>
      <c r="B323" s="40"/>
      <c r="C323" s="40"/>
    </row>
    <row r="324" spans="1:3">
      <c r="A324" s="40"/>
      <c r="B324" s="40"/>
      <c r="C324" s="40"/>
    </row>
    <row r="325" spans="1:3">
      <c r="A325" s="40"/>
      <c r="B325" s="40"/>
      <c r="C325" s="40"/>
    </row>
    <row r="326" spans="1:3">
      <c r="A326" s="40"/>
      <c r="B326" s="40"/>
      <c r="C326" s="40"/>
    </row>
    <row r="327" spans="1:3">
      <c r="A327" s="40"/>
      <c r="B327" s="40"/>
      <c r="C327" s="40"/>
    </row>
    <row r="328" spans="1:3">
      <c r="A328" s="40"/>
      <c r="B328" s="40"/>
      <c r="C328" s="40"/>
    </row>
    <row r="329" spans="1:3">
      <c r="A329" s="40"/>
      <c r="B329" s="40"/>
      <c r="C329" s="40"/>
    </row>
    <row r="330" spans="1:3">
      <c r="A330" s="40"/>
      <c r="B330" s="40"/>
      <c r="C330" s="40"/>
    </row>
    <row r="331" spans="1:3">
      <c r="A331" s="40"/>
      <c r="B331" s="40"/>
      <c r="C331" s="40"/>
    </row>
    <row r="332" spans="1:3">
      <c r="A332" s="40"/>
      <c r="B332" s="40"/>
      <c r="C332" s="40"/>
    </row>
    <row r="333" spans="1:3">
      <c r="A333" s="40"/>
      <c r="B333" s="40"/>
      <c r="C333" s="40"/>
    </row>
    <row r="334" spans="1:3">
      <c r="A334" s="40"/>
      <c r="B334" s="40"/>
      <c r="C334" s="40"/>
    </row>
    <row r="335" spans="1:3">
      <c r="A335" s="40"/>
      <c r="B335" s="40"/>
      <c r="C335" s="40"/>
    </row>
    <row r="336" spans="1:3">
      <c r="A336" s="40"/>
      <c r="B336" s="40"/>
      <c r="C336" s="40"/>
    </row>
    <row r="337" spans="1:3">
      <c r="A337" s="40"/>
      <c r="B337" s="40"/>
      <c r="C337" s="40"/>
    </row>
    <row r="338" spans="1:3">
      <c r="A338" s="40"/>
      <c r="B338" s="40"/>
      <c r="C338" s="40"/>
    </row>
    <row r="339" spans="1:3">
      <c r="A339" s="40"/>
      <c r="B339" s="40"/>
      <c r="C339" s="40"/>
    </row>
    <row r="340" spans="1:3">
      <c r="A340" s="40"/>
      <c r="B340" s="40"/>
      <c r="C340" s="40"/>
    </row>
    <row r="341" spans="1:3">
      <c r="A341" s="40"/>
      <c r="B341" s="40"/>
      <c r="C341" s="40"/>
    </row>
    <row r="342" spans="1:3">
      <c r="A342" s="40"/>
      <c r="B342" s="40"/>
      <c r="C342" s="40"/>
    </row>
    <row r="343" spans="1:3">
      <c r="A343" s="40"/>
      <c r="B343" s="40"/>
      <c r="C343" s="40"/>
    </row>
    <row r="344" spans="1:3">
      <c r="A344" s="40"/>
      <c r="B344" s="40"/>
      <c r="C344" s="40"/>
    </row>
    <row r="345" spans="1:3">
      <c r="A345" s="40"/>
      <c r="B345" s="40"/>
      <c r="C345" s="40"/>
    </row>
    <row r="346" spans="1:3">
      <c r="A346" s="40"/>
      <c r="B346" s="40"/>
      <c r="C346" s="40"/>
    </row>
    <row r="347" spans="1:3">
      <c r="A347" s="40"/>
      <c r="B347" s="40"/>
      <c r="C347" s="40"/>
    </row>
    <row r="348" spans="1:3">
      <c r="A348" s="40"/>
      <c r="B348" s="40"/>
      <c r="C348" s="40"/>
    </row>
    <row r="349" spans="1:3">
      <c r="A349" s="40"/>
      <c r="B349" s="40"/>
      <c r="C349" s="40"/>
    </row>
    <row r="350" spans="1:3">
      <c r="A350" s="40"/>
      <c r="B350" s="40"/>
      <c r="C350" s="40"/>
    </row>
    <row r="351" spans="1:3">
      <c r="A351" s="40"/>
      <c r="B351" s="40"/>
      <c r="C351" s="40"/>
    </row>
    <row r="352" spans="1:3">
      <c r="A352" s="40"/>
      <c r="B352" s="40"/>
      <c r="C352" s="40"/>
    </row>
    <row r="353" spans="1:3">
      <c r="A353" s="40"/>
      <c r="B353" s="40"/>
      <c r="C353" s="40"/>
    </row>
    <row r="354" spans="1:3">
      <c r="A354" s="40"/>
      <c r="B354" s="40"/>
      <c r="C354" s="40"/>
    </row>
    <row r="355" spans="1:3">
      <c r="A355" s="40"/>
      <c r="B355" s="40"/>
      <c r="C355" s="40"/>
    </row>
    <row r="356" spans="1:3">
      <c r="A356" s="40"/>
      <c r="B356" s="40"/>
      <c r="C356" s="40"/>
    </row>
    <row r="357" spans="1:3">
      <c r="A357" s="40"/>
      <c r="B357" s="40"/>
      <c r="C357" s="40"/>
    </row>
    <row r="358" spans="1:3">
      <c r="A358" s="40"/>
      <c r="B358" s="40"/>
      <c r="C358" s="40"/>
    </row>
    <row r="359" spans="1:3">
      <c r="A359" s="40"/>
      <c r="B359" s="40"/>
      <c r="C359" s="40"/>
    </row>
    <row r="360" spans="1:3">
      <c r="A360" s="40"/>
      <c r="B360" s="40"/>
      <c r="C360" s="40"/>
    </row>
    <row r="361" spans="1:3">
      <c r="A361" s="40"/>
      <c r="B361" s="40"/>
      <c r="C361" s="40"/>
    </row>
    <row r="362" spans="1:3">
      <c r="A362" s="40"/>
      <c r="B362" s="40"/>
      <c r="C362" s="40"/>
    </row>
    <row r="363" spans="1:3">
      <c r="A363" s="40"/>
      <c r="B363" s="40"/>
      <c r="C363" s="40"/>
    </row>
    <row r="364" spans="1:3">
      <c r="A364" s="40"/>
      <c r="B364" s="40"/>
      <c r="C364" s="40"/>
    </row>
    <row r="365" spans="1:3">
      <c r="A365" s="40"/>
      <c r="B365" s="40"/>
      <c r="C365" s="40"/>
    </row>
    <row r="366" spans="1:3">
      <c r="A366" s="40"/>
      <c r="B366" s="40"/>
      <c r="C366" s="40"/>
    </row>
    <row r="367" spans="1:3">
      <c r="A367" s="40"/>
      <c r="B367" s="40"/>
      <c r="C367" s="40"/>
    </row>
    <row r="368" spans="1:3">
      <c r="A368" s="40"/>
      <c r="B368" s="40"/>
      <c r="C368" s="40"/>
    </row>
    <row r="369" spans="1:3">
      <c r="A369" s="40"/>
      <c r="B369" s="40"/>
      <c r="C369" s="40"/>
    </row>
    <row r="370" spans="1:3">
      <c r="A370" s="40"/>
      <c r="B370" s="40"/>
      <c r="C370" s="40"/>
    </row>
    <row r="371" spans="1:3">
      <c r="A371" s="40"/>
      <c r="B371" s="40"/>
      <c r="C371" s="40"/>
    </row>
    <row r="372" spans="1:3">
      <c r="A372" s="40"/>
      <c r="B372" s="40"/>
      <c r="C372" s="40"/>
    </row>
    <row r="373" spans="1:3">
      <c r="A373" s="40"/>
      <c r="B373" s="40"/>
      <c r="C373" s="40"/>
    </row>
    <row r="374" spans="1:3">
      <c r="A374" s="40"/>
      <c r="B374" s="40"/>
      <c r="C374" s="40"/>
    </row>
    <row r="375" spans="1:3">
      <c r="A375" s="40"/>
      <c r="B375" s="40"/>
      <c r="C375" s="40"/>
    </row>
    <row r="376" spans="1:3">
      <c r="A376" s="40"/>
      <c r="B376" s="40"/>
      <c r="C376" s="40"/>
    </row>
    <row r="377" spans="1:3">
      <c r="A377" s="40"/>
      <c r="B377" s="40"/>
      <c r="C377" s="40"/>
    </row>
    <row r="378" spans="1:3">
      <c r="A378" s="40"/>
      <c r="B378" s="40"/>
      <c r="C378" s="40"/>
    </row>
    <row r="379" spans="1:3">
      <c r="A379" s="40"/>
      <c r="B379" s="40"/>
      <c r="C379" s="40"/>
    </row>
    <row r="380" spans="1:3">
      <c r="A380" s="40"/>
      <c r="B380" s="40"/>
      <c r="C380" s="40"/>
    </row>
    <row r="381" spans="1:3">
      <c r="A381" s="40"/>
      <c r="B381" s="40"/>
      <c r="C381" s="40"/>
    </row>
    <row r="382" spans="1:3">
      <c r="A382" s="40"/>
      <c r="B382" s="40"/>
      <c r="C382" s="40"/>
    </row>
    <row r="383" spans="1:3">
      <c r="A383" s="40"/>
      <c r="B383" s="40"/>
      <c r="C383" s="40"/>
    </row>
    <row r="384" spans="1:3">
      <c r="A384" s="40"/>
      <c r="B384" s="40"/>
      <c r="C384" s="40"/>
    </row>
    <row r="385" spans="1:3">
      <c r="A385" s="40"/>
      <c r="B385" s="40"/>
      <c r="C385" s="40"/>
    </row>
    <row r="386" spans="1:3">
      <c r="A386" s="40"/>
      <c r="B386" s="40"/>
      <c r="C386" s="40"/>
    </row>
    <row r="387" spans="1:3">
      <c r="A387" s="40"/>
      <c r="B387" s="40"/>
      <c r="C387" s="40"/>
    </row>
    <row r="388" spans="1:3">
      <c r="A388" s="40"/>
      <c r="B388" s="40"/>
      <c r="C388" s="40"/>
    </row>
    <row r="389" spans="1:3">
      <c r="A389" s="40"/>
      <c r="B389" s="40"/>
      <c r="C389" s="40"/>
    </row>
    <row r="390" spans="1:3">
      <c r="A390" s="40"/>
      <c r="B390" s="40"/>
      <c r="C390" s="40"/>
    </row>
    <row r="391" spans="1:3">
      <c r="A391" s="40"/>
      <c r="B391" s="40"/>
      <c r="C391" s="40"/>
    </row>
    <row r="392" spans="1:3">
      <c r="A392" s="40"/>
      <c r="B392" s="40"/>
      <c r="C392" s="40"/>
    </row>
    <row r="393" spans="1:3">
      <c r="A393" s="40"/>
      <c r="B393" s="40"/>
      <c r="C393" s="40"/>
    </row>
    <row r="394" spans="1:3">
      <c r="A394" s="40"/>
      <c r="B394" s="40"/>
      <c r="C394" s="40"/>
    </row>
    <row r="395" spans="1:3">
      <c r="A395" s="40"/>
      <c r="B395" s="40"/>
      <c r="C395" s="40"/>
    </row>
    <row r="396" spans="1:3">
      <c r="A396" s="40"/>
      <c r="B396" s="40"/>
      <c r="C396" s="40"/>
    </row>
    <row r="397" spans="1:3">
      <c r="A397" s="40"/>
      <c r="B397" s="40"/>
      <c r="C397" s="40"/>
    </row>
    <row r="398" spans="1:3">
      <c r="A398" s="40"/>
      <c r="B398" s="40"/>
      <c r="C398" s="40"/>
    </row>
    <row r="399" spans="1:3">
      <c r="A399" s="40"/>
      <c r="B399" s="40"/>
      <c r="C399" s="40"/>
    </row>
    <row r="400" spans="1:3">
      <c r="A400" s="40"/>
      <c r="B400" s="40"/>
      <c r="C400" s="40"/>
    </row>
    <row r="401" spans="1:3">
      <c r="A401" s="40"/>
      <c r="B401" s="40"/>
      <c r="C401" s="40"/>
    </row>
    <row r="402" spans="1:3">
      <c r="A402" s="40"/>
      <c r="B402" s="40"/>
      <c r="C402" s="40"/>
    </row>
    <row r="403" spans="1:3">
      <c r="A403" s="40"/>
      <c r="B403" s="40"/>
      <c r="C403" s="40"/>
    </row>
    <row r="404" spans="1:3">
      <c r="A404" s="40"/>
      <c r="B404" s="40"/>
      <c r="C404" s="40"/>
    </row>
    <row r="405" spans="1:3">
      <c r="A405" s="40"/>
      <c r="B405" s="40"/>
      <c r="C405" s="40"/>
    </row>
    <row r="406" spans="1:3">
      <c r="A406" s="40"/>
      <c r="B406" s="40"/>
      <c r="C406" s="40"/>
    </row>
    <row r="407" spans="1:3">
      <c r="A407" s="40"/>
      <c r="B407" s="40"/>
      <c r="C407" s="40"/>
    </row>
    <row r="408" spans="1:3">
      <c r="A408" s="40"/>
      <c r="B408" s="40"/>
      <c r="C408" s="40"/>
    </row>
    <row r="409" spans="1:3">
      <c r="A409" s="40"/>
      <c r="B409" s="40"/>
      <c r="C409" s="40"/>
    </row>
    <row r="410" spans="1:3">
      <c r="A410" s="40"/>
      <c r="B410" s="40"/>
      <c r="C410" s="40"/>
    </row>
    <row r="411" spans="1:3">
      <c r="A411" s="40"/>
      <c r="B411" s="40"/>
      <c r="C411" s="40"/>
    </row>
    <row r="412" spans="1:3">
      <c r="A412" s="40"/>
      <c r="B412" s="40"/>
      <c r="C412" s="40"/>
    </row>
    <row r="413" spans="1:3">
      <c r="A413" s="40"/>
      <c r="B413" s="40"/>
      <c r="C413" s="40"/>
    </row>
    <row r="414" spans="1:3">
      <c r="A414" s="40"/>
      <c r="B414" s="40"/>
      <c r="C414" s="40"/>
    </row>
    <row r="415" spans="1:3">
      <c r="A415" s="40"/>
      <c r="B415" s="40"/>
      <c r="C415" s="40"/>
    </row>
    <row r="416" spans="1:3">
      <c r="A416" s="40"/>
      <c r="B416" s="40"/>
      <c r="C416" s="40"/>
    </row>
    <row r="417" spans="1:3">
      <c r="A417" s="40"/>
      <c r="B417" s="40"/>
      <c r="C417" s="40"/>
    </row>
    <row r="418" spans="1:3">
      <c r="A418" s="40"/>
      <c r="B418" s="40"/>
      <c r="C418" s="40"/>
    </row>
    <row r="419" spans="1:3">
      <c r="A419" s="40"/>
      <c r="B419" s="40"/>
      <c r="C419" s="40"/>
    </row>
    <row r="420" spans="1:3">
      <c r="A420" s="40"/>
      <c r="B420" s="40"/>
      <c r="C420" s="40"/>
    </row>
    <row r="421" spans="1:3">
      <c r="A421" s="40"/>
      <c r="B421" s="40"/>
      <c r="C421" s="40"/>
    </row>
    <row r="422" spans="1:3">
      <c r="A422" s="40"/>
      <c r="B422" s="40"/>
      <c r="C422" s="40"/>
    </row>
    <row r="423" spans="1:3">
      <c r="A423" s="40"/>
      <c r="B423" s="40"/>
      <c r="C423" s="40"/>
    </row>
    <row r="424" spans="1:3">
      <c r="A424" s="40"/>
      <c r="B424" s="40"/>
      <c r="C424" s="40"/>
    </row>
    <row r="425" spans="1:3">
      <c r="A425" s="40"/>
      <c r="B425" s="40"/>
      <c r="C425" s="40"/>
    </row>
    <row r="426" spans="1:3">
      <c r="A426" s="40"/>
      <c r="B426" s="40"/>
      <c r="C426" s="40"/>
    </row>
    <row r="427" spans="1:3">
      <c r="A427" s="40"/>
      <c r="B427" s="40"/>
      <c r="C427" s="40"/>
    </row>
    <row r="428" spans="1:3">
      <c r="A428" s="40"/>
      <c r="B428" s="40"/>
      <c r="C428" s="40"/>
    </row>
    <row r="429" spans="1:3">
      <c r="A429" s="40"/>
      <c r="B429" s="40"/>
      <c r="C429" s="40"/>
    </row>
    <row r="430" spans="1:3">
      <c r="A430" s="40"/>
      <c r="B430" s="40"/>
      <c r="C430" s="40"/>
    </row>
    <row r="431" spans="1:3">
      <c r="A431" s="40"/>
      <c r="B431" s="40"/>
      <c r="C431" s="40"/>
    </row>
    <row r="432" spans="1:3">
      <c r="A432" s="40"/>
      <c r="B432" s="40"/>
      <c r="C432" s="40"/>
    </row>
    <row r="433" spans="1:3">
      <c r="A433" s="40"/>
      <c r="B433" s="40"/>
      <c r="C433" s="40"/>
    </row>
    <row r="434" spans="1:3">
      <c r="A434" s="40"/>
      <c r="B434" s="40"/>
      <c r="C434" s="40"/>
    </row>
    <row r="435" spans="1:3">
      <c r="A435" s="40"/>
      <c r="B435" s="40"/>
      <c r="C435" s="40"/>
    </row>
    <row r="436" spans="1:3">
      <c r="A436" s="40"/>
      <c r="B436" s="40"/>
      <c r="C436" s="40"/>
    </row>
    <row r="437" spans="1:3">
      <c r="A437" s="40"/>
      <c r="B437" s="40"/>
      <c r="C437" s="40"/>
    </row>
    <row r="438" spans="1:3">
      <c r="A438" s="40"/>
      <c r="B438" s="40"/>
      <c r="C438" s="40"/>
    </row>
    <row r="439" spans="1:3">
      <c r="A439" s="40"/>
      <c r="B439" s="40"/>
      <c r="C439" s="40"/>
    </row>
    <row r="440" spans="1:3">
      <c r="A440" s="40"/>
      <c r="B440" s="40"/>
      <c r="C440" s="40"/>
    </row>
    <row r="441" spans="1:3">
      <c r="A441" s="40"/>
      <c r="B441" s="40"/>
      <c r="C441" s="40"/>
    </row>
    <row r="442" spans="1:3">
      <c r="A442" s="40"/>
      <c r="B442" s="40"/>
      <c r="C442" s="40"/>
    </row>
    <row r="443" spans="1:3">
      <c r="A443" s="40"/>
      <c r="B443" s="40"/>
      <c r="C443" s="40"/>
    </row>
    <row r="444" spans="1:3">
      <c r="A444" s="40"/>
      <c r="B444" s="40"/>
      <c r="C444" s="40"/>
    </row>
    <row r="445" spans="1:3">
      <c r="A445" s="40"/>
      <c r="B445" s="40"/>
      <c r="C445" s="40"/>
    </row>
    <row r="446" spans="1:3">
      <c r="A446" s="40"/>
      <c r="B446" s="40"/>
      <c r="C446" s="40"/>
    </row>
    <row r="447" spans="1:3">
      <c r="A447" s="40"/>
      <c r="B447" s="40"/>
      <c r="C447" s="40"/>
    </row>
    <row r="448" spans="1:3">
      <c r="A448" s="40"/>
      <c r="B448" s="40"/>
      <c r="C448" s="40"/>
    </row>
    <row r="449" spans="1:3">
      <c r="A449" s="40"/>
      <c r="B449" s="40"/>
      <c r="C449" s="40"/>
    </row>
    <row r="450" spans="1:3">
      <c r="A450" s="40"/>
      <c r="B450" s="40"/>
      <c r="C450" s="40"/>
    </row>
    <row r="451" spans="1:3">
      <c r="A451" s="40"/>
      <c r="B451" s="40"/>
      <c r="C451" s="40"/>
    </row>
    <row r="452" spans="1:3">
      <c r="A452" s="40"/>
      <c r="B452" s="40"/>
      <c r="C452" s="40"/>
    </row>
    <row r="453" spans="1:3">
      <c r="A453" s="40"/>
      <c r="B453" s="40"/>
      <c r="C453" s="40"/>
    </row>
    <row r="454" spans="1:3">
      <c r="A454" s="40"/>
      <c r="B454" s="40"/>
      <c r="C454" s="40"/>
    </row>
    <row r="455" spans="1:3">
      <c r="A455" s="40"/>
      <c r="B455" s="40"/>
      <c r="C455" s="40"/>
    </row>
    <row r="456" spans="1:3">
      <c r="A456" s="40"/>
      <c r="B456" s="40"/>
      <c r="C456" s="40"/>
    </row>
    <row r="457" spans="1:3">
      <c r="A457" s="40"/>
      <c r="B457" s="40"/>
      <c r="C457" s="40"/>
    </row>
    <row r="458" spans="1:3">
      <c r="A458" s="40"/>
      <c r="B458" s="40"/>
      <c r="C458" s="40"/>
    </row>
    <row r="459" spans="1:3">
      <c r="A459" s="40"/>
      <c r="B459" s="40"/>
      <c r="C459" s="40"/>
    </row>
    <row r="460" spans="1:3">
      <c r="A460" s="40"/>
      <c r="B460" s="40"/>
      <c r="C460" s="40"/>
    </row>
    <row r="461" spans="1:3">
      <c r="A461" s="40"/>
      <c r="B461" s="40"/>
      <c r="C461" s="40"/>
    </row>
    <row r="462" spans="1:3">
      <c r="A462" s="40"/>
      <c r="B462" s="40"/>
      <c r="C462" s="40"/>
    </row>
    <row r="463" spans="1:3">
      <c r="A463" s="40"/>
      <c r="B463" s="40"/>
      <c r="C463" s="40"/>
    </row>
    <row r="464" spans="1:3">
      <c r="A464" s="40"/>
      <c r="B464" s="40"/>
      <c r="C464" s="40"/>
    </row>
    <row r="465" spans="1:3">
      <c r="A465" s="40"/>
      <c r="B465" s="40"/>
      <c r="C465" s="40"/>
    </row>
    <row r="466" spans="1:3">
      <c r="A466" s="40"/>
      <c r="B466" s="40"/>
      <c r="C466" s="40"/>
    </row>
    <row r="467" spans="1:3">
      <c r="A467" s="40"/>
      <c r="B467" s="40"/>
      <c r="C467" s="40"/>
    </row>
    <row r="468" spans="1:3">
      <c r="A468" s="40"/>
      <c r="B468" s="40"/>
      <c r="C468" s="40"/>
    </row>
    <row r="469" spans="1:3">
      <c r="A469" s="40"/>
      <c r="B469" s="40"/>
      <c r="C469" s="40"/>
    </row>
    <row r="470" spans="1:3">
      <c r="A470" s="40"/>
      <c r="B470" s="40"/>
      <c r="C470" s="40"/>
    </row>
    <row r="471" spans="1:3">
      <c r="A471" s="40"/>
      <c r="B471" s="40"/>
      <c r="C471" s="40"/>
    </row>
    <row r="472" spans="1:3">
      <c r="A472" s="40"/>
      <c r="B472" s="40"/>
      <c r="C472" s="40"/>
    </row>
    <row r="473" spans="1:3">
      <c r="A473" s="40"/>
      <c r="B473" s="40"/>
      <c r="C473" s="40"/>
    </row>
    <row r="474" spans="1:3">
      <c r="A474" s="40"/>
      <c r="B474" s="40"/>
      <c r="C474" s="40"/>
    </row>
    <row r="475" spans="1:3">
      <c r="A475" s="40"/>
      <c r="B475" s="40"/>
      <c r="C475" s="40"/>
    </row>
    <row r="476" spans="1:3">
      <c r="A476" s="40"/>
      <c r="B476" s="40"/>
      <c r="C476" s="40"/>
    </row>
    <row r="477" spans="1:3">
      <c r="A477" s="40"/>
      <c r="B477" s="40"/>
      <c r="C477" s="40"/>
    </row>
    <row r="478" spans="1:3">
      <c r="A478" s="40"/>
      <c r="B478" s="40"/>
      <c r="C478" s="40"/>
    </row>
    <row r="479" spans="1:3">
      <c r="A479" s="40"/>
      <c r="B479" s="40"/>
      <c r="C479" s="40"/>
    </row>
    <row r="480" spans="1:3">
      <c r="A480" s="40"/>
      <c r="B480" s="40"/>
      <c r="C480" s="40"/>
    </row>
    <row r="481" spans="1:3">
      <c r="A481" s="40"/>
      <c r="B481" s="40"/>
      <c r="C481" s="40"/>
    </row>
    <row r="482" spans="1:3">
      <c r="A482" s="40"/>
      <c r="B482" s="40"/>
      <c r="C482" s="40"/>
    </row>
    <row r="483" spans="1:3">
      <c r="A483" s="40"/>
      <c r="B483" s="40"/>
      <c r="C483" s="40"/>
    </row>
    <row r="484" spans="1:3">
      <c r="A484" s="40"/>
      <c r="B484" s="40"/>
      <c r="C484" s="40"/>
    </row>
    <row r="485" spans="1:3">
      <c r="A485" s="40"/>
      <c r="B485" s="40"/>
      <c r="C485" s="40"/>
    </row>
    <row r="486" spans="1:3">
      <c r="A486" s="40"/>
      <c r="B486" s="40"/>
      <c r="C486" s="40"/>
    </row>
    <row r="487" spans="1:3">
      <c r="A487" s="40"/>
      <c r="B487" s="40"/>
      <c r="C487" s="40"/>
    </row>
    <row r="488" spans="1:3">
      <c r="A488" s="40"/>
      <c r="B488" s="40"/>
      <c r="C488" s="40"/>
    </row>
    <row r="489" spans="1:3">
      <c r="A489" s="40"/>
      <c r="B489" s="40"/>
      <c r="C489" s="40"/>
    </row>
    <row r="490" spans="1:3">
      <c r="A490" s="40"/>
      <c r="B490" s="40"/>
      <c r="C490" s="40"/>
    </row>
    <row r="491" spans="1:3">
      <c r="A491" s="40"/>
      <c r="B491" s="40"/>
      <c r="C491" s="40"/>
    </row>
    <row r="492" spans="1:3">
      <c r="A492" s="40"/>
      <c r="B492" s="40"/>
      <c r="C492" s="40"/>
    </row>
    <row r="493" spans="1:3">
      <c r="A493" s="40"/>
      <c r="B493" s="40"/>
      <c r="C493" s="40"/>
    </row>
    <row r="494" spans="1:3">
      <c r="A494" s="40"/>
      <c r="B494" s="40"/>
      <c r="C494" s="40"/>
    </row>
    <row r="495" spans="1:3">
      <c r="A495" s="40"/>
      <c r="B495" s="40"/>
      <c r="C495" s="40"/>
    </row>
    <row r="496" spans="1:3">
      <c r="A496" s="40"/>
      <c r="B496" s="40"/>
      <c r="C496" s="40"/>
    </row>
    <row r="497" spans="1:3">
      <c r="A497" s="40"/>
      <c r="B497" s="40"/>
      <c r="C497" s="40"/>
    </row>
    <row r="498" spans="1:3">
      <c r="A498" s="40"/>
      <c r="B498" s="40"/>
      <c r="C498" s="40"/>
    </row>
    <row r="499" spans="1:3">
      <c r="A499" s="40"/>
      <c r="B499" s="40"/>
      <c r="C499" s="40"/>
    </row>
    <row r="500" spans="1:3">
      <c r="A500" s="40"/>
      <c r="B500" s="40"/>
      <c r="C500" s="40"/>
    </row>
    <row r="501" spans="1:3">
      <c r="A501" s="40"/>
      <c r="B501" s="40"/>
      <c r="C501" s="40"/>
    </row>
    <row r="502" spans="1:3">
      <c r="A502" s="40"/>
      <c r="B502" s="40"/>
      <c r="C502" s="40"/>
    </row>
    <row r="503" spans="1:3">
      <c r="A503" s="40"/>
      <c r="B503" s="40"/>
      <c r="C503" s="40"/>
    </row>
    <row r="504" spans="1:3">
      <c r="A504" s="40"/>
      <c r="B504" s="40"/>
      <c r="C504" s="40"/>
    </row>
    <row r="505" spans="1:3">
      <c r="A505" s="40"/>
      <c r="B505" s="40"/>
      <c r="C505" s="40"/>
    </row>
    <row r="506" spans="1:3">
      <c r="A506" s="40"/>
      <c r="B506" s="40"/>
      <c r="C506" s="40"/>
    </row>
    <row r="507" spans="1:3">
      <c r="A507" s="40"/>
      <c r="B507" s="40"/>
      <c r="C507" s="40"/>
    </row>
    <row r="508" spans="1:3">
      <c r="A508" s="40"/>
      <c r="B508" s="40"/>
      <c r="C508" s="40"/>
    </row>
    <row r="509" spans="1:3">
      <c r="A509" s="40"/>
      <c r="B509" s="40"/>
      <c r="C509" s="40"/>
    </row>
    <row r="510" spans="1:3">
      <c r="A510" s="40"/>
      <c r="B510" s="40"/>
      <c r="C510" s="40"/>
    </row>
    <row r="511" spans="1:3">
      <c r="A511" s="40"/>
      <c r="B511" s="40"/>
      <c r="C511" s="40"/>
    </row>
    <row r="512" spans="1:3">
      <c r="A512" s="40"/>
      <c r="B512" s="40"/>
      <c r="C512" s="40"/>
    </row>
    <row r="513" spans="1:3">
      <c r="A513" s="40"/>
      <c r="B513" s="40"/>
      <c r="C513" s="40"/>
    </row>
    <row r="514" spans="1:3">
      <c r="A514" s="40"/>
      <c r="B514" s="40"/>
      <c r="C514" s="40"/>
    </row>
    <row r="515" spans="1:3">
      <c r="A515" s="40"/>
      <c r="B515" s="40"/>
      <c r="C515" s="40"/>
    </row>
    <row r="516" spans="1:3">
      <c r="A516" s="40"/>
      <c r="B516" s="40"/>
      <c r="C516" s="40"/>
    </row>
    <row r="517" spans="1:3">
      <c r="A517" s="40"/>
      <c r="B517" s="40"/>
      <c r="C517" s="40"/>
    </row>
    <row r="518" spans="1:3">
      <c r="A518" s="40"/>
      <c r="B518" s="40"/>
      <c r="C518" s="40"/>
    </row>
    <row r="519" spans="1:3">
      <c r="A519" s="40"/>
      <c r="B519" s="40"/>
      <c r="C519" s="40"/>
    </row>
    <row r="520" spans="1:3">
      <c r="A520" s="40"/>
      <c r="B520" s="40"/>
      <c r="C520" s="40"/>
    </row>
    <row r="521" spans="1:3">
      <c r="A521" s="40"/>
      <c r="B521" s="40"/>
      <c r="C521" s="40"/>
    </row>
    <row r="522" spans="1:3">
      <c r="A522" s="40"/>
      <c r="B522" s="40"/>
      <c r="C522" s="40"/>
    </row>
    <row r="523" spans="1:3">
      <c r="A523" s="40"/>
      <c r="B523" s="40"/>
      <c r="C523" s="40"/>
    </row>
    <row r="524" spans="1:3">
      <c r="A524" s="40"/>
      <c r="B524" s="40"/>
      <c r="C524" s="40"/>
    </row>
    <row r="525" spans="1:3">
      <c r="A525" s="40"/>
      <c r="B525" s="40"/>
      <c r="C525" s="40"/>
    </row>
    <row r="526" spans="1:3">
      <c r="A526" s="40"/>
      <c r="B526" s="40"/>
      <c r="C526" s="40"/>
    </row>
    <row r="527" spans="1:3">
      <c r="A527" s="40"/>
      <c r="B527" s="40"/>
      <c r="C527" s="40"/>
    </row>
    <row r="528" spans="1:3">
      <c r="A528" s="40"/>
      <c r="B528" s="40"/>
      <c r="C528" s="40"/>
    </row>
    <row r="529" spans="1:3">
      <c r="A529" s="40"/>
      <c r="B529" s="40"/>
      <c r="C529" s="40"/>
    </row>
    <row r="530" spans="1:3">
      <c r="A530" s="40"/>
      <c r="B530" s="40"/>
      <c r="C530" s="40"/>
    </row>
    <row r="531" spans="1:3">
      <c r="A531" s="40"/>
      <c r="B531" s="40"/>
      <c r="C531" s="40"/>
    </row>
    <row r="532" spans="1:3">
      <c r="A532" s="40"/>
      <c r="B532" s="40"/>
      <c r="C532" s="40"/>
    </row>
    <row r="533" spans="1:3">
      <c r="A533" s="40"/>
      <c r="B533" s="40"/>
      <c r="C533" s="40"/>
    </row>
    <row r="534" spans="1:3">
      <c r="A534" s="40"/>
      <c r="B534" s="40"/>
      <c r="C534" s="40"/>
    </row>
    <row r="535" spans="1:3">
      <c r="A535" s="40"/>
      <c r="B535" s="40"/>
      <c r="C535" s="40"/>
    </row>
    <row r="536" spans="1:3">
      <c r="A536" s="40"/>
      <c r="B536" s="40"/>
      <c r="C536" s="40"/>
    </row>
    <row r="537" spans="1:3">
      <c r="A537" s="40"/>
      <c r="B537" s="40"/>
      <c r="C537" s="40"/>
    </row>
    <row r="538" spans="1:3">
      <c r="A538" s="40"/>
      <c r="B538" s="40"/>
      <c r="C538" s="40"/>
    </row>
    <row r="539" spans="1:3">
      <c r="A539" s="40"/>
      <c r="B539" s="40"/>
      <c r="C539" s="40"/>
    </row>
    <row r="540" spans="1:3">
      <c r="A540" s="40"/>
      <c r="B540" s="40"/>
      <c r="C540" s="40"/>
    </row>
    <row r="541" spans="1:3">
      <c r="A541" s="40"/>
      <c r="B541" s="40"/>
      <c r="C541" s="40"/>
    </row>
    <row r="542" spans="1:3">
      <c r="A542" s="40"/>
      <c r="B542" s="40"/>
      <c r="C542" s="40"/>
    </row>
    <row r="543" spans="1:3">
      <c r="A543" s="40"/>
      <c r="B543" s="40"/>
      <c r="C543" s="40"/>
    </row>
    <row r="544" spans="1:3">
      <c r="A544" s="40"/>
      <c r="B544" s="40"/>
      <c r="C544" s="40"/>
    </row>
    <row r="545" spans="1:3">
      <c r="A545" s="40"/>
      <c r="B545" s="40"/>
      <c r="C545" s="40"/>
    </row>
    <row r="546" spans="1:3">
      <c r="A546" s="40"/>
      <c r="B546" s="40"/>
      <c r="C546" s="40"/>
    </row>
    <row r="547" spans="1:3">
      <c r="A547" s="40"/>
      <c r="B547" s="40"/>
      <c r="C547" s="40"/>
    </row>
    <row r="548" spans="1:3">
      <c r="A548" s="40"/>
      <c r="B548" s="40"/>
      <c r="C548" s="40"/>
    </row>
    <row r="549" spans="1:3">
      <c r="A549" s="40"/>
      <c r="B549" s="40"/>
      <c r="C549" s="40"/>
    </row>
    <row r="550" spans="1:3">
      <c r="A550" s="40"/>
      <c r="B550" s="40"/>
      <c r="C550" s="40"/>
    </row>
    <row r="551" spans="1:3">
      <c r="A551" s="40"/>
      <c r="B551" s="40"/>
      <c r="C551" s="40"/>
    </row>
    <row r="552" spans="1:3">
      <c r="A552" s="40"/>
      <c r="B552" s="40"/>
      <c r="C552" s="40"/>
    </row>
    <row r="553" spans="1:3">
      <c r="A553" s="40"/>
      <c r="B553" s="40"/>
      <c r="C553" s="40"/>
    </row>
    <row r="554" spans="1:3">
      <c r="A554" s="40"/>
      <c r="B554" s="40"/>
      <c r="C554" s="40"/>
    </row>
    <row r="555" spans="1:3">
      <c r="A555" s="40"/>
      <c r="B555" s="40"/>
      <c r="C555" s="40"/>
    </row>
    <row r="556" spans="1:3">
      <c r="A556" s="40"/>
      <c r="B556" s="40"/>
      <c r="C556" s="40"/>
    </row>
    <row r="557" spans="1:3">
      <c r="A557" s="40"/>
      <c r="B557" s="40"/>
      <c r="C557" s="40"/>
    </row>
    <row r="558" spans="1:3">
      <c r="A558" s="40"/>
      <c r="B558" s="40"/>
      <c r="C558" s="40"/>
    </row>
    <row r="559" spans="1:3">
      <c r="A559" s="40"/>
      <c r="B559" s="40"/>
      <c r="C559" s="40"/>
    </row>
    <row r="560" spans="1:3">
      <c r="A560" s="40"/>
      <c r="B560" s="40"/>
      <c r="C560" s="40"/>
    </row>
    <row r="561" spans="1:3">
      <c r="A561" s="40"/>
      <c r="B561" s="40"/>
      <c r="C561" s="40"/>
    </row>
    <row r="562" spans="1:3">
      <c r="A562" s="40"/>
      <c r="B562" s="40"/>
      <c r="C562" s="40"/>
    </row>
    <row r="563" spans="1:3">
      <c r="A563" s="40"/>
      <c r="B563" s="40"/>
      <c r="C563" s="40"/>
    </row>
    <row r="564" spans="1:3">
      <c r="A564" s="40"/>
      <c r="B564" s="40"/>
      <c r="C564" s="40"/>
    </row>
    <row r="565" spans="1:3">
      <c r="A565" s="40"/>
      <c r="B565" s="40"/>
      <c r="C565" s="40"/>
    </row>
    <row r="566" spans="1:3">
      <c r="A566" s="40"/>
      <c r="B566" s="40"/>
      <c r="C566" s="40"/>
    </row>
    <row r="567" spans="1:3">
      <c r="A567" s="40"/>
      <c r="B567" s="40"/>
      <c r="C567" s="40"/>
    </row>
    <row r="568" spans="1:3">
      <c r="A568" s="40"/>
      <c r="B568" s="40"/>
      <c r="C568" s="40"/>
    </row>
    <row r="569" spans="1:3">
      <c r="A569" s="40"/>
      <c r="B569" s="40"/>
      <c r="C569" s="40"/>
    </row>
    <row r="570" spans="1:3">
      <c r="A570" s="40"/>
      <c r="B570" s="40"/>
      <c r="C570" s="40"/>
    </row>
    <row r="571" spans="1:3">
      <c r="A571" s="40"/>
      <c r="B571" s="40"/>
      <c r="C571" s="40"/>
    </row>
    <row r="572" spans="1:3">
      <c r="A572" s="40"/>
      <c r="B572" s="40"/>
      <c r="C572" s="40"/>
    </row>
    <row r="573" spans="1:3">
      <c r="A573" s="40"/>
      <c r="B573" s="40"/>
      <c r="C573" s="40"/>
    </row>
    <row r="574" spans="1:3">
      <c r="A574" s="40"/>
      <c r="B574" s="40"/>
      <c r="C574" s="40"/>
    </row>
    <row r="575" spans="1:3">
      <c r="A575" s="40"/>
      <c r="B575" s="40"/>
      <c r="C575" s="40"/>
    </row>
    <row r="576" spans="1:3">
      <c r="A576" s="40"/>
      <c r="B576" s="40"/>
      <c r="C576" s="40"/>
    </row>
    <row r="577" spans="1:3">
      <c r="A577" s="40"/>
      <c r="B577" s="40"/>
      <c r="C577" s="40"/>
    </row>
    <row r="578" spans="1:3">
      <c r="A578" s="40"/>
      <c r="B578" s="40"/>
      <c r="C578" s="40"/>
    </row>
    <row r="579" spans="1:3">
      <c r="A579" s="40"/>
      <c r="B579" s="40"/>
      <c r="C579" s="40"/>
    </row>
    <row r="580" spans="1:3">
      <c r="A580" s="40"/>
      <c r="B580" s="40"/>
      <c r="C580" s="40"/>
    </row>
    <row r="581" spans="1:3">
      <c r="A581" s="40"/>
      <c r="B581" s="40"/>
      <c r="C581" s="40"/>
    </row>
    <row r="582" spans="1:3">
      <c r="A582" s="40"/>
      <c r="B582" s="40"/>
      <c r="C582" s="40"/>
    </row>
    <row r="583" spans="1:3">
      <c r="A583" s="40"/>
      <c r="B583" s="40"/>
      <c r="C583" s="40"/>
    </row>
    <row r="584" spans="1:3">
      <c r="A584" s="40"/>
      <c r="B584" s="40"/>
      <c r="C584" s="40"/>
    </row>
    <row r="585" spans="1:3">
      <c r="A585" s="40"/>
      <c r="B585" s="40"/>
      <c r="C585" s="40"/>
    </row>
    <row r="586" spans="1:3">
      <c r="A586" s="40"/>
      <c r="B586" s="40"/>
      <c r="C586" s="40"/>
    </row>
    <row r="587" spans="1:3">
      <c r="A587" s="40"/>
      <c r="B587" s="40"/>
      <c r="C587" s="40"/>
    </row>
    <row r="588" spans="1:3">
      <c r="A588" s="40"/>
      <c r="B588" s="40"/>
      <c r="C588" s="40"/>
    </row>
    <row r="589" spans="1:3">
      <c r="A589" s="40"/>
      <c r="B589" s="40"/>
      <c r="C589" s="40"/>
    </row>
    <row r="590" spans="1:3">
      <c r="A590" s="40"/>
      <c r="B590" s="40"/>
      <c r="C590" s="40"/>
    </row>
    <row r="591" spans="1:3">
      <c r="A591" s="40"/>
      <c r="B591" s="40"/>
      <c r="C591" s="40"/>
    </row>
    <row r="592" spans="1:3">
      <c r="A592" s="40"/>
      <c r="B592" s="40"/>
      <c r="C592" s="40"/>
    </row>
    <row r="593" spans="1:3">
      <c r="A593" s="40"/>
      <c r="B593" s="40"/>
      <c r="C593" s="40"/>
    </row>
    <row r="594" spans="1:3">
      <c r="A594" s="40"/>
      <c r="B594" s="40"/>
      <c r="C594" s="40"/>
    </row>
    <row r="595" spans="1:3">
      <c r="A595" s="40"/>
      <c r="B595" s="40"/>
      <c r="C595" s="40"/>
    </row>
    <row r="596" spans="1:3">
      <c r="A596" s="40"/>
      <c r="B596" s="40"/>
      <c r="C596" s="40"/>
    </row>
    <row r="597" spans="1:3">
      <c r="A597" s="40"/>
      <c r="B597" s="40"/>
      <c r="C597" s="40"/>
    </row>
    <row r="598" spans="1:3">
      <c r="A598" s="40"/>
      <c r="B598" s="40"/>
      <c r="C598" s="40"/>
    </row>
    <row r="599" spans="1:3">
      <c r="A599" s="40"/>
      <c r="B599" s="40"/>
      <c r="C599" s="40"/>
    </row>
    <row r="600" spans="1:3">
      <c r="A600" s="40"/>
      <c r="B600" s="40"/>
      <c r="C600" s="40"/>
    </row>
    <row r="601" spans="1:3">
      <c r="A601" s="40"/>
      <c r="B601" s="40"/>
      <c r="C601" s="40"/>
    </row>
    <row r="602" spans="1:3">
      <c r="A602" s="40"/>
      <c r="B602" s="40"/>
      <c r="C602" s="40"/>
    </row>
    <row r="603" spans="1:3">
      <c r="A603" s="40"/>
      <c r="B603" s="40"/>
      <c r="C603" s="40"/>
    </row>
    <row r="604" spans="1:3">
      <c r="A604" s="40"/>
      <c r="B604" s="40"/>
      <c r="C604" s="40"/>
    </row>
    <row r="605" spans="1:3">
      <c r="A605" s="40"/>
      <c r="B605" s="40"/>
      <c r="C605" s="40"/>
    </row>
    <row r="606" spans="1:3">
      <c r="A606" s="40"/>
      <c r="B606" s="40"/>
      <c r="C606" s="40"/>
    </row>
    <row r="607" spans="1:3">
      <c r="A607" s="40"/>
      <c r="B607" s="40"/>
      <c r="C607" s="40"/>
    </row>
    <row r="608" spans="1:3">
      <c r="A608" s="40"/>
      <c r="B608" s="40"/>
      <c r="C608" s="40"/>
    </row>
    <row r="609" spans="1:3">
      <c r="A609" s="40"/>
      <c r="B609" s="40"/>
      <c r="C609" s="40"/>
    </row>
    <row r="610" spans="1:3">
      <c r="A610" s="40"/>
      <c r="B610" s="40"/>
      <c r="C610" s="40"/>
    </row>
    <row r="611" spans="1:3">
      <c r="A611" s="40"/>
      <c r="B611" s="40"/>
      <c r="C611" s="40"/>
    </row>
    <row r="612" spans="1:3">
      <c r="A612" s="40"/>
      <c r="B612" s="40"/>
      <c r="C612" s="40"/>
    </row>
    <row r="613" spans="1:3">
      <c r="A613" s="40"/>
      <c r="B613" s="40"/>
      <c r="C613" s="40"/>
    </row>
    <row r="614" spans="1:3">
      <c r="A614" s="40"/>
      <c r="B614" s="40"/>
      <c r="C614" s="40"/>
    </row>
    <row r="615" spans="1:3">
      <c r="A615" s="40"/>
      <c r="B615" s="40"/>
      <c r="C615" s="40"/>
    </row>
    <row r="616" spans="1:3">
      <c r="A616" s="40"/>
      <c r="B616" s="40"/>
      <c r="C616" s="40"/>
    </row>
    <row r="617" spans="1:3">
      <c r="A617" s="40"/>
      <c r="B617" s="40"/>
      <c r="C617" s="40"/>
    </row>
    <row r="618" spans="1:3">
      <c r="A618" s="40"/>
      <c r="B618" s="40"/>
      <c r="C618" s="40"/>
    </row>
    <row r="619" spans="1:3">
      <c r="A619" s="40"/>
      <c r="B619" s="40"/>
      <c r="C619" s="40"/>
    </row>
    <row r="620" spans="1:3">
      <c r="A620" s="40"/>
      <c r="B620" s="40"/>
      <c r="C620" s="40"/>
    </row>
    <row r="621" spans="1:3">
      <c r="A621" s="40"/>
      <c r="B621" s="40"/>
      <c r="C621" s="40"/>
    </row>
    <row r="622" spans="1:3">
      <c r="A622" s="40"/>
      <c r="B622" s="40"/>
      <c r="C622" s="40"/>
    </row>
    <row r="623" spans="1:3">
      <c r="A623" s="40"/>
      <c r="B623" s="40"/>
      <c r="C623" s="40"/>
    </row>
    <row r="624" spans="1:3">
      <c r="A624" s="40"/>
      <c r="B624" s="40"/>
      <c r="C624" s="40"/>
    </row>
    <row r="625" spans="1:3">
      <c r="A625" s="40"/>
      <c r="B625" s="40"/>
      <c r="C625" s="40"/>
    </row>
    <row r="626" spans="1:3">
      <c r="A626" s="40"/>
      <c r="B626" s="40"/>
      <c r="C626" s="40"/>
    </row>
    <row r="627" spans="1:3">
      <c r="A627" s="40"/>
      <c r="B627" s="40"/>
      <c r="C627" s="40"/>
    </row>
    <row r="628" spans="1:3">
      <c r="A628" s="40"/>
      <c r="B628" s="40"/>
      <c r="C628" s="40"/>
    </row>
    <row r="629" spans="1:3">
      <c r="A629" s="40"/>
      <c r="B629" s="40"/>
      <c r="C629" s="40"/>
    </row>
    <row r="630" spans="1:3">
      <c r="A630" s="40"/>
      <c r="B630" s="40"/>
      <c r="C630" s="40"/>
    </row>
    <row r="631" spans="1:3">
      <c r="A631" s="40"/>
      <c r="B631" s="40"/>
      <c r="C631" s="40"/>
    </row>
    <row r="632" spans="1:3">
      <c r="A632" s="40"/>
      <c r="B632" s="40"/>
      <c r="C632" s="40"/>
    </row>
    <row r="633" spans="1:3">
      <c r="A633" s="40"/>
      <c r="B633" s="40"/>
      <c r="C633" s="40"/>
    </row>
    <row r="634" spans="1:3">
      <c r="A634" s="40"/>
      <c r="B634" s="40"/>
      <c r="C634" s="40"/>
    </row>
    <row r="635" spans="1:3">
      <c r="A635" s="40"/>
      <c r="B635" s="40"/>
      <c r="C635" s="40"/>
    </row>
    <row r="636" spans="1:3">
      <c r="A636" s="40"/>
      <c r="B636" s="40"/>
      <c r="C636" s="40"/>
    </row>
    <row r="637" spans="1:3">
      <c r="A637" s="40"/>
      <c r="B637" s="40"/>
      <c r="C637" s="40"/>
    </row>
    <row r="638" spans="1:3">
      <c r="A638" s="40"/>
      <c r="B638" s="40"/>
      <c r="C638" s="40"/>
    </row>
    <row r="639" spans="1:3">
      <c r="A639" s="40"/>
      <c r="B639" s="40"/>
      <c r="C639" s="40"/>
    </row>
    <row r="640" spans="1:3">
      <c r="A640" s="40"/>
      <c r="B640" s="40"/>
      <c r="C640" s="40"/>
    </row>
    <row r="641" spans="1:3">
      <c r="A641" s="40"/>
      <c r="B641" s="40"/>
      <c r="C641" s="40"/>
    </row>
    <row r="642" spans="1:3">
      <c r="A642" s="40"/>
      <c r="B642" s="40"/>
      <c r="C642" s="40"/>
    </row>
    <row r="643" spans="1:3">
      <c r="A643" s="40"/>
      <c r="B643" s="40"/>
      <c r="C643" s="40"/>
    </row>
    <row r="644" spans="1:3">
      <c r="A644" s="40"/>
      <c r="B644" s="40"/>
      <c r="C644" s="40"/>
    </row>
    <row r="645" spans="1:3">
      <c r="A645" s="40"/>
      <c r="B645" s="40"/>
      <c r="C645" s="40"/>
    </row>
    <row r="646" spans="1:3">
      <c r="A646" s="40"/>
      <c r="B646" s="40"/>
      <c r="C646" s="40"/>
    </row>
    <row r="647" spans="1:3">
      <c r="A647" s="40"/>
      <c r="B647" s="40"/>
      <c r="C647" s="40"/>
    </row>
    <row r="648" spans="1:3">
      <c r="A648" s="40"/>
      <c r="B648" s="40"/>
      <c r="C648" s="40"/>
    </row>
    <row r="649" spans="1:3">
      <c r="A649" s="40"/>
      <c r="B649" s="40"/>
      <c r="C649" s="40"/>
    </row>
    <row r="650" spans="1:3">
      <c r="A650" s="40"/>
      <c r="B650" s="40"/>
      <c r="C650" s="40"/>
    </row>
    <row r="651" spans="1:3">
      <c r="A651" s="40"/>
      <c r="B651" s="40"/>
      <c r="C651" s="40"/>
    </row>
    <row r="652" spans="1:3">
      <c r="A652" s="40"/>
      <c r="B652" s="40"/>
      <c r="C652" s="40"/>
    </row>
    <row r="653" spans="1:3">
      <c r="A653" s="40"/>
      <c r="B653" s="40"/>
      <c r="C653" s="40"/>
    </row>
    <row r="654" spans="1:3">
      <c r="A654" s="40"/>
      <c r="B654" s="40"/>
      <c r="C654" s="40"/>
    </row>
    <row r="655" spans="1:3">
      <c r="A655" s="40"/>
      <c r="B655" s="40"/>
      <c r="C655" s="40"/>
    </row>
    <row r="656" spans="1:3">
      <c r="A656" s="40"/>
      <c r="B656" s="40"/>
      <c r="C656" s="40"/>
    </row>
    <row r="657" spans="1:3">
      <c r="A657" s="40"/>
      <c r="B657" s="40"/>
      <c r="C657" s="40"/>
    </row>
    <row r="658" spans="1:3">
      <c r="A658" s="40"/>
      <c r="B658" s="40"/>
      <c r="C658" s="40"/>
    </row>
    <row r="659" spans="1:3">
      <c r="A659" s="40"/>
      <c r="B659" s="40"/>
      <c r="C659" s="40"/>
    </row>
    <row r="660" spans="1:3">
      <c r="A660" s="40"/>
      <c r="B660" s="40"/>
      <c r="C660" s="40"/>
    </row>
    <row r="661" spans="1:3">
      <c r="A661" s="40"/>
      <c r="B661" s="40"/>
      <c r="C661" s="40"/>
    </row>
    <row r="662" spans="1:3">
      <c r="A662" s="40"/>
      <c r="B662" s="40"/>
      <c r="C662" s="40"/>
    </row>
    <row r="663" spans="1:3">
      <c r="A663" s="40"/>
      <c r="B663" s="40"/>
      <c r="C663" s="40"/>
    </row>
    <row r="664" spans="1:3">
      <c r="A664" s="40"/>
      <c r="B664" s="40"/>
      <c r="C664" s="40"/>
    </row>
    <row r="665" spans="1:3">
      <c r="A665" s="40"/>
      <c r="B665" s="40"/>
      <c r="C665" s="40"/>
    </row>
    <row r="666" spans="1:3">
      <c r="A666" s="40"/>
      <c r="B666" s="40"/>
      <c r="C666" s="40"/>
    </row>
    <row r="667" spans="1:3">
      <c r="A667" s="40"/>
      <c r="B667" s="40"/>
      <c r="C667" s="40"/>
    </row>
    <row r="668" spans="1:3">
      <c r="A668" s="40"/>
      <c r="B668" s="40"/>
      <c r="C668" s="40"/>
    </row>
    <row r="669" spans="1:3">
      <c r="A669" s="40"/>
      <c r="B669" s="40"/>
      <c r="C669" s="40"/>
    </row>
    <row r="670" spans="1:3">
      <c r="A670" s="40"/>
      <c r="B670" s="40"/>
      <c r="C670" s="40"/>
    </row>
    <row r="671" spans="1:3">
      <c r="A671" s="40"/>
      <c r="B671" s="40"/>
      <c r="C671" s="40"/>
    </row>
    <row r="672" spans="1:3">
      <c r="A672" s="40"/>
      <c r="B672" s="40"/>
      <c r="C672" s="40"/>
    </row>
    <row r="673" spans="1:3">
      <c r="A673" s="40"/>
      <c r="B673" s="40"/>
      <c r="C673" s="40"/>
    </row>
    <row r="674" spans="1:3">
      <c r="A674" s="40"/>
      <c r="B674" s="40"/>
      <c r="C674" s="40"/>
    </row>
    <row r="675" spans="1:3">
      <c r="A675" s="40"/>
      <c r="B675" s="40"/>
      <c r="C675" s="40"/>
    </row>
    <row r="676" spans="1:3">
      <c r="A676" s="40"/>
      <c r="B676" s="40"/>
      <c r="C676" s="40"/>
    </row>
    <row r="677" spans="1:3">
      <c r="A677" s="40"/>
      <c r="B677" s="40"/>
      <c r="C677" s="40"/>
    </row>
    <row r="678" spans="1:3">
      <c r="A678" s="40"/>
      <c r="B678" s="40"/>
      <c r="C678" s="40"/>
    </row>
    <row r="679" spans="1:3">
      <c r="A679" s="40"/>
      <c r="B679" s="40"/>
      <c r="C679" s="40"/>
    </row>
    <row r="680" spans="1:3">
      <c r="A680" s="40"/>
      <c r="B680" s="40"/>
      <c r="C680" s="40"/>
    </row>
    <row r="681" spans="1:3">
      <c r="A681" s="40"/>
      <c r="B681" s="40"/>
      <c r="C681" s="40"/>
    </row>
    <row r="682" spans="1:3">
      <c r="A682" s="40"/>
      <c r="B682" s="40"/>
      <c r="C682" s="40"/>
    </row>
    <row r="683" spans="1:3">
      <c r="A683" s="40"/>
      <c r="B683" s="40"/>
      <c r="C683" s="40"/>
    </row>
    <row r="684" spans="1:3">
      <c r="A684" s="40"/>
      <c r="B684" s="40"/>
      <c r="C684" s="40"/>
    </row>
    <row r="685" spans="1:3">
      <c r="A685" s="40"/>
      <c r="B685" s="40"/>
      <c r="C685" s="40"/>
    </row>
    <row r="686" spans="1:3">
      <c r="A686" s="40"/>
      <c r="B686" s="40"/>
      <c r="C686" s="40"/>
    </row>
    <row r="687" spans="1:3">
      <c r="A687" s="40"/>
      <c r="B687" s="40"/>
      <c r="C687" s="40"/>
    </row>
    <row r="688" spans="1:3">
      <c r="A688" s="40"/>
      <c r="B688" s="40"/>
      <c r="C688" s="40"/>
    </row>
    <row r="689" spans="1:3">
      <c r="A689" s="40"/>
      <c r="B689" s="40"/>
      <c r="C689" s="40"/>
    </row>
    <row r="690" spans="1:3">
      <c r="A690" s="40"/>
      <c r="B690" s="40"/>
      <c r="C690" s="40"/>
    </row>
    <row r="691" spans="1:3">
      <c r="A691" s="40"/>
      <c r="B691" s="40"/>
      <c r="C691" s="40"/>
    </row>
    <row r="692" spans="1:3">
      <c r="A692" s="40"/>
      <c r="B692" s="40"/>
      <c r="C692" s="40"/>
    </row>
    <row r="693" spans="1:3">
      <c r="A693" s="40"/>
      <c r="B693" s="40"/>
      <c r="C693" s="40"/>
    </row>
    <row r="694" spans="1:3">
      <c r="A694" s="40"/>
      <c r="B694" s="40"/>
      <c r="C694" s="40"/>
    </row>
    <row r="695" spans="1:3">
      <c r="A695" s="40"/>
      <c r="B695" s="40"/>
      <c r="C695" s="40"/>
    </row>
    <row r="696" spans="1:3">
      <c r="A696" s="40"/>
      <c r="B696" s="40"/>
      <c r="C696" s="40"/>
    </row>
    <row r="697" spans="1:3">
      <c r="A697" s="40"/>
      <c r="B697" s="40"/>
      <c r="C697" s="40"/>
    </row>
    <row r="698" spans="1:3">
      <c r="A698" s="40"/>
      <c r="B698" s="40"/>
      <c r="C698" s="40"/>
    </row>
    <row r="699" spans="1:3">
      <c r="A699" s="40"/>
      <c r="B699" s="40"/>
      <c r="C699" s="40"/>
    </row>
    <row r="700" spans="1:3">
      <c r="A700" s="40"/>
      <c r="B700" s="40"/>
      <c r="C700" s="40"/>
    </row>
    <row r="701" spans="1:3">
      <c r="A701" s="40"/>
      <c r="B701" s="40"/>
      <c r="C701" s="40"/>
    </row>
    <row r="702" spans="1:3">
      <c r="A702" s="40"/>
      <c r="B702" s="40"/>
      <c r="C702" s="40"/>
    </row>
    <row r="703" spans="1:3">
      <c r="A703" s="40"/>
      <c r="B703" s="40"/>
      <c r="C703" s="40"/>
    </row>
    <row r="704" spans="1:3">
      <c r="A704" s="40"/>
      <c r="B704" s="40"/>
      <c r="C704" s="40"/>
    </row>
    <row r="705" spans="1:3">
      <c r="A705" s="40"/>
      <c r="B705" s="40"/>
      <c r="C705" s="40"/>
    </row>
    <row r="706" spans="1:3">
      <c r="A706" s="40"/>
      <c r="B706" s="40"/>
      <c r="C706" s="40"/>
    </row>
    <row r="707" spans="1:3">
      <c r="A707" s="40"/>
      <c r="B707" s="40"/>
      <c r="C707" s="40"/>
    </row>
    <row r="708" spans="1:3">
      <c r="A708" s="40"/>
      <c r="B708" s="40"/>
      <c r="C708" s="40"/>
    </row>
    <row r="709" spans="1:3">
      <c r="A709" s="40"/>
      <c r="B709" s="40"/>
      <c r="C709" s="40"/>
    </row>
    <row r="710" spans="1:3">
      <c r="A710" s="40"/>
      <c r="B710" s="40"/>
      <c r="C710" s="40"/>
    </row>
    <row r="711" spans="1:3">
      <c r="A711" s="40"/>
      <c r="B711" s="40"/>
      <c r="C711" s="40"/>
    </row>
    <row r="712" spans="1:3">
      <c r="A712" s="40"/>
      <c r="B712" s="40"/>
      <c r="C712" s="40"/>
    </row>
    <row r="713" spans="1:3">
      <c r="A713" s="40"/>
      <c r="B713" s="40"/>
      <c r="C713" s="40"/>
    </row>
    <row r="714" spans="1:3">
      <c r="A714" s="40"/>
      <c r="B714" s="40"/>
      <c r="C714" s="40"/>
    </row>
    <row r="715" spans="1:3">
      <c r="A715" s="40"/>
      <c r="B715" s="40"/>
      <c r="C715" s="40"/>
    </row>
    <row r="716" spans="1:3">
      <c r="A716" s="40"/>
      <c r="B716" s="40"/>
      <c r="C716" s="40"/>
    </row>
    <row r="717" spans="1:3">
      <c r="A717" s="40"/>
      <c r="B717" s="40"/>
      <c r="C717" s="40"/>
    </row>
    <row r="718" spans="1:3">
      <c r="A718" s="40"/>
      <c r="B718" s="40"/>
      <c r="C718" s="40"/>
    </row>
    <row r="719" spans="1:3">
      <c r="A719" s="40"/>
      <c r="B719" s="40"/>
      <c r="C719" s="40"/>
    </row>
    <row r="720" spans="1:3">
      <c r="A720" s="40"/>
      <c r="B720" s="40"/>
      <c r="C720" s="40"/>
    </row>
    <row r="721" spans="1:3">
      <c r="A721" s="40"/>
      <c r="B721" s="40"/>
      <c r="C721" s="40"/>
    </row>
    <row r="722" spans="1:3">
      <c r="A722" s="40"/>
      <c r="B722" s="40"/>
      <c r="C722" s="40"/>
    </row>
    <row r="723" spans="1:3">
      <c r="A723" s="40"/>
      <c r="B723" s="40"/>
      <c r="C723" s="40"/>
    </row>
    <row r="724" spans="1:3">
      <c r="A724" s="40"/>
      <c r="B724" s="40"/>
      <c r="C724" s="40"/>
    </row>
    <row r="725" spans="1:3">
      <c r="A725" s="40"/>
      <c r="B725" s="40"/>
      <c r="C725" s="40"/>
    </row>
    <row r="726" spans="1:3">
      <c r="A726" s="40"/>
      <c r="B726" s="40"/>
      <c r="C726" s="40"/>
    </row>
    <row r="727" spans="1:3">
      <c r="A727" s="40"/>
      <c r="B727" s="40"/>
      <c r="C727" s="40"/>
    </row>
    <row r="728" spans="1:3">
      <c r="A728" s="40"/>
      <c r="B728" s="40"/>
      <c r="C728" s="40"/>
    </row>
    <row r="729" spans="1:3">
      <c r="A729" s="40"/>
      <c r="B729" s="40"/>
      <c r="C729" s="40"/>
    </row>
    <row r="730" spans="1:3">
      <c r="A730" s="40"/>
      <c r="B730" s="40"/>
      <c r="C730" s="40"/>
    </row>
    <row r="731" spans="1:3">
      <c r="A731" s="40"/>
      <c r="B731" s="40"/>
      <c r="C731" s="40"/>
    </row>
    <row r="732" spans="1:3">
      <c r="A732" s="40"/>
      <c r="B732" s="40"/>
      <c r="C732" s="40"/>
    </row>
    <row r="733" spans="1:3">
      <c r="A733" s="40"/>
      <c r="B733" s="40"/>
      <c r="C733" s="40"/>
    </row>
    <row r="734" spans="1:3">
      <c r="A734" s="40"/>
      <c r="B734" s="40"/>
      <c r="C734" s="40"/>
    </row>
    <row r="735" spans="1:3">
      <c r="A735" s="40"/>
      <c r="B735" s="40"/>
      <c r="C735" s="40"/>
    </row>
    <row r="736" spans="1:3">
      <c r="A736" s="40"/>
      <c r="B736" s="40"/>
      <c r="C736" s="40"/>
    </row>
    <row r="737" spans="1:3">
      <c r="A737" s="40"/>
      <c r="B737" s="40"/>
      <c r="C737" s="40"/>
    </row>
    <row r="738" spans="1:3">
      <c r="A738" s="40"/>
      <c r="B738" s="40"/>
      <c r="C738" s="40"/>
    </row>
    <row r="739" spans="1:3">
      <c r="A739" s="40"/>
      <c r="B739" s="40"/>
      <c r="C739" s="40"/>
    </row>
    <row r="740" spans="1:3">
      <c r="A740" s="40"/>
      <c r="B740" s="40"/>
      <c r="C740" s="40"/>
    </row>
    <row r="741" spans="1:3">
      <c r="A741" s="40"/>
      <c r="B741" s="40"/>
      <c r="C741" s="40"/>
    </row>
    <row r="742" spans="1:3">
      <c r="A742" s="40"/>
      <c r="B742" s="40"/>
      <c r="C742" s="40"/>
    </row>
    <row r="743" spans="1:3">
      <c r="A743" s="40"/>
      <c r="B743" s="40"/>
      <c r="C743" s="40"/>
    </row>
    <row r="744" spans="1:3">
      <c r="A744" s="40"/>
      <c r="B744" s="40"/>
      <c r="C744" s="40"/>
    </row>
    <row r="745" spans="1:3">
      <c r="A745" s="40"/>
      <c r="B745" s="40"/>
      <c r="C745" s="40"/>
    </row>
    <row r="746" spans="1:3">
      <c r="A746" s="40"/>
      <c r="B746" s="40"/>
      <c r="C746" s="40"/>
    </row>
    <row r="747" spans="1:3">
      <c r="A747" s="40"/>
      <c r="B747" s="40"/>
      <c r="C747" s="40"/>
    </row>
    <row r="748" spans="1:3">
      <c r="A748" s="40"/>
      <c r="B748" s="40"/>
      <c r="C748" s="40"/>
    </row>
    <row r="749" spans="1:3">
      <c r="A749" s="40"/>
      <c r="B749" s="40"/>
      <c r="C749" s="40"/>
    </row>
    <row r="750" spans="1:3">
      <c r="A750" s="40"/>
      <c r="B750" s="40"/>
      <c r="C750" s="40"/>
    </row>
    <row r="751" spans="1:3">
      <c r="A751" s="40"/>
      <c r="B751" s="40"/>
      <c r="C751" s="40"/>
    </row>
    <row r="752" spans="1:3">
      <c r="A752" s="40"/>
      <c r="B752" s="40"/>
      <c r="C752" s="40"/>
    </row>
    <row r="753" spans="1:3">
      <c r="A753" s="40"/>
      <c r="B753" s="40"/>
      <c r="C753" s="40"/>
    </row>
    <row r="754" spans="1:3">
      <c r="A754" s="40"/>
      <c r="B754" s="40"/>
      <c r="C754" s="40"/>
    </row>
    <row r="755" spans="1:3">
      <c r="A755" s="40"/>
      <c r="B755" s="40"/>
      <c r="C755" s="40"/>
    </row>
    <row r="756" spans="1:3">
      <c r="A756" s="40"/>
      <c r="B756" s="40"/>
      <c r="C756" s="40"/>
    </row>
    <row r="757" spans="1:3">
      <c r="A757" s="40"/>
      <c r="B757" s="40"/>
      <c r="C757" s="40"/>
    </row>
    <row r="758" spans="1:3">
      <c r="A758" s="40"/>
      <c r="B758" s="40"/>
      <c r="C758" s="40"/>
    </row>
    <row r="759" spans="1:3">
      <c r="A759" s="40"/>
      <c r="B759" s="40"/>
      <c r="C759" s="40"/>
    </row>
    <row r="760" spans="1:3">
      <c r="A760" s="40"/>
      <c r="B760" s="40"/>
      <c r="C760" s="40"/>
    </row>
    <row r="761" spans="1:3">
      <c r="A761" s="40"/>
      <c r="B761" s="40"/>
      <c r="C761" s="40"/>
    </row>
    <row r="762" spans="1:3">
      <c r="A762" s="40"/>
      <c r="B762" s="40"/>
      <c r="C762" s="40"/>
    </row>
    <row r="763" spans="1:3">
      <c r="A763" s="40"/>
      <c r="B763" s="40"/>
      <c r="C763" s="40"/>
    </row>
    <row r="764" spans="1:3">
      <c r="A764" s="40"/>
      <c r="B764" s="40"/>
      <c r="C764" s="40"/>
    </row>
    <row r="765" spans="1:3">
      <c r="A765" s="40"/>
      <c r="B765" s="40"/>
      <c r="C765" s="40"/>
    </row>
    <row r="766" spans="1:3">
      <c r="A766" s="40"/>
      <c r="B766" s="40"/>
      <c r="C766" s="40"/>
    </row>
    <row r="767" spans="1:3">
      <c r="A767" s="40"/>
      <c r="B767" s="40"/>
      <c r="C767" s="40"/>
    </row>
    <row r="768" spans="1:3">
      <c r="A768" s="40"/>
      <c r="B768" s="40"/>
      <c r="C768" s="40"/>
    </row>
    <row r="769" spans="1:3">
      <c r="A769" s="40"/>
      <c r="B769" s="40"/>
      <c r="C769" s="40"/>
    </row>
    <row r="770" spans="1:3">
      <c r="A770" s="40"/>
      <c r="B770" s="40"/>
      <c r="C770" s="40"/>
    </row>
    <row r="771" spans="1:3">
      <c r="A771" s="40"/>
      <c r="B771" s="40"/>
      <c r="C771" s="40"/>
    </row>
    <row r="772" spans="1:3">
      <c r="A772" s="40"/>
      <c r="B772" s="40"/>
      <c r="C772" s="40"/>
    </row>
    <row r="773" spans="1:3">
      <c r="A773" s="40"/>
      <c r="B773" s="40"/>
      <c r="C773" s="40"/>
    </row>
    <row r="774" spans="1:3">
      <c r="A774" s="40"/>
      <c r="B774" s="40"/>
      <c r="C774" s="40"/>
    </row>
    <row r="775" spans="1:3">
      <c r="A775" s="40"/>
      <c r="B775" s="40"/>
      <c r="C775" s="40"/>
    </row>
    <row r="776" spans="1:3">
      <c r="A776" s="40"/>
      <c r="B776" s="40"/>
      <c r="C776" s="40"/>
    </row>
    <row r="777" spans="1:3">
      <c r="A777" s="40"/>
      <c r="B777" s="40"/>
      <c r="C777" s="40"/>
    </row>
    <row r="778" spans="1:3">
      <c r="A778" s="40"/>
      <c r="B778" s="40"/>
      <c r="C778" s="40"/>
    </row>
    <row r="779" spans="1:3">
      <c r="A779" s="40"/>
      <c r="B779" s="40"/>
      <c r="C779" s="40"/>
    </row>
    <row r="780" spans="1:3">
      <c r="A780" s="40"/>
      <c r="B780" s="40"/>
      <c r="C780" s="40"/>
    </row>
    <row r="781" spans="1:3">
      <c r="A781" s="40"/>
      <c r="B781" s="40"/>
      <c r="C781" s="40"/>
    </row>
    <row r="782" spans="1:3">
      <c r="A782" s="40"/>
      <c r="B782" s="40"/>
      <c r="C782" s="40"/>
    </row>
    <row r="783" spans="1:3">
      <c r="A783" s="40"/>
      <c r="B783" s="40"/>
      <c r="C783" s="40"/>
    </row>
    <row r="784" spans="1:3">
      <c r="A784" s="40"/>
      <c r="B784" s="40"/>
      <c r="C784" s="40"/>
    </row>
    <row r="785" spans="1:3">
      <c r="A785" s="40"/>
      <c r="B785" s="40"/>
      <c r="C785" s="40"/>
    </row>
    <row r="786" spans="1:3">
      <c r="A786" s="40"/>
      <c r="B786" s="40"/>
      <c r="C786" s="40"/>
    </row>
    <row r="787" spans="1:3">
      <c r="A787" s="40"/>
      <c r="B787" s="40"/>
      <c r="C787" s="40"/>
    </row>
    <row r="788" spans="1:3">
      <c r="A788" s="40"/>
      <c r="B788" s="40"/>
      <c r="C788" s="40"/>
    </row>
    <row r="789" spans="1:3">
      <c r="A789" s="40"/>
      <c r="B789" s="40"/>
      <c r="C789" s="40"/>
    </row>
    <row r="790" spans="1:3">
      <c r="A790" s="40"/>
      <c r="B790" s="40"/>
      <c r="C790" s="40"/>
    </row>
    <row r="791" spans="1:3">
      <c r="A791" s="40"/>
      <c r="B791" s="40"/>
      <c r="C791" s="40"/>
    </row>
    <row r="792" spans="1:3">
      <c r="A792" s="40"/>
      <c r="B792" s="40"/>
      <c r="C792" s="40"/>
    </row>
    <row r="793" spans="1:3">
      <c r="A793" s="40"/>
      <c r="B793" s="40"/>
      <c r="C793" s="40"/>
    </row>
    <row r="794" spans="1:3">
      <c r="A794" s="40"/>
      <c r="B794" s="40"/>
      <c r="C794" s="40"/>
    </row>
    <row r="795" spans="1:3">
      <c r="A795" s="40"/>
      <c r="B795" s="40"/>
      <c r="C795" s="40"/>
    </row>
    <row r="796" spans="1:3">
      <c r="A796" s="40"/>
      <c r="B796" s="40"/>
      <c r="C796" s="40"/>
    </row>
    <row r="797" spans="1:3">
      <c r="A797" s="40"/>
      <c r="B797" s="40"/>
      <c r="C797" s="40"/>
    </row>
    <row r="798" spans="1:3">
      <c r="A798" s="40"/>
      <c r="B798" s="40"/>
      <c r="C798" s="40"/>
    </row>
    <row r="799" spans="1:3">
      <c r="A799" s="40"/>
      <c r="B799" s="40"/>
      <c r="C799" s="40"/>
    </row>
    <row r="800" spans="1:3">
      <c r="A800" s="40"/>
      <c r="B800" s="40"/>
      <c r="C800" s="40"/>
    </row>
    <row r="801" spans="1:3">
      <c r="A801" s="40"/>
      <c r="B801" s="40"/>
      <c r="C801" s="40"/>
    </row>
    <row r="802" spans="1:3">
      <c r="A802" s="40"/>
      <c r="B802" s="40"/>
      <c r="C802" s="40"/>
    </row>
    <row r="803" spans="1:3">
      <c r="A803" s="40"/>
      <c r="B803" s="40"/>
      <c r="C803" s="40"/>
    </row>
    <row r="804" spans="1:3">
      <c r="A804" s="40"/>
      <c r="B804" s="40"/>
      <c r="C804" s="40"/>
    </row>
    <row r="805" spans="1:3">
      <c r="A805" s="40"/>
      <c r="B805" s="40"/>
      <c r="C805" s="40"/>
    </row>
    <row r="806" spans="1:3">
      <c r="A806" s="40"/>
      <c r="B806" s="40"/>
      <c r="C806" s="40"/>
    </row>
    <row r="807" spans="1:3">
      <c r="A807" s="40"/>
      <c r="B807" s="40"/>
      <c r="C807" s="40"/>
    </row>
    <row r="808" spans="1:3">
      <c r="A808" s="40"/>
      <c r="B808" s="40"/>
      <c r="C808" s="40"/>
    </row>
    <row r="809" spans="1:3">
      <c r="A809" s="40"/>
      <c r="B809" s="40"/>
      <c r="C809" s="40"/>
    </row>
    <row r="810" spans="1:3">
      <c r="A810" s="40"/>
      <c r="B810" s="40"/>
      <c r="C810" s="40"/>
    </row>
    <row r="811" spans="1:3">
      <c r="A811" s="40"/>
      <c r="B811" s="40"/>
      <c r="C811" s="40"/>
    </row>
    <row r="812" spans="1:3">
      <c r="A812" s="40"/>
      <c r="B812" s="40"/>
      <c r="C812" s="40"/>
    </row>
    <row r="813" spans="1:3">
      <c r="A813" s="40"/>
      <c r="B813" s="40"/>
      <c r="C813" s="40"/>
    </row>
    <row r="814" spans="1:3">
      <c r="A814" s="40"/>
      <c r="B814" s="40"/>
      <c r="C814" s="40"/>
    </row>
    <row r="815" spans="1:3">
      <c r="A815" s="40"/>
      <c r="B815" s="40"/>
      <c r="C815" s="40"/>
    </row>
    <row r="816" spans="1:3">
      <c r="A816" s="40"/>
      <c r="B816" s="40"/>
      <c r="C816" s="40"/>
    </row>
    <row r="817" spans="1:3">
      <c r="A817" s="40"/>
      <c r="B817" s="40"/>
      <c r="C817" s="40"/>
    </row>
    <row r="818" spans="1:3">
      <c r="A818" s="40"/>
      <c r="B818" s="40"/>
      <c r="C818" s="40"/>
    </row>
    <row r="819" spans="1:3">
      <c r="A819" s="40"/>
      <c r="B819" s="40"/>
      <c r="C819" s="40"/>
    </row>
    <row r="820" spans="1:3">
      <c r="A820" s="40"/>
      <c r="B820" s="40"/>
      <c r="C820" s="40"/>
    </row>
    <row r="821" spans="1:3">
      <c r="A821" s="40"/>
      <c r="B821" s="40"/>
      <c r="C821" s="40"/>
    </row>
    <row r="822" spans="1:3">
      <c r="A822" s="40"/>
      <c r="B822" s="40"/>
      <c r="C822" s="40"/>
    </row>
    <row r="823" spans="1:3">
      <c r="A823" s="40"/>
      <c r="B823" s="40"/>
      <c r="C823" s="40"/>
    </row>
    <row r="824" spans="1:3">
      <c r="A824" s="40"/>
      <c r="B824" s="40"/>
      <c r="C824" s="40"/>
    </row>
    <row r="825" spans="1:3">
      <c r="A825" s="40"/>
      <c r="B825" s="40"/>
      <c r="C825" s="40"/>
    </row>
    <row r="826" spans="1:3">
      <c r="A826" s="40"/>
      <c r="B826" s="40"/>
      <c r="C826" s="40"/>
    </row>
    <row r="827" spans="1:3">
      <c r="A827" s="40"/>
      <c r="B827" s="40"/>
      <c r="C827" s="40"/>
    </row>
    <row r="828" spans="1:3">
      <c r="A828" s="40"/>
      <c r="B828" s="40"/>
      <c r="C828" s="40"/>
    </row>
    <row r="829" spans="1:3">
      <c r="A829" s="40"/>
      <c r="B829" s="40"/>
      <c r="C829" s="40"/>
    </row>
    <row r="830" spans="1:3">
      <c r="A830" s="40"/>
      <c r="B830" s="40"/>
      <c r="C830" s="40"/>
    </row>
    <row r="831" spans="1:3">
      <c r="A831" s="40"/>
      <c r="B831" s="40"/>
      <c r="C831" s="40"/>
    </row>
    <row r="832" spans="1:3">
      <c r="A832" s="40"/>
      <c r="B832" s="40"/>
      <c r="C832" s="40"/>
    </row>
    <row r="833" spans="1:3">
      <c r="A833" s="40"/>
      <c r="B833" s="40"/>
      <c r="C833" s="40"/>
    </row>
    <row r="834" spans="1:3">
      <c r="A834" s="40"/>
      <c r="B834" s="40"/>
      <c r="C834" s="40"/>
    </row>
    <row r="835" spans="1:3">
      <c r="A835" s="40"/>
      <c r="B835" s="40"/>
      <c r="C835" s="40"/>
    </row>
    <row r="836" spans="1:3">
      <c r="A836" s="40"/>
      <c r="B836" s="40"/>
      <c r="C836" s="40"/>
    </row>
    <row r="837" spans="1:3">
      <c r="A837" s="40"/>
      <c r="B837" s="40"/>
      <c r="C837" s="40"/>
    </row>
    <row r="838" spans="1:3">
      <c r="A838" s="40"/>
      <c r="B838" s="40"/>
      <c r="C838" s="40"/>
    </row>
    <row r="839" spans="1:3">
      <c r="A839" s="40"/>
      <c r="B839" s="40"/>
      <c r="C839" s="40"/>
    </row>
    <row r="840" spans="1:3">
      <c r="A840" s="40"/>
      <c r="B840" s="40"/>
      <c r="C840" s="40"/>
    </row>
    <row r="841" spans="1:3">
      <c r="A841" s="40"/>
      <c r="B841" s="40"/>
      <c r="C841" s="40"/>
    </row>
    <row r="842" spans="1:3">
      <c r="A842" s="40"/>
      <c r="B842" s="40"/>
      <c r="C842" s="40"/>
    </row>
    <row r="843" spans="1:3">
      <c r="A843" s="40"/>
      <c r="B843" s="40"/>
      <c r="C843" s="40"/>
    </row>
    <row r="844" spans="1:3">
      <c r="A844" s="40"/>
      <c r="B844" s="40"/>
      <c r="C844" s="40"/>
    </row>
    <row r="845" spans="1:3">
      <c r="A845" s="40"/>
      <c r="B845" s="40"/>
      <c r="C845" s="40"/>
    </row>
    <row r="846" spans="1:3">
      <c r="A846" s="40"/>
      <c r="B846" s="40"/>
      <c r="C846" s="40"/>
    </row>
    <row r="847" spans="1:3">
      <c r="A847" s="40"/>
      <c r="B847" s="40"/>
      <c r="C847" s="40"/>
    </row>
    <row r="848" spans="1:3">
      <c r="A848" s="40"/>
      <c r="B848" s="40"/>
      <c r="C848" s="40"/>
    </row>
    <row r="849" spans="1:3">
      <c r="A849" s="40"/>
      <c r="B849" s="40"/>
      <c r="C849" s="40"/>
    </row>
    <row r="850" spans="1:3">
      <c r="A850" s="40"/>
      <c r="B850" s="40"/>
      <c r="C850" s="40"/>
    </row>
    <row r="851" spans="1:3">
      <c r="A851" s="40"/>
      <c r="B851" s="40"/>
      <c r="C851" s="40"/>
    </row>
    <row r="852" spans="1:3">
      <c r="A852" s="40"/>
      <c r="B852" s="40"/>
      <c r="C852" s="40"/>
    </row>
    <row r="853" spans="1:3">
      <c r="A853" s="40"/>
      <c r="B853" s="40"/>
      <c r="C853" s="40"/>
    </row>
    <row r="854" spans="1:3">
      <c r="A854" s="40"/>
      <c r="B854" s="40"/>
      <c r="C854" s="40"/>
    </row>
    <row r="855" spans="1:3">
      <c r="A855" s="40"/>
      <c r="B855" s="40"/>
      <c r="C855" s="40"/>
    </row>
    <row r="856" spans="1:3">
      <c r="A856" s="40"/>
      <c r="B856" s="40"/>
      <c r="C856" s="40"/>
    </row>
    <row r="857" spans="1:3">
      <c r="A857" s="40"/>
      <c r="B857" s="40"/>
      <c r="C857" s="40"/>
    </row>
    <row r="858" spans="1:3">
      <c r="A858" s="40"/>
      <c r="B858" s="40"/>
      <c r="C858" s="40"/>
    </row>
    <row r="859" spans="1:3">
      <c r="A859" s="40"/>
      <c r="B859" s="40"/>
      <c r="C859" s="40"/>
    </row>
    <row r="860" spans="1:3">
      <c r="A860" s="40"/>
      <c r="B860" s="40"/>
      <c r="C860" s="40"/>
    </row>
    <row r="861" spans="1:3">
      <c r="A861" s="40"/>
      <c r="B861" s="40"/>
      <c r="C861" s="40"/>
    </row>
    <row r="862" spans="1:3">
      <c r="A862" s="40"/>
      <c r="B862" s="40"/>
      <c r="C862" s="40"/>
    </row>
    <row r="863" spans="1:3">
      <c r="A863" s="40"/>
      <c r="B863" s="40"/>
      <c r="C863" s="40"/>
    </row>
    <row r="864" spans="1:3">
      <c r="A864" s="40"/>
      <c r="B864" s="40"/>
      <c r="C864" s="40"/>
    </row>
    <row r="865" spans="1:3">
      <c r="A865" s="40"/>
      <c r="B865" s="40"/>
      <c r="C865" s="40"/>
    </row>
    <row r="866" spans="1:3">
      <c r="A866" s="40"/>
      <c r="B866" s="40"/>
      <c r="C866" s="40"/>
    </row>
    <row r="867" spans="1:3">
      <c r="A867" s="40"/>
      <c r="B867" s="40"/>
      <c r="C867" s="40"/>
    </row>
    <row r="868" spans="1:3">
      <c r="A868" s="40"/>
      <c r="B868" s="40"/>
      <c r="C868" s="40"/>
    </row>
    <row r="869" spans="1:3">
      <c r="A869" s="40"/>
      <c r="B869" s="40"/>
      <c r="C869" s="40"/>
    </row>
    <row r="870" spans="1:3">
      <c r="A870" s="40"/>
      <c r="B870" s="40"/>
      <c r="C870" s="40"/>
    </row>
    <row r="871" spans="1:3">
      <c r="A871" s="40"/>
      <c r="B871" s="40"/>
      <c r="C871" s="40"/>
    </row>
    <row r="872" spans="1:3">
      <c r="A872" s="40"/>
      <c r="B872" s="40"/>
      <c r="C872" s="40"/>
    </row>
    <row r="873" spans="1:3">
      <c r="A873" s="40"/>
      <c r="B873" s="40"/>
      <c r="C873" s="40"/>
    </row>
    <row r="874" spans="1:3">
      <c r="A874" s="40"/>
      <c r="B874" s="40"/>
      <c r="C874" s="40"/>
    </row>
    <row r="875" spans="1:3">
      <c r="A875" s="40"/>
      <c r="B875" s="40"/>
      <c r="C875" s="40"/>
    </row>
    <row r="876" spans="1:3">
      <c r="A876" s="40"/>
      <c r="B876" s="40"/>
      <c r="C876" s="40"/>
    </row>
    <row r="877" spans="1:3">
      <c r="A877" s="40"/>
      <c r="B877" s="40"/>
      <c r="C877" s="40"/>
    </row>
    <row r="878" spans="1:3">
      <c r="A878" s="40"/>
      <c r="B878" s="40"/>
      <c r="C878" s="40"/>
    </row>
    <row r="879" spans="1:3">
      <c r="A879" s="40"/>
      <c r="B879" s="40"/>
      <c r="C879" s="40"/>
    </row>
    <row r="880" spans="1:3">
      <c r="A880" s="40"/>
      <c r="B880" s="40"/>
      <c r="C880" s="40"/>
    </row>
    <row r="881" spans="1:3">
      <c r="A881" s="40"/>
      <c r="B881" s="40"/>
      <c r="C881" s="40"/>
    </row>
    <row r="882" spans="1:3">
      <c r="A882" s="40"/>
      <c r="B882" s="40"/>
      <c r="C882" s="40"/>
    </row>
    <row r="883" spans="1:3">
      <c r="A883" s="40"/>
      <c r="B883" s="40"/>
      <c r="C883" s="40"/>
    </row>
    <row r="884" spans="1:3">
      <c r="A884" s="40"/>
      <c r="B884" s="40"/>
      <c r="C884" s="40"/>
    </row>
    <row r="885" spans="1:3">
      <c r="A885" s="40"/>
      <c r="B885" s="40"/>
      <c r="C885" s="40"/>
    </row>
    <row r="886" spans="1:3">
      <c r="A886" s="40"/>
      <c r="B886" s="40"/>
      <c r="C886" s="40"/>
    </row>
    <row r="887" spans="1:3">
      <c r="A887" s="40"/>
      <c r="B887" s="40"/>
      <c r="C887" s="40"/>
    </row>
    <row r="888" spans="1:3">
      <c r="A888" s="40"/>
      <c r="B888" s="40"/>
      <c r="C888" s="40"/>
    </row>
    <row r="889" spans="1:3">
      <c r="A889" s="40"/>
      <c r="B889" s="40"/>
      <c r="C889" s="40"/>
    </row>
    <row r="890" spans="1:3">
      <c r="A890" s="40"/>
      <c r="B890" s="40"/>
      <c r="C890" s="40"/>
    </row>
    <row r="891" spans="1:3">
      <c r="A891" s="40"/>
      <c r="B891" s="40"/>
      <c r="C891" s="40"/>
    </row>
    <row r="892" spans="1:3">
      <c r="A892" s="40"/>
      <c r="B892" s="40"/>
      <c r="C892" s="40"/>
    </row>
    <row r="893" spans="1:3">
      <c r="A893" s="40"/>
      <c r="B893" s="40"/>
      <c r="C893" s="40"/>
    </row>
    <row r="894" spans="1:3">
      <c r="A894" s="40"/>
      <c r="B894" s="40"/>
      <c r="C894" s="40"/>
    </row>
    <row r="895" spans="1:3">
      <c r="A895" s="40"/>
      <c r="B895" s="40"/>
      <c r="C895" s="40"/>
    </row>
    <row r="896" spans="1:3">
      <c r="A896" s="40"/>
      <c r="B896" s="40"/>
      <c r="C896" s="40"/>
    </row>
    <row r="897" spans="1:3">
      <c r="A897" s="40"/>
      <c r="B897" s="40"/>
      <c r="C897" s="40"/>
    </row>
    <row r="898" spans="1:3">
      <c r="A898" s="40"/>
      <c r="B898" s="40"/>
      <c r="C898" s="40"/>
    </row>
    <row r="899" spans="1:3">
      <c r="A899" s="40"/>
      <c r="B899" s="40"/>
      <c r="C899" s="40"/>
    </row>
    <row r="900" spans="1:3">
      <c r="A900" s="40"/>
      <c r="B900" s="40"/>
      <c r="C900" s="40"/>
    </row>
    <row r="901" spans="1:3">
      <c r="A901" s="40"/>
      <c r="B901" s="40"/>
      <c r="C901" s="40"/>
    </row>
    <row r="902" spans="1:3">
      <c r="A902" s="40"/>
      <c r="B902" s="40"/>
      <c r="C902" s="40"/>
    </row>
    <row r="903" spans="1:3">
      <c r="A903" s="40"/>
      <c r="B903" s="40"/>
      <c r="C903" s="40"/>
    </row>
    <row r="904" spans="1:3">
      <c r="A904" s="40"/>
      <c r="B904" s="40"/>
      <c r="C904" s="40"/>
    </row>
    <row r="905" spans="1:3">
      <c r="A905" s="40"/>
      <c r="B905" s="40"/>
      <c r="C905" s="40"/>
    </row>
    <row r="906" spans="1:3">
      <c r="A906" s="40"/>
      <c r="B906" s="40"/>
      <c r="C906" s="40"/>
    </row>
    <row r="907" spans="1:3">
      <c r="A907" s="40"/>
      <c r="B907" s="40"/>
      <c r="C907" s="40"/>
    </row>
    <row r="908" spans="1:3">
      <c r="A908" s="40"/>
      <c r="B908" s="40"/>
      <c r="C908" s="40"/>
    </row>
    <row r="909" spans="1:3">
      <c r="A909" s="40"/>
      <c r="B909" s="40"/>
      <c r="C909" s="40"/>
    </row>
    <row r="910" spans="1:3">
      <c r="A910" s="40"/>
      <c r="B910" s="40"/>
      <c r="C910" s="40"/>
    </row>
    <row r="911" spans="1:3">
      <c r="A911" s="40"/>
      <c r="B911" s="40"/>
      <c r="C911" s="40"/>
    </row>
    <row r="912" spans="1:3">
      <c r="A912" s="40"/>
      <c r="B912" s="40"/>
      <c r="C912" s="40"/>
    </row>
    <row r="913" spans="1:3">
      <c r="A913" s="40"/>
      <c r="B913" s="40"/>
      <c r="C913" s="40"/>
    </row>
    <row r="914" spans="1:3">
      <c r="A914" s="40"/>
      <c r="B914" s="40"/>
      <c r="C914" s="40"/>
    </row>
    <row r="915" spans="1:3">
      <c r="A915" s="40"/>
      <c r="B915" s="40"/>
      <c r="C915" s="40"/>
    </row>
    <row r="916" spans="1:3">
      <c r="A916" s="40"/>
      <c r="B916" s="40"/>
      <c r="C916" s="40"/>
    </row>
    <row r="917" spans="1:3">
      <c r="A917" s="40"/>
      <c r="B917" s="40"/>
      <c r="C917" s="40"/>
    </row>
    <row r="918" spans="1:3">
      <c r="A918" s="40"/>
      <c r="B918" s="40"/>
      <c r="C918" s="40"/>
    </row>
    <row r="919" spans="1:3">
      <c r="A919" s="40"/>
      <c r="B919" s="40"/>
      <c r="C919" s="40"/>
    </row>
    <row r="920" spans="1:3">
      <c r="A920" s="40"/>
      <c r="B920" s="40"/>
      <c r="C920" s="40"/>
    </row>
    <row r="921" spans="1:3">
      <c r="A921" s="40"/>
      <c r="B921" s="40"/>
      <c r="C921" s="40"/>
    </row>
    <row r="922" spans="1:3">
      <c r="A922" s="40"/>
      <c r="B922" s="40"/>
      <c r="C922" s="40"/>
    </row>
    <row r="923" spans="1:3">
      <c r="A923" s="40"/>
      <c r="B923" s="40"/>
      <c r="C923" s="40"/>
    </row>
    <row r="924" spans="1:3">
      <c r="A924" s="40"/>
      <c r="B924" s="40"/>
      <c r="C924" s="40"/>
    </row>
    <row r="925" spans="1:3">
      <c r="A925" s="40"/>
      <c r="B925" s="40"/>
      <c r="C925" s="40"/>
    </row>
    <row r="926" spans="1:3">
      <c r="A926" s="40"/>
      <c r="B926" s="40"/>
      <c r="C926" s="40"/>
    </row>
    <row r="927" spans="1:3">
      <c r="A927" s="40"/>
      <c r="B927" s="40"/>
      <c r="C927" s="40"/>
    </row>
    <row r="928" spans="1:3">
      <c r="A928" s="40"/>
      <c r="B928" s="40"/>
      <c r="C928" s="40"/>
    </row>
    <row r="929" spans="1:3">
      <c r="A929" s="40"/>
      <c r="B929" s="40"/>
      <c r="C929" s="40"/>
    </row>
    <row r="930" spans="1:3">
      <c r="A930" s="40"/>
      <c r="B930" s="40"/>
      <c r="C930" s="40"/>
    </row>
    <row r="931" spans="1:3">
      <c r="A931" s="40"/>
      <c r="B931" s="40"/>
      <c r="C931" s="40"/>
    </row>
    <row r="932" spans="1:3">
      <c r="A932" s="40"/>
      <c r="B932" s="40"/>
      <c r="C932" s="40"/>
    </row>
    <row r="933" spans="1:3">
      <c r="A933" s="40"/>
      <c r="B933" s="40"/>
      <c r="C933" s="40"/>
    </row>
    <row r="934" spans="1:3">
      <c r="A934" s="40"/>
      <c r="B934" s="40"/>
      <c r="C934" s="40"/>
    </row>
    <row r="935" spans="1:3">
      <c r="A935" s="40"/>
      <c r="B935" s="40"/>
      <c r="C935" s="40"/>
    </row>
    <row r="936" spans="1:3">
      <c r="A936" s="40"/>
      <c r="B936" s="40"/>
      <c r="C936" s="40"/>
    </row>
    <row r="937" spans="1:3">
      <c r="A937" s="40"/>
      <c r="B937" s="40"/>
      <c r="C937" s="40"/>
    </row>
    <row r="938" spans="1:3">
      <c r="A938" s="40"/>
      <c r="B938" s="40"/>
      <c r="C938" s="40"/>
    </row>
    <row r="939" spans="1:3">
      <c r="A939" s="40"/>
      <c r="B939" s="40"/>
      <c r="C939" s="40"/>
    </row>
    <row r="940" spans="1:3">
      <c r="A940" s="40"/>
      <c r="B940" s="40"/>
      <c r="C940" s="40"/>
    </row>
    <row r="941" spans="1:3">
      <c r="A941" s="40"/>
      <c r="B941" s="40"/>
      <c r="C941" s="40"/>
    </row>
    <row r="942" spans="1:3">
      <c r="A942" s="40"/>
      <c r="B942" s="40"/>
      <c r="C942" s="40"/>
    </row>
    <row r="943" spans="1:3">
      <c r="A943" s="40"/>
      <c r="B943" s="40"/>
      <c r="C943" s="40"/>
    </row>
    <row r="944" spans="1:3">
      <c r="A944" s="40"/>
      <c r="B944" s="40"/>
      <c r="C944" s="40"/>
    </row>
    <row r="945" spans="1:3">
      <c r="A945" s="40"/>
      <c r="B945" s="40"/>
      <c r="C945" s="40"/>
    </row>
    <row r="946" spans="1:3">
      <c r="A946" s="40"/>
      <c r="B946" s="40"/>
      <c r="C946" s="40"/>
    </row>
    <row r="947" spans="1:3">
      <c r="A947" s="40"/>
      <c r="B947" s="40"/>
      <c r="C947" s="40"/>
    </row>
    <row r="948" spans="1:3">
      <c r="A948" s="40"/>
      <c r="B948" s="40"/>
      <c r="C948" s="40"/>
    </row>
    <row r="949" spans="1:3">
      <c r="A949" s="40"/>
      <c r="B949" s="40"/>
      <c r="C949" s="40"/>
    </row>
    <row r="950" spans="1:3">
      <c r="A950" s="40"/>
      <c r="B950" s="40"/>
      <c r="C950" s="40"/>
    </row>
    <row r="951" spans="1:3">
      <c r="A951" s="40"/>
      <c r="B951" s="40"/>
      <c r="C951" s="40"/>
    </row>
    <row r="952" spans="1:3">
      <c r="A952" s="40"/>
      <c r="B952" s="40"/>
      <c r="C952" s="40"/>
    </row>
    <row r="953" spans="1:3">
      <c r="A953" s="40"/>
      <c r="B953" s="40"/>
      <c r="C953" s="40"/>
    </row>
    <row r="954" spans="1:3">
      <c r="A954" s="40"/>
      <c r="B954" s="40"/>
      <c r="C954" s="40"/>
    </row>
    <row r="955" spans="1:3">
      <c r="A955" s="40"/>
      <c r="B955" s="40"/>
      <c r="C955" s="40"/>
    </row>
    <row r="956" spans="1:3">
      <c r="A956" s="40"/>
      <c r="B956" s="40"/>
      <c r="C956" s="40"/>
    </row>
    <row r="957" spans="1:3">
      <c r="A957" s="40"/>
      <c r="B957" s="40"/>
      <c r="C957" s="40"/>
    </row>
    <row r="958" spans="1:3">
      <c r="A958" s="40"/>
      <c r="B958" s="40"/>
      <c r="C958" s="40"/>
    </row>
    <row r="959" spans="1:3">
      <c r="A959" s="40"/>
      <c r="B959" s="40"/>
      <c r="C959" s="40"/>
    </row>
    <row r="960" spans="1:3">
      <c r="A960" s="40"/>
      <c r="B960" s="40"/>
      <c r="C960" s="40"/>
    </row>
    <row r="961" spans="1:3">
      <c r="A961" s="40"/>
      <c r="B961" s="40"/>
      <c r="C961" s="40"/>
    </row>
    <row r="962" spans="1:3">
      <c r="A962" s="40"/>
      <c r="B962" s="40"/>
      <c r="C962" s="40"/>
    </row>
    <row r="963" spans="1:3">
      <c r="A963" s="40"/>
      <c r="B963" s="40"/>
      <c r="C963" s="40"/>
    </row>
    <row r="964" spans="1:3">
      <c r="A964" s="40"/>
      <c r="B964" s="40"/>
      <c r="C964" s="40"/>
    </row>
    <row r="965" spans="1:3">
      <c r="A965" s="40"/>
      <c r="B965" s="40"/>
      <c r="C965" s="40"/>
    </row>
    <row r="966" spans="1:3">
      <c r="A966" s="40"/>
      <c r="B966" s="40"/>
      <c r="C966" s="40"/>
    </row>
    <row r="967" spans="1:3">
      <c r="A967" s="40"/>
      <c r="B967" s="40"/>
      <c r="C967" s="40"/>
    </row>
    <row r="968" spans="1:3">
      <c r="A968" s="40"/>
      <c r="B968" s="40"/>
      <c r="C968" s="40"/>
    </row>
    <row r="969" spans="1:3">
      <c r="A969" s="40"/>
      <c r="B969" s="40"/>
      <c r="C969" s="40"/>
    </row>
    <row r="970" spans="1:3">
      <c r="A970" s="40"/>
      <c r="B970" s="40"/>
      <c r="C970" s="40"/>
    </row>
    <row r="971" spans="1:3">
      <c r="A971" s="40"/>
      <c r="B971" s="40"/>
      <c r="C971" s="40"/>
    </row>
    <row r="972" spans="1:3">
      <c r="A972" s="40"/>
      <c r="B972" s="40"/>
      <c r="C972" s="40"/>
    </row>
    <row r="973" spans="1:3">
      <c r="A973" s="40"/>
      <c r="B973" s="40"/>
      <c r="C973" s="40"/>
    </row>
    <row r="974" spans="1:3">
      <c r="A974" s="40"/>
      <c r="B974" s="40"/>
      <c r="C974" s="40"/>
    </row>
    <row r="975" spans="1:3">
      <c r="A975" s="40"/>
      <c r="B975" s="40"/>
      <c r="C975" s="40"/>
    </row>
    <row r="976" spans="1:3">
      <c r="A976" s="40"/>
      <c r="B976" s="40"/>
      <c r="C976" s="40"/>
    </row>
    <row r="977" spans="1:3">
      <c r="A977" s="40"/>
      <c r="B977" s="40"/>
      <c r="C977" s="40"/>
    </row>
    <row r="978" spans="1:3">
      <c r="A978" s="40"/>
      <c r="B978" s="40"/>
      <c r="C978" s="40"/>
    </row>
    <row r="979" spans="1:3">
      <c r="A979" s="40"/>
      <c r="B979" s="40"/>
      <c r="C979" s="40"/>
    </row>
    <row r="980" spans="1:3">
      <c r="A980" s="40"/>
      <c r="B980" s="40"/>
      <c r="C980" s="40"/>
    </row>
    <row r="981" spans="1:3">
      <c r="A981" s="40"/>
      <c r="B981" s="40"/>
      <c r="C981" s="40"/>
    </row>
    <row r="982" spans="1:3">
      <c r="A982" s="40"/>
      <c r="B982" s="40"/>
      <c r="C982" s="40"/>
    </row>
    <row r="983" spans="1:3">
      <c r="A983" s="40"/>
      <c r="B983" s="40"/>
      <c r="C983" s="40"/>
    </row>
    <row r="984" spans="1:3">
      <c r="A984" s="40"/>
      <c r="B984" s="40"/>
      <c r="C984" s="40"/>
    </row>
    <row r="985" spans="1:3">
      <c r="A985" s="40"/>
      <c r="B985" s="40"/>
      <c r="C985" s="40"/>
    </row>
    <row r="986" spans="1:3">
      <c r="A986" s="40"/>
      <c r="B986" s="40"/>
      <c r="C986" s="40"/>
    </row>
    <row r="987" spans="1:3">
      <c r="A987" s="40"/>
      <c r="B987" s="40"/>
      <c r="C987" s="40"/>
    </row>
    <row r="988" spans="1:3">
      <c r="A988" s="40"/>
      <c r="B988" s="40"/>
      <c r="C988" s="40"/>
    </row>
    <row r="989" spans="1:3">
      <c r="A989" s="40"/>
      <c r="B989" s="40"/>
      <c r="C989" s="40"/>
    </row>
    <row r="990" spans="1:3">
      <c r="A990" s="40"/>
      <c r="B990" s="40"/>
      <c r="C990" s="40"/>
    </row>
    <row r="991" spans="1:3">
      <c r="A991" s="40"/>
      <c r="B991" s="40"/>
      <c r="C991" s="40"/>
    </row>
    <row r="992" spans="1:3">
      <c r="A992" s="40"/>
      <c r="B992" s="40"/>
      <c r="C992" s="40"/>
    </row>
    <row r="993" spans="1:3">
      <c r="A993" s="40"/>
      <c r="B993" s="40"/>
      <c r="C993" s="40"/>
    </row>
    <row r="994" spans="1:3">
      <c r="A994" s="40"/>
      <c r="B994" s="40"/>
      <c r="C994" s="40"/>
    </row>
    <row r="995" spans="1:3">
      <c r="A995" s="40"/>
      <c r="B995" s="40"/>
      <c r="C995" s="40"/>
    </row>
    <row r="996" spans="1:3">
      <c r="A996" s="40"/>
      <c r="B996" s="40"/>
      <c r="C996" s="40"/>
    </row>
    <row r="997" spans="1:3">
      <c r="A997" s="40"/>
      <c r="B997" s="40"/>
      <c r="C997" s="40"/>
    </row>
    <row r="998" spans="1:3">
      <c r="A998" s="40"/>
      <c r="B998" s="40"/>
      <c r="C998" s="40"/>
    </row>
    <row r="999" spans="1:3">
      <c r="A999" s="40"/>
      <c r="B999" s="40"/>
      <c r="C999" s="40"/>
    </row>
    <row r="1000" spans="1:3">
      <c r="A1000" s="40"/>
      <c r="B1000" s="40"/>
      <c r="C1000" s="4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  <pageSetUpPr fitToPage="1"/>
  </sheetPr>
  <dimension ref="A1:AC820"/>
  <sheetViews>
    <sheetView workbookViewId="0"/>
  </sheetViews>
  <sheetFormatPr defaultColWidth="11.25" defaultRowHeight="15" customHeight="1"/>
  <cols>
    <col min="2" max="2" width="16.25" customWidth="1"/>
    <col min="3" max="3" width="11.875" customWidth="1"/>
    <col min="4" max="4" width="10.875" customWidth="1"/>
    <col min="11" max="11" width="11.875" customWidth="1"/>
    <col min="17" max="17" width="15.125" customWidth="1"/>
  </cols>
  <sheetData>
    <row r="1" spans="1:29" ht="45">
      <c r="A1" s="430" t="s">
        <v>0</v>
      </c>
      <c r="B1" s="430" t="s">
        <v>760</v>
      </c>
      <c r="C1" s="430" t="s">
        <v>498</v>
      </c>
      <c r="D1" s="430" t="s">
        <v>761</v>
      </c>
      <c r="E1" s="430" t="s">
        <v>762</v>
      </c>
      <c r="F1" s="430" t="s">
        <v>763</v>
      </c>
      <c r="G1" s="430" t="s">
        <v>758</v>
      </c>
      <c r="H1" s="430" t="s">
        <v>764</v>
      </c>
      <c r="I1" s="430" t="s">
        <v>765</v>
      </c>
      <c r="J1" s="430" t="s">
        <v>766</v>
      </c>
      <c r="K1" s="430" t="s">
        <v>767</v>
      </c>
      <c r="L1" s="430" t="s">
        <v>768</v>
      </c>
      <c r="M1" s="431" t="s">
        <v>769</v>
      </c>
      <c r="N1" s="430" t="s">
        <v>770</v>
      </c>
      <c r="O1" s="430" t="s">
        <v>14</v>
      </c>
      <c r="P1" s="430" t="s">
        <v>771</v>
      </c>
      <c r="Q1" s="432" t="s">
        <v>15</v>
      </c>
      <c r="R1" s="433"/>
      <c r="S1" s="434"/>
      <c r="T1" s="434"/>
      <c r="U1" s="434"/>
      <c r="V1" s="434"/>
      <c r="W1" s="435"/>
      <c r="X1" s="436"/>
      <c r="Y1" s="436"/>
      <c r="Z1" s="436"/>
      <c r="AA1" s="436"/>
      <c r="AB1" s="436"/>
      <c r="AC1" s="436"/>
    </row>
    <row r="2" spans="1:29" ht="15.75">
      <c r="A2" s="437" t="s">
        <v>772</v>
      </c>
      <c r="B2" s="438">
        <v>45330.37777777778</v>
      </c>
      <c r="C2" s="437" t="s">
        <v>773</v>
      </c>
      <c r="D2" s="437">
        <v>20</v>
      </c>
      <c r="E2" s="437">
        <v>9.3495999999999996E-2</v>
      </c>
      <c r="F2" s="437" t="s">
        <v>774</v>
      </c>
      <c r="G2" s="437">
        <v>24.5</v>
      </c>
      <c r="H2" s="437">
        <v>8613.0859999999993</v>
      </c>
      <c r="I2" s="437">
        <v>0.99997000000000003</v>
      </c>
      <c r="J2" s="437">
        <v>0.42633500000000002</v>
      </c>
      <c r="K2" s="437">
        <v>1993</v>
      </c>
      <c r="L2" s="437" t="e">
        <f t="shared" ref="L2:L256" si="0">(999.842594+0.06793952*G2-0.00909529*G2^2+0.0001001685*G2^3-0.000001120083*G2^4+0.000000006536332*G2^5+(0.824493-0.0040899*G2+0.000076438*G2^2-0.00000082467*G2^3+0.0000000053875*G2^4)*F2+ (-0.00572466 + 0.00010227*G2 - 0.0000016546*G2^2)*F2^1.5 +
0.00048314*F2^2)/1000</f>
        <v>#VALUE!</v>
      </c>
      <c r="M2" s="439" t="e">
        <f t="shared" ref="M2:M256" si="1">K2/L2</f>
        <v>#VALUE!</v>
      </c>
      <c r="N2" s="437"/>
      <c r="O2" s="437" t="s">
        <v>775</v>
      </c>
      <c r="P2" s="437" t="s">
        <v>20</v>
      </c>
      <c r="Q2" s="432"/>
      <c r="R2" s="432"/>
      <c r="S2" s="440"/>
      <c r="T2" s="440"/>
      <c r="U2" s="440"/>
      <c r="V2" s="440"/>
      <c r="W2" s="441"/>
      <c r="X2" s="215"/>
      <c r="Y2" s="215"/>
      <c r="Z2" s="215"/>
      <c r="AA2" s="215"/>
      <c r="AB2" s="215"/>
      <c r="AC2" s="215"/>
    </row>
    <row r="3" spans="1:29" ht="15.75">
      <c r="A3" s="437" t="s">
        <v>776</v>
      </c>
      <c r="B3" s="438">
        <v>45330.390277777777</v>
      </c>
      <c r="C3" s="437" t="s">
        <v>773</v>
      </c>
      <c r="D3" s="437">
        <v>20</v>
      </c>
      <c r="E3" s="437">
        <v>9.3495999999999996E-2</v>
      </c>
      <c r="F3" s="437" t="s">
        <v>774</v>
      </c>
      <c r="G3" s="437">
        <v>24.5</v>
      </c>
      <c r="H3" s="437">
        <v>8652.6380000000008</v>
      </c>
      <c r="I3" s="437">
        <v>0.99997800000000003</v>
      </c>
      <c r="J3" s="437">
        <v>0.42632599999999998</v>
      </c>
      <c r="K3" s="437">
        <v>1993</v>
      </c>
      <c r="L3" s="437" t="e">
        <f t="shared" si="0"/>
        <v>#VALUE!</v>
      </c>
      <c r="M3" s="439" t="e">
        <f t="shared" si="1"/>
        <v>#VALUE!</v>
      </c>
      <c r="N3" s="437">
        <v>2.8500000000000001E-2</v>
      </c>
      <c r="O3" s="437" t="s">
        <v>775</v>
      </c>
      <c r="P3" s="437" t="s">
        <v>20</v>
      </c>
      <c r="Q3" s="432"/>
      <c r="R3" s="432"/>
      <c r="S3" s="440"/>
      <c r="T3" s="440"/>
      <c r="U3" s="440"/>
      <c r="V3" s="440"/>
      <c r="W3" s="441"/>
      <c r="X3" s="215"/>
      <c r="Y3" s="215"/>
      <c r="Z3" s="215"/>
      <c r="AA3" s="215"/>
      <c r="AB3" s="215"/>
      <c r="AC3" s="215"/>
    </row>
    <row r="4" spans="1:29" ht="15.75">
      <c r="A4" s="437" t="s">
        <v>777</v>
      </c>
      <c r="B4" s="438">
        <v>45330.402083333334</v>
      </c>
      <c r="C4" s="437" t="s">
        <v>773</v>
      </c>
      <c r="D4" s="437">
        <v>20</v>
      </c>
      <c r="E4" s="437">
        <v>9.3495999999999996E-2</v>
      </c>
      <c r="F4" s="437" t="s">
        <v>774</v>
      </c>
      <c r="G4" s="437">
        <v>24.5</v>
      </c>
      <c r="H4" s="437">
        <v>8652.3250000000007</v>
      </c>
      <c r="I4" s="437">
        <v>0.99999300000000002</v>
      </c>
      <c r="J4" s="437">
        <v>0.42635499999999998</v>
      </c>
      <c r="K4" s="437">
        <v>1993.1</v>
      </c>
      <c r="L4" s="437" t="e">
        <f t="shared" si="0"/>
        <v>#VALUE!</v>
      </c>
      <c r="M4" s="439" t="e">
        <f t="shared" si="1"/>
        <v>#VALUE!</v>
      </c>
      <c r="N4" s="437">
        <v>9.4100000000000003E-2</v>
      </c>
      <c r="O4" s="437" t="s">
        <v>775</v>
      </c>
      <c r="P4" s="437" t="s">
        <v>20</v>
      </c>
      <c r="Q4" s="432"/>
      <c r="R4" s="432"/>
      <c r="S4" s="440"/>
      <c r="T4" s="440"/>
      <c r="U4" s="440"/>
      <c r="V4" s="440"/>
      <c r="W4" s="441"/>
      <c r="X4" s="215"/>
      <c r="Y4" s="215"/>
      <c r="Z4" s="215"/>
      <c r="AA4" s="215"/>
      <c r="AB4" s="215"/>
      <c r="AC4" s="215"/>
    </row>
    <row r="5" spans="1:29" ht="15.75">
      <c r="A5" s="437" t="s">
        <v>778</v>
      </c>
      <c r="B5" s="438">
        <v>45330.409722222219</v>
      </c>
      <c r="C5" s="437" t="s">
        <v>541</v>
      </c>
      <c r="D5" s="437">
        <v>20</v>
      </c>
      <c r="E5" s="437">
        <v>9.3495999999999996E-2</v>
      </c>
      <c r="F5" s="437">
        <v>33.4</v>
      </c>
      <c r="G5" s="437">
        <v>24.5</v>
      </c>
      <c r="H5" s="437">
        <v>7234.768</v>
      </c>
      <c r="I5" s="437">
        <v>0.99983200000000005</v>
      </c>
      <c r="J5" s="437">
        <v>0.47892699999999999</v>
      </c>
      <c r="K5" s="437">
        <v>2238.9</v>
      </c>
      <c r="L5" s="437">
        <f t="shared" si="0"/>
        <v>1.0222843090028939</v>
      </c>
      <c r="M5" s="439">
        <f t="shared" si="1"/>
        <v>2190.0952409058859</v>
      </c>
      <c r="N5" s="437"/>
      <c r="O5" s="437" t="s">
        <v>775</v>
      </c>
      <c r="P5" s="437" t="s">
        <v>20</v>
      </c>
      <c r="Q5" s="432" t="s">
        <v>779</v>
      </c>
      <c r="R5" s="432"/>
      <c r="S5" s="440"/>
      <c r="T5" s="440"/>
      <c r="U5" s="440"/>
      <c r="V5" s="440"/>
      <c r="W5" s="441"/>
      <c r="X5" s="215"/>
      <c r="Y5" s="215"/>
      <c r="Z5" s="215"/>
      <c r="AA5" s="215"/>
      <c r="AB5" s="215"/>
      <c r="AC5" s="215"/>
    </row>
    <row r="6" spans="1:29" ht="15.75">
      <c r="A6" s="437" t="s">
        <v>780</v>
      </c>
      <c r="B6" s="442">
        <v>45330.418749999997</v>
      </c>
      <c r="C6" s="437">
        <v>24</v>
      </c>
      <c r="D6" s="437">
        <v>20</v>
      </c>
      <c r="E6" s="437">
        <v>9.3495999999999996E-2</v>
      </c>
      <c r="F6" s="437">
        <v>36</v>
      </c>
      <c r="G6" s="437">
        <v>24.5</v>
      </c>
      <c r="H6" s="437">
        <v>6480.4470000000001</v>
      </c>
      <c r="I6" s="437">
        <v>0.99996600000000002</v>
      </c>
      <c r="J6" s="437">
        <v>0.51176200000000005</v>
      </c>
      <c r="K6" s="437">
        <v>2392.4</v>
      </c>
      <c r="L6" s="437">
        <f t="shared" si="0"/>
        <v>1.0242506855719333</v>
      </c>
      <c r="M6" s="439">
        <f t="shared" si="1"/>
        <v>2335.7563081972489</v>
      </c>
      <c r="N6" s="437"/>
      <c r="O6" s="437" t="s">
        <v>775</v>
      </c>
      <c r="P6" s="437" t="s">
        <v>20</v>
      </c>
      <c r="Q6" s="432"/>
      <c r="R6" s="432"/>
      <c r="S6" s="440"/>
      <c r="T6" s="440"/>
      <c r="U6" s="440"/>
      <c r="V6" s="440"/>
      <c r="W6" s="441"/>
      <c r="X6" s="215"/>
      <c r="Y6" s="215"/>
      <c r="Z6" s="215"/>
      <c r="AA6" s="215"/>
      <c r="AB6" s="215"/>
      <c r="AC6" s="215"/>
    </row>
    <row r="7" spans="1:29" ht="15.75">
      <c r="A7" s="437" t="s">
        <v>781</v>
      </c>
      <c r="B7" s="442">
        <v>45330.431250000001</v>
      </c>
      <c r="C7" s="437">
        <v>23</v>
      </c>
      <c r="D7" s="437">
        <v>20</v>
      </c>
      <c r="E7" s="437">
        <v>9.3495999999999996E-2</v>
      </c>
      <c r="F7" s="437">
        <v>36</v>
      </c>
      <c r="G7" s="437">
        <v>24.5</v>
      </c>
      <c r="H7" s="437">
        <v>6603.8419999999996</v>
      </c>
      <c r="I7" s="437">
        <v>0.99990500000000004</v>
      </c>
      <c r="J7" s="437">
        <v>0.50799499999999997</v>
      </c>
      <c r="K7" s="437">
        <v>2374.8000000000002</v>
      </c>
      <c r="L7" s="437">
        <f t="shared" si="0"/>
        <v>1.0242506855719333</v>
      </c>
      <c r="M7" s="439">
        <f t="shared" si="1"/>
        <v>2318.5730148415091</v>
      </c>
      <c r="N7" s="437"/>
      <c r="O7" s="437" t="s">
        <v>775</v>
      </c>
      <c r="P7" s="437" t="s">
        <v>20</v>
      </c>
      <c r="Q7" s="432"/>
      <c r="R7" s="432"/>
      <c r="S7" s="440"/>
      <c r="T7" s="440"/>
      <c r="U7" s="440"/>
      <c r="V7" s="440"/>
      <c r="W7" s="441"/>
      <c r="X7" s="215"/>
      <c r="Y7" s="215"/>
      <c r="Z7" s="215"/>
      <c r="AA7" s="215"/>
      <c r="AB7" s="215"/>
      <c r="AC7" s="215"/>
    </row>
    <row r="8" spans="1:29" ht="15.75">
      <c r="A8" s="437" t="s">
        <v>782</v>
      </c>
      <c r="B8" s="442">
        <v>45330.44027777778</v>
      </c>
      <c r="C8" s="437">
        <v>34</v>
      </c>
      <c r="D8" s="437">
        <v>20</v>
      </c>
      <c r="E8" s="437">
        <v>9.3495999999999996E-2</v>
      </c>
      <c r="F8" s="437">
        <v>36</v>
      </c>
      <c r="G8" s="437">
        <v>24.5</v>
      </c>
      <c r="H8" s="437">
        <v>6574.732</v>
      </c>
      <c r="I8" s="437">
        <v>0.99989600000000001</v>
      </c>
      <c r="J8" s="437">
        <v>0.50773599999999997</v>
      </c>
      <c r="K8" s="437">
        <v>2373.6</v>
      </c>
      <c r="L8" s="437">
        <f t="shared" si="0"/>
        <v>1.0242506855719333</v>
      </c>
      <c r="M8" s="439">
        <f t="shared" si="1"/>
        <v>2317.401426658163</v>
      </c>
      <c r="N8" s="437"/>
      <c r="O8" s="437" t="s">
        <v>775</v>
      </c>
      <c r="P8" s="437" t="s">
        <v>20</v>
      </c>
      <c r="Q8" s="432"/>
      <c r="R8" s="432"/>
      <c r="S8" s="440"/>
      <c r="T8" s="440"/>
      <c r="U8" s="440"/>
      <c r="V8" s="440"/>
      <c r="W8" s="441"/>
      <c r="X8" s="215"/>
      <c r="Y8" s="215"/>
      <c r="Z8" s="215"/>
      <c r="AA8" s="215"/>
      <c r="AB8" s="215"/>
      <c r="AC8" s="215"/>
    </row>
    <row r="9" spans="1:29" ht="15.75">
      <c r="A9" s="437" t="s">
        <v>783</v>
      </c>
      <c r="B9" s="442">
        <v>45330.449305555558</v>
      </c>
      <c r="C9" s="437">
        <v>35</v>
      </c>
      <c r="D9" s="437">
        <v>20</v>
      </c>
      <c r="E9" s="437">
        <v>9.3495999999999996E-2</v>
      </c>
      <c r="F9" s="437">
        <v>36</v>
      </c>
      <c r="G9" s="437">
        <v>24.5</v>
      </c>
      <c r="H9" s="437">
        <v>6732.4340000000002</v>
      </c>
      <c r="I9" s="437">
        <v>0.99987000000000004</v>
      </c>
      <c r="J9" s="437">
        <v>0.50540399999999996</v>
      </c>
      <c r="K9" s="437">
        <v>2362.6999999999998</v>
      </c>
      <c r="L9" s="437">
        <f t="shared" si="0"/>
        <v>1.0242506855719333</v>
      </c>
      <c r="M9" s="439">
        <f t="shared" si="1"/>
        <v>2306.7595006594379</v>
      </c>
      <c r="N9" s="437"/>
      <c r="O9" s="437" t="s">
        <v>775</v>
      </c>
      <c r="P9" s="437" t="s">
        <v>20</v>
      </c>
      <c r="Q9" s="432"/>
      <c r="R9" s="432"/>
      <c r="S9" s="440"/>
      <c r="T9" s="440"/>
      <c r="U9" s="440"/>
      <c r="V9" s="440"/>
      <c r="W9" s="441"/>
      <c r="X9" s="215"/>
      <c r="Y9" s="215"/>
      <c r="Z9" s="215"/>
      <c r="AA9" s="215"/>
      <c r="AB9" s="215"/>
      <c r="AC9" s="215"/>
    </row>
    <row r="10" spans="1:29" ht="15.75">
      <c r="A10" s="437" t="s">
        <v>784</v>
      </c>
      <c r="B10" s="442">
        <v>45330.456250000003</v>
      </c>
      <c r="C10" s="437">
        <v>67</v>
      </c>
      <c r="D10" s="437">
        <v>20</v>
      </c>
      <c r="E10" s="437">
        <v>9.3495999999999996E-2</v>
      </c>
      <c r="F10" s="437">
        <v>36.299999999999997</v>
      </c>
      <c r="G10" s="437">
        <v>24.5</v>
      </c>
      <c r="H10" s="437">
        <v>6562.7190000000001</v>
      </c>
      <c r="I10" s="437">
        <v>0.99984600000000001</v>
      </c>
      <c r="J10" s="437">
        <v>0.50533099999999997</v>
      </c>
      <c r="K10" s="437">
        <v>2362.3000000000002</v>
      </c>
      <c r="L10" s="437">
        <f t="shared" si="0"/>
        <v>1.0244777639600486</v>
      </c>
      <c r="M10" s="439">
        <f t="shared" si="1"/>
        <v>2305.8577580724555</v>
      </c>
      <c r="N10" s="437"/>
      <c r="O10" s="437" t="s">
        <v>775</v>
      </c>
      <c r="P10" s="437" t="s">
        <v>20</v>
      </c>
      <c r="Q10" s="432"/>
      <c r="R10" s="432"/>
      <c r="S10" s="440"/>
      <c r="T10" s="440"/>
      <c r="U10" s="440"/>
      <c r="V10" s="440"/>
      <c r="W10" s="441"/>
      <c r="X10" s="215"/>
      <c r="Y10" s="215"/>
      <c r="Z10" s="215"/>
      <c r="AA10" s="215"/>
      <c r="AB10" s="215"/>
      <c r="AC10" s="215"/>
    </row>
    <row r="11" spans="1:29" ht="15.75">
      <c r="A11" s="437" t="s">
        <v>785</v>
      </c>
      <c r="B11" s="442">
        <v>45330.462500000001</v>
      </c>
      <c r="C11" s="437">
        <v>68</v>
      </c>
      <c r="D11" s="437">
        <v>20</v>
      </c>
      <c r="E11" s="437">
        <v>9.3495999999999996E-2</v>
      </c>
      <c r="F11" s="437">
        <v>36.299999999999997</v>
      </c>
      <c r="G11" s="437">
        <v>24.5</v>
      </c>
      <c r="H11" s="437">
        <v>6662.616</v>
      </c>
      <c r="I11" s="437">
        <v>0.99987199999999998</v>
      </c>
      <c r="J11" s="437">
        <v>0.50649</v>
      </c>
      <c r="K11" s="437">
        <v>2367.6999999999998</v>
      </c>
      <c r="L11" s="437">
        <f t="shared" si="0"/>
        <v>1.0244777639600486</v>
      </c>
      <c r="M11" s="439">
        <f t="shared" si="1"/>
        <v>2311.1287363112865</v>
      </c>
      <c r="N11" s="437"/>
      <c r="O11" s="437" t="s">
        <v>775</v>
      </c>
      <c r="P11" s="437" t="s">
        <v>20</v>
      </c>
      <c r="Q11" s="432"/>
      <c r="R11" s="432"/>
      <c r="S11" s="440"/>
      <c r="T11" s="440"/>
      <c r="U11" s="440"/>
      <c r="V11" s="440"/>
      <c r="W11" s="441"/>
      <c r="X11" s="215"/>
      <c r="Y11" s="215"/>
      <c r="Z11" s="215"/>
      <c r="AA11" s="215"/>
      <c r="AB11" s="215"/>
      <c r="AC11" s="215"/>
    </row>
    <row r="12" spans="1:29" ht="15.75">
      <c r="A12" s="437" t="s">
        <v>786</v>
      </c>
      <c r="B12" s="442">
        <v>45330.469444444447</v>
      </c>
      <c r="C12" s="437">
        <v>56</v>
      </c>
      <c r="D12" s="437">
        <v>20</v>
      </c>
      <c r="E12" s="437">
        <v>9.3495999999999996E-2</v>
      </c>
      <c r="F12" s="437">
        <v>36.299999999999997</v>
      </c>
      <c r="G12" s="437">
        <v>24.5</v>
      </c>
      <c r="H12" s="437">
        <v>6711.2370000000001</v>
      </c>
      <c r="I12" s="437">
        <v>0.99990199999999996</v>
      </c>
      <c r="J12" s="437">
        <v>0.50583800000000001</v>
      </c>
      <c r="K12" s="437">
        <v>2364.6999999999998</v>
      </c>
      <c r="L12" s="437">
        <f t="shared" si="0"/>
        <v>1.0244777639600486</v>
      </c>
      <c r="M12" s="439">
        <f t="shared" si="1"/>
        <v>2308.2004150674916</v>
      </c>
      <c r="N12" s="437"/>
      <c r="O12" s="437" t="s">
        <v>775</v>
      </c>
      <c r="P12" s="437" t="s">
        <v>20</v>
      </c>
      <c r="Q12" s="432"/>
      <c r="R12" s="432"/>
      <c r="S12" s="440"/>
      <c r="T12" s="440"/>
      <c r="U12" s="440"/>
      <c r="V12" s="440"/>
      <c r="W12" s="441"/>
      <c r="X12" s="215"/>
      <c r="Y12" s="215"/>
      <c r="Z12" s="215"/>
      <c r="AA12" s="215"/>
      <c r="AB12" s="215"/>
      <c r="AC12" s="215"/>
    </row>
    <row r="13" spans="1:29" ht="15.75">
      <c r="A13" s="437" t="s">
        <v>787</v>
      </c>
      <c r="B13" s="442">
        <v>45330.475694444445</v>
      </c>
      <c r="C13" s="437">
        <v>57</v>
      </c>
      <c r="D13" s="437">
        <v>20</v>
      </c>
      <c r="E13" s="437">
        <v>9.3495999999999996E-2</v>
      </c>
      <c r="F13" s="437">
        <v>36.4</v>
      </c>
      <c r="G13" s="437">
        <v>24.5</v>
      </c>
      <c r="H13" s="437">
        <v>6728.5479999999998</v>
      </c>
      <c r="I13" s="437">
        <v>0.99982800000000005</v>
      </c>
      <c r="J13" s="437">
        <v>0.50614000000000003</v>
      </c>
      <c r="K13" s="437">
        <v>2366.1</v>
      </c>
      <c r="L13" s="437">
        <f t="shared" si="0"/>
        <v>1.0245534655850805</v>
      </c>
      <c r="M13" s="439">
        <f t="shared" si="1"/>
        <v>2309.3963170080315</v>
      </c>
      <c r="N13" s="437"/>
      <c r="O13" s="437" t="s">
        <v>775</v>
      </c>
      <c r="P13" s="437" t="s">
        <v>20</v>
      </c>
      <c r="Q13" s="432"/>
      <c r="R13" s="432"/>
      <c r="S13" s="440"/>
      <c r="T13" s="440"/>
      <c r="U13" s="440"/>
      <c r="V13" s="440"/>
      <c r="W13" s="441"/>
      <c r="X13" s="215"/>
      <c r="Y13" s="215"/>
      <c r="Z13" s="215"/>
      <c r="AA13" s="215"/>
      <c r="AB13" s="215"/>
      <c r="AC13" s="215"/>
    </row>
    <row r="14" spans="1:29" ht="15.75">
      <c r="A14" s="437" t="s">
        <v>788</v>
      </c>
      <c r="B14" s="442">
        <v>45330.481944444444</v>
      </c>
      <c r="C14" s="437">
        <v>12</v>
      </c>
      <c r="D14" s="437">
        <v>20</v>
      </c>
      <c r="E14" s="437">
        <v>9.3495999999999996E-2</v>
      </c>
      <c r="F14" s="437">
        <v>36.200000000000003</v>
      </c>
      <c r="G14" s="437">
        <v>24.5</v>
      </c>
      <c r="H14" s="437">
        <v>6691.3760000000002</v>
      </c>
      <c r="I14" s="437">
        <v>0.99992199999999998</v>
      </c>
      <c r="J14" s="437">
        <v>0.50476200000000004</v>
      </c>
      <c r="K14" s="437">
        <v>2359.6999999999998</v>
      </c>
      <c r="L14" s="437">
        <f t="shared" si="0"/>
        <v>1.0244020667543434</v>
      </c>
      <c r="M14" s="439">
        <f t="shared" si="1"/>
        <v>2303.4900812689079</v>
      </c>
      <c r="N14" s="437"/>
      <c r="O14" s="437" t="s">
        <v>775</v>
      </c>
      <c r="P14" s="437" t="s">
        <v>20</v>
      </c>
      <c r="Q14" s="432"/>
      <c r="R14" s="432"/>
      <c r="S14" s="440"/>
      <c r="T14" s="440"/>
      <c r="U14" s="440"/>
      <c r="V14" s="440"/>
      <c r="W14" s="441"/>
      <c r="X14" s="215"/>
      <c r="Y14" s="215"/>
      <c r="Z14" s="215"/>
      <c r="AA14" s="215"/>
      <c r="AB14" s="215"/>
      <c r="AC14" s="215"/>
    </row>
    <row r="15" spans="1:29" ht="15.75">
      <c r="A15" s="437" t="s">
        <v>789</v>
      </c>
      <c r="B15" s="442">
        <v>45330.490277777775</v>
      </c>
      <c r="C15" s="437">
        <v>13</v>
      </c>
      <c r="D15" s="437">
        <v>20</v>
      </c>
      <c r="E15" s="437">
        <v>9.3495999999999996E-2</v>
      </c>
      <c r="F15" s="437">
        <v>36.299999999999997</v>
      </c>
      <c r="G15" s="437">
        <v>24.5</v>
      </c>
      <c r="H15" s="437">
        <v>6876.8689999999997</v>
      </c>
      <c r="I15" s="437">
        <v>0.99990199999999996</v>
      </c>
      <c r="J15" s="437">
        <v>0.50571299999999997</v>
      </c>
      <c r="K15" s="437">
        <v>2364.1</v>
      </c>
      <c r="L15" s="437">
        <f t="shared" si="0"/>
        <v>1.0244777639600486</v>
      </c>
      <c r="M15" s="439">
        <f t="shared" si="1"/>
        <v>2307.6147508187323</v>
      </c>
      <c r="N15" s="437"/>
      <c r="O15" s="437" t="s">
        <v>775</v>
      </c>
      <c r="P15" s="437" t="s">
        <v>20</v>
      </c>
      <c r="Q15" s="432"/>
      <c r="R15" s="432"/>
      <c r="S15" s="440"/>
      <c r="T15" s="440"/>
      <c r="U15" s="440"/>
      <c r="V15" s="440"/>
      <c r="W15" s="441"/>
      <c r="X15" s="215"/>
      <c r="Y15" s="215"/>
      <c r="Z15" s="215"/>
      <c r="AA15" s="215"/>
      <c r="AB15" s="215"/>
      <c r="AC15" s="215"/>
    </row>
    <row r="16" spans="1:29" ht="15.75">
      <c r="A16" s="437" t="s">
        <v>790</v>
      </c>
      <c r="B16" s="442">
        <v>45330.497916666667</v>
      </c>
      <c r="C16" s="437" t="s">
        <v>541</v>
      </c>
      <c r="D16" s="437">
        <v>20</v>
      </c>
      <c r="E16" s="437">
        <v>9.3495999999999996E-2</v>
      </c>
      <c r="F16" s="437">
        <v>33.4</v>
      </c>
      <c r="G16" s="437">
        <v>24.5</v>
      </c>
      <c r="H16" s="437">
        <v>7185.1019999999999</v>
      </c>
      <c r="I16" s="437">
        <v>0.99986299999999995</v>
      </c>
      <c r="J16" s="437">
        <v>0.47802</v>
      </c>
      <c r="K16" s="437">
        <v>2238.6</v>
      </c>
      <c r="L16" s="437">
        <f t="shared" si="0"/>
        <v>1.0222843090028939</v>
      </c>
      <c r="M16" s="439">
        <f t="shared" si="1"/>
        <v>2189.8017804689425</v>
      </c>
      <c r="N16" s="437"/>
      <c r="O16" s="437" t="s">
        <v>775</v>
      </c>
      <c r="P16" s="437" t="s">
        <v>20</v>
      </c>
      <c r="Q16" s="432"/>
      <c r="R16" s="432"/>
      <c r="S16" s="440"/>
      <c r="T16" s="440"/>
      <c r="U16" s="440"/>
      <c r="V16" s="440"/>
      <c r="W16" s="441"/>
      <c r="X16" s="215"/>
      <c r="Y16" s="215"/>
      <c r="Z16" s="215"/>
      <c r="AA16" s="215"/>
      <c r="AB16" s="215"/>
      <c r="AC16" s="215"/>
    </row>
    <row r="17" spans="1:29" ht="15.75">
      <c r="A17" s="437" t="s">
        <v>791</v>
      </c>
      <c r="B17" s="442">
        <v>45330.506944444445</v>
      </c>
      <c r="C17" s="437">
        <v>1</v>
      </c>
      <c r="D17" s="437">
        <v>20</v>
      </c>
      <c r="E17" s="437">
        <v>9.3495999999999996E-2</v>
      </c>
      <c r="F17" s="437">
        <v>36.200000000000003</v>
      </c>
      <c r="G17" s="437">
        <v>24.5</v>
      </c>
      <c r="H17" s="437">
        <v>6946.8280000000004</v>
      </c>
      <c r="I17" s="437">
        <v>0.99985299999999999</v>
      </c>
      <c r="J17" s="437">
        <v>0.50381299999999996</v>
      </c>
      <c r="K17" s="437">
        <v>2355.1999999999998</v>
      </c>
      <c r="L17" s="437">
        <f t="shared" si="0"/>
        <v>1.0244020667543434</v>
      </c>
      <c r="M17" s="439">
        <f t="shared" si="1"/>
        <v>2299.0972748249915</v>
      </c>
      <c r="N17" s="437"/>
      <c r="O17" s="437" t="s">
        <v>775</v>
      </c>
      <c r="P17" s="437" t="s">
        <v>20</v>
      </c>
      <c r="Q17" s="432"/>
      <c r="R17" s="432"/>
      <c r="S17" s="440"/>
      <c r="T17" s="440"/>
      <c r="U17" s="440"/>
      <c r="V17" s="440"/>
      <c r="W17" s="441"/>
      <c r="X17" s="215"/>
      <c r="Y17" s="215"/>
      <c r="Z17" s="215"/>
      <c r="AA17" s="215"/>
      <c r="AB17" s="215"/>
      <c r="AC17" s="215"/>
    </row>
    <row r="18" spans="1:29" ht="15.75">
      <c r="A18" s="437" t="s">
        <v>792</v>
      </c>
      <c r="B18" s="442">
        <v>45330.515972222223</v>
      </c>
      <c r="C18" s="437">
        <v>2</v>
      </c>
      <c r="D18" s="437">
        <v>20</v>
      </c>
      <c r="E18" s="437">
        <v>9.3495999999999996E-2</v>
      </c>
      <c r="F18" s="437">
        <v>36.200000000000003</v>
      </c>
      <c r="G18" s="437">
        <v>24.5</v>
      </c>
      <c r="H18" s="437">
        <v>6993.6670000000004</v>
      </c>
      <c r="I18" s="437">
        <v>0.99985299999999999</v>
      </c>
      <c r="J18" s="437">
        <v>0.50541000000000003</v>
      </c>
      <c r="K18" s="437">
        <v>2362.6999999999998</v>
      </c>
      <c r="L18" s="437">
        <f t="shared" si="0"/>
        <v>1.0244020667543434</v>
      </c>
      <c r="M18" s="439">
        <f t="shared" si="1"/>
        <v>2306.4186188981857</v>
      </c>
      <c r="N18" s="437"/>
      <c r="O18" s="437" t="s">
        <v>775</v>
      </c>
      <c r="P18" s="437" t="s">
        <v>20</v>
      </c>
      <c r="Q18" s="432"/>
      <c r="R18" s="432"/>
      <c r="S18" s="440"/>
      <c r="T18" s="440"/>
      <c r="U18" s="440"/>
      <c r="V18" s="440"/>
      <c r="W18" s="441"/>
      <c r="X18" s="215"/>
      <c r="Y18" s="215"/>
      <c r="Z18" s="215"/>
      <c r="AA18" s="215"/>
      <c r="AB18" s="215"/>
      <c r="AC18" s="215"/>
    </row>
    <row r="19" spans="1:29" ht="15.75">
      <c r="A19" s="437" t="s">
        <v>793</v>
      </c>
      <c r="B19" s="442">
        <v>45330.536805555559</v>
      </c>
      <c r="C19" s="437">
        <v>45</v>
      </c>
      <c r="D19" s="437">
        <v>20</v>
      </c>
      <c r="E19" s="437">
        <v>9.3495999999999996E-2</v>
      </c>
      <c r="F19" s="437">
        <v>36.200000000000003</v>
      </c>
      <c r="G19" s="437">
        <v>24.5</v>
      </c>
      <c r="H19" s="437">
        <v>7017.1490000000003</v>
      </c>
      <c r="I19" s="437">
        <v>0.99982199999999999</v>
      </c>
      <c r="J19" s="437">
        <v>0.50654699999999997</v>
      </c>
      <c r="K19" s="437">
        <v>2368</v>
      </c>
      <c r="L19" s="437">
        <f t="shared" si="0"/>
        <v>1.0244020667543434</v>
      </c>
      <c r="M19" s="439">
        <f t="shared" si="1"/>
        <v>2311.5923687099098</v>
      </c>
      <c r="N19" s="437"/>
      <c r="O19" s="437" t="s">
        <v>775</v>
      </c>
      <c r="P19" s="437" t="s">
        <v>20</v>
      </c>
      <c r="Q19" s="432"/>
      <c r="R19" s="432"/>
      <c r="S19" s="440"/>
      <c r="T19" s="440"/>
      <c r="U19" s="440"/>
      <c r="V19" s="440"/>
      <c r="W19" s="441"/>
      <c r="X19" s="215"/>
      <c r="Y19" s="215"/>
      <c r="Z19" s="215"/>
      <c r="AA19" s="215"/>
      <c r="AB19" s="215"/>
      <c r="AC19" s="215"/>
    </row>
    <row r="20" spans="1:29" ht="15.75">
      <c r="A20" s="437" t="s">
        <v>794</v>
      </c>
      <c r="B20" s="442">
        <v>45330.543749999997</v>
      </c>
      <c r="C20" s="437">
        <v>46</v>
      </c>
      <c r="D20" s="437">
        <v>20</v>
      </c>
      <c r="E20" s="437">
        <v>9.3495999999999996E-2</v>
      </c>
      <c r="F20" s="437">
        <v>36.299999999999997</v>
      </c>
      <c r="G20" s="437">
        <v>24.5</v>
      </c>
      <c r="H20" s="437">
        <v>6879.3109999999997</v>
      </c>
      <c r="I20" s="437">
        <v>0.99989499999999998</v>
      </c>
      <c r="J20" s="437">
        <v>0.50703799999999999</v>
      </c>
      <c r="K20" s="437">
        <v>2370.3000000000002</v>
      </c>
      <c r="L20" s="437">
        <f t="shared" si="0"/>
        <v>1.0244777639600486</v>
      </c>
      <c r="M20" s="439">
        <f t="shared" si="1"/>
        <v>2313.666614722576</v>
      </c>
      <c r="N20" s="437"/>
      <c r="O20" s="437" t="s">
        <v>775</v>
      </c>
      <c r="P20" s="437" t="s">
        <v>20</v>
      </c>
      <c r="Q20" s="432"/>
      <c r="R20" s="432"/>
      <c r="S20" s="440"/>
      <c r="T20" s="440"/>
      <c r="U20" s="440"/>
      <c r="V20" s="440"/>
      <c r="W20" s="441"/>
      <c r="X20" s="215"/>
      <c r="Y20" s="215"/>
      <c r="Z20" s="215"/>
      <c r="AA20" s="215"/>
      <c r="AB20" s="215"/>
      <c r="AC20" s="215"/>
    </row>
    <row r="21" spans="1:29" ht="15.75">
      <c r="A21" s="437" t="s">
        <v>795</v>
      </c>
      <c r="B21" s="442">
        <v>45330.553472222222</v>
      </c>
      <c r="C21" s="437">
        <v>144</v>
      </c>
      <c r="D21" s="437">
        <v>20</v>
      </c>
      <c r="E21" s="437">
        <v>9.3495999999999996E-2</v>
      </c>
      <c r="F21" s="437">
        <v>36.200000000000003</v>
      </c>
      <c r="G21" s="437">
        <v>24.5</v>
      </c>
      <c r="H21" s="437">
        <v>6898.732</v>
      </c>
      <c r="I21" s="437">
        <v>0.99990400000000002</v>
      </c>
      <c r="J21" s="437">
        <v>0.50561900000000004</v>
      </c>
      <c r="K21" s="437">
        <v>2363.6999999999998</v>
      </c>
      <c r="L21" s="437">
        <f t="shared" si="0"/>
        <v>1.0244020667543434</v>
      </c>
      <c r="M21" s="439">
        <f t="shared" si="1"/>
        <v>2307.394798107945</v>
      </c>
      <c r="N21" s="437"/>
      <c r="O21" s="437" t="s">
        <v>775</v>
      </c>
      <c r="P21" s="437" t="s">
        <v>20</v>
      </c>
      <c r="Q21" s="432"/>
      <c r="R21" s="432"/>
      <c r="S21" s="440"/>
      <c r="T21" s="440"/>
      <c r="U21" s="440"/>
      <c r="V21" s="440"/>
      <c r="W21" s="441"/>
      <c r="X21" s="215"/>
      <c r="Y21" s="215"/>
      <c r="Z21" s="215"/>
      <c r="AA21" s="215"/>
      <c r="AB21" s="215"/>
      <c r="AC21" s="215"/>
    </row>
    <row r="22" spans="1:29" ht="15.75">
      <c r="A22" s="437" t="s">
        <v>796</v>
      </c>
      <c r="B22" s="442">
        <v>45330.55972222222</v>
      </c>
      <c r="C22" s="437">
        <v>145</v>
      </c>
      <c r="D22" s="437">
        <v>20</v>
      </c>
      <c r="E22" s="437">
        <v>9.3495999999999996E-2</v>
      </c>
      <c r="F22" s="437">
        <v>36.299999999999997</v>
      </c>
      <c r="G22" s="437">
        <v>24.5</v>
      </c>
      <c r="H22" s="437">
        <v>6971.058</v>
      </c>
      <c r="I22" s="437">
        <v>0.99985299999999999</v>
      </c>
      <c r="J22" s="437">
        <v>0.50575099999999995</v>
      </c>
      <c r="K22" s="437">
        <v>2364.3000000000002</v>
      </c>
      <c r="L22" s="437">
        <f t="shared" si="0"/>
        <v>1.0244777639600486</v>
      </c>
      <c r="M22" s="439">
        <f t="shared" si="1"/>
        <v>2307.8099722349857</v>
      </c>
      <c r="N22" s="437"/>
      <c r="O22" s="437" t="s">
        <v>775</v>
      </c>
      <c r="P22" s="437" t="s">
        <v>20</v>
      </c>
      <c r="Q22" s="432"/>
      <c r="R22" s="432"/>
      <c r="S22" s="440"/>
      <c r="T22" s="440"/>
      <c r="U22" s="440"/>
      <c r="V22" s="440"/>
      <c r="W22" s="441"/>
      <c r="X22" s="215"/>
      <c r="Y22" s="215"/>
      <c r="Z22" s="215"/>
      <c r="AA22" s="215"/>
      <c r="AB22" s="215"/>
      <c r="AC22" s="215"/>
    </row>
    <row r="23" spans="1:29" ht="15.75">
      <c r="A23" s="437" t="s">
        <v>797</v>
      </c>
      <c r="B23" s="442">
        <v>45330.568055555559</v>
      </c>
      <c r="C23" s="437">
        <v>89</v>
      </c>
      <c r="D23" s="437">
        <v>20</v>
      </c>
      <c r="E23" s="437">
        <v>9.3495999999999996E-2</v>
      </c>
      <c r="F23" s="437">
        <v>36.200000000000003</v>
      </c>
      <c r="G23" s="437">
        <v>24.5</v>
      </c>
      <c r="H23" s="437">
        <v>7022.6409999999996</v>
      </c>
      <c r="I23" s="437">
        <v>0.99982300000000002</v>
      </c>
      <c r="J23" s="437">
        <v>0.50438000000000005</v>
      </c>
      <c r="K23" s="437">
        <v>2357.9</v>
      </c>
      <c r="L23" s="437">
        <f t="shared" si="0"/>
        <v>1.0244020667543434</v>
      </c>
      <c r="M23" s="439">
        <f t="shared" si="1"/>
        <v>2301.7329586913415</v>
      </c>
      <c r="N23" s="437"/>
      <c r="O23" s="437" t="s">
        <v>775</v>
      </c>
      <c r="P23" s="437" t="s">
        <v>20</v>
      </c>
      <c r="Q23" s="432"/>
      <c r="R23" s="432"/>
      <c r="S23" s="440"/>
      <c r="T23" s="440"/>
      <c r="U23" s="440"/>
      <c r="V23" s="440"/>
      <c r="W23" s="441"/>
      <c r="X23" s="215"/>
      <c r="Y23" s="215"/>
      <c r="Z23" s="215"/>
      <c r="AA23" s="215"/>
      <c r="AB23" s="215"/>
      <c r="AC23" s="215"/>
    </row>
    <row r="24" spans="1:29" ht="15.75">
      <c r="A24" s="437" t="s">
        <v>798</v>
      </c>
      <c r="B24" s="442">
        <v>45330.578472222223</v>
      </c>
      <c r="C24" s="437">
        <v>90</v>
      </c>
      <c r="D24" s="437">
        <v>20</v>
      </c>
      <c r="E24" s="437">
        <v>9.3495999999999996E-2</v>
      </c>
      <c r="F24" s="437">
        <v>36.200000000000003</v>
      </c>
      <c r="G24" s="437">
        <v>24.5</v>
      </c>
      <c r="H24" s="437">
        <v>6933.37</v>
      </c>
      <c r="I24" s="437">
        <v>0.99987400000000004</v>
      </c>
      <c r="J24" s="437">
        <v>0.50691299999999995</v>
      </c>
      <c r="K24" s="437">
        <v>2369.6999999999998</v>
      </c>
      <c r="L24" s="437">
        <f t="shared" si="0"/>
        <v>1.0244020667543434</v>
      </c>
      <c r="M24" s="439">
        <f t="shared" si="1"/>
        <v>2313.2518733665006</v>
      </c>
      <c r="N24" s="437"/>
      <c r="O24" s="437" t="s">
        <v>775</v>
      </c>
      <c r="P24" s="437" t="s">
        <v>20</v>
      </c>
      <c r="Q24" s="432"/>
      <c r="R24" s="432"/>
      <c r="S24" s="440"/>
      <c r="T24" s="440"/>
      <c r="U24" s="440"/>
      <c r="V24" s="440"/>
      <c r="W24" s="441"/>
      <c r="X24" s="215"/>
      <c r="Y24" s="215"/>
      <c r="Z24" s="215"/>
      <c r="AA24" s="215"/>
      <c r="AB24" s="215"/>
      <c r="AC24" s="215"/>
    </row>
    <row r="25" spans="1:29" ht="15.75">
      <c r="A25" s="437" t="s">
        <v>799</v>
      </c>
      <c r="B25" s="442">
        <v>45330.586111111108</v>
      </c>
      <c r="C25" s="437">
        <v>78</v>
      </c>
      <c r="D25" s="437">
        <v>20</v>
      </c>
      <c r="E25" s="437">
        <v>9.3495999999999996E-2</v>
      </c>
      <c r="F25" s="437">
        <v>36.200000000000003</v>
      </c>
      <c r="G25" s="437">
        <v>24.5</v>
      </c>
      <c r="H25" s="437">
        <v>6990.0219999999999</v>
      </c>
      <c r="I25" s="437">
        <v>0.99986900000000001</v>
      </c>
      <c r="J25" s="437">
        <v>0.50403299999999995</v>
      </c>
      <c r="K25" s="437">
        <v>2356.3000000000002</v>
      </c>
      <c r="L25" s="437">
        <f t="shared" si="0"/>
        <v>1.0244020667543434</v>
      </c>
      <c r="M25" s="439">
        <f t="shared" si="1"/>
        <v>2300.1710719557268</v>
      </c>
      <c r="N25" s="437"/>
      <c r="O25" s="437" t="s">
        <v>775</v>
      </c>
      <c r="P25" s="437" t="s">
        <v>20</v>
      </c>
      <c r="Q25" s="432"/>
      <c r="R25" s="432"/>
      <c r="S25" s="440"/>
      <c r="T25" s="440"/>
      <c r="U25" s="440"/>
      <c r="V25" s="440"/>
      <c r="W25" s="441"/>
      <c r="X25" s="215"/>
      <c r="Y25" s="215"/>
      <c r="Z25" s="215"/>
      <c r="AA25" s="215"/>
      <c r="AB25" s="215"/>
      <c r="AC25" s="215"/>
    </row>
    <row r="26" spans="1:29" ht="15.75">
      <c r="A26" s="437" t="s">
        <v>800</v>
      </c>
      <c r="B26" s="442">
        <v>45330.593055555553</v>
      </c>
      <c r="C26" s="437">
        <v>79</v>
      </c>
      <c r="D26" s="437">
        <v>20</v>
      </c>
      <c r="E26" s="437">
        <v>9.3495999999999996E-2</v>
      </c>
      <c r="F26" s="437">
        <v>36.299999999999997</v>
      </c>
      <c r="G26" s="437">
        <v>24.5</v>
      </c>
      <c r="H26" s="437">
        <v>7028.3360000000002</v>
      </c>
      <c r="I26" s="437">
        <v>0.99987499999999996</v>
      </c>
      <c r="J26" s="437">
        <v>0.50749699999999998</v>
      </c>
      <c r="K26" s="437">
        <v>2372.4</v>
      </c>
      <c r="L26" s="437">
        <f t="shared" si="0"/>
        <v>1.0244777639600486</v>
      </c>
      <c r="M26" s="439">
        <f t="shared" si="1"/>
        <v>2315.7164395932327</v>
      </c>
      <c r="N26" s="437"/>
      <c r="O26" s="437" t="s">
        <v>775</v>
      </c>
      <c r="P26" s="437" t="s">
        <v>20</v>
      </c>
      <c r="Q26" s="432"/>
      <c r="R26" s="432"/>
      <c r="S26" s="440"/>
      <c r="T26" s="440"/>
      <c r="U26" s="440"/>
      <c r="V26" s="440"/>
      <c r="W26" s="441"/>
      <c r="X26" s="215"/>
      <c r="Y26" s="215"/>
      <c r="Z26" s="215"/>
      <c r="AA26" s="215"/>
      <c r="AB26" s="215"/>
      <c r="AC26" s="215"/>
    </row>
    <row r="27" spans="1:29" ht="15.75">
      <c r="A27" s="437" t="s">
        <v>801</v>
      </c>
      <c r="B27" s="442">
        <v>45330.602083333331</v>
      </c>
      <c r="C27" s="437" t="s">
        <v>541</v>
      </c>
      <c r="D27" s="437">
        <v>20</v>
      </c>
      <c r="E27" s="437">
        <v>9.3495999999999996E-2</v>
      </c>
      <c r="F27" s="437">
        <v>33.4</v>
      </c>
      <c r="G27" s="437">
        <v>24.5</v>
      </c>
      <c r="H27" s="437">
        <v>7272.9549999999999</v>
      </c>
      <c r="I27" s="437">
        <v>0.99975999999999998</v>
      </c>
      <c r="J27" s="437">
        <v>0.48008299999999998</v>
      </c>
      <c r="K27" s="437">
        <v>2244.3000000000002</v>
      </c>
      <c r="L27" s="437">
        <f t="shared" si="0"/>
        <v>1.0222843090028939</v>
      </c>
      <c r="M27" s="439">
        <f t="shared" si="1"/>
        <v>2195.3775287708609</v>
      </c>
      <c r="N27" s="437"/>
      <c r="O27" s="437" t="s">
        <v>775</v>
      </c>
      <c r="P27" s="437" t="s">
        <v>20</v>
      </c>
      <c r="Q27" s="432" t="s">
        <v>802</v>
      </c>
      <c r="R27" s="432"/>
      <c r="S27" s="440"/>
      <c r="T27" s="440"/>
      <c r="U27" s="440"/>
      <c r="V27" s="440"/>
      <c r="W27" s="441"/>
      <c r="X27" s="215"/>
      <c r="Y27" s="215"/>
      <c r="Z27" s="215"/>
      <c r="AA27" s="215"/>
      <c r="AB27" s="215"/>
      <c r="AC27" s="215"/>
    </row>
    <row r="28" spans="1:29" ht="15.75">
      <c r="A28" s="437" t="s">
        <v>803</v>
      </c>
      <c r="B28" s="442">
        <v>45330.609722222223</v>
      </c>
      <c r="C28" s="437">
        <v>118</v>
      </c>
      <c r="D28" s="437">
        <v>20</v>
      </c>
      <c r="E28" s="437">
        <v>9.3495999999999996E-2</v>
      </c>
      <c r="F28" s="437">
        <v>36.1</v>
      </c>
      <c r="G28" s="437">
        <v>24.5</v>
      </c>
      <c r="H28" s="437">
        <v>7142.35</v>
      </c>
      <c r="I28" s="437">
        <v>0.999857</v>
      </c>
      <c r="J28" s="437">
        <v>0.507355</v>
      </c>
      <c r="K28" s="437">
        <v>2371.8000000000002</v>
      </c>
      <c r="L28" s="437">
        <f t="shared" si="0"/>
        <v>1.0243263739607273</v>
      </c>
      <c r="M28" s="439">
        <f t="shared" si="1"/>
        <v>2315.4729393806811</v>
      </c>
      <c r="N28" s="437"/>
      <c r="O28" s="437" t="s">
        <v>775</v>
      </c>
      <c r="P28" s="437" t="s">
        <v>20</v>
      </c>
      <c r="Q28" s="432"/>
      <c r="R28" s="432"/>
      <c r="S28" s="440"/>
      <c r="T28" s="440"/>
      <c r="U28" s="440"/>
      <c r="V28" s="440"/>
      <c r="W28" s="441"/>
      <c r="X28" s="215"/>
      <c r="Y28" s="215"/>
      <c r="Z28" s="215"/>
      <c r="AA28" s="215"/>
      <c r="AB28" s="215"/>
      <c r="AC28" s="215"/>
    </row>
    <row r="29" spans="1:29" ht="15.75">
      <c r="A29" s="437" t="s">
        <v>804</v>
      </c>
      <c r="B29" s="442">
        <v>45330.617361111108</v>
      </c>
      <c r="C29" s="437">
        <v>119</v>
      </c>
      <c r="D29" s="437">
        <v>20</v>
      </c>
      <c r="E29" s="437">
        <v>9.3495999999999996E-2</v>
      </c>
      <c r="F29" s="437">
        <v>36.200000000000003</v>
      </c>
      <c r="G29" s="437">
        <v>24.5</v>
      </c>
      <c r="H29" s="437">
        <v>7014.6049999999996</v>
      </c>
      <c r="I29" s="437">
        <v>0.99988299999999997</v>
      </c>
      <c r="J29" s="437">
        <v>0.50818300000000005</v>
      </c>
      <c r="K29" s="437">
        <v>2375.6999999999998</v>
      </c>
      <c r="L29" s="437">
        <f t="shared" si="0"/>
        <v>1.0244020667543434</v>
      </c>
      <c r="M29" s="439">
        <f t="shared" si="1"/>
        <v>2319.1089486250562</v>
      </c>
      <c r="N29" s="437"/>
      <c r="O29" s="437" t="s">
        <v>775</v>
      </c>
      <c r="P29" s="437" t="s">
        <v>20</v>
      </c>
      <c r="Q29" s="432"/>
      <c r="R29" s="432"/>
      <c r="S29" s="440"/>
      <c r="T29" s="440"/>
      <c r="U29" s="440"/>
      <c r="V29" s="440"/>
      <c r="W29" s="441"/>
      <c r="X29" s="215"/>
      <c r="Y29" s="215"/>
      <c r="Z29" s="215"/>
      <c r="AA29" s="215"/>
      <c r="AB29" s="215"/>
      <c r="AC29" s="215"/>
    </row>
    <row r="30" spans="1:29" ht="15.75">
      <c r="A30" s="437" t="s">
        <v>805</v>
      </c>
      <c r="B30" s="442">
        <v>45330.625694444447</v>
      </c>
      <c r="C30" s="437">
        <v>326</v>
      </c>
      <c r="D30" s="437">
        <v>20</v>
      </c>
      <c r="E30" s="437">
        <v>9.3495999999999996E-2</v>
      </c>
      <c r="F30" s="437">
        <v>36.299999999999997</v>
      </c>
      <c r="G30" s="437">
        <v>24.5</v>
      </c>
      <c r="H30" s="437">
        <v>7133.7640000000001</v>
      </c>
      <c r="I30" s="437">
        <v>0.99982899999999997</v>
      </c>
      <c r="J30" s="437">
        <v>0.50764600000000004</v>
      </c>
      <c r="K30" s="437">
        <v>2373.1</v>
      </c>
      <c r="L30" s="437">
        <f t="shared" si="0"/>
        <v>1.0244777639600486</v>
      </c>
      <c r="M30" s="439">
        <f t="shared" si="1"/>
        <v>2316.399714550118</v>
      </c>
      <c r="N30" s="437"/>
      <c r="O30" s="437" t="s">
        <v>775</v>
      </c>
      <c r="P30" s="437" t="s">
        <v>20</v>
      </c>
      <c r="Q30" s="432"/>
      <c r="R30" s="432"/>
      <c r="S30" s="440"/>
      <c r="T30" s="440"/>
      <c r="U30" s="440"/>
      <c r="V30" s="440"/>
      <c r="W30" s="441"/>
      <c r="X30" s="215"/>
      <c r="Y30" s="215"/>
      <c r="Z30" s="215"/>
      <c r="AA30" s="215"/>
      <c r="AB30" s="215"/>
      <c r="AC30" s="215"/>
    </row>
    <row r="31" spans="1:29" ht="15.75">
      <c r="A31" s="437" t="s">
        <v>806</v>
      </c>
      <c r="B31" s="442">
        <v>45330.634027777778</v>
      </c>
      <c r="C31" s="437">
        <v>327</v>
      </c>
      <c r="D31" s="437">
        <v>20</v>
      </c>
      <c r="E31" s="437">
        <v>9.3495999999999996E-2</v>
      </c>
      <c r="F31" s="437">
        <v>36.299999999999997</v>
      </c>
      <c r="G31" s="437">
        <v>24.5</v>
      </c>
      <c r="H31" s="437">
        <v>7216.2839999999997</v>
      </c>
      <c r="I31" s="437">
        <v>0.99983900000000003</v>
      </c>
      <c r="J31" s="437">
        <v>0.50659500000000002</v>
      </c>
      <c r="K31" s="437">
        <v>2368.1999999999998</v>
      </c>
      <c r="L31" s="437">
        <f t="shared" si="0"/>
        <v>1.0244777639600486</v>
      </c>
      <c r="M31" s="439">
        <f t="shared" si="1"/>
        <v>2311.6167898519193</v>
      </c>
      <c r="N31" s="437"/>
      <c r="O31" s="437" t="s">
        <v>775</v>
      </c>
      <c r="P31" s="437" t="s">
        <v>20</v>
      </c>
      <c r="Q31" s="432"/>
      <c r="R31" s="432"/>
      <c r="S31" s="440"/>
      <c r="T31" s="440"/>
      <c r="U31" s="440"/>
      <c r="V31" s="440"/>
      <c r="W31" s="441"/>
      <c r="X31" s="215"/>
      <c r="Y31" s="215"/>
      <c r="Z31" s="215"/>
      <c r="AA31" s="215"/>
      <c r="AB31" s="215"/>
      <c r="AC31" s="215"/>
    </row>
    <row r="32" spans="1:29" ht="15.75">
      <c r="A32" s="437" t="s">
        <v>807</v>
      </c>
      <c r="B32" s="442">
        <v>45330.64166666667</v>
      </c>
      <c r="C32" s="437">
        <v>183</v>
      </c>
      <c r="D32" s="437">
        <v>20</v>
      </c>
      <c r="E32" s="437">
        <v>9.3495999999999996E-2</v>
      </c>
      <c r="F32" s="437">
        <v>36.799999999999997</v>
      </c>
      <c r="G32" s="437">
        <v>24.5</v>
      </c>
      <c r="H32" s="437">
        <v>7254.5050000000001</v>
      </c>
      <c r="I32" s="437">
        <v>0.99978599999999995</v>
      </c>
      <c r="J32" s="437">
        <v>0.511181</v>
      </c>
      <c r="K32" s="437">
        <v>2389.6999999999998</v>
      </c>
      <c r="L32" s="437">
        <f t="shared" si="0"/>
        <v>1.0248563164221827</v>
      </c>
      <c r="M32" s="439">
        <f t="shared" si="1"/>
        <v>2331.7414955713452</v>
      </c>
      <c r="N32" s="437"/>
      <c r="O32" s="437" t="s">
        <v>775</v>
      </c>
      <c r="P32" s="437" t="s">
        <v>20</v>
      </c>
      <c r="Q32" s="432"/>
      <c r="R32" s="432"/>
      <c r="S32" s="440"/>
      <c r="T32" s="440"/>
      <c r="U32" s="440"/>
      <c r="V32" s="440"/>
      <c r="W32" s="441"/>
      <c r="X32" s="215"/>
      <c r="Y32" s="215"/>
      <c r="Z32" s="215"/>
      <c r="AA32" s="215"/>
      <c r="AB32" s="215"/>
      <c r="AC32" s="215"/>
    </row>
    <row r="33" spans="1:29" ht="15.75">
      <c r="A33" s="437" t="s">
        <v>808</v>
      </c>
      <c r="B33" s="442">
        <v>45330.648611111108</v>
      </c>
      <c r="C33" s="437">
        <v>184</v>
      </c>
      <c r="D33" s="437">
        <v>20</v>
      </c>
      <c r="E33" s="437">
        <v>9.3495999999999996E-2</v>
      </c>
      <c r="F33" s="437">
        <v>36.9</v>
      </c>
      <c r="G33" s="437">
        <v>24.5</v>
      </c>
      <c r="H33" s="437">
        <v>7259.8130000000001</v>
      </c>
      <c r="I33" s="437">
        <v>0.99979600000000002</v>
      </c>
      <c r="J33" s="437">
        <v>0.51275599999999999</v>
      </c>
      <c r="K33" s="437">
        <v>2397</v>
      </c>
      <c r="L33" s="437">
        <f t="shared" si="0"/>
        <v>1.0249320402513715</v>
      </c>
      <c r="M33" s="439">
        <f t="shared" si="1"/>
        <v>2338.6916457525513</v>
      </c>
      <c r="N33" s="437"/>
      <c r="O33" s="437" t="s">
        <v>775</v>
      </c>
      <c r="P33" s="437" t="s">
        <v>20</v>
      </c>
      <c r="Q33" s="432"/>
      <c r="R33" s="432"/>
      <c r="S33" s="440"/>
      <c r="T33" s="440"/>
      <c r="U33" s="440"/>
      <c r="V33" s="440"/>
      <c r="W33" s="441"/>
      <c r="X33" s="215"/>
      <c r="Y33" s="215"/>
      <c r="Z33" s="215"/>
      <c r="AA33" s="215"/>
      <c r="AB33" s="215"/>
      <c r="AC33" s="215"/>
    </row>
    <row r="34" spans="1:29" ht="15.75">
      <c r="A34" s="437" t="s">
        <v>809</v>
      </c>
      <c r="B34" s="442">
        <v>45330.65625</v>
      </c>
      <c r="C34" s="437">
        <v>235</v>
      </c>
      <c r="D34" s="437">
        <v>20</v>
      </c>
      <c r="E34" s="437">
        <v>9.3495999999999996E-2</v>
      </c>
      <c r="F34" s="437">
        <v>36.299999999999997</v>
      </c>
      <c r="G34" s="437">
        <v>24.5</v>
      </c>
      <c r="H34" s="437">
        <v>6800.5789999999997</v>
      </c>
      <c r="I34" s="437">
        <v>0.99980999999999998</v>
      </c>
      <c r="J34" s="437">
        <v>0.508934</v>
      </c>
      <c r="K34" s="437">
        <v>2379.1999999999998</v>
      </c>
      <c r="L34" s="437">
        <f t="shared" si="0"/>
        <v>1.0244777639600486</v>
      </c>
      <c r="M34" s="439">
        <f t="shared" si="1"/>
        <v>2322.3539677458348</v>
      </c>
      <c r="N34" s="437"/>
      <c r="O34" s="437" t="s">
        <v>775</v>
      </c>
      <c r="P34" s="437" t="s">
        <v>20</v>
      </c>
      <c r="Q34" s="432"/>
      <c r="R34" s="432"/>
      <c r="S34" s="440"/>
      <c r="T34" s="440"/>
      <c r="U34" s="440"/>
      <c r="V34" s="440"/>
      <c r="W34" s="441"/>
      <c r="X34" s="215"/>
      <c r="Y34" s="215"/>
      <c r="Z34" s="215"/>
      <c r="AA34" s="215"/>
      <c r="AB34" s="215"/>
      <c r="AC34" s="215"/>
    </row>
    <row r="35" spans="1:29" ht="15.75">
      <c r="A35" s="437" t="s">
        <v>810</v>
      </c>
      <c r="B35" s="442">
        <v>45330.663888888892</v>
      </c>
      <c r="C35" s="437">
        <v>236</v>
      </c>
      <c r="D35" s="437">
        <v>20</v>
      </c>
      <c r="E35" s="437">
        <v>9.3495999999999996E-2</v>
      </c>
      <c r="F35" s="437">
        <v>36.4</v>
      </c>
      <c r="G35" s="437">
        <v>24.5</v>
      </c>
      <c r="H35" s="437">
        <v>6953.0929999999998</v>
      </c>
      <c r="I35" s="437">
        <v>0.99991200000000002</v>
      </c>
      <c r="J35" s="437">
        <v>0.50520500000000002</v>
      </c>
      <c r="K35" s="437">
        <v>2361.6999999999998</v>
      </c>
      <c r="L35" s="437">
        <f t="shared" si="0"/>
        <v>1.0245534655850805</v>
      </c>
      <c r="M35" s="439">
        <f t="shared" si="1"/>
        <v>2305.1017631874679</v>
      </c>
      <c r="N35" s="437"/>
      <c r="O35" s="437" t="s">
        <v>775</v>
      </c>
      <c r="P35" s="437" t="s">
        <v>20</v>
      </c>
      <c r="Q35" s="432"/>
      <c r="R35" s="432"/>
      <c r="S35" s="440"/>
      <c r="T35" s="440"/>
      <c r="U35" s="440"/>
      <c r="V35" s="440"/>
      <c r="W35" s="441"/>
      <c r="X35" s="215"/>
      <c r="Y35" s="215"/>
      <c r="Z35" s="215"/>
      <c r="AA35" s="215"/>
      <c r="AB35" s="215"/>
      <c r="AC35" s="215"/>
    </row>
    <row r="36" spans="1:29" ht="15.75">
      <c r="A36" s="437" t="s">
        <v>811</v>
      </c>
      <c r="B36" s="442">
        <v>45330.67083333333</v>
      </c>
      <c r="C36" s="437">
        <v>131</v>
      </c>
      <c r="D36" s="437">
        <v>20</v>
      </c>
      <c r="E36" s="437">
        <v>9.3495999999999996E-2</v>
      </c>
      <c r="F36" s="437">
        <v>36.299999999999997</v>
      </c>
      <c r="G36" s="437">
        <v>24.5</v>
      </c>
      <c r="H36" s="437">
        <v>6917.482</v>
      </c>
      <c r="I36" s="437">
        <v>0.99983100000000003</v>
      </c>
      <c r="J36" s="437">
        <v>0.507988</v>
      </c>
      <c r="K36" s="437">
        <v>2374.6999999999998</v>
      </c>
      <c r="L36" s="437">
        <f t="shared" si="0"/>
        <v>1.0244777639600486</v>
      </c>
      <c r="M36" s="439">
        <f t="shared" si="1"/>
        <v>2317.9614858801419</v>
      </c>
      <c r="N36" s="437"/>
      <c r="O36" s="437" t="s">
        <v>775</v>
      </c>
      <c r="P36" s="437" t="s">
        <v>20</v>
      </c>
      <c r="Q36" s="432"/>
      <c r="R36" s="432"/>
      <c r="S36" s="440"/>
      <c r="T36" s="440"/>
      <c r="U36" s="440"/>
      <c r="V36" s="440"/>
      <c r="W36" s="441"/>
      <c r="X36" s="215"/>
      <c r="Y36" s="215"/>
      <c r="Z36" s="215"/>
      <c r="AA36" s="215"/>
      <c r="AB36" s="215"/>
      <c r="AC36" s="215"/>
    </row>
    <row r="37" spans="1:29" ht="15.75">
      <c r="A37" s="437" t="s">
        <v>812</v>
      </c>
      <c r="B37" s="442">
        <v>45330.679861111108</v>
      </c>
      <c r="C37" s="437">
        <v>132</v>
      </c>
      <c r="D37" s="437">
        <v>20</v>
      </c>
      <c r="E37" s="437">
        <v>9.3495999999999996E-2</v>
      </c>
      <c r="F37" s="437">
        <v>36.4</v>
      </c>
      <c r="G37" s="437">
        <v>24.5</v>
      </c>
      <c r="H37" s="437">
        <v>6903.5150000000003</v>
      </c>
      <c r="I37" s="437">
        <v>0.99979600000000002</v>
      </c>
      <c r="J37" s="437">
        <v>0.50675199999999998</v>
      </c>
      <c r="K37" s="437">
        <v>2369</v>
      </c>
      <c r="L37" s="437">
        <f t="shared" si="0"/>
        <v>1.0245534655850805</v>
      </c>
      <c r="M37" s="439">
        <f t="shared" si="1"/>
        <v>2312.2268183897668</v>
      </c>
      <c r="N37" s="437"/>
      <c r="O37" s="437" t="s">
        <v>775</v>
      </c>
      <c r="P37" s="437" t="s">
        <v>20</v>
      </c>
      <c r="Q37" s="432"/>
      <c r="R37" s="432"/>
      <c r="S37" s="440"/>
      <c r="T37" s="440"/>
      <c r="U37" s="440"/>
      <c r="V37" s="440"/>
      <c r="W37" s="441"/>
      <c r="X37" s="215"/>
      <c r="Y37" s="215"/>
      <c r="Z37" s="215"/>
      <c r="AA37" s="215"/>
      <c r="AB37" s="215"/>
      <c r="AC37" s="215"/>
    </row>
    <row r="38" spans="1:29" ht="15.75">
      <c r="A38" s="437" t="s">
        <v>813</v>
      </c>
      <c r="B38" s="442">
        <v>45330.688194444447</v>
      </c>
      <c r="C38" s="437" t="s">
        <v>814</v>
      </c>
      <c r="D38" s="437">
        <v>20</v>
      </c>
      <c r="E38" s="437">
        <v>9.3495999999999996E-2</v>
      </c>
      <c r="F38" s="437">
        <v>32.5</v>
      </c>
      <c r="G38" s="437">
        <v>24.5</v>
      </c>
      <c r="H38" s="437">
        <v>7176.1729999999998</v>
      </c>
      <c r="I38" s="437">
        <v>0.99981399999999998</v>
      </c>
      <c r="J38" s="437">
        <v>0.46600399999999997</v>
      </c>
      <c r="K38" s="437">
        <v>2178.5</v>
      </c>
      <c r="L38" s="437">
        <f t="shared" si="0"/>
        <v>1.0216043081885382</v>
      </c>
      <c r="M38" s="439">
        <f t="shared" si="1"/>
        <v>2132.4303182147069</v>
      </c>
      <c r="N38" s="437"/>
      <c r="O38" s="437" t="s">
        <v>775</v>
      </c>
      <c r="P38" s="437" t="s">
        <v>20</v>
      </c>
      <c r="Q38" s="432" t="s">
        <v>802</v>
      </c>
      <c r="R38" s="432"/>
      <c r="S38" s="440"/>
      <c r="T38" s="440"/>
      <c r="U38" s="440"/>
      <c r="V38" s="440"/>
      <c r="W38" s="441"/>
      <c r="X38" s="215"/>
      <c r="Y38" s="215"/>
      <c r="Z38" s="215"/>
      <c r="AA38" s="215"/>
      <c r="AB38" s="215"/>
      <c r="AC38" s="215"/>
    </row>
    <row r="39" spans="1:29" ht="15.75">
      <c r="A39" s="437" t="s">
        <v>815</v>
      </c>
      <c r="B39" s="442">
        <v>45330.723611111112</v>
      </c>
      <c r="C39" s="437" t="s">
        <v>816</v>
      </c>
      <c r="D39" s="437">
        <v>20</v>
      </c>
      <c r="E39" s="437">
        <v>9.3495999999999996E-2</v>
      </c>
      <c r="F39" s="437">
        <v>33.4</v>
      </c>
      <c r="G39" s="437">
        <v>24.5</v>
      </c>
      <c r="H39" s="437">
        <v>7795.7529999999997</v>
      </c>
      <c r="I39" s="437">
        <v>0.99973900000000004</v>
      </c>
      <c r="J39" s="437">
        <v>0.45306200000000002</v>
      </c>
      <c r="K39" s="437">
        <v>2118</v>
      </c>
      <c r="L39" s="437">
        <f t="shared" si="0"/>
        <v>1.0222843090028939</v>
      </c>
      <c r="M39" s="439">
        <f t="shared" si="1"/>
        <v>2071.8306848178418</v>
      </c>
      <c r="N39" s="437"/>
      <c r="O39" s="437" t="s">
        <v>775</v>
      </c>
      <c r="P39" s="437" t="s">
        <v>20</v>
      </c>
      <c r="Q39" s="432" t="s">
        <v>802</v>
      </c>
      <c r="R39" s="432"/>
      <c r="S39" s="440"/>
      <c r="T39" s="440"/>
      <c r="U39" s="440"/>
      <c r="V39" s="440"/>
      <c r="W39" s="441"/>
      <c r="X39" s="215"/>
      <c r="Y39" s="215"/>
      <c r="Z39" s="215"/>
      <c r="AA39" s="215"/>
      <c r="AB39" s="215"/>
      <c r="AC39" s="215"/>
    </row>
    <row r="40" spans="1:29" ht="15.75">
      <c r="A40" s="437" t="s">
        <v>817</v>
      </c>
      <c r="B40" s="442">
        <v>45330.854861111111</v>
      </c>
      <c r="C40" s="437" t="s">
        <v>689</v>
      </c>
      <c r="D40" s="437">
        <v>20</v>
      </c>
      <c r="E40" s="437">
        <v>9.3495999999999996E-2</v>
      </c>
      <c r="F40" s="437">
        <v>33.4</v>
      </c>
      <c r="G40" s="437">
        <v>24.5</v>
      </c>
      <c r="H40" s="437">
        <v>7247.4290000000001</v>
      </c>
      <c r="I40" s="437">
        <v>0.99974300000000005</v>
      </c>
      <c r="J40" s="437">
        <v>0.48144300000000001</v>
      </c>
      <c r="K40" s="437">
        <v>2250.6999999999998</v>
      </c>
      <c r="L40" s="437">
        <f t="shared" si="0"/>
        <v>1.0222843090028939</v>
      </c>
      <c r="M40" s="439">
        <f t="shared" si="1"/>
        <v>2201.638018092312</v>
      </c>
      <c r="N40" s="437"/>
      <c r="O40" s="437" t="s">
        <v>775</v>
      </c>
      <c r="P40" s="437" t="s">
        <v>20</v>
      </c>
      <c r="Q40" s="432" t="s">
        <v>818</v>
      </c>
      <c r="R40" s="432"/>
      <c r="S40" s="440"/>
      <c r="T40" s="440"/>
      <c r="U40" s="440"/>
      <c r="V40" s="440"/>
      <c r="W40" s="441"/>
      <c r="X40" s="215"/>
      <c r="Y40" s="215"/>
      <c r="Z40" s="215"/>
      <c r="AA40" s="215"/>
      <c r="AB40" s="215"/>
      <c r="AC40" s="215"/>
    </row>
    <row r="41" spans="1:29" ht="15.75">
      <c r="A41" s="437" t="s">
        <v>772</v>
      </c>
      <c r="B41" s="443">
        <v>45331.374305555553</v>
      </c>
      <c r="C41" s="437" t="s">
        <v>773</v>
      </c>
      <c r="D41" s="437">
        <v>20</v>
      </c>
      <c r="E41" s="437">
        <v>9.3495999999999996E-2</v>
      </c>
      <c r="F41" s="437" t="s">
        <v>774</v>
      </c>
      <c r="G41" s="437">
        <v>24.5</v>
      </c>
      <c r="H41" s="437">
        <v>8502.1759999999995</v>
      </c>
      <c r="I41" s="437">
        <v>0.99998299999999996</v>
      </c>
      <c r="J41" s="437">
        <v>0.42647200000000002</v>
      </c>
      <c r="K41" s="437">
        <v>1993.7</v>
      </c>
      <c r="L41" s="437" t="e">
        <f t="shared" si="0"/>
        <v>#VALUE!</v>
      </c>
      <c r="M41" s="439" t="e">
        <f t="shared" si="1"/>
        <v>#VALUE!</v>
      </c>
      <c r="N41" s="437"/>
      <c r="O41" s="437" t="s">
        <v>775</v>
      </c>
      <c r="P41" s="437" t="s">
        <v>20</v>
      </c>
      <c r="Q41" s="432"/>
      <c r="R41" s="444"/>
      <c r="S41" s="444"/>
      <c r="T41" s="444"/>
      <c r="U41" s="444"/>
      <c r="V41" s="444"/>
      <c r="W41" s="444"/>
    </row>
    <row r="42" spans="1:29" ht="15.75">
      <c r="A42" s="437" t="s">
        <v>776</v>
      </c>
      <c r="B42" s="443">
        <v>45331.379861111112</v>
      </c>
      <c r="C42" s="437" t="s">
        <v>773</v>
      </c>
      <c r="D42" s="437">
        <v>20</v>
      </c>
      <c r="E42" s="437">
        <v>9.3495999999999996E-2</v>
      </c>
      <c r="F42" s="437" t="s">
        <v>774</v>
      </c>
      <c r="G42" s="437">
        <v>24.5</v>
      </c>
      <c r="H42" s="437">
        <v>8484.4869999999992</v>
      </c>
      <c r="I42" s="437">
        <v>0.99996200000000002</v>
      </c>
      <c r="J42" s="437">
        <v>0.425784</v>
      </c>
      <c r="K42" s="437">
        <v>1990.5</v>
      </c>
      <c r="L42" s="437" t="e">
        <f t="shared" si="0"/>
        <v>#VALUE!</v>
      </c>
      <c r="M42" s="439" t="e">
        <f t="shared" si="1"/>
        <v>#VALUE!</v>
      </c>
      <c r="N42" s="437">
        <v>2.2766999999999999</v>
      </c>
      <c r="O42" s="437" t="s">
        <v>775</v>
      </c>
      <c r="P42" s="437" t="s">
        <v>20</v>
      </c>
      <c r="Q42" s="432"/>
      <c r="R42" s="444"/>
      <c r="S42" s="444"/>
      <c r="T42" s="444"/>
      <c r="U42" s="444"/>
      <c r="V42" s="444"/>
      <c r="W42" s="444"/>
    </row>
    <row r="43" spans="1:29" ht="15.75">
      <c r="A43" s="437" t="s">
        <v>777</v>
      </c>
      <c r="B43" s="443">
        <v>45331.386805555558</v>
      </c>
      <c r="C43" s="437" t="s">
        <v>773</v>
      </c>
      <c r="D43" s="437">
        <v>20</v>
      </c>
      <c r="E43" s="437">
        <v>9.3495999999999996E-2</v>
      </c>
      <c r="F43" s="437" t="s">
        <v>774</v>
      </c>
      <c r="G43" s="437">
        <v>24.5</v>
      </c>
      <c r="H43" s="437">
        <v>8494.3250000000007</v>
      </c>
      <c r="I43" s="437">
        <v>0.99997499999999995</v>
      </c>
      <c r="J43" s="437">
        <v>0.42572900000000002</v>
      </c>
      <c r="K43" s="437">
        <v>1990.2</v>
      </c>
      <c r="L43" s="437" t="e">
        <f t="shared" si="0"/>
        <v>#VALUE!</v>
      </c>
      <c r="M43" s="439" t="e">
        <f t="shared" si="1"/>
        <v>#VALUE!</v>
      </c>
      <c r="N43" s="437">
        <v>0.18</v>
      </c>
      <c r="O43" s="437" t="s">
        <v>775</v>
      </c>
      <c r="P43" s="437" t="s">
        <v>20</v>
      </c>
      <c r="Q43" s="432"/>
      <c r="R43" s="444"/>
      <c r="S43" s="444"/>
      <c r="T43" s="444"/>
      <c r="U43" s="444"/>
      <c r="V43" s="444"/>
      <c r="W43" s="444"/>
    </row>
    <row r="44" spans="1:29" ht="15.75">
      <c r="A44" s="437" t="s">
        <v>778</v>
      </c>
      <c r="B44" s="443">
        <v>45331.395138888889</v>
      </c>
      <c r="C44" s="437" t="s">
        <v>819</v>
      </c>
      <c r="D44" s="437">
        <v>20</v>
      </c>
      <c r="E44" s="437">
        <v>9.3495999999999996E-2</v>
      </c>
      <c r="F44" s="437">
        <v>33.4</v>
      </c>
      <c r="G44" s="437">
        <v>24.5</v>
      </c>
      <c r="H44" s="437">
        <v>7171.49</v>
      </c>
      <c r="I44" s="437">
        <v>0.99979200000000001</v>
      </c>
      <c r="J44" s="437">
        <v>0.47813899999999998</v>
      </c>
      <c r="K44" s="437">
        <v>2235.1999999999998</v>
      </c>
      <c r="L44" s="437">
        <f t="shared" si="0"/>
        <v>1.0222843090028939</v>
      </c>
      <c r="M44" s="439">
        <f t="shared" si="1"/>
        <v>2186.4758955169214</v>
      </c>
      <c r="N44" s="437"/>
      <c r="O44" s="437" t="s">
        <v>775</v>
      </c>
      <c r="P44" s="437" t="s">
        <v>20</v>
      </c>
      <c r="Q44" s="432"/>
      <c r="R44" s="444"/>
      <c r="S44" s="444"/>
      <c r="T44" s="444"/>
      <c r="U44" s="444"/>
      <c r="V44" s="444"/>
      <c r="W44" s="444"/>
    </row>
    <row r="45" spans="1:29" ht="15.75">
      <c r="A45" s="437" t="s">
        <v>820</v>
      </c>
      <c r="B45" s="443">
        <v>45331.405555555553</v>
      </c>
      <c r="C45" s="437" t="s">
        <v>819</v>
      </c>
      <c r="D45" s="437">
        <v>20</v>
      </c>
      <c r="E45" s="437">
        <v>9.3495999999999996E-2</v>
      </c>
      <c r="F45" s="437">
        <v>33.4</v>
      </c>
      <c r="G45" s="437">
        <v>24.5</v>
      </c>
      <c r="H45" s="437">
        <v>7075.5379999999996</v>
      </c>
      <c r="I45" s="437">
        <v>0.99985000000000002</v>
      </c>
      <c r="J45" s="437">
        <v>0.47543400000000002</v>
      </c>
      <c r="K45" s="437">
        <v>2222.6</v>
      </c>
      <c r="L45" s="437">
        <f t="shared" si="0"/>
        <v>1.0222843090028939</v>
      </c>
      <c r="M45" s="439">
        <f t="shared" si="1"/>
        <v>2174.1505571653142</v>
      </c>
      <c r="N45" s="437">
        <v>8.9392999999999994</v>
      </c>
      <c r="O45" s="437" t="s">
        <v>775</v>
      </c>
      <c r="P45" s="437" t="s">
        <v>20</v>
      </c>
      <c r="Q45" s="432"/>
      <c r="R45" s="444"/>
      <c r="S45" s="444"/>
      <c r="T45" s="444"/>
      <c r="U45" s="444"/>
      <c r="V45" s="444"/>
      <c r="W45" s="444"/>
    </row>
    <row r="46" spans="1:29" ht="15.75">
      <c r="A46" s="437" t="s">
        <v>821</v>
      </c>
      <c r="B46" s="443">
        <v>45331.413194444445</v>
      </c>
      <c r="C46" s="437" t="s">
        <v>819</v>
      </c>
      <c r="D46" s="437">
        <v>20</v>
      </c>
      <c r="E46" s="437">
        <v>9.3495999999999996E-2</v>
      </c>
      <c r="F46" s="437">
        <v>33.4</v>
      </c>
      <c r="G46" s="437">
        <v>24.5</v>
      </c>
      <c r="H46" s="437">
        <v>7110.5919999999996</v>
      </c>
      <c r="I46" s="437">
        <v>0.99983599999999995</v>
      </c>
      <c r="J46" s="437">
        <v>0.47769</v>
      </c>
      <c r="K46" s="437">
        <v>2233.1</v>
      </c>
      <c r="L46" s="437">
        <f t="shared" si="0"/>
        <v>1.0222843090028939</v>
      </c>
      <c r="M46" s="439">
        <f t="shared" si="1"/>
        <v>2184.4216724583202</v>
      </c>
      <c r="N46" s="437">
        <v>7.4553000000000003</v>
      </c>
      <c r="O46" s="437" t="s">
        <v>775</v>
      </c>
      <c r="P46" s="437" t="s">
        <v>20</v>
      </c>
      <c r="Q46" s="432"/>
      <c r="R46" s="444"/>
      <c r="S46" s="444"/>
      <c r="T46" s="444"/>
      <c r="U46" s="444"/>
      <c r="V46" s="444"/>
      <c r="W46" s="444"/>
    </row>
    <row r="47" spans="1:29" ht="15.75">
      <c r="A47" s="437" t="s">
        <v>780</v>
      </c>
      <c r="B47" s="443">
        <v>45331.424305555556</v>
      </c>
      <c r="C47" s="437" t="s">
        <v>822</v>
      </c>
      <c r="D47" s="437">
        <v>20</v>
      </c>
      <c r="E47" s="437">
        <v>9.3495999999999996E-2</v>
      </c>
      <c r="F47" s="437">
        <v>33.4</v>
      </c>
      <c r="G47" s="437">
        <v>24.5</v>
      </c>
      <c r="H47" s="437">
        <v>7195.9459999999999</v>
      </c>
      <c r="I47" s="437">
        <v>0.99989099999999997</v>
      </c>
      <c r="J47" s="437">
        <v>0.47937999999999997</v>
      </c>
      <c r="K47" s="437">
        <v>2241</v>
      </c>
      <c r="L47" s="437">
        <f t="shared" si="0"/>
        <v>1.0222843090028939</v>
      </c>
      <c r="M47" s="439">
        <f t="shared" si="1"/>
        <v>2192.149463964487</v>
      </c>
      <c r="N47" s="437"/>
      <c r="O47" s="437" t="s">
        <v>775</v>
      </c>
      <c r="P47" s="437" t="s">
        <v>20</v>
      </c>
      <c r="Q47" s="432"/>
      <c r="R47" s="444"/>
      <c r="S47" s="444"/>
      <c r="T47" s="444"/>
      <c r="U47" s="444"/>
      <c r="V47" s="444"/>
      <c r="W47" s="444"/>
    </row>
    <row r="48" spans="1:29" ht="15.75">
      <c r="A48" s="437" t="s">
        <v>823</v>
      </c>
      <c r="B48" s="443">
        <v>45331.431944444441</v>
      </c>
      <c r="C48" s="437" t="s">
        <v>822</v>
      </c>
      <c r="D48" s="437">
        <v>20</v>
      </c>
      <c r="E48" s="437">
        <v>9.3495999999999996E-2</v>
      </c>
      <c r="F48" s="437">
        <v>33.4</v>
      </c>
      <c r="G48" s="437">
        <v>24.5</v>
      </c>
      <c r="H48" s="437">
        <v>7181.1559999999999</v>
      </c>
      <c r="I48" s="437">
        <v>0.99987800000000004</v>
      </c>
      <c r="J48" s="437">
        <v>0.47772300000000001</v>
      </c>
      <c r="K48" s="437">
        <v>2233.3000000000002</v>
      </c>
      <c r="L48" s="437">
        <f t="shared" si="0"/>
        <v>1.0222843090028939</v>
      </c>
      <c r="M48" s="439">
        <f t="shared" si="1"/>
        <v>2184.6173127496158</v>
      </c>
      <c r="N48" s="437">
        <v>5.4766000000000004</v>
      </c>
      <c r="O48" s="437" t="s">
        <v>775</v>
      </c>
      <c r="P48" s="437" t="s">
        <v>20</v>
      </c>
      <c r="Q48" s="432"/>
      <c r="R48" s="444"/>
      <c r="S48" s="444"/>
      <c r="T48" s="444"/>
      <c r="U48" s="444"/>
      <c r="V48" s="444"/>
      <c r="W48" s="444"/>
    </row>
    <row r="49" spans="1:23" ht="15.75">
      <c r="A49" s="437" t="s">
        <v>824</v>
      </c>
      <c r="B49" s="443">
        <v>45331.440972222219</v>
      </c>
      <c r="C49" s="437" t="s">
        <v>822</v>
      </c>
      <c r="D49" s="437">
        <v>20</v>
      </c>
      <c r="E49" s="437">
        <v>9.3495999999999996E-2</v>
      </c>
      <c r="F49" s="437">
        <v>33.4</v>
      </c>
      <c r="G49" s="437">
        <v>24.5</v>
      </c>
      <c r="H49" s="437">
        <v>7104.3890000000001</v>
      </c>
      <c r="I49" s="437">
        <v>0.99986200000000003</v>
      </c>
      <c r="J49" s="437">
        <v>0.47786000000000001</v>
      </c>
      <c r="K49" s="437">
        <v>2233.9</v>
      </c>
      <c r="L49" s="437">
        <f t="shared" si="0"/>
        <v>1.0222843090028939</v>
      </c>
      <c r="M49" s="439">
        <f t="shared" si="1"/>
        <v>2185.2042336235022</v>
      </c>
      <c r="N49" s="437">
        <v>0.4521</v>
      </c>
      <c r="O49" s="437" t="s">
        <v>775</v>
      </c>
      <c r="P49" s="437" t="s">
        <v>20</v>
      </c>
      <c r="Q49" s="432"/>
      <c r="R49" s="444"/>
      <c r="S49" s="444"/>
      <c r="T49" s="444"/>
      <c r="U49" s="444"/>
      <c r="V49" s="444"/>
      <c r="W49" s="444"/>
    </row>
    <row r="50" spans="1:23" ht="15.75">
      <c r="A50" s="437" t="s">
        <v>825</v>
      </c>
      <c r="B50" s="443">
        <v>45331.456944444442</v>
      </c>
      <c r="C50" s="437" t="s">
        <v>822</v>
      </c>
      <c r="D50" s="437">
        <v>20</v>
      </c>
      <c r="E50" s="437">
        <v>9.3495999999999996E-2</v>
      </c>
      <c r="F50" s="437">
        <v>33.4</v>
      </c>
      <c r="G50" s="437">
        <v>24.5</v>
      </c>
      <c r="H50" s="437">
        <v>7116.1819999999998</v>
      </c>
      <c r="I50" s="437">
        <v>0.99985000000000002</v>
      </c>
      <c r="J50" s="437">
        <v>0.478354</v>
      </c>
      <c r="K50" s="437">
        <v>2236.1999999999998</v>
      </c>
      <c r="L50" s="437">
        <f t="shared" si="0"/>
        <v>1.0222843090028939</v>
      </c>
      <c r="M50" s="439">
        <f t="shared" si="1"/>
        <v>2187.4540969733985</v>
      </c>
      <c r="N50" s="437">
        <v>1.6333</v>
      </c>
      <c r="O50" s="437" t="s">
        <v>775</v>
      </c>
      <c r="P50" s="437" t="s">
        <v>20</v>
      </c>
      <c r="Q50" s="432"/>
      <c r="R50" s="444"/>
      <c r="S50" s="444"/>
      <c r="T50" s="444"/>
      <c r="U50" s="444"/>
      <c r="V50" s="444"/>
      <c r="W50" s="444"/>
    </row>
    <row r="51" spans="1:23" ht="15.75">
      <c r="A51" s="437" t="s">
        <v>781</v>
      </c>
      <c r="B51" s="443">
        <v>45331.472916666666</v>
      </c>
      <c r="C51" s="437">
        <v>248</v>
      </c>
      <c r="D51" s="437">
        <v>20</v>
      </c>
      <c r="E51" s="437">
        <v>9.3495999999999996E-2</v>
      </c>
      <c r="F51" s="437">
        <v>36.6</v>
      </c>
      <c r="G51" s="437">
        <v>24.5</v>
      </c>
      <c r="H51" s="437">
        <v>6905.66</v>
      </c>
      <c r="I51" s="437">
        <v>0.99990999999999997</v>
      </c>
      <c r="J51" s="437">
        <v>0.51350099999999999</v>
      </c>
      <c r="K51" s="437">
        <v>2400.5</v>
      </c>
      <c r="L51" s="437">
        <f t="shared" si="0"/>
        <v>1.0247048821219253</v>
      </c>
      <c r="M51" s="439">
        <f t="shared" si="1"/>
        <v>2342.6257080273913</v>
      </c>
      <c r="N51" s="437"/>
      <c r="O51" s="437" t="s">
        <v>775</v>
      </c>
      <c r="P51" s="437" t="s">
        <v>20</v>
      </c>
      <c r="Q51" s="432"/>
      <c r="R51" s="444"/>
      <c r="S51" s="444"/>
      <c r="T51" s="444"/>
      <c r="U51" s="444"/>
      <c r="V51" s="444"/>
      <c r="W51" s="444"/>
    </row>
    <row r="52" spans="1:23" ht="15.75">
      <c r="A52" s="437" t="s">
        <v>782</v>
      </c>
      <c r="B52" s="443">
        <v>45331.48333333333</v>
      </c>
      <c r="C52" s="437">
        <v>249</v>
      </c>
      <c r="D52" s="437">
        <v>20</v>
      </c>
      <c r="E52" s="437">
        <v>9.3495999999999996E-2</v>
      </c>
      <c r="F52" s="437">
        <v>36.799999999999997</v>
      </c>
      <c r="G52" s="437">
        <v>24.5</v>
      </c>
      <c r="H52" s="437">
        <v>6884.1310000000003</v>
      </c>
      <c r="I52" s="437">
        <v>0.99986699999999995</v>
      </c>
      <c r="J52" s="437">
        <v>0.51277600000000001</v>
      </c>
      <c r="K52" s="437">
        <v>2397.1</v>
      </c>
      <c r="L52" s="437">
        <f t="shared" si="0"/>
        <v>1.0248563164221827</v>
      </c>
      <c r="M52" s="439">
        <f t="shared" si="1"/>
        <v>2338.9620199330757</v>
      </c>
      <c r="N52" s="437"/>
      <c r="O52" s="437" t="s">
        <v>775</v>
      </c>
      <c r="P52" s="437" t="s">
        <v>20</v>
      </c>
      <c r="Q52" s="432"/>
      <c r="R52" s="444"/>
      <c r="S52" s="444"/>
      <c r="T52" s="444"/>
      <c r="U52" s="444"/>
      <c r="V52" s="444"/>
      <c r="W52" s="444"/>
    </row>
    <row r="53" spans="1:23" ht="15.75">
      <c r="A53" s="437" t="s">
        <v>783</v>
      </c>
      <c r="B53" s="443">
        <v>45331.495138888888</v>
      </c>
      <c r="C53" s="437">
        <v>196</v>
      </c>
      <c r="D53" s="437">
        <v>20</v>
      </c>
      <c r="E53" s="437">
        <v>9.3495999999999996E-2</v>
      </c>
      <c r="F53" s="437">
        <v>36.700000000000003</v>
      </c>
      <c r="G53" s="437">
        <v>24.5</v>
      </c>
      <c r="H53" s="437">
        <v>6479.9219999999996</v>
      </c>
      <c r="I53" s="437">
        <v>0.99985999999999997</v>
      </c>
      <c r="J53" s="437">
        <v>0.51199899999999998</v>
      </c>
      <c r="K53" s="437">
        <v>2393.5</v>
      </c>
      <c r="L53" s="437">
        <f t="shared" si="0"/>
        <v>1.0247805970480643</v>
      </c>
      <c r="M53" s="439">
        <f t="shared" si="1"/>
        <v>2335.6218949642544</v>
      </c>
      <c r="N53" s="437"/>
      <c r="O53" s="437" t="s">
        <v>775</v>
      </c>
      <c r="P53" s="437" t="s">
        <v>20</v>
      </c>
      <c r="Q53" s="432"/>
      <c r="R53" s="444"/>
      <c r="S53" s="444"/>
      <c r="T53" s="444"/>
      <c r="U53" s="444"/>
      <c r="V53" s="444"/>
      <c r="W53" s="444"/>
    </row>
    <row r="54" spans="1:23" ht="15.75">
      <c r="A54" s="437" t="s">
        <v>784</v>
      </c>
      <c r="B54" s="443">
        <v>45331.503472222219</v>
      </c>
      <c r="C54" s="437">
        <v>197</v>
      </c>
      <c r="D54" s="437">
        <v>20</v>
      </c>
      <c r="E54" s="437">
        <v>9.3495999999999996E-2</v>
      </c>
      <c r="F54" s="437">
        <v>36.700000000000003</v>
      </c>
      <c r="G54" s="437">
        <v>24.5</v>
      </c>
      <c r="H54" s="437">
        <v>6584.35</v>
      </c>
      <c r="I54" s="437">
        <v>0.99992599999999998</v>
      </c>
      <c r="J54" s="437">
        <v>0.51266100000000003</v>
      </c>
      <c r="K54" s="437">
        <v>2396.6</v>
      </c>
      <c r="L54" s="437">
        <f t="shared" si="0"/>
        <v>1.0247805970480643</v>
      </c>
      <c r="M54" s="439">
        <f t="shared" si="1"/>
        <v>2338.6469327225118</v>
      </c>
      <c r="N54" s="437"/>
      <c r="O54" s="437" t="s">
        <v>775</v>
      </c>
      <c r="P54" s="437" t="s">
        <v>20</v>
      </c>
      <c r="Q54" s="432"/>
      <c r="R54" s="444"/>
      <c r="S54" s="444"/>
      <c r="T54" s="444"/>
      <c r="U54" s="444"/>
      <c r="V54" s="444"/>
      <c r="W54" s="444"/>
    </row>
    <row r="55" spans="1:23" ht="15.75">
      <c r="A55" s="437" t="s">
        <v>785</v>
      </c>
      <c r="B55" s="443">
        <v>45331.520138888889</v>
      </c>
      <c r="C55" s="437">
        <v>274</v>
      </c>
      <c r="D55" s="437">
        <v>20</v>
      </c>
      <c r="E55" s="437">
        <v>9.3495999999999996E-2</v>
      </c>
      <c r="F55" s="437">
        <v>36.6</v>
      </c>
      <c r="G55" s="437">
        <v>24.5</v>
      </c>
      <c r="H55" s="437">
        <v>6626.3059999999996</v>
      </c>
      <c r="I55" s="437">
        <v>0.99989099999999997</v>
      </c>
      <c r="J55" s="437">
        <v>0.51294700000000004</v>
      </c>
      <c r="K55" s="437">
        <v>2397.9</v>
      </c>
      <c r="L55" s="437">
        <f t="shared" si="0"/>
        <v>1.0247048821219253</v>
      </c>
      <c r="M55" s="439">
        <f t="shared" si="1"/>
        <v>2340.0883921178429</v>
      </c>
      <c r="N55" s="437"/>
      <c r="O55" s="437" t="s">
        <v>775</v>
      </c>
      <c r="P55" s="437" t="s">
        <v>20</v>
      </c>
      <c r="Q55" s="432"/>
      <c r="R55" s="444"/>
      <c r="S55" s="444"/>
      <c r="T55" s="444"/>
      <c r="U55" s="444"/>
      <c r="V55" s="444"/>
      <c r="W55" s="444"/>
    </row>
    <row r="56" spans="1:23" ht="15.75">
      <c r="A56" s="437" t="s">
        <v>786</v>
      </c>
      <c r="B56" s="443">
        <v>45331.529861111114</v>
      </c>
      <c r="C56" s="437">
        <v>275</v>
      </c>
      <c r="D56" s="437">
        <v>20</v>
      </c>
      <c r="E56" s="437">
        <v>9.3495999999999996E-2</v>
      </c>
      <c r="F56" s="437">
        <v>36.6</v>
      </c>
      <c r="G56" s="437">
        <v>24.5</v>
      </c>
      <c r="H56" s="437">
        <v>6652.6769999999997</v>
      </c>
      <c r="I56" s="437">
        <v>0.999888</v>
      </c>
      <c r="J56" s="437">
        <v>0.51172300000000004</v>
      </c>
      <c r="K56" s="437">
        <v>2392.1999999999998</v>
      </c>
      <c r="L56" s="437">
        <f t="shared" si="0"/>
        <v>1.0247048821219253</v>
      </c>
      <c r="M56" s="439">
        <f t="shared" si="1"/>
        <v>2334.525814931525</v>
      </c>
      <c r="N56" s="437"/>
      <c r="O56" s="437" t="s">
        <v>775</v>
      </c>
      <c r="P56" s="437" t="s">
        <v>20</v>
      </c>
      <c r="Q56" s="432"/>
      <c r="R56" s="444"/>
      <c r="S56" s="444"/>
      <c r="T56" s="444"/>
      <c r="U56" s="444"/>
      <c r="V56" s="444"/>
      <c r="W56" s="444"/>
    </row>
    <row r="57" spans="1:23" ht="15.75">
      <c r="A57" s="437" t="s">
        <v>787</v>
      </c>
      <c r="B57" s="443">
        <v>45331.555555555555</v>
      </c>
      <c r="C57" s="437">
        <v>261</v>
      </c>
      <c r="D57" s="437">
        <v>20</v>
      </c>
      <c r="E57" s="437">
        <v>9.3495999999999996E-2</v>
      </c>
      <c r="F57" s="437">
        <v>36.799999999999997</v>
      </c>
      <c r="G57" s="437">
        <v>24.5</v>
      </c>
      <c r="H57" s="437">
        <v>6800.4930000000004</v>
      </c>
      <c r="I57" s="437">
        <v>0.99984899999999999</v>
      </c>
      <c r="J57" s="437">
        <v>0.51454999999999995</v>
      </c>
      <c r="K57" s="437">
        <v>2405.4</v>
      </c>
      <c r="L57" s="437">
        <f t="shared" si="0"/>
        <v>1.0248563164221827</v>
      </c>
      <c r="M57" s="439">
        <f t="shared" si="1"/>
        <v>2347.0607161766388</v>
      </c>
      <c r="N57" s="437"/>
      <c r="O57" s="437" t="s">
        <v>775</v>
      </c>
      <c r="P57" s="437" t="s">
        <v>20</v>
      </c>
      <c r="Q57" s="432"/>
      <c r="R57" s="444"/>
      <c r="S57" s="444"/>
      <c r="T57" s="444"/>
      <c r="U57" s="444"/>
      <c r="V57" s="444"/>
      <c r="W57" s="444"/>
    </row>
    <row r="58" spans="1:23" ht="15.75">
      <c r="A58" s="437" t="s">
        <v>788</v>
      </c>
      <c r="B58" s="443">
        <v>45331.5625</v>
      </c>
      <c r="C58" s="437">
        <v>262</v>
      </c>
      <c r="D58" s="437">
        <v>20</v>
      </c>
      <c r="E58" s="437">
        <v>9.3495999999999996E-2</v>
      </c>
      <c r="F58" s="437">
        <v>36.9</v>
      </c>
      <c r="G58" s="437">
        <v>24.5</v>
      </c>
      <c r="H58" s="437">
        <v>6809.982</v>
      </c>
      <c r="I58" s="437">
        <v>0.99985400000000002</v>
      </c>
      <c r="J58" s="437">
        <v>0.51387000000000005</v>
      </c>
      <c r="K58" s="437">
        <v>2402.1999999999998</v>
      </c>
      <c r="L58" s="437">
        <f t="shared" si="0"/>
        <v>1.0249320402513715</v>
      </c>
      <c r="M58" s="439">
        <f t="shared" si="1"/>
        <v>2343.7651528689103</v>
      </c>
      <c r="N58" s="437"/>
      <c r="O58" s="437" t="s">
        <v>775</v>
      </c>
      <c r="P58" s="437" t="s">
        <v>20</v>
      </c>
      <c r="Q58" s="432"/>
      <c r="R58" s="444"/>
      <c r="S58" s="444"/>
      <c r="T58" s="444"/>
      <c r="U58" s="444"/>
      <c r="V58" s="444"/>
      <c r="W58" s="444"/>
    </row>
    <row r="59" spans="1:23" ht="15.75">
      <c r="A59" s="437" t="s">
        <v>789</v>
      </c>
      <c r="B59" s="443">
        <v>45331.574305555558</v>
      </c>
      <c r="C59" s="437">
        <v>287</v>
      </c>
      <c r="D59" s="437">
        <v>20</v>
      </c>
      <c r="E59" s="437">
        <v>9.3495999999999996E-2</v>
      </c>
      <c r="F59" s="437">
        <v>36.799999999999997</v>
      </c>
      <c r="G59" s="437">
        <v>24.5</v>
      </c>
      <c r="H59" s="437">
        <v>6801.2550000000001</v>
      </c>
      <c r="I59" s="437">
        <v>0.99985000000000002</v>
      </c>
      <c r="J59" s="437">
        <v>0.51239100000000004</v>
      </c>
      <c r="K59" s="437">
        <v>2395.3000000000002</v>
      </c>
      <c r="L59" s="437">
        <f t="shared" si="0"/>
        <v>1.0248563164221827</v>
      </c>
      <c r="M59" s="439">
        <f t="shared" si="1"/>
        <v>2337.2056761694121</v>
      </c>
      <c r="N59" s="437"/>
      <c r="O59" s="437" t="s">
        <v>775</v>
      </c>
      <c r="P59" s="437" t="s">
        <v>20</v>
      </c>
      <c r="Q59" s="432"/>
      <c r="R59" s="444"/>
      <c r="S59" s="444"/>
      <c r="T59" s="444"/>
      <c r="U59" s="444"/>
      <c r="V59" s="444"/>
      <c r="W59" s="444"/>
    </row>
    <row r="60" spans="1:23" ht="15.75">
      <c r="A60" s="437" t="s">
        <v>790</v>
      </c>
      <c r="B60" s="443">
        <v>45331.582638888889</v>
      </c>
      <c r="C60" s="437">
        <v>288</v>
      </c>
      <c r="D60" s="437">
        <v>20</v>
      </c>
      <c r="E60" s="437">
        <v>9.3495999999999996E-2</v>
      </c>
      <c r="F60" s="437">
        <v>36.799999999999997</v>
      </c>
      <c r="G60" s="437">
        <v>24.5</v>
      </c>
      <c r="H60" s="437">
        <v>6895.7849999999999</v>
      </c>
      <c r="I60" s="437">
        <v>0.99987899999999996</v>
      </c>
      <c r="J60" s="437">
        <v>0.51081299999999996</v>
      </c>
      <c r="K60" s="437">
        <v>2387.9</v>
      </c>
      <c r="L60" s="437">
        <f t="shared" si="0"/>
        <v>1.0248563164221827</v>
      </c>
      <c r="M60" s="439">
        <f t="shared" si="1"/>
        <v>2329.9851518076812</v>
      </c>
      <c r="N60" s="437"/>
      <c r="O60" s="437" t="s">
        <v>775</v>
      </c>
      <c r="P60" s="437" t="s">
        <v>20</v>
      </c>
      <c r="Q60" s="432"/>
      <c r="R60" s="444"/>
      <c r="S60" s="444"/>
      <c r="T60" s="444"/>
      <c r="U60" s="444"/>
      <c r="V60" s="444"/>
      <c r="W60" s="444"/>
    </row>
    <row r="61" spans="1:23" ht="15.75">
      <c r="A61" s="437" t="s">
        <v>791</v>
      </c>
      <c r="B61" s="443">
        <v>45331.59375</v>
      </c>
      <c r="C61" s="437" t="s">
        <v>826</v>
      </c>
      <c r="D61" s="437">
        <v>20</v>
      </c>
      <c r="E61" s="437">
        <v>9.3495999999999996E-2</v>
      </c>
      <c r="F61" s="437">
        <v>33.4</v>
      </c>
      <c r="G61" s="437">
        <v>24.5</v>
      </c>
      <c r="H61" s="437">
        <v>7115.1369999999997</v>
      </c>
      <c r="I61" s="437">
        <v>0.99984600000000001</v>
      </c>
      <c r="J61" s="437">
        <v>0.47784500000000002</v>
      </c>
      <c r="K61" s="437">
        <v>2233.8000000000002</v>
      </c>
      <c r="L61" s="437">
        <f t="shared" si="0"/>
        <v>1.0222843090028939</v>
      </c>
      <c r="M61" s="439">
        <f t="shared" si="1"/>
        <v>2185.1064134778544</v>
      </c>
      <c r="N61" s="437"/>
      <c r="O61" s="437" t="s">
        <v>775</v>
      </c>
      <c r="P61" s="437" t="s">
        <v>20</v>
      </c>
      <c r="Q61" s="432"/>
      <c r="R61" s="444"/>
      <c r="S61" s="444"/>
      <c r="T61" s="444"/>
      <c r="U61" s="444"/>
      <c r="V61" s="444"/>
      <c r="W61" s="444"/>
    </row>
    <row r="62" spans="1:23" ht="15.75">
      <c r="A62" s="437" t="s">
        <v>792</v>
      </c>
      <c r="B62" s="443">
        <v>45331.602083333331</v>
      </c>
      <c r="C62" s="437">
        <v>209</v>
      </c>
      <c r="D62" s="437">
        <v>20</v>
      </c>
      <c r="E62" s="437">
        <v>9.3495999999999996E-2</v>
      </c>
      <c r="F62" s="437">
        <v>36.4</v>
      </c>
      <c r="G62" s="437">
        <v>24.5</v>
      </c>
      <c r="H62" s="437">
        <v>7051.2650000000003</v>
      </c>
      <c r="I62" s="437">
        <v>0.99986299999999995</v>
      </c>
      <c r="J62" s="437">
        <v>0.50388299999999997</v>
      </c>
      <c r="K62" s="437">
        <v>2355.6</v>
      </c>
      <c r="L62" s="437">
        <f t="shared" si="0"/>
        <v>1.0245534655850805</v>
      </c>
      <c r="M62" s="439">
        <f t="shared" si="1"/>
        <v>2299.1479499362322</v>
      </c>
      <c r="N62" s="437"/>
      <c r="O62" s="437" t="s">
        <v>775</v>
      </c>
      <c r="P62" s="437" t="s">
        <v>20</v>
      </c>
      <c r="Q62" s="432"/>
      <c r="R62" s="444"/>
      <c r="S62" s="444"/>
      <c r="T62" s="444"/>
      <c r="U62" s="444"/>
      <c r="V62" s="444"/>
      <c r="W62" s="444"/>
    </row>
    <row r="63" spans="1:23" ht="15.75">
      <c r="A63" s="437" t="s">
        <v>793</v>
      </c>
      <c r="B63" s="443">
        <v>45331.60833333333</v>
      </c>
      <c r="C63" s="437">
        <v>210</v>
      </c>
      <c r="D63" s="437">
        <v>20</v>
      </c>
      <c r="E63" s="437">
        <v>9.3495999999999996E-2</v>
      </c>
      <c r="F63" s="437">
        <v>36.4</v>
      </c>
      <c r="G63" s="437">
        <v>24.5</v>
      </c>
      <c r="H63" s="437">
        <v>7091.6310000000003</v>
      </c>
      <c r="I63" s="437">
        <v>0.99986799999999998</v>
      </c>
      <c r="J63" s="437">
        <v>0.50314800000000004</v>
      </c>
      <c r="K63" s="437">
        <v>2352.1</v>
      </c>
      <c r="L63" s="437">
        <f t="shared" si="0"/>
        <v>1.0245534655850805</v>
      </c>
      <c r="M63" s="439">
        <f t="shared" si="1"/>
        <v>2295.7318275789657</v>
      </c>
      <c r="N63" s="437"/>
      <c r="O63" s="437" t="s">
        <v>775</v>
      </c>
      <c r="P63" s="437" t="s">
        <v>20</v>
      </c>
      <c r="Q63" s="432"/>
      <c r="R63" s="444"/>
      <c r="S63" s="444"/>
      <c r="T63" s="444"/>
      <c r="U63" s="444"/>
      <c r="V63" s="444"/>
      <c r="W63" s="444"/>
    </row>
    <row r="64" spans="1:23" ht="15.75">
      <c r="A64" s="437" t="s">
        <v>794</v>
      </c>
      <c r="B64" s="443">
        <v>45331.615972222222</v>
      </c>
      <c r="C64" s="445">
        <v>313</v>
      </c>
      <c r="D64" s="437">
        <v>20</v>
      </c>
      <c r="E64" s="437">
        <v>9.3495999999999996E-2</v>
      </c>
      <c r="F64" s="437">
        <v>36.799999999999997</v>
      </c>
      <c r="G64" s="437">
        <v>24.5</v>
      </c>
      <c r="H64" s="437">
        <v>0</v>
      </c>
      <c r="I64" s="437">
        <v>0</v>
      </c>
      <c r="J64" s="437">
        <v>0</v>
      </c>
      <c r="K64" s="437">
        <v>0</v>
      </c>
      <c r="L64" s="437">
        <f t="shared" si="0"/>
        <v>1.0248563164221827</v>
      </c>
      <c r="M64" s="439">
        <f t="shared" si="1"/>
        <v>0</v>
      </c>
      <c r="N64" s="437" t="s">
        <v>827</v>
      </c>
      <c r="O64" s="437" t="s">
        <v>775</v>
      </c>
      <c r="P64" s="437" t="s">
        <v>20</v>
      </c>
      <c r="Q64" s="432"/>
      <c r="R64" s="444"/>
      <c r="S64" s="444"/>
      <c r="T64" s="444"/>
      <c r="U64" s="444"/>
      <c r="V64" s="444"/>
      <c r="W64" s="444"/>
    </row>
    <row r="65" spans="1:23" ht="15.75">
      <c r="A65" s="437" t="s">
        <v>828</v>
      </c>
      <c r="B65" s="443">
        <v>45331.618750000001</v>
      </c>
      <c r="C65" s="437">
        <v>313</v>
      </c>
      <c r="D65" s="437">
        <v>20</v>
      </c>
      <c r="E65" s="437">
        <v>9.3495999999999996E-2</v>
      </c>
      <c r="F65" s="437">
        <v>36.799999999999997</v>
      </c>
      <c r="G65" s="437">
        <v>24.5</v>
      </c>
      <c r="H65" s="437">
        <v>7000.5860000000002</v>
      </c>
      <c r="I65" s="437">
        <v>0.99982300000000002</v>
      </c>
      <c r="J65" s="437">
        <v>0.51225799999999999</v>
      </c>
      <c r="K65" s="437">
        <v>2394.6999999999998</v>
      </c>
      <c r="L65" s="437">
        <f t="shared" si="0"/>
        <v>1.0248563164221827</v>
      </c>
      <c r="M65" s="439">
        <f t="shared" si="1"/>
        <v>2336.62022824819</v>
      </c>
      <c r="N65" s="437"/>
      <c r="O65" s="437" t="s">
        <v>775</v>
      </c>
      <c r="P65" s="437" t="s">
        <v>20</v>
      </c>
      <c r="Q65" s="432"/>
      <c r="R65" s="444"/>
      <c r="S65" s="444"/>
      <c r="T65" s="444"/>
      <c r="U65" s="444"/>
      <c r="V65" s="444"/>
      <c r="W65" s="444"/>
    </row>
    <row r="66" spans="1:23" ht="15.75">
      <c r="A66" s="437" t="s">
        <v>795</v>
      </c>
      <c r="B66" s="443">
        <v>45331.625694444447</v>
      </c>
      <c r="C66" s="437">
        <v>314</v>
      </c>
      <c r="D66" s="437">
        <v>20</v>
      </c>
      <c r="E66" s="437">
        <v>9.3495999999999996E-2</v>
      </c>
      <c r="F66" s="437">
        <v>36.799999999999997</v>
      </c>
      <c r="G66" s="437">
        <v>24.5</v>
      </c>
      <c r="H66" s="437">
        <v>6958.9049999999997</v>
      </c>
      <c r="I66" s="437">
        <v>0.99988699999999997</v>
      </c>
      <c r="J66" s="437">
        <v>0.51143700000000003</v>
      </c>
      <c r="K66" s="437">
        <v>2390.9</v>
      </c>
      <c r="L66" s="437">
        <f t="shared" si="0"/>
        <v>1.0248563164221827</v>
      </c>
      <c r="M66" s="439">
        <f t="shared" si="1"/>
        <v>2332.9123914137881</v>
      </c>
      <c r="N66" s="437"/>
      <c r="O66" s="437" t="s">
        <v>775</v>
      </c>
      <c r="P66" s="437" t="s">
        <v>20</v>
      </c>
      <c r="Q66" s="432"/>
      <c r="R66" s="444"/>
      <c r="S66" s="444"/>
      <c r="T66" s="444"/>
      <c r="U66" s="444"/>
      <c r="V66" s="444"/>
      <c r="W66" s="444"/>
    </row>
    <row r="67" spans="1:23" ht="15.75">
      <c r="A67" s="437" t="s">
        <v>796</v>
      </c>
      <c r="B67" s="443">
        <v>45331.633333333331</v>
      </c>
      <c r="C67" s="437">
        <v>300</v>
      </c>
      <c r="D67" s="437">
        <v>20</v>
      </c>
      <c r="E67" s="437">
        <v>9.3495999999999996E-2</v>
      </c>
      <c r="F67" s="437">
        <v>36.4</v>
      </c>
      <c r="G67" s="437">
        <v>24.5</v>
      </c>
      <c r="H67" s="437">
        <v>6966.2489999999998</v>
      </c>
      <c r="I67" s="437">
        <v>0.99985199999999996</v>
      </c>
      <c r="J67" s="437">
        <v>0.50927</v>
      </c>
      <c r="K67" s="437">
        <v>2380.6999999999998</v>
      </c>
      <c r="L67" s="437">
        <f t="shared" si="0"/>
        <v>1.0245534655850805</v>
      </c>
      <c r="M67" s="439">
        <f t="shared" si="1"/>
        <v>2323.6464274126283</v>
      </c>
      <c r="N67" s="437"/>
      <c r="O67" s="437" t="s">
        <v>775</v>
      </c>
      <c r="P67" s="437" t="s">
        <v>20</v>
      </c>
      <c r="Q67" s="432"/>
      <c r="R67" s="444"/>
      <c r="S67" s="444"/>
      <c r="T67" s="444"/>
      <c r="U67" s="444"/>
      <c r="V67" s="444"/>
      <c r="W67" s="444"/>
    </row>
    <row r="68" spans="1:23" ht="15.75">
      <c r="A68" s="437" t="s">
        <v>797</v>
      </c>
      <c r="B68" s="443">
        <v>45331.640277777777</v>
      </c>
      <c r="C68" s="437">
        <v>301</v>
      </c>
      <c r="D68" s="437">
        <v>20</v>
      </c>
      <c r="E68" s="437">
        <v>9.3495999999999996E-2</v>
      </c>
      <c r="F68" s="437">
        <v>36.6</v>
      </c>
      <c r="G68" s="437">
        <v>24.5</v>
      </c>
      <c r="H68" s="437">
        <v>7070.4080000000004</v>
      </c>
      <c r="I68" s="437">
        <v>0.99988900000000003</v>
      </c>
      <c r="J68" s="437">
        <v>0.50852299999999995</v>
      </c>
      <c r="K68" s="437">
        <v>2377.1999999999998</v>
      </c>
      <c r="L68" s="437">
        <f t="shared" si="0"/>
        <v>1.0247048821219253</v>
      </c>
      <c r="M68" s="439">
        <f t="shared" si="1"/>
        <v>2319.8874539148987</v>
      </c>
      <c r="N68" s="437"/>
      <c r="O68" s="437" t="s">
        <v>775</v>
      </c>
      <c r="P68" s="437" t="s">
        <v>20</v>
      </c>
      <c r="Q68" s="432"/>
      <c r="R68" s="444"/>
      <c r="S68" s="444"/>
      <c r="T68" s="444"/>
      <c r="U68" s="444"/>
      <c r="V68" s="444"/>
      <c r="W68" s="444"/>
    </row>
    <row r="69" spans="1:23" ht="15.75">
      <c r="A69" s="437" t="s">
        <v>798</v>
      </c>
      <c r="B69" s="443">
        <v>45331.647916666669</v>
      </c>
      <c r="C69" s="437">
        <v>222</v>
      </c>
      <c r="D69" s="437">
        <v>20</v>
      </c>
      <c r="E69" s="437">
        <v>9.3495999999999996E-2</v>
      </c>
      <c r="F69" s="437">
        <v>36.799999999999997</v>
      </c>
      <c r="G69" s="437">
        <v>24.5</v>
      </c>
      <c r="H69" s="437">
        <v>7148.3580000000002</v>
      </c>
      <c r="I69" s="437">
        <v>0.99983500000000003</v>
      </c>
      <c r="J69" s="437">
        <v>0.51281600000000005</v>
      </c>
      <c r="K69" s="437">
        <v>2397.3000000000002</v>
      </c>
      <c r="L69" s="437">
        <f t="shared" si="0"/>
        <v>1.0248563164221827</v>
      </c>
      <c r="M69" s="439">
        <f t="shared" si="1"/>
        <v>2339.1571692401499</v>
      </c>
      <c r="N69" s="437"/>
      <c r="O69" s="437" t="s">
        <v>775</v>
      </c>
      <c r="P69" s="437" t="s">
        <v>20</v>
      </c>
      <c r="Q69" s="432"/>
      <c r="R69" s="444"/>
      <c r="S69" s="444"/>
      <c r="T69" s="444"/>
      <c r="U69" s="444"/>
      <c r="V69" s="444"/>
      <c r="W69" s="444"/>
    </row>
    <row r="70" spans="1:23" ht="15.75">
      <c r="A70" s="437" t="s">
        <v>799</v>
      </c>
      <c r="B70" s="443">
        <v>45331.655555555553</v>
      </c>
      <c r="C70" s="437">
        <v>223</v>
      </c>
      <c r="D70" s="437">
        <v>20</v>
      </c>
      <c r="E70" s="437">
        <v>9.3495999999999996E-2</v>
      </c>
      <c r="F70" s="437">
        <v>36.9</v>
      </c>
      <c r="G70" s="437">
        <v>24.5</v>
      </c>
      <c r="H70" s="437">
        <v>7211.26</v>
      </c>
      <c r="I70" s="437">
        <v>0.99984600000000001</v>
      </c>
      <c r="J70" s="437">
        <v>0.51372899999999999</v>
      </c>
      <c r="K70" s="437">
        <v>2401.6</v>
      </c>
      <c r="L70" s="437">
        <f t="shared" si="0"/>
        <v>1.0249320402513715</v>
      </c>
      <c r="M70" s="439">
        <f t="shared" si="1"/>
        <v>2343.1797482016382</v>
      </c>
      <c r="N70" s="437"/>
      <c r="O70" s="437" t="s">
        <v>775</v>
      </c>
      <c r="P70" s="437" t="s">
        <v>20</v>
      </c>
      <c r="Q70" s="432"/>
      <c r="R70" s="444"/>
      <c r="S70" s="444"/>
      <c r="T70" s="444"/>
      <c r="U70" s="444"/>
      <c r="V70" s="444"/>
      <c r="W70" s="444"/>
    </row>
    <row r="71" spans="1:23" ht="15.75">
      <c r="A71" s="437" t="s">
        <v>800</v>
      </c>
      <c r="B71" s="443">
        <v>45331.663194444445</v>
      </c>
      <c r="C71" s="437" t="s">
        <v>826</v>
      </c>
      <c r="D71" s="437">
        <v>20</v>
      </c>
      <c r="E71" s="437">
        <v>9.3495999999999996E-2</v>
      </c>
      <c r="F71" s="437">
        <v>33.4</v>
      </c>
      <c r="G71" s="437">
        <v>24.5</v>
      </c>
      <c r="H71" s="437">
        <v>7170.9470000000001</v>
      </c>
      <c r="I71" s="437">
        <v>0.99988299999999997</v>
      </c>
      <c r="J71" s="437">
        <v>0.47734500000000002</v>
      </c>
      <c r="K71" s="437">
        <v>2231.5</v>
      </c>
      <c r="L71" s="437">
        <f t="shared" si="0"/>
        <v>1.0222843090028939</v>
      </c>
      <c r="M71" s="439">
        <f t="shared" si="1"/>
        <v>2182.8565501279577</v>
      </c>
      <c r="N71" s="437"/>
      <c r="O71" s="437" t="s">
        <v>775</v>
      </c>
      <c r="P71" s="437" t="s">
        <v>20</v>
      </c>
      <c r="Q71" s="432"/>
      <c r="R71" s="444"/>
      <c r="S71" s="444"/>
      <c r="T71" s="444"/>
      <c r="U71" s="444"/>
      <c r="V71" s="444"/>
      <c r="W71" s="444"/>
    </row>
    <row r="72" spans="1:23" ht="15.75">
      <c r="A72" s="446" t="s">
        <v>772</v>
      </c>
      <c r="B72" s="447">
        <v>45344.44027777778</v>
      </c>
      <c r="C72" s="446" t="s">
        <v>773</v>
      </c>
      <c r="D72" s="446">
        <v>25</v>
      </c>
      <c r="E72" s="446">
        <v>9.3779000000000001E-2</v>
      </c>
      <c r="F72" s="446" t="s">
        <v>774</v>
      </c>
      <c r="G72" s="446">
        <v>22.5</v>
      </c>
      <c r="H72" s="446">
        <v>1173.857</v>
      </c>
      <c r="I72" s="446">
        <v>0.99997100000000005</v>
      </c>
      <c r="J72" s="446">
        <v>0.52790499999999996</v>
      </c>
      <c r="K72" s="446">
        <v>1980.3</v>
      </c>
      <c r="L72" s="437" t="e">
        <f t="shared" si="0"/>
        <v>#VALUE!</v>
      </c>
      <c r="M72" s="439" t="e">
        <f t="shared" si="1"/>
        <v>#VALUE!</v>
      </c>
      <c r="N72" s="446"/>
      <c r="O72" s="446" t="s">
        <v>21</v>
      </c>
      <c r="P72" s="446" t="s">
        <v>829</v>
      </c>
      <c r="Q72" s="444"/>
      <c r="R72" s="444"/>
      <c r="S72" s="444"/>
      <c r="T72" s="444"/>
      <c r="U72" s="444"/>
      <c r="V72" s="444"/>
      <c r="W72" s="444"/>
    </row>
    <row r="73" spans="1:23" ht="15.75">
      <c r="A73" s="446" t="s">
        <v>776</v>
      </c>
      <c r="B73" s="447">
        <v>45344.445833333331</v>
      </c>
      <c r="C73" s="446" t="s">
        <v>773</v>
      </c>
      <c r="D73" s="446">
        <v>25</v>
      </c>
      <c r="E73" s="446">
        <v>9.3779000000000001E-2</v>
      </c>
      <c r="F73" s="446" t="s">
        <v>774</v>
      </c>
      <c r="G73" s="446">
        <v>22.5</v>
      </c>
      <c r="H73" s="446">
        <v>1174.3710000000001</v>
      </c>
      <c r="I73" s="446">
        <v>0.99997800000000003</v>
      </c>
      <c r="J73" s="446">
        <v>0.52800100000000005</v>
      </c>
      <c r="K73" s="446">
        <v>1980.6</v>
      </c>
      <c r="L73" s="437" t="e">
        <f t="shared" si="0"/>
        <v>#VALUE!</v>
      </c>
      <c r="M73" s="439" t="e">
        <f t="shared" si="1"/>
        <v>#VALUE!</v>
      </c>
      <c r="N73" s="446">
        <v>0.25490000000000002</v>
      </c>
      <c r="O73" s="446" t="s">
        <v>21</v>
      </c>
      <c r="P73" s="446" t="s">
        <v>829</v>
      </c>
      <c r="Q73" s="444"/>
      <c r="R73" s="444"/>
      <c r="S73" s="444"/>
      <c r="T73" s="444"/>
      <c r="U73" s="444"/>
      <c r="V73" s="444"/>
      <c r="W73" s="444"/>
    </row>
    <row r="74" spans="1:23" ht="15.75">
      <c r="A74" s="446" t="s">
        <v>777</v>
      </c>
      <c r="B74" s="447">
        <v>45344.452777777777</v>
      </c>
      <c r="C74" s="446" t="s">
        <v>773</v>
      </c>
      <c r="D74" s="446">
        <v>25</v>
      </c>
      <c r="E74" s="446">
        <v>9.3779000000000001E-2</v>
      </c>
      <c r="F74" s="446" t="s">
        <v>774</v>
      </c>
      <c r="G74" s="446">
        <v>22.5</v>
      </c>
      <c r="H74" s="446">
        <v>1176.92</v>
      </c>
      <c r="I74" s="446">
        <v>0.99993900000000002</v>
      </c>
      <c r="J74" s="446">
        <v>0.52846899999999997</v>
      </c>
      <c r="K74" s="446">
        <v>1982.4</v>
      </c>
      <c r="L74" s="437" t="e">
        <f t="shared" si="0"/>
        <v>#VALUE!</v>
      </c>
      <c r="M74" s="439" t="e">
        <f t="shared" si="1"/>
        <v>#VALUE!</v>
      </c>
      <c r="N74" s="446">
        <v>1.2412000000000001</v>
      </c>
      <c r="O74" s="446" t="s">
        <v>21</v>
      </c>
      <c r="P74" s="446" t="s">
        <v>829</v>
      </c>
      <c r="Q74" s="444"/>
      <c r="R74" s="444"/>
      <c r="S74" s="444"/>
      <c r="T74" s="444"/>
      <c r="U74" s="444"/>
      <c r="V74" s="444"/>
      <c r="W74" s="444"/>
    </row>
    <row r="75" spans="1:23" ht="15.75">
      <c r="A75" s="446" t="s">
        <v>778</v>
      </c>
      <c r="B75" s="447">
        <v>45344.468055555553</v>
      </c>
      <c r="C75" s="446" t="s">
        <v>830</v>
      </c>
      <c r="D75" s="446">
        <v>25</v>
      </c>
      <c r="E75" s="446">
        <v>9.3779000000000001E-2</v>
      </c>
      <c r="F75" s="446">
        <v>33.4</v>
      </c>
      <c r="G75" s="446">
        <v>22.5</v>
      </c>
      <c r="H75" s="446">
        <v>974.42809999999997</v>
      </c>
      <c r="I75" s="446">
        <v>0.99977700000000003</v>
      </c>
      <c r="J75" s="446">
        <v>0.59771399999999997</v>
      </c>
      <c r="K75" s="446">
        <v>2242.1</v>
      </c>
      <c r="L75" s="437">
        <f t="shared" si="0"/>
        <v>1.0228641396069589</v>
      </c>
      <c r="M75" s="439">
        <f t="shared" si="1"/>
        <v>2191.9822126734634</v>
      </c>
      <c r="N75" s="446"/>
      <c r="O75" s="446" t="s">
        <v>21</v>
      </c>
      <c r="P75" s="446" t="s">
        <v>829</v>
      </c>
      <c r="Q75" s="444"/>
      <c r="R75" s="444"/>
      <c r="S75" s="444"/>
      <c r="T75" s="444"/>
      <c r="U75" s="444"/>
      <c r="V75" s="444"/>
      <c r="W75" s="444"/>
    </row>
    <row r="76" spans="1:23" ht="19.5" customHeight="1">
      <c r="A76" s="446" t="s">
        <v>780</v>
      </c>
      <c r="B76" s="447">
        <v>45344.474999999999</v>
      </c>
      <c r="C76" s="448" t="s">
        <v>831</v>
      </c>
      <c r="D76" s="446">
        <v>25</v>
      </c>
      <c r="E76" s="446">
        <v>9.3779000000000001E-2</v>
      </c>
      <c r="F76" s="446">
        <v>33.4</v>
      </c>
      <c r="G76" s="446">
        <v>22.5</v>
      </c>
      <c r="H76" s="446">
        <v>985.44460000000004</v>
      </c>
      <c r="I76" s="446">
        <v>0.99981299999999995</v>
      </c>
      <c r="J76" s="446">
        <v>0.62831599999999999</v>
      </c>
      <c r="K76" s="446">
        <v>2356.9</v>
      </c>
      <c r="L76" s="437">
        <f t="shared" si="0"/>
        <v>1.0228641396069589</v>
      </c>
      <c r="M76" s="439">
        <f t="shared" si="1"/>
        <v>2304.216081820653</v>
      </c>
      <c r="N76" s="446"/>
      <c r="O76" s="446" t="s">
        <v>21</v>
      </c>
      <c r="P76" s="446" t="s">
        <v>829</v>
      </c>
      <c r="Q76" s="449" t="s">
        <v>832</v>
      </c>
      <c r="R76" s="444"/>
      <c r="S76" s="444"/>
      <c r="T76" s="444"/>
      <c r="U76" s="444"/>
      <c r="V76" s="444"/>
      <c r="W76" s="444"/>
    </row>
    <row r="77" spans="1:23" ht="15.75">
      <c r="A77" s="446" t="s">
        <v>781</v>
      </c>
      <c r="B77" s="447">
        <v>45344.482638888891</v>
      </c>
      <c r="C77" s="448" t="s">
        <v>833</v>
      </c>
      <c r="D77" s="446">
        <v>25</v>
      </c>
      <c r="E77" s="446">
        <v>9.3779000000000001E-2</v>
      </c>
      <c r="F77" s="446">
        <v>33.4</v>
      </c>
      <c r="G77" s="446">
        <v>22.5</v>
      </c>
      <c r="H77" s="446">
        <v>980.4221</v>
      </c>
      <c r="I77" s="446">
        <v>0.99975499999999995</v>
      </c>
      <c r="J77" s="446">
        <v>0.63243899999999997</v>
      </c>
      <c r="K77" s="446">
        <v>2372.4</v>
      </c>
      <c r="L77" s="437">
        <f t="shared" si="0"/>
        <v>1.0228641396069589</v>
      </c>
      <c r="M77" s="439">
        <f t="shared" si="1"/>
        <v>2319.3696094494112</v>
      </c>
      <c r="N77" s="446"/>
      <c r="O77" s="446" t="s">
        <v>21</v>
      </c>
      <c r="P77" s="446" t="s">
        <v>829</v>
      </c>
      <c r="Q77" s="444"/>
      <c r="R77" s="444"/>
      <c r="S77" s="444"/>
      <c r="T77" s="444"/>
      <c r="U77" s="444"/>
      <c r="V77" s="444"/>
      <c r="W77" s="444"/>
    </row>
    <row r="78" spans="1:23" ht="15.75">
      <c r="A78" s="446" t="s">
        <v>782</v>
      </c>
      <c r="B78" s="447">
        <v>45344.490277777775</v>
      </c>
      <c r="C78" s="448" t="s">
        <v>834</v>
      </c>
      <c r="D78" s="446">
        <v>25</v>
      </c>
      <c r="E78" s="446">
        <v>9.3779000000000001E-2</v>
      </c>
      <c r="F78" s="446">
        <v>33.4</v>
      </c>
      <c r="G78" s="446">
        <v>22.5</v>
      </c>
      <c r="H78" s="446">
        <v>978.77819999999997</v>
      </c>
      <c r="I78" s="446">
        <v>0.99982199999999999</v>
      </c>
      <c r="J78" s="446">
        <v>0.635903</v>
      </c>
      <c r="K78" s="446">
        <v>2385.4</v>
      </c>
      <c r="L78" s="437">
        <f t="shared" si="0"/>
        <v>1.0228641396069589</v>
      </c>
      <c r="M78" s="439">
        <f t="shared" si="1"/>
        <v>2332.0790197186921</v>
      </c>
      <c r="N78" s="446"/>
      <c r="O78" s="446" t="s">
        <v>21</v>
      </c>
      <c r="P78" s="446" t="s">
        <v>829</v>
      </c>
      <c r="Q78" s="444"/>
      <c r="R78" s="444"/>
      <c r="S78" s="444"/>
      <c r="T78" s="444"/>
      <c r="U78" s="444"/>
      <c r="V78" s="444"/>
      <c r="W78" s="444"/>
    </row>
    <row r="79" spans="1:23" ht="15.75">
      <c r="A79" s="446" t="s">
        <v>783</v>
      </c>
      <c r="B79" s="447">
        <v>45344.498611111114</v>
      </c>
      <c r="C79" s="448" t="s">
        <v>835</v>
      </c>
      <c r="D79" s="446">
        <v>25</v>
      </c>
      <c r="E79" s="446">
        <v>9.3779000000000001E-2</v>
      </c>
      <c r="F79" s="446">
        <v>34.5</v>
      </c>
      <c r="G79" s="446">
        <v>22.5</v>
      </c>
      <c r="H79" s="446">
        <v>983.79240000000004</v>
      </c>
      <c r="I79" s="446">
        <v>0.99973500000000004</v>
      </c>
      <c r="J79" s="446">
        <v>0.62944199999999995</v>
      </c>
      <c r="K79" s="446">
        <v>2361.1</v>
      </c>
      <c r="L79" s="437">
        <f t="shared" si="0"/>
        <v>1.0236987280411398</v>
      </c>
      <c r="M79" s="439">
        <f t="shared" si="1"/>
        <v>2306.440298619882</v>
      </c>
      <c r="N79" s="446"/>
      <c r="O79" s="446" t="s">
        <v>21</v>
      </c>
      <c r="P79" s="446" t="s">
        <v>829</v>
      </c>
      <c r="Q79" s="444"/>
      <c r="R79" s="444"/>
      <c r="S79" s="444"/>
      <c r="T79" s="444"/>
      <c r="U79" s="444"/>
      <c r="V79" s="444"/>
      <c r="W79" s="444"/>
    </row>
    <row r="80" spans="1:23" ht="15.75">
      <c r="A80" s="446" t="s">
        <v>784</v>
      </c>
      <c r="B80" s="447">
        <v>45344.506944444445</v>
      </c>
      <c r="C80" s="448" t="s">
        <v>836</v>
      </c>
      <c r="D80" s="446">
        <v>25</v>
      </c>
      <c r="E80" s="446">
        <v>9.3779000000000001E-2</v>
      </c>
      <c r="F80" s="446">
        <v>34.200000000000003</v>
      </c>
      <c r="G80" s="446">
        <v>22.5</v>
      </c>
      <c r="H80" s="446">
        <v>980.35149999999999</v>
      </c>
      <c r="I80" s="446">
        <v>0.99976600000000004</v>
      </c>
      <c r="J80" s="446">
        <v>0.62748599999999999</v>
      </c>
      <c r="K80" s="446">
        <v>2353.8000000000002</v>
      </c>
      <c r="L80" s="437">
        <f t="shared" si="0"/>
        <v>1.0234710628004529</v>
      </c>
      <c r="M80" s="439">
        <f t="shared" si="1"/>
        <v>2299.8207624546417</v>
      </c>
      <c r="N80" s="446"/>
      <c r="O80" s="446" t="s">
        <v>21</v>
      </c>
      <c r="P80" s="446" t="s">
        <v>829</v>
      </c>
      <c r="Q80" s="444"/>
      <c r="R80" s="444"/>
      <c r="S80" s="444"/>
      <c r="T80" s="444"/>
      <c r="U80" s="444"/>
      <c r="V80" s="444"/>
      <c r="W80" s="444"/>
    </row>
    <row r="81" spans="1:23" ht="15.75">
      <c r="A81" s="446" t="s">
        <v>785</v>
      </c>
      <c r="B81" s="447">
        <v>45344.512499999997</v>
      </c>
      <c r="C81" s="448" t="s">
        <v>837</v>
      </c>
      <c r="D81" s="446">
        <v>25</v>
      </c>
      <c r="E81" s="446">
        <v>9.3779000000000001E-2</v>
      </c>
      <c r="F81" s="446">
        <v>34.200000000000003</v>
      </c>
      <c r="G81" s="446">
        <v>22.5</v>
      </c>
      <c r="H81" s="446">
        <v>987.92359999999996</v>
      </c>
      <c r="I81" s="446">
        <v>0.99978</v>
      </c>
      <c r="J81" s="446">
        <v>0.63381299999999996</v>
      </c>
      <c r="K81" s="446">
        <v>2377.5</v>
      </c>
      <c r="L81" s="437">
        <f t="shared" si="0"/>
        <v>1.0234710628004529</v>
      </c>
      <c r="M81" s="439">
        <f t="shared" si="1"/>
        <v>2322.9772549647</v>
      </c>
      <c r="N81" s="446"/>
      <c r="O81" s="446" t="s">
        <v>21</v>
      </c>
      <c r="P81" s="446" t="s">
        <v>829</v>
      </c>
      <c r="Q81" s="444"/>
      <c r="R81" s="444"/>
      <c r="S81" s="444"/>
      <c r="T81" s="444"/>
      <c r="U81" s="444"/>
      <c r="V81" s="444"/>
      <c r="W81" s="444"/>
    </row>
    <row r="82" spans="1:23" ht="15.75">
      <c r="A82" s="446" t="s">
        <v>786</v>
      </c>
      <c r="B82" s="447">
        <v>45344.519444444442</v>
      </c>
      <c r="C82" s="448" t="s">
        <v>838</v>
      </c>
      <c r="D82" s="446">
        <v>25</v>
      </c>
      <c r="E82" s="446">
        <v>9.3779000000000001E-2</v>
      </c>
      <c r="F82" s="446">
        <v>34.4</v>
      </c>
      <c r="G82" s="446">
        <v>22.5</v>
      </c>
      <c r="H82" s="446">
        <v>986.97370000000001</v>
      </c>
      <c r="I82" s="446">
        <v>0.99975899999999995</v>
      </c>
      <c r="J82" s="446">
        <v>0.63283800000000001</v>
      </c>
      <c r="K82" s="446">
        <v>2373.9</v>
      </c>
      <c r="L82" s="437">
        <f t="shared" si="0"/>
        <v>1.0236228354164241</v>
      </c>
      <c r="M82" s="439">
        <f t="shared" si="1"/>
        <v>2319.1159066261594</v>
      </c>
      <c r="N82" s="446"/>
      <c r="O82" s="446" t="s">
        <v>21</v>
      </c>
      <c r="P82" s="446" t="s">
        <v>829</v>
      </c>
      <c r="Q82" s="444"/>
      <c r="R82" s="444"/>
      <c r="S82" s="444"/>
      <c r="T82" s="444"/>
      <c r="U82" s="444"/>
      <c r="V82" s="444"/>
      <c r="W82" s="444"/>
    </row>
    <row r="83" spans="1:23" ht="15.75">
      <c r="A83" s="446" t="s">
        <v>787</v>
      </c>
      <c r="B83" s="447">
        <v>45344.526388888888</v>
      </c>
      <c r="C83" s="448" t="s">
        <v>839</v>
      </c>
      <c r="D83" s="446">
        <v>25</v>
      </c>
      <c r="E83" s="446">
        <v>9.3779000000000001E-2</v>
      </c>
      <c r="F83" s="446">
        <v>34.5</v>
      </c>
      <c r="G83" s="446">
        <v>22.5</v>
      </c>
      <c r="H83" s="446">
        <v>988.55740000000003</v>
      </c>
      <c r="I83" s="446">
        <v>0.99981600000000004</v>
      </c>
      <c r="J83" s="446">
        <v>0.63225699999999996</v>
      </c>
      <c r="K83" s="446">
        <v>2371.6999999999998</v>
      </c>
      <c r="L83" s="437">
        <f t="shared" si="0"/>
        <v>1.0236987280411398</v>
      </c>
      <c r="M83" s="439">
        <f t="shared" si="1"/>
        <v>2316.7949075586694</v>
      </c>
      <c r="N83" s="446"/>
      <c r="O83" s="446" t="s">
        <v>21</v>
      </c>
      <c r="P83" s="446" t="s">
        <v>829</v>
      </c>
      <c r="Q83" s="444"/>
      <c r="R83" s="444"/>
      <c r="S83" s="444"/>
      <c r="T83" s="444"/>
      <c r="U83" s="444"/>
      <c r="V83" s="444"/>
      <c r="W83" s="444"/>
    </row>
    <row r="84" spans="1:23" ht="15.75">
      <c r="A84" s="446" t="s">
        <v>788</v>
      </c>
      <c r="B84" s="447">
        <v>45344.53402777778</v>
      </c>
      <c r="C84" s="448" t="s">
        <v>840</v>
      </c>
      <c r="D84" s="446">
        <v>25</v>
      </c>
      <c r="E84" s="446">
        <v>9.3779000000000001E-2</v>
      </c>
      <c r="F84" s="446">
        <v>34</v>
      </c>
      <c r="G84" s="446">
        <v>22.5</v>
      </c>
      <c r="H84" s="446">
        <v>985.26430000000005</v>
      </c>
      <c r="I84" s="446">
        <v>0.99973500000000004</v>
      </c>
      <c r="J84" s="446">
        <v>0.62287300000000001</v>
      </c>
      <c r="K84" s="446">
        <v>2336.5</v>
      </c>
      <c r="L84" s="437">
        <f t="shared" si="0"/>
        <v>1.0233193069760056</v>
      </c>
      <c r="M84" s="439">
        <f t="shared" si="1"/>
        <v>2283.2560512363962</v>
      </c>
      <c r="N84" s="446"/>
      <c r="O84" s="446" t="s">
        <v>21</v>
      </c>
      <c r="P84" s="446" t="s">
        <v>829</v>
      </c>
      <c r="Q84" s="444"/>
      <c r="R84" s="444"/>
      <c r="S84" s="444"/>
      <c r="T84" s="444"/>
      <c r="U84" s="444"/>
      <c r="V84" s="444"/>
      <c r="W84" s="444"/>
    </row>
    <row r="85" spans="1:23" ht="15.75">
      <c r="A85" s="446" t="s">
        <v>789</v>
      </c>
      <c r="B85" s="447">
        <v>45344.540277777778</v>
      </c>
      <c r="C85" s="448" t="s">
        <v>841</v>
      </c>
      <c r="D85" s="446">
        <v>25</v>
      </c>
      <c r="E85" s="446">
        <v>9.3779000000000001E-2</v>
      </c>
      <c r="F85" s="446">
        <v>34.299999999999997</v>
      </c>
      <c r="G85" s="446">
        <v>22.5</v>
      </c>
      <c r="H85" s="446">
        <v>984.25750000000005</v>
      </c>
      <c r="I85" s="446">
        <v>0.99976100000000001</v>
      </c>
      <c r="J85" s="446">
        <v>0.63015500000000002</v>
      </c>
      <c r="K85" s="446">
        <v>2363.8000000000002</v>
      </c>
      <c r="L85" s="437">
        <f t="shared" si="0"/>
        <v>1.0235469470055076</v>
      </c>
      <c r="M85" s="439">
        <f t="shared" si="1"/>
        <v>2309.4202048235711</v>
      </c>
      <c r="N85" s="446"/>
      <c r="O85" s="446" t="s">
        <v>21</v>
      </c>
      <c r="P85" s="446" t="s">
        <v>829</v>
      </c>
      <c r="Q85" s="444"/>
      <c r="R85" s="444"/>
      <c r="S85" s="444"/>
      <c r="T85" s="444"/>
      <c r="U85" s="444"/>
      <c r="V85" s="444"/>
      <c r="W85" s="444"/>
    </row>
    <row r="86" spans="1:23" ht="15.75">
      <c r="A86" s="446" t="s">
        <v>790</v>
      </c>
      <c r="B86" s="447">
        <v>45344.547222222223</v>
      </c>
      <c r="C86" s="446" t="s">
        <v>722</v>
      </c>
      <c r="D86" s="446">
        <v>25</v>
      </c>
      <c r="E86" s="446">
        <v>9.3779000000000001E-2</v>
      </c>
      <c r="F86" s="446">
        <v>33.4</v>
      </c>
      <c r="G86" s="446">
        <v>22.5</v>
      </c>
      <c r="H86" s="446">
        <v>987.31309999999996</v>
      </c>
      <c r="I86" s="446">
        <v>0.999803</v>
      </c>
      <c r="J86" s="446">
        <v>0.59736100000000003</v>
      </c>
      <c r="K86" s="446">
        <v>2240.8000000000002</v>
      </c>
      <c r="L86" s="437">
        <f t="shared" si="0"/>
        <v>1.0228641396069589</v>
      </c>
      <c r="M86" s="439">
        <f t="shared" si="1"/>
        <v>2190.7112716465354</v>
      </c>
      <c r="N86" s="446"/>
      <c r="O86" s="446" t="s">
        <v>21</v>
      </c>
      <c r="P86" s="446" t="s">
        <v>829</v>
      </c>
      <c r="Q86" s="444"/>
      <c r="R86" s="444"/>
      <c r="S86" s="444"/>
      <c r="T86" s="444"/>
      <c r="U86" s="444"/>
      <c r="V86" s="444"/>
      <c r="W86" s="444"/>
    </row>
    <row r="87" spans="1:23" ht="15.75">
      <c r="A87" s="446" t="s">
        <v>791</v>
      </c>
      <c r="B87" s="447">
        <v>45344.554861111108</v>
      </c>
      <c r="C87" s="448">
        <v>30</v>
      </c>
      <c r="D87" s="446">
        <v>25</v>
      </c>
      <c r="E87" s="446">
        <v>9.3779000000000001E-2</v>
      </c>
      <c r="F87" s="446">
        <v>34.1</v>
      </c>
      <c r="G87" s="446">
        <v>22.5</v>
      </c>
      <c r="H87" s="446">
        <v>985.7183</v>
      </c>
      <c r="I87" s="446">
        <v>0.99969200000000003</v>
      </c>
      <c r="J87" s="446">
        <v>0.62476600000000004</v>
      </c>
      <c r="K87" s="446">
        <v>2343.6</v>
      </c>
      <c r="L87" s="437">
        <f t="shared" si="0"/>
        <v>1.0233951827932879</v>
      </c>
      <c r="M87" s="439">
        <f t="shared" si="1"/>
        <v>2290.0244591764663</v>
      </c>
      <c r="N87" s="446"/>
      <c r="O87" s="446" t="s">
        <v>21</v>
      </c>
      <c r="P87" s="446" t="s">
        <v>829</v>
      </c>
      <c r="Q87" s="444"/>
      <c r="R87" s="444"/>
      <c r="S87" s="444"/>
      <c r="T87" s="444"/>
      <c r="U87" s="444"/>
      <c r="V87" s="444"/>
      <c r="W87" s="444"/>
    </row>
    <row r="88" spans="1:23" ht="15.75">
      <c r="A88" s="446" t="s">
        <v>792</v>
      </c>
      <c r="B88" s="447">
        <v>45344.561805555553</v>
      </c>
      <c r="C88" s="448" t="s">
        <v>842</v>
      </c>
      <c r="D88" s="446">
        <v>25</v>
      </c>
      <c r="E88" s="446">
        <v>9.3779000000000001E-2</v>
      </c>
      <c r="F88" s="446">
        <v>34.200000000000003</v>
      </c>
      <c r="G88" s="446">
        <v>22.5</v>
      </c>
      <c r="H88" s="446">
        <v>991.3981</v>
      </c>
      <c r="I88" s="446">
        <v>0.99975199999999997</v>
      </c>
      <c r="J88" s="446">
        <v>0.62548400000000004</v>
      </c>
      <c r="K88" s="446">
        <v>2346.3000000000002</v>
      </c>
      <c r="L88" s="437">
        <f t="shared" si="0"/>
        <v>1.0234710628004529</v>
      </c>
      <c r="M88" s="439">
        <f t="shared" si="1"/>
        <v>2292.4927584957627</v>
      </c>
      <c r="N88" s="446"/>
      <c r="O88" s="446" t="s">
        <v>21</v>
      </c>
      <c r="P88" s="446" t="s">
        <v>829</v>
      </c>
      <c r="Q88" s="444"/>
      <c r="R88" s="444"/>
      <c r="S88" s="444"/>
      <c r="T88" s="444"/>
      <c r="U88" s="444"/>
      <c r="V88" s="444"/>
      <c r="W88" s="444"/>
    </row>
    <row r="89" spans="1:23" ht="15.75">
      <c r="A89" s="446" t="s">
        <v>793</v>
      </c>
      <c r="B89" s="447">
        <v>45344.568055555559</v>
      </c>
      <c r="C89" s="448" t="s">
        <v>843</v>
      </c>
      <c r="D89" s="446">
        <v>25</v>
      </c>
      <c r="E89" s="446">
        <v>9.3779000000000001E-2</v>
      </c>
      <c r="F89" s="446">
        <v>34.799999999999997</v>
      </c>
      <c r="G89" s="446">
        <v>22.5</v>
      </c>
      <c r="H89" s="446">
        <v>984.64329999999995</v>
      </c>
      <c r="I89" s="446">
        <v>0.99980000000000002</v>
      </c>
      <c r="J89" s="446">
        <v>0.63864699999999996</v>
      </c>
      <c r="K89" s="446">
        <v>2395.6999999999998</v>
      </c>
      <c r="L89" s="437">
        <f t="shared" si="0"/>
        <v>1.0239264312769403</v>
      </c>
      <c r="M89" s="439">
        <f t="shared" si="1"/>
        <v>2339.7188770801808</v>
      </c>
      <c r="N89" s="446"/>
      <c r="O89" s="446" t="s">
        <v>21</v>
      </c>
      <c r="P89" s="446" t="s">
        <v>829</v>
      </c>
      <c r="Q89" s="444"/>
      <c r="R89" s="444"/>
      <c r="S89" s="444"/>
      <c r="T89" s="444"/>
      <c r="U89" s="444"/>
      <c r="V89" s="444"/>
      <c r="W89" s="444"/>
    </row>
    <row r="90" spans="1:23" ht="15.75">
      <c r="A90" s="446" t="s">
        <v>794</v>
      </c>
      <c r="B90" s="447">
        <v>45344.575694444444</v>
      </c>
      <c r="C90" s="448" t="s">
        <v>844</v>
      </c>
      <c r="D90" s="446">
        <v>25</v>
      </c>
      <c r="E90" s="446">
        <v>9.3779000000000001E-2</v>
      </c>
      <c r="F90" s="446">
        <v>34.6</v>
      </c>
      <c r="G90" s="446">
        <v>22.5</v>
      </c>
      <c r="H90" s="446">
        <v>990.17510000000004</v>
      </c>
      <c r="I90" s="446">
        <v>0.99976200000000004</v>
      </c>
      <c r="J90" s="446">
        <v>0.64000299999999999</v>
      </c>
      <c r="K90" s="446">
        <v>2400.8000000000002</v>
      </c>
      <c r="L90" s="437">
        <f t="shared" si="0"/>
        <v>1.0237746248875577</v>
      </c>
      <c r="M90" s="439">
        <f t="shared" si="1"/>
        <v>2345.0473782388217</v>
      </c>
      <c r="N90" s="446"/>
      <c r="O90" s="446" t="s">
        <v>21</v>
      </c>
      <c r="P90" s="446" t="s">
        <v>829</v>
      </c>
      <c r="Q90" s="444"/>
      <c r="R90" s="444"/>
      <c r="S90" s="444"/>
      <c r="T90" s="444"/>
      <c r="U90" s="444"/>
      <c r="V90" s="444"/>
      <c r="W90" s="444"/>
    </row>
    <row r="91" spans="1:23" ht="15.75">
      <c r="A91" s="446" t="s">
        <v>795</v>
      </c>
      <c r="B91" s="447">
        <v>45344.581944444442</v>
      </c>
      <c r="C91" s="448" t="s">
        <v>845</v>
      </c>
      <c r="D91" s="446">
        <v>25</v>
      </c>
      <c r="E91" s="446">
        <v>9.3779000000000001E-2</v>
      </c>
      <c r="F91" s="446">
        <v>34.4</v>
      </c>
      <c r="G91" s="446">
        <v>22.5</v>
      </c>
      <c r="H91" s="446">
        <v>987.87720000000002</v>
      </c>
      <c r="I91" s="446">
        <v>0.99975099999999995</v>
      </c>
      <c r="J91" s="446">
        <v>0.625996</v>
      </c>
      <c r="K91" s="446">
        <v>2348.1999999999998</v>
      </c>
      <c r="L91" s="437">
        <f t="shared" si="0"/>
        <v>1.0236228354164241</v>
      </c>
      <c r="M91" s="439">
        <f t="shared" si="1"/>
        <v>2294.0090028811433</v>
      </c>
      <c r="N91" s="446"/>
      <c r="O91" s="446" t="s">
        <v>21</v>
      </c>
      <c r="P91" s="446" t="s">
        <v>829</v>
      </c>
      <c r="Q91" s="444"/>
      <c r="R91" s="444"/>
      <c r="S91" s="444"/>
      <c r="T91" s="444"/>
      <c r="U91" s="444"/>
      <c r="V91" s="444"/>
      <c r="W91" s="444"/>
    </row>
    <row r="92" spans="1:23" ht="15.75">
      <c r="A92" s="446" t="s">
        <v>796</v>
      </c>
      <c r="B92" s="447">
        <v>45344.588194444441</v>
      </c>
      <c r="C92" s="448" t="s">
        <v>846</v>
      </c>
      <c r="D92" s="446">
        <v>25</v>
      </c>
      <c r="E92" s="446">
        <v>9.3779000000000001E-2</v>
      </c>
      <c r="F92" s="446">
        <v>34.4</v>
      </c>
      <c r="G92" s="446">
        <v>22.5</v>
      </c>
      <c r="H92" s="446">
        <v>986.47230000000002</v>
      </c>
      <c r="I92" s="446">
        <v>0.99975099999999995</v>
      </c>
      <c r="J92" s="446">
        <v>0.62980899999999995</v>
      </c>
      <c r="K92" s="446">
        <v>2362.5</v>
      </c>
      <c r="L92" s="437">
        <f t="shared" si="0"/>
        <v>1.0236228354164241</v>
      </c>
      <c r="M92" s="439">
        <f t="shared" si="1"/>
        <v>2307.9789921244792</v>
      </c>
      <c r="N92" s="446"/>
      <c r="O92" s="446" t="s">
        <v>21</v>
      </c>
      <c r="P92" s="446" t="s">
        <v>829</v>
      </c>
      <c r="Q92" s="444"/>
      <c r="R92" s="444"/>
      <c r="S92" s="444"/>
      <c r="T92" s="444"/>
      <c r="U92" s="444"/>
      <c r="V92" s="444"/>
      <c r="W92" s="444"/>
    </row>
    <row r="93" spans="1:23" ht="15.75">
      <c r="A93" s="446" t="s">
        <v>797</v>
      </c>
      <c r="B93" s="447">
        <v>45344.59375</v>
      </c>
      <c r="C93" s="448" t="s">
        <v>847</v>
      </c>
      <c r="D93" s="446">
        <v>25</v>
      </c>
      <c r="E93" s="446">
        <v>9.3779000000000001E-2</v>
      </c>
      <c r="F93" s="446">
        <v>34.5</v>
      </c>
      <c r="G93" s="446">
        <v>22.5</v>
      </c>
      <c r="H93" s="446">
        <v>985.00059999999996</v>
      </c>
      <c r="I93" s="446">
        <v>0.99978699999999998</v>
      </c>
      <c r="J93" s="446">
        <v>0.63263400000000003</v>
      </c>
      <c r="K93" s="446">
        <v>2373.1</v>
      </c>
      <c r="L93" s="437">
        <f t="shared" si="0"/>
        <v>1.0236987280411398</v>
      </c>
      <c r="M93" s="439">
        <f t="shared" si="1"/>
        <v>2318.1624974185092</v>
      </c>
      <c r="N93" s="446"/>
      <c r="O93" s="446" t="s">
        <v>21</v>
      </c>
      <c r="P93" s="446" t="s">
        <v>829</v>
      </c>
      <c r="Q93" s="444"/>
      <c r="R93" s="444"/>
      <c r="S93" s="444"/>
      <c r="T93" s="444"/>
      <c r="U93" s="444"/>
      <c r="V93" s="444"/>
      <c r="W93" s="444"/>
    </row>
    <row r="94" spans="1:23" ht="15.75">
      <c r="A94" s="446" t="s">
        <v>798</v>
      </c>
      <c r="B94" s="447">
        <v>45344.6</v>
      </c>
      <c r="C94" s="448" t="s">
        <v>848</v>
      </c>
      <c r="D94" s="446">
        <v>25</v>
      </c>
      <c r="E94" s="446">
        <v>9.3779000000000001E-2</v>
      </c>
      <c r="F94" s="446">
        <v>34.5</v>
      </c>
      <c r="G94" s="446">
        <v>22.5</v>
      </c>
      <c r="H94" s="446">
        <v>988.25959999999998</v>
      </c>
      <c r="I94" s="446">
        <v>0.99979600000000002</v>
      </c>
      <c r="J94" s="446">
        <v>0.628077</v>
      </c>
      <c r="K94" s="446">
        <v>2356</v>
      </c>
      <c r="L94" s="437">
        <f t="shared" si="0"/>
        <v>1.0236987280411398</v>
      </c>
      <c r="M94" s="439">
        <f t="shared" si="1"/>
        <v>2301.4583641304657</v>
      </c>
      <c r="N94" s="446"/>
      <c r="O94" s="446" t="s">
        <v>21</v>
      </c>
      <c r="P94" s="446" t="s">
        <v>829</v>
      </c>
      <c r="Q94" s="444"/>
      <c r="R94" s="444"/>
      <c r="S94" s="444"/>
      <c r="T94" s="444"/>
      <c r="U94" s="444"/>
      <c r="V94" s="444"/>
      <c r="W94" s="444"/>
    </row>
    <row r="95" spans="1:23" ht="15.75">
      <c r="A95" s="446" t="s">
        <v>799</v>
      </c>
      <c r="B95" s="447">
        <v>45344.606249999997</v>
      </c>
      <c r="C95" s="448" t="s">
        <v>849</v>
      </c>
      <c r="D95" s="446">
        <v>25</v>
      </c>
      <c r="E95" s="446">
        <v>9.3779000000000001E-2</v>
      </c>
      <c r="F95" s="446">
        <v>34.4</v>
      </c>
      <c r="G95" s="446">
        <v>22.5</v>
      </c>
      <c r="H95" s="446">
        <v>991.65089999999998</v>
      </c>
      <c r="I95" s="446">
        <v>0.999722</v>
      </c>
      <c r="J95" s="446">
        <v>0.62911600000000001</v>
      </c>
      <c r="K95" s="446">
        <v>2359.9</v>
      </c>
      <c r="L95" s="437">
        <f t="shared" si="0"/>
        <v>1.0236228354164241</v>
      </c>
      <c r="M95" s="439">
        <f t="shared" si="1"/>
        <v>2305.4389940802366</v>
      </c>
      <c r="N95" s="446"/>
      <c r="O95" s="446" t="s">
        <v>21</v>
      </c>
      <c r="P95" s="446" t="s">
        <v>829</v>
      </c>
      <c r="Q95" s="444"/>
      <c r="R95" s="444"/>
      <c r="S95" s="444"/>
      <c r="T95" s="444"/>
      <c r="U95" s="444"/>
      <c r="V95" s="444"/>
      <c r="W95" s="444"/>
    </row>
    <row r="96" spans="1:23" ht="15.75">
      <c r="A96" s="446" t="s">
        <v>800</v>
      </c>
      <c r="B96" s="447">
        <v>45344.612500000003</v>
      </c>
      <c r="C96" s="448" t="s">
        <v>850</v>
      </c>
      <c r="D96" s="446">
        <v>25</v>
      </c>
      <c r="E96" s="446">
        <v>9.3779000000000001E-2</v>
      </c>
      <c r="F96" s="446">
        <v>34.1</v>
      </c>
      <c r="G96" s="446">
        <v>22.5</v>
      </c>
      <c r="H96" s="446">
        <v>987.96619999999996</v>
      </c>
      <c r="I96" s="446">
        <v>0.99975499999999995</v>
      </c>
      <c r="J96" s="446">
        <v>0.62283999999999995</v>
      </c>
      <c r="K96" s="446">
        <v>2336.4</v>
      </c>
      <c r="L96" s="437">
        <f t="shared" si="0"/>
        <v>1.0233951827932879</v>
      </c>
      <c r="M96" s="439">
        <f t="shared" si="1"/>
        <v>2282.9890537719302</v>
      </c>
      <c r="N96" s="446"/>
      <c r="O96" s="446" t="s">
        <v>21</v>
      </c>
      <c r="P96" s="446" t="s">
        <v>829</v>
      </c>
      <c r="Q96" s="444"/>
      <c r="R96" s="444"/>
      <c r="S96" s="444"/>
      <c r="T96" s="444"/>
      <c r="U96" s="444"/>
      <c r="V96" s="444"/>
      <c r="W96" s="444"/>
    </row>
    <row r="97" spans="1:23" ht="15.75">
      <c r="A97" s="446" t="s">
        <v>801</v>
      </c>
      <c r="B97" s="447">
        <v>45344.618750000001</v>
      </c>
      <c r="C97" s="446" t="s">
        <v>722</v>
      </c>
      <c r="D97" s="446">
        <v>25</v>
      </c>
      <c r="E97" s="446">
        <v>9.3779000000000001E-2</v>
      </c>
      <c r="F97" s="446">
        <v>33.4</v>
      </c>
      <c r="G97" s="446">
        <v>22.5</v>
      </c>
      <c r="H97" s="446">
        <v>976.79190000000006</v>
      </c>
      <c r="I97" s="446">
        <v>0.99980599999999997</v>
      </c>
      <c r="J97" s="446">
        <v>0.59728899999999996</v>
      </c>
      <c r="K97" s="446">
        <v>2240.5</v>
      </c>
      <c r="L97" s="437">
        <f t="shared" si="0"/>
        <v>1.0228641396069589</v>
      </c>
      <c r="M97" s="439">
        <f t="shared" si="1"/>
        <v>2190.4179775633979</v>
      </c>
      <c r="N97" s="446"/>
      <c r="O97" s="446" t="s">
        <v>21</v>
      </c>
      <c r="P97" s="446" t="s">
        <v>829</v>
      </c>
      <c r="Q97" s="444"/>
      <c r="R97" s="444"/>
      <c r="S97" s="444"/>
      <c r="T97" s="444"/>
      <c r="U97" s="444"/>
      <c r="V97" s="444"/>
      <c r="W97" s="444"/>
    </row>
    <row r="98" spans="1:23" ht="15.75">
      <c r="A98" s="446" t="s">
        <v>803</v>
      </c>
      <c r="B98" s="447">
        <v>45344.626388888886</v>
      </c>
      <c r="C98" s="448" t="s">
        <v>851</v>
      </c>
      <c r="D98" s="446">
        <v>25</v>
      </c>
      <c r="E98" s="446">
        <v>9.3779000000000001E-2</v>
      </c>
      <c r="F98" s="446">
        <v>34.1</v>
      </c>
      <c r="G98" s="446">
        <v>22.5</v>
      </c>
      <c r="H98" s="446">
        <v>978.52009999999996</v>
      </c>
      <c r="I98" s="446">
        <v>0.99984099999999998</v>
      </c>
      <c r="J98" s="446">
        <v>0.62493100000000001</v>
      </c>
      <c r="K98" s="446">
        <v>2344.1999999999998</v>
      </c>
      <c r="L98" s="437">
        <f t="shared" si="0"/>
        <v>1.0233951827932879</v>
      </c>
      <c r="M98" s="439">
        <f t="shared" si="1"/>
        <v>2290.6107429601775</v>
      </c>
      <c r="N98" s="446"/>
      <c r="O98" s="446" t="s">
        <v>21</v>
      </c>
      <c r="P98" s="446" t="s">
        <v>829</v>
      </c>
      <c r="Q98" s="444"/>
      <c r="R98" s="444"/>
      <c r="S98" s="444"/>
      <c r="T98" s="444"/>
      <c r="U98" s="444"/>
      <c r="V98" s="444"/>
      <c r="W98" s="444"/>
    </row>
    <row r="99" spans="1:23" ht="15.75">
      <c r="A99" s="446" t="s">
        <v>804</v>
      </c>
      <c r="B99" s="447">
        <v>45344.632638888892</v>
      </c>
      <c r="C99" s="448" t="s">
        <v>852</v>
      </c>
      <c r="D99" s="446">
        <v>25</v>
      </c>
      <c r="E99" s="446">
        <v>9.3779000000000001E-2</v>
      </c>
      <c r="F99" s="446">
        <v>34.4</v>
      </c>
      <c r="G99" s="446">
        <v>22.5</v>
      </c>
      <c r="H99" s="446">
        <v>980.63800000000003</v>
      </c>
      <c r="I99" s="446">
        <v>0.99982599999999999</v>
      </c>
      <c r="J99" s="446">
        <v>0.62942799999999999</v>
      </c>
      <c r="K99" s="446">
        <v>2361.1</v>
      </c>
      <c r="L99" s="437">
        <f t="shared" si="0"/>
        <v>1.0236228354164241</v>
      </c>
      <c r="M99" s="439">
        <f t="shared" si="1"/>
        <v>2306.6113008698867</v>
      </c>
      <c r="N99" s="446"/>
      <c r="O99" s="446" t="s">
        <v>21</v>
      </c>
      <c r="P99" s="446" t="s">
        <v>829</v>
      </c>
      <c r="Q99" s="444"/>
      <c r="R99" s="444"/>
      <c r="S99" s="444"/>
      <c r="T99" s="444"/>
      <c r="U99" s="444"/>
      <c r="V99" s="444"/>
      <c r="W99" s="444"/>
    </row>
    <row r="100" spans="1:23" ht="15.75">
      <c r="A100" s="446" t="s">
        <v>805</v>
      </c>
      <c r="B100" s="450">
        <v>45344.638888888891</v>
      </c>
      <c r="C100" s="446">
        <v>418</v>
      </c>
      <c r="D100" s="446">
        <v>25</v>
      </c>
      <c r="E100" s="446">
        <v>9.3779000000000001E-2</v>
      </c>
      <c r="F100" s="446">
        <v>36.4</v>
      </c>
      <c r="G100" s="446">
        <v>22.5</v>
      </c>
      <c r="H100" s="446">
        <v>931.54089999999997</v>
      </c>
      <c r="I100" s="446">
        <v>0.99988200000000005</v>
      </c>
      <c r="J100" s="446">
        <v>0.633965</v>
      </c>
      <c r="K100" s="446">
        <v>2378.1</v>
      </c>
      <c r="L100" s="437">
        <f t="shared" si="0"/>
        <v>1.0251414988430922</v>
      </c>
      <c r="M100" s="439">
        <f t="shared" si="1"/>
        <v>2319.7773211637304</v>
      </c>
      <c r="N100" s="446"/>
      <c r="O100" s="446" t="s">
        <v>21</v>
      </c>
      <c r="P100" s="446" t="s">
        <v>829</v>
      </c>
      <c r="Q100" s="444"/>
      <c r="R100" s="444"/>
      <c r="S100" s="444"/>
      <c r="T100" s="444"/>
      <c r="U100" s="444"/>
      <c r="V100" s="444"/>
      <c r="W100" s="444"/>
    </row>
    <row r="101" spans="1:23" ht="15.75">
      <c r="A101" s="446" t="s">
        <v>806</v>
      </c>
      <c r="B101" s="450">
        <v>45344.645138888889</v>
      </c>
      <c r="C101" s="446">
        <v>158</v>
      </c>
      <c r="D101" s="446">
        <v>25</v>
      </c>
      <c r="E101" s="446">
        <v>9.3779000000000001E-2</v>
      </c>
      <c r="F101" s="446">
        <v>36.9</v>
      </c>
      <c r="G101" s="446">
        <v>22.5</v>
      </c>
      <c r="H101" s="446">
        <v>928.72839999999997</v>
      </c>
      <c r="I101" s="446">
        <v>0.99986799999999998</v>
      </c>
      <c r="J101" s="446">
        <v>0.63995999999999997</v>
      </c>
      <c r="K101" s="446">
        <v>2400.6</v>
      </c>
      <c r="L101" s="437">
        <f t="shared" si="0"/>
        <v>1.0255214352246484</v>
      </c>
      <c r="M101" s="439">
        <f t="shared" si="1"/>
        <v>2340.857945571981</v>
      </c>
      <c r="N101" s="446"/>
      <c r="O101" s="446" t="s">
        <v>21</v>
      </c>
      <c r="P101" s="446" t="s">
        <v>829</v>
      </c>
      <c r="Q101" s="444"/>
      <c r="R101" s="444"/>
      <c r="S101" s="444"/>
      <c r="T101" s="444"/>
      <c r="U101" s="444"/>
      <c r="V101" s="444"/>
      <c r="W101" s="444"/>
    </row>
    <row r="102" spans="1:23" ht="15.75">
      <c r="A102" s="446" t="s">
        <v>807</v>
      </c>
      <c r="B102" s="450">
        <v>45344.652083333334</v>
      </c>
      <c r="C102" s="446">
        <v>392</v>
      </c>
      <c r="D102" s="446">
        <v>25</v>
      </c>
      <c r="E102" s="446">
        <v>9.3779000000000001E-2</v>
      </c>
      <c r="F102" s="446">
        <v>36.4</v>
      </c>
      <c r="G102" s="446">
        <v>22.5</v>
      </c>
      <c r="H102" s="446">
        <v>935.19970000000001</v>
      </c>
      <c r="I102" s="446">
        <v>0.99988200000000005</v>
      </c>
      <c r="J102" s="446">
        <v>0.63238099999999997</v>
      </c>
      <c r="K102" s="446">
        <v>2372.1999999999998</v>
      </c>
      <c r="L102" s="437">
        <f t="shared" si="0"/>
        <v>1.0251414988430922</v>
      </c>
      <c r="M102" s="439">
        <f t="shared" si="1"/>
        <v>2314.0220181088266</v>
      </c>
      <c r="N102" s="446"/>
      <c r="O102" s="446" t="s">
        <v>21</v>
      </c>
      <c r="P102" s="446" t="s">
        <v>829</v>
      </c>
      <c r="Q102" s="444"/>
      <c r="R102" s="444"/>
      <c r="S102" s="444"/>
      <c r="T102" s="444"/>
      <c r="U102" s="444"/>
      <c r="V102" s="444"/>
      <c r="W102" s="444"/>
    </row>
    <row r="103" spans="1:23" ht="15.75">
      <c r="A103" s="446" t="s">
        <v>808</v>
      </c>
      <c r="B103" s="450">
        <v>45344.659722222219</v>
      </c>
      <c r="C103" s="446">
        <v>157</v>
      </c>
      <c r="D103" s="446">
        <v>25</v>
      </c>
      <c r="E103" s="446">
        <v>9.3779000000000001E-2</v>
      </c>
      <c r="F103" s="446">
        <v>36.799999999999997</v>
      </c>
      <c r="G103" s="446">
        <v>22.5</v>
      </c>
      <c r="H103" s="446">
        <v>930.34619999999995</v>
      </c>
      <c r="I103" s="446">
        <v>0.99986399999999998</v>
      </c>
      <c r="J103" s="446">
        <v>0.63949999999999996</v>
      </c>
      <c r="K103" s="446">
        <v>2398.9</v>
      </c>
      <c r="L103" s="437">
        <f t="shared" si="0"/>
        <v>1.0254454391737517</v>
      </c>
      <c r="M103" s="439">
        <f t="shared" si="1"/>
        <v>2339.3736110747182</v>
      </c>
      <c r="N103" s="446"/>
      <c r="O103" s="446" t="s">
        <v>21</v>
      </c>
      <c r="P103" s="446" t="s">
        <v>829</v>
      </c>
      <c r="Q103" s="444"/>
      <c r="R103" s="444"/>
      <c r="S103" s="444"/>
      <c r="T103" s="444"/>
      <c r="U103" s="444"/>
      <c r="V103" s="444"/>
      <c r="W103" s="444"/>
    </row>
    <row r="104" spans="1:23" ht="15.75">
      <c r="A104" s="446" t="s">
        <v>809</v>
      </c>
      <c r="B104" s="450">
        <v>45344.666666666664</v>
      </c>
      <c r="C104" s="446">
        <v>378</v>
      </c>
      <c r="D104" s="446">
        <v>25</v>
      </c>
      <c r="E104" s="446">
        <v>9.3779000000000001E-2</v>
      </c>
      <c r="F104" s="446">
        <v>36.700000000000003</v>
      </c>
      <c r="G104" s="446">
        <v>22.5</v>
      </c>
      <c r="H104" s="446">
        <v>935.81939999999997</v>
      </c>
      <c r="I104" s="446">
        <v>0.99985199999999996</v>
      </c>
      <c r="J104" s="446">
        <v>0.63593500000000003</v>
      </c>
      <c r="K104" s="446">
        <v>2385.5</v>
      </c>
      <c r="L104" s="437">
        <f t="shared" si="0"/>
        <v>1.0253694475173356</v>
      </c>
      <c r="M104" s="439">
        <f t="shared" si="1"/>
        <v>2326.4785251558501</v>
      </c>
      <c r="N104" s="446"/>
      <c r="O104" s="446" t="s">
        <v>21</v>
      </c>
      <c r="P104" s="446" t="s">
        <v>829</v>
      </c>
      <c r="Q104" s="444"/>
      <c r="R104" s="444"/>
      <c r="S104" s="444"/>
      <c r="T104" s="444"/>
      <c r="U104" s="444"/>
      <c r="V104" s="444"/>
      <c r="W104" s="444"/>
    </row>
    <row r="105" spans="1:23" ht="15.75">
      <c r="A105" s="446" t="s">
        <v>810</v>
      </c>
      <c r="B105" s="450">
        <v>45344.67291666667</v>
      </c>
      <c r="C105" s="446">
        <v>379</v>
      </c>
      <c r="D105" s="446">
        <v>25</v>
      </c>
      <c r="E105" s="446">
        <v>9.3779000000000001E-2</v>
      </c>
      <c r="F105" s="446">
        <v>36.5</v>
      </c>
      <c r="G105" s="446">
        <v>22.5</v>
      </c>
      <c r="H105" s="446">
        <v>948.52279999999996</v>
      </c>
      <c r="I105" s="446">
        <v>0.99984799999999996</v>
      </c>
      <c r="J105" s="446">
        <v>0.63340300000000005</v>
      </c>
      <c r="K105" s="446">
        <v>2376</v>
      </c>
      <c r="L105" s="437">
        <f t="shared" si="0"/>
        <v>1.0252174773592224</v>
      </c>
      <c r="M105" s="439">
        <f t="shared" si="1"/>
        <v>2317.5570573768923</v>
      </c>
      <c r="N105" s="446"/>
      <c r="O105" s="446" t="s">
        <v>21</v>
      </c>
      <c r="P105" s="446" t="s">
        <v>829</v>
      </c>
      <c r="Q105" s="444"/>
      <c r="R105" s="444"/>
      <c r="S105" s="444"/>
      <c r="T105" s="444"/>
      <c r="U105" s="444"/>
      <c r="V105" s="444"/>
      <c r="W105" s="444"/>
    </row>
    <row r="106" spans="1:23" ht="15.75">
      <c r="A106" s="446" t="s">
        <v>811</v>
      </c>
      <c r="B106" s="450">
        <v>45344.679861111108</v>
      </c>
      <c r="C106" s="446">
        <v>352</v>
      </c>
      <c r="D106" s="446">
        <v>25</v>
      </c>
      <c r="E106" s="446">
        <v>9.3779000000000001E-2</v>
      </c>
      <c r="F106" s="446">
        <v>36.9</v>
      </c>
      <c r="G106" s="446">
        <v>22.5</v>
      </c>
      <c r="H106" s="446">
        <v>949.0933</v>
      </c>
      <c r="I106" s="446">
        <v>0.99988100000000002</v>
      </c>
      <c r="J106" s="446">
        <v>0.64050200000000002</v>
      </c>
      <c r="K106" s="446">
        <v>2402.6</v>
      </c>
      <c r="L106" s="437">
        <f t="shared" si="0"/>
        <v>1.0255214352246484</v>
      </c>
      <c r="M106" s="439">
        <f t="shared" si="1"/>
        <v>2342.8081729697747</v>
      </c>
      <c r="N106" s="446"/>
      <c r="O106" s="446" t="s">
        <v>21</v>
      </c>
      <c r="P106" s="446" t="s">
        <v>829</v>
      </c>
      <c r="Q106" s="444"/>
      <c r="R106" s="444"/>
      <c r="S106" s="444"/>
      <c r="T106" s="444"/>
      <c r="U106" s="444"/>
      <c r="V106" s="444"/>
      <c r="W106" s="444"/>
    </row>
    <row r="107" spans="1:23" ht="15.75">
      <c r="A107" s="446" t="s">
        <v>812</v>
      </c>
      <c r="B107" s="450">
        <v>45344.686111111114</v>
      </c>
      <c r="C107" s="446">
        <v>353</v>
      </c>
      <c r="D107" s="446">
        <v>25</v>
      </c>
      <c r="E107" s="446">
        <v>9.3779000000000001E-2</v>
      </c>
      <c r="F107" s="446">
        <v>36.9</v>
      </c>
      <c r="G107" s="446">
        <v>22.5</v>
      </c>
      <c r="H107" s="446">
        <v>954.56790000000001</v>
      </c>
      <c r="I107" s="446">
        <v>0.99984399999999996</v>
      </c>
      <c r="J107" s="446">
        <v>0.64117599999999997</v>
      </c>
      <c r="K107" s="446">
        <v>2405.1999999999998</v>
      </c>
      <c r="L107" s="437">
        <f t="shared" si="0"/>
        <v>1.0255214352246484</v>
      </c>
      <c r="M107" s="439">
        <f t="shared" si="1"/>
        <v>2345.343468586907</v>
      </c>
      <c r="N107" s="446"/>
      <c r="O107" s="446" t="s">
        <v>21</v>
      </c>
      <c r="P107" s="446" t="s">
        <v>829</v>
      </c>
      <c r="Q107" s="444"/>
      <c r="R107" s="444"/>
      <c r="S107" s="444"/>
      <c r="T107" s="444"/>
      <c r="U107" s="444"/>
      <c r="V107" s="444"/>
      <c r="W107" s="444"/>
    </row>
    <row r="108" spans="1:23" ht="15.75">
      <c r="A108" s="446" t="s">
        <v>813</v>
      </c>
      <c r="B108" s="450">
        <v>45344.693055555559</v>
      </c>
      <c r="C108" s="446" t="s">
        <v>722</v>
      </c>
      <c r="D108" s="446">
        <v>25</v>
      </c>
      <c r="E108" s="446">
        <v>9.3779000000000001E-2</v>
      </c>
      <c r="F108" s="446">
        <v>33.4</v>
      </c>
      <c r="G108" s="446">
        <v>22.5</v>
      </c>
      <c r="H108" s="446">
        <v>973.30579999999998</v>
      </c>
      <c r="I108" s="446">
        <v>0.99977199999999999</v>
      </c>
      <c r="J108" s="446">
        <v>0.597526</v>
      </c>
      <c r="K108" s="446">
        <v>2241.4</v>
      </c>
      <c r="L108" s="437">
        <f t="shared" si="0"/>
        <v>1.0228641396069589</v>
      </c>
      <c r="M108" s="439">
        <f t="shared" si="1"/>
        <v>2191.2978598128097</v>
      </c>
      <c r="N108" s="446"/>
      <c r="O108" s="446" t="s">
        <v>21</v>
      </c>
      <c r="P108" s="446" t="s">
        <v>829</v>
      </c>
      <c r="Q108" s="444"/>
      <c r="R108" s="444"/>
      <c r="S108" s="444"/>
      <c r="T108" s="444"/>
      <c r="U108" s="444"/>
      <c r="V108" s="444"/>
      <c r="W108" s="444"/>
    </row>
    <row r="109" spans="1:23" ht="15.75">
      <c r="A109" s="446" t="s">
        <v>815</v>
      </c>
      <c r="B109" s="450">
        <v>45344.699305555558</v>
      </c>
      <c r="C109" s="446">
        <v>391</v>
      </c>
      <c r="D109" s="446">
        <v>25</v>
      </c>
      <c r="E109" s="446">
        <v>9.3779000000000001E-2</v>
      </c>
      <c r="F109" s="446">
        <v>36.6</v>
      </c>
      <c r="G109" s="446">
        <v>22.5</v>
      </c>
      <c r="H109" s="446">
        <v>964.0213</v>
      </c>
      <c r="I109" s="446">
        <v>0.99981699999999996</v>
      </c>
      <c r="J109" s="446">
        <v>0.634988</v>
      </c>
      <c r="K109" s="446">
        <v>2381.9</v>
      </c>
      <c r="L109" s="437">
        <f t="shared" si="0"/>
        <v>1.0252934602482262</v>
      </c>
      <c r="M109" s="439">
        <f t="shared" si="1"/>
        <v>2323.1397569075843</v>
      </c>
      <c r="N109" s="446"/>
      <c r="O109" s="446" t="s">
        <v>21</v>
      </c>
      <c r="P109" s="446" t="s">
        <v>829</v>
      </c>
      <c r="Q109" s="444"/>
      <c r="R109" s="444"/>
      <c r="S109" s="444"/>
      <c r="T109" s="444"/>
      <c r="U109" s="444"/>
      <c r="V109" s="444"/>
      <c r="W109" s="444"/>
    </row>
    <row r="110" spans="1:23" ht="15.75">
      <c r="A110" s="446" t="s">
        <v>817</v>
      </c>
      <c r="B110" s="450">
        <v>45344.705555555556</v>
      </c>
      <c r="C110" s="446">
        <v>365</v>
      </c>
      <c r="D110" s="446">
        <v>25</v>
      </c>
      <c r="E110" s="446">
        <v>9.3779000000000001E-2</v>
      </c>
      <c r="F110" s="446">
        <v>36.4</v>
      </c>
      <c r="G110" s="446">
        <v>22.5</v>
      </c>
      <c r="H110" s="446">
        <v>961.11580000000004</v>
      </c>
      <c r="I110" s="446">
        <v>0.99981500000000001</v>
      </c>
      <c r="J110" s="446">
        <v>0.63270300000000002</v>
      </c>
      <c r="K110" s="446">
        <v>2373.4</v>
      </c>
      <c r="L110" s="437">
        <f t="shared" si="0"/>
        <v>1.0251414988430922</v>
      </c>
      <c r="M110" s="439">
        <f t="shared" si="1"/>
        <v>2315.1925882216888</v>
      </c>
      <c r="N110" s="446"/>
      <c r="O110" s="446" t="s">
        <v>21</v>
      </c>
      <c r="P110" s="446" t="s">
        <v>829</v>
      </c>
      <c r="Q110" s="444"/>
      <c r="R110" s="444"/>
      <c r="S110" s="444"/>
      <c r="T110" s="444"/>
      <c r="U110" s="444"/>
      <c r="V110" s="444"/>
      <c r="W110" s="444"/>
    </row>
    <row r="111" spans="1:23" ht="15.75">
      <c r="A111" s="446" t="s">
        <v>853</v>
      </c>
      <c r="B111" s="450">
        <v>45344.711805555555</v>
      </c>
      <c r="C111" s="446">
        <v>417</v>
      </c>
      <c r="D111" s="446">
        <v>25</v>
      </c>
      <c r="E111" s="446">
        <v>9.3779000000000001E-2</v>
      </c>
      <c r="F111" s="446">
        <v>36.299999999999997</v>
      </c>
      <c r="G111" s="446">
        <v>22.5</v>
      </c>
      <c r="H111" s="446">
        <v>962.11540000000002</v>
      </c>
      <c r="I111" s="446">
        <v>0.99976399999999999</v>
      </c>
      <c r="J111" s="446">
        <v>0.63349800000000001</v>
      </c>
      <c r="K111" s="446">
        <v>2376.4</v>
      </c>
      <c r="L111" s="437">
        <f t="shared" si="0"/>
        <v>1.0250655246925739</v>
      </c>
      <c r="M111" s="439">
        <f t="shared" si="1"/>
        <v>2318.2908241038572</v>
      </c>
      <c r="N111" s="446"/>
      <c r="O111" s="446" t="s">
        <v>21</v>
      </c>
      <c r="P111" s="446" t="s">
        <v>829</v>
      </c>
      <c r="Q111" s="444"/>
      <c r="R111" s="444"/>
      <c r="S111" s="444"/>
      <c r="T111" s="444"/>
      <c r="U111" s="444"/>
      <c r="V111" s="444"/>
      <c r="W111" s="444"/>
    </row>
    <row r="112" spans="1:23" ht="15.75">
      <c r="A112" s="446" t="s">
        <v>854</v>
      </c>
      <c r="B112" s="450">
        <v>45344.718055555553</v>
      </c>
      <c r="C112" s="446">
        <v>340</v>
      </c>
      <c r="D112" s="446">
        <v>25</v>
      </c>
      <c r="E112" s="446">
        <v>9.3779000000000001E-2</v>
      </c>
      <c r="F112" s="446">
        <v>36.6</v>
      </c>
      <c r="G112" s="446">
        <v>22.5</v>
      </c>
      <c r="H112" s="446">
        <v>969.57799999999997</v>
      </c>
      <c r="I112" s="446">
        <v>0.99977000000000005</v>
      </c>
      <c r="J112" s="446">
        <v>0.63324000000000003</v>
      </c>
      <c r="K112" s="446">
        <v>2375.4</v>
      </c>
      <c r="L112" s="437">
        <f t="shared" si="0"/>
        <v>1.0252934602482262</v>
      </c>
      <c r="M112" s="439">
        <f t="shared" si="1"/>
        <v>2316.8001085512724</v>
      </c>
      <c r="N112" s="446"/>
      <c r="O112" s="446" t="s">
        <v>21</v>
      </c>
      <c r="P112" s="446" t="s">
        <v>829</v>
      </c>
      <c r="Q112" s="444"/>
      <c r="R112" s="444"/>
      <c r="S112" s="444"/>
      <c r="T112" s="444"/>
      <c r="U112" s="444"/>
      <c r="V112" s="444"/>
      <c r="W112" s="444"/>
    </row>
    <row r="113" spans="1:29" ht="15.75">
      <c r="A113" s="446" t="s">
        <v>855</v>
      </c>
      <c r="B113" s="450">
        <v>45344.723611111112</v>
      </c>
      <c r="C113" s="446">
        <v>339</v>
      </c>
      <c r="D113" s="446">
        <v>25</v>
      </c>
      <c r="E113" s="446">
        <v>9.3779000000000001E-2</v>
      </c>
      <c r="F113" s="446">
        <v>36.6</v>
      </c>
      <c r="G113" s="446">
        <v>22.5</v>
      </c>
      <c r="H113" s="446">
        <v>964.64149999999995</v>
      </c>
      <c r="I113" s="446">
        <v>0.99983</v>
      </c>
      <c r="J113" s="446">
        <v>0.63418099999999999</v>
      </c>
      <c r="K113" s="446">
        <v>2378.9</v>
      </c>
      <c r="L113" s="437">
        <f t="shared" si="0"/>
        <v>1.0252934602482262</v>
      </c>
      <c r="M113" s="439">
        <f t="shared" si="1"/>
        <v>2320.2137653585173</v>
      </c>
      <c r="N113" s="446"/>
      <c r="O113" s="446" t="s">
        <v>21</v>
      </c>
      <c r="P113" s="446" t="s">
        <v>829</v>
      </c>
      <c r="Q113" s="444"/>
      <c r="R113" s="444"/>
      <c r="S113" s="444"/>
      <c r="T113" s="444"/>
      <c r="U113" s="444"/>
      <c r="V113" s="444"/>
      <c r="W113" s="444"/>
    </row>
    <row r="114" spans="1:29" ht="15.75">
      <c r="A114" s="446" t="s">
        <v>856</v>
      </c>
      <c r="B114" s="450">
        <v>45344.729861111111</v>
      </c>
      <c r="C114" s="446">
        <v>366</v>
      </c>
      <c r="D114" s="446">
        <v>25</v>
      </c>
      <c r="E114" s="446">
        <v>9.3779000000000001E-2</v>
      </c>
      <c r="F114" s="446">
        <v>36.5</v>
      </c>
      <c r="G114" s="446">
        <v>22.5</v>
      </c>
      <c r="H114" s="446">
        <v>967.24270000000001</v>
      </c>
      <c r="I114" s="446">
        <v>0.99980899999999995</v>
      </c>
      <c r="J114" s="446">
        <v>0.63333499999999998</v>
      </c>
      <c r="K114" s="446">
        <v>2375.6999999999998</v>
      </c>
      <c r="L114" s="437">
        <f t="shared" si="0"/>
        <v>1.0252174773592224</v>
      </c>
      <c r="M114" s="439">
        <f t="shared" si="1"/>
        <v>2317.264436536314</v>
      </c>
      <c r="N114" s="446"/>
      <c r="O114" s="446" t="s">
        <v>21</v>
      </c>
      <c r="P114" s="446" t="s">
        <v>829</v>
      </c>
      <c r="Q114" s="444"/>
      <c r="R114" s="444"/>
      <c r="S114" s="444"/>
      <c r="T114" s="444"/>
      <c r="U114" s="444"/>
      <c r="V114" s="444"/>
      <c r="W114" s="444"/>
    </row>
    <row r="115" spans="1:29" ht="15.75">
      <c r="A115" s="446" t="s">
        <v>857</v>
      </c>
      <c r="B115" s="447">
        <v>45344.736111111109</v>
      </c>
      <c r="C115" s="446" t="s">
        <v>722</v>
      </c>
      <c r="D115" s="446">
        <v>25</v>
      </c>
      <c r="E115" s="446">
        <v>9.3779000000000001E-2</v>
      </c>
      <c r="F115" s="446">
        <v>33.4</v>
      </c>
      <c r="G115" s="446">
        <v>22.5</v>
      </c>
      <c r="H115" s="446">
        <v>975.28070000000002</v>
      </c>
      <c r="I115" s="446">
        <v>0.99978800000000001</v>
      </c>
      <c r="J115" s="446">
        <v>0.59805200000000003</v>
      </c>
      <c r="K115" s="446">
        <v>2243.4</v>
      </c>
      <c r="L115" s="437">
        <f t="shared" si="0"/>
        <v>1.0228641396069589</v>
      </c>
      <c r="M115" s="439">
        <f t="shared" si="1"/>
        <v>2193.2531537003915</v>
      </c>
      <c r="N115" s="446"/>
      <c r="O115" s="446" t="s">
        <v>21</v>
      </c>
      <c r="P115" s="446" t="s">
        <v>829</v>
      </c>
      <c r="Q115" s="444"/>
      <c r="R115" s="444"/>
      <c r="S115" s="444"/>
      <c r="T115" s="444"/>
      <c r="U115" s="444"/>
      <c r="V115" s="444"/>
      <c r="W115" s="444"/>
    </row>
    <row r="116" spans="1:29" ht="15.75">
      <c r="A116" s="446" t="s">
        <v>772</v>
      </c>
      <c r="B116" s="447">
        <v>45348.410416666666</v>
      </c>
      <c r="C116" s="446" t="s">
        <v>773</v>
      </c>
      <c r="D116" s="446">
        <v>25</v>
      </c>
      <c r="E116" s="446">
        <v>9.3779000000000001E-2</v>
      </c>
      <c r="F116" s="446" t="s">
        <v>774</v>
      </c>
      <c r="G116" s="446">
        <v>22.5</v>
      </c>
      <c r="H116" s="446">
        <v>1142.393</v>
      </c>
      <c r="I116" s="446">
        <v>0.99999400000000005</v>
      </c>
      <c r="J116" s="446">
        <v>0.50823700000000005</v>
      </c>
      <c r="K116" s="446">
        <v>1906.5</v>
      </c>
      <c r="L116" s="437" t="e">
        <f t="shared" si="0"/>
        <v>#VALUE!</v>
      </c>
      <c r="M116" s="439" t="e">
        <f t="shared" si="1"/>
        <v>#VALUE!</v>
      </c>
      <c r="N116" s="446"/>
      <c r="O116" s="446" t="s">
        <v>775</v>
      </c>
      <c r="P116" s="446" t="s">
        <v>20</v>
      </c>
      <c r="Q116" s="446"/>
      <c r="R116" s="446"/>
      <c r="S116" s="451"/>
      <c r="T116" s="451"/>
      <c r="U116" s="451"/>
      <c r="V116" s="451"/>
      <c r="W116" s="451"/>
      <c r="X116" s="27"/>
      <c r="Y116" s="27"/>
      <c r="Z116" s="27"/>
      <c r="AA116" s="27"/>
      <c r="AB116" s="27"/>
      <c r="AC116" s="27"/>
    </row>
    <row r="117" spans="1:29" ht="15.75">
      <c r="A117" s="446" t="s">
        <v>776</v>
      </c>
      <c r="B117" s="447">
        <v>45348.415277777778</v>
      </c>
      <c r="C117" s="446" t="s">
        <v>773</v>
      </c>
      <c r="D117" s="446">
        <v>25</v>
      </c>
      <c r="E117" s="446">
        <v>9.3779000000000001E-2</v>
      </c>
      <c r="F117" s="446" t="s">
        <v>774</v>
      </c>
      <c r="G117" s="446">
        <v>22.5</v>
      </c>
      <c r="H117" s="446">
        <v>1141.9259999999999</v>
      </c>
      <c r="I117" s="446">
        <v>0.99999199999999999</v>
      </c>
      <c r="J117" s="446">
        <v>0.50713299999999994</v>
      </c>
      <c r="K117" s="446">
        <v>1902.3</v>
      </c>
      <c r="L117" s="437" t="e">
        <f t="shared" si="0"/>
        <v>#VALUE!</v>
      </c>
      <c r="M117" s="439" t="e">
        <f t="shared" si="1"/>
        <v>#VALUE!</v>
      </c>
      <c r="N117" s="446">
        <v>2.9293999999999998</v>
      </c>
      <c r="O117" s="446" t="s">
        <v>775</v>
      </c>
      <c r="P117" s="446" t="s">
        <v>20</v>
      </c>
      <c r="Q117" s="446"/>
      <c r="R117" s="446"/>
      <c r="S117" s="451"/>
      <c r="T117" s="451"/>
      <c r="U117" s="451"/>
      <c r="V117" s="451"/>
      <c r="W117" s="451"/>
      <c r="X117" s="27"/>
      <c r="Y117" s="27"/>
      <c r="Z117" s="27"/>
      <c r="AA117" s="27"/>
      <c r="AB117" s="27"/>
      <c r="AC117" s="27"/>
    </row>
    <row r="118" spans="1:29" ht="15.75">
      <c r="A118" s="446" t="s">
        <v>777</v>
      </c>
      <c r="B118" s="447">
        <v>45348.42083333333</v>
      </c>
      <c r="C118" s="446" t="s">
        <v>773</v>
      </c>
      <c r="D118" s="446">
        <v>25</v>
      </c>
      <c r="E118" s="446">
        <v>9.3779000000000001E-2</v>
      </c>
      <c r="F118" s="446" t="s">
        <v>774</v>
      </c>
      <c r="G118" s="446">
        <v>22.5</v>
      </c>
      <c r="H118" s="446">
        <v>1152.8979999999999</v>
      </c>
      <c r="I118" s="446">
        <v>0.99997899999999995</v>
      </c>
      <c r="J118" s="446">
        <v>0.50881500000000002</v>
      </c>
      <c r="K118" s="446">
        <v>1908.6</v>
      </c>
      <c r="L118" s="437" t="e">
        <f t="shared" si="0"/>
        <v>#VALUE!</v>
      </c>
      <c r="M118" s="439" t="e">
        <f t="shared" si="1"/>
        <v>#VALUE!</v>
      </c>
      <c r="N118" s="446">
        <v>4.4604999999999997</v>
      </c>
      <c r="O118" s="446" t="s">
        <v>775</v>
      </c>
      <c r="P118" s="446" t="s">
        <v>20</v>
      </c>
      <c r="Q118" s="446"/>
      <c r="R118" s="446"/>
      <c r="S118" s="451"/>
      <c r="T118" s="451"/>
      <c r="U118" s="451"/>
      <c r="V118" s="451"/>
      <c r="W118" s="451"/>
      <c r="X118" s="27"/>
      <c r="Y118" s="27"/>
      <c r="Z118" s="27"/>
      <c r="AA118" s="27"/>
      <c r="AB118" s="27"/>
      <c r="AC118" s="27"/>
    </row>
    <row r="119" spans="1:29" ht="15.75">
      <c r="A119" s="446" t="s">
        <v>858</v>
      </c>
      <c r="B119" s="447">
        <v>45348.428472222222</v>
      </c>
      <c r="C119" s="446" t="s">
        <v>773</v>
      </c>
      <c r="D119" s="446">
        <v>25</v>
      </c>
      <c r="E119" s="446">
        <v>9.3779000000000001E-2</v>
      </c>
      <c r="F119" s="446" t="s">
        <v>774</v>
      </c>
      <c r="G119" s="446">
        <v>22.5</v>
      </c>
      <c r="H119" s="446">
        <v>1149.9670000000001</v>
      </c>
      <c r="I119" s="446">
        <v>0.99998600000000004</v>
      </c>
      <c r="J119" s="446">
        <v>0.50787899999999997</v>
      </c>
      <c r="K119" s="446">
        <v>1905.1</v>
      </c>
      <c r="L119" s="437" t="e">
        <f t="shared" si="0"/>
        <v>#VALUE!</v>
      </c>
      <c r="M119" s="439" t="e">
        <f t="shared" si="1"/>
        <v>#VALUE!</v>
      </c>
      <c r="N119" s="446">
        <v>2.4815</v>
      </c>
      <c r="O119" s="446" t="s">
        <v>775</v>
      </c>
      <c r="P119" s="446" t="s">
        <v>20</v>
      </c>
      <c r="Q119" s="446"/>
      <c r="R119" s="446"/>
      <c r="S119" s="451"/>
      <c r="T119" s="451"/>
      <c r="U119" s="451"/>
      <c r="V119" s="451"/>
      <c r="W119" s="451"/>
      <c r="X119" s="27"/>
      <c r="Y119" s="27"/>
      <c r="Z119" s="27"/>
      <c r="AA119" s="27"/>
      <c r="AB119" s="27"/>
      <c r="AC119" s="27"/>
    </row>
    <row r="120" spans="1:29" ht="15.75">
      <c r="A120" s="446" t="s">
        <v>859</v>
      </c>
      <c r="B120" s="447">
        <v>45348.434027777781</v>
      </c>
      <c r="C120" s="446" t="s">
        <v>773</v>
      </c>
      <c r="D120" s="446">
        <v>25</v>
      </c>
      <c r="E120" s="446">
        <v>9.3779000000000001E-2</v>
      </c>
      <c r="F120" s="446" t="s">
        <v>774</v>
      </c>
      <c r="G120" s="446">
        <v>22.5</v>
      </c>
      <c r="H120" s="446">
        <v>1141.385</v>
      </c>
      <c r="I120" s="446">
        <v>0.99998399999999998</v>
      </c>
      <c r="J120" s="446">
        <v>0.50760400000000006</v>
      </c>
      <c r="K120" s="446">
        <v>1904.1</v>
      </c>
      <c r="L120" s="437" t="e">
        <f t="shared" si="0"/>
        <v>#VALUE!</v>
      </c>
      <c r="M120" s="439" t="e">
        <f t="shared" si="1"/>
        <v>#VALUE!</v>
      </c>
      <c r="N120" s="446">
        <v>0.72889999999999999</v>
      </c>
      <c r="O120" s="446" t="s">
        <v>775</v>
      </c>
      <c r="P120" s="446" t="s">
        <v>20</v>
      </c>
      <c r="Q120" s="446"/>
      <c r="R120" s="446"/>
      <c r="S120" s="451"/>
      <c r="T120" s="451"/>
      <c r="U120" s="451"/>
      <c r="V120" s="451"/>
      <c r="W120" s="451"/>
      <c r="X120" s="27"/>
      <c r="Y120" s="27"/>
      <c r="Z120" s="27"/>
      <c r="AA120" s="27"/>
      <c r="AB120" s="27"/>
      <c r="AC120" s="27"/>
    </row>
    <row r="121" spans="1:29" ht="15.75">
      <c r="A121" s="446" t="s">
        <v>778</v>
      </c>
      <c r="B121" s="447">
        <v>45348.446527777778</v>
      </c>
      <c r="C121" s="446" t="s">
        <v>750</v>
      </c>
      <c r="D121" s="446">
        <v>25</v>
      </c>
      <c r="E121" s="446">
        <v>9.3779000000000001E-2</v>
      </c>
      <c r="F121" s="446">
        <v>33.4</v>
      </c>
      <c r="G121" s="446">
        <v>22.5</v>
      </c>
      <c r="H121" s="446">
        <v>956.10940000000005</v>
      </c>
      <c r="I121" s="446">
        <v>0.99994400000000006</v>
      </c>
      <c r="J121" s="446">
        <v>0.60665100000000005</v>
      </c>
      <c r="K121" s="446">
        <v>2275.6999999999998</v>
      </c>
      <c r="L121" s="437">
        <f t="shared" si="0"/>
        <v>1.0228641396069589</v>
      </c>
      <c r="M121" s="439">
        <f t="shared" si="1"/>
        <v>2224.8311499848355</v>
      </c>
      <c r="N121" s="446"/>
      <c r="O121" s="446" t="s">
        <v>775</v>
      </c>
      <c r="P121" s="446" t="s">
        <v>20</v>
      </c>
      <c r="Q121" s="446"/>
      <c r="R121" s="446"/>
      <c r="S121" s="451"/>
      <c r="T121" s="451"/>
      <c r="U121" s="451"/>
      <c r="V121" s="451"/>
      <c r="W121" s="451"/>
      <c r="X121" s="27"/>
      <c r="Y121" s="27"/>
      <c r="Z121" s="27"/>
      <c r="AA121" s="27"/>
      <c r="AB121" s="27"/>
      <c r="AC121" s="27"/>
    </row>
    <row r="122" spans="1:29" ht="15.75">
      <c r="A122" s="446" t="s">
        <v>820</v>
      </c>
      <c r="B122" s="447">
        <v>45348.456250000003</v>
      </c>
      <c r="C122" s="446" t="s">
        <v>750</v>
      </c>
      <c r="D122" s="446">
        <v>25</v>
      </c>
      <c r="E122" s="446">
        <v>9.3779000000000001E-2</v>
      </c>
      <c r="F122" s="446">
        <v>33.4</v>
      </c>
      <c r="G122" s="446">
        <v>22.5</v>
      </c>
      <c r="H122" s="446">
        <v>951.35900000000004</v>
      </c>
      <c r="I122" s="446">
        <v>0.99988100000000002</v>
      </c>
      <c r="J122" s="446">
        <v>0.60433899999999996</v>
      </c>
      <c r="K122" s="446">
        <v>2267</v>
      </c>
      <c r="L122" s="437">
        <f t="shared" si="0"/>
        <v>1.0228641396069589</v>
      </c>
      <c r="M122" s="439">
        <f t="shared" si="1"/>
        <v>2216.3256215738556</v>
      </c>
      <c r="N122" s="446">
        <v>6.1327999999999996</v>
      </c>
      <c r="O122" s="446" t="s">
        <v>775</v>
      </c>
      <c r="P122" s="446" t="s">
        <v>20</v>
      </c>
      <c r="Q122" s="446"/>
      <c r="R122" s="446"/>
      <c r="S122" s="451"/>
      <c r="T122" s="451"/>
      <c r="U122" s="451"/>
      <c r="V122" s="451"/>
      <c r="W122" s="451"/>
      <c r="X122" s="27"/>
      <c r="Y122" s="27"/>
      <c r="Z122" s="27"/>
      <c r="AA122" s="27"/>
      <c r="AB122" s="27"/>
      <c r="AC122" s="27"/>
    </row>
    <row r="123" spans="1:29" ht="15.75">
      <c r="A123" s="446" t="s">
        <v>780</v>
      </c>
      <c r="B123" s="447">
        <v>45348.464583333334</v>
      </c>
      <c r="C123" s="446" t="s">
        <v>730</v>
      </c>
      <c r="D123" s="446">
        <v>25</v>
      </c>
      <c r="E123" s="446">
        <v>9.3779000000000001E-2</v>
      </c>
      <c r="F123" s="446">
        <v>33.4</v>
      </c>
      <c r="G123" s="446">
        <v>22.5</v>
      </c>
      <c r="H123" s="446">
        <v>952.62419999999997</v>
      </c>
      <c r="I123" s="446">
        <v>0.99978900000000004</v>
      </c>
      <c r="J123" s="446">
        <v>0.60385699999999998</v>
      </c>
      <c r="K123" s="446">
        <v>2265.1999999999998</v>
      </c>
      <c r="L123" s="437">
        <f t="shared" si="0"/>
        <v>1.0228641396069589</v>
      </c>
      <c r="M123" s="439">
        <f t="shared" si="1"/>
        <v>2214.5658570750315</v>
      </c>
      <c r="N123" s="446"/>
      <c r="O123" s="446" t="s">
        <v>775</v>
      </c>
      <c r="P123" s="446" t="s">
        <v>20</v>
      </c>
      <c r="Q123" s="446"/>
      <c r="R123" s="446"/>
      <c r="S123" s="451"/>
      <c r="T123" s="451"/>
      <c r="U123" s="451"/>
      <c r="V123" s="451"/>
      <c r="W123" s="451"/>
      <c r="X123" s="27"/>
      <c r="Y123" s="27"/>
      <c r="Z123" s="27"/>
      <c r="AA123" s="27"/>
      <c r="AB123" s="27"/>
      <c r="AC123" s="27"/>
    </row>
    <row r="124" spans="1:29" ht="15.75">
      <c r="A124" s="446" t="s">
        <v>860</v>
      </c>
      <c r="B124" s="447">
        <v>45348.479861111111</v>
      </c>
      <c r="C124" s="446" t="s">
        <v>861</v>
      </c>
      <c r="D124" s="446">
        <v>25</v>
      </c>
      <c r="E124" s="446">
        <v>9.2471999999999999E-2</v>
      </c>
      <c r="F124" s="446">
        <v>1022.9</v>
      </c>
      <c r="G124" s="446">
        <v>22.5</v>
      </c>
      <c r="H124" s="446">
        <v>956.88490000000002</v>
      </c>
      <c r="I124" s="446">
        <v>0.99978999999999996</v>
      </c>
      <c r="J124" s="446">
        <v>0.60669200000000001</v>
      </c>
      <c r="K124" s="446">
        <v>2244.1</v>
      </c>
      <c r="L124" s="437">
        <f t="shared" si="0"/>
        <v>2.1444030673776355</v>
      </c>
      <c r="M124" s="439">
        <f t="shared" si="1"/>
        <v>1046.4916946534136</v>
      </c>
      <c r="N124" s="446" t="s">
        <v>827</v>
      </c>
      <c r="O124" s="446" t="s">
        <v>775</v>
      </c>
      <c r="P124" s="446" t="s">
        <v>20</v>
      </c>
      <c r="Q124" s="484" t="s">
        <v>862</v>
      </c>
      <c r="R124" s="485"/>
      <c r="S124" s="451"/>
      <c r="T124" s="451"/>
      <c r="U124" s="451"/>
      <c r="V124" s="451"/>
      <c r="W124" s="451"/>
      <c r="X124" s="27"/>
      <c r="Y124" s="27"/>
      <c r="Z124" s="27"/>
      <c r="AA124" s="27"/>
      <c r="AB124" s="27"/>
      <c r="AC124" s="27"/>
    </row>
    <row r="125" spans="1:29" ht="15.75">
      <c r="A125" s="446" t="s">
        <v>863</v>
      </c>
      <c r="B125" s="447">
        <v>45348.487500000003</v>
      </c>
      <c r="C125" s="446" t="s">
        <v>861</v>
      </c>
      <c r="D125" s="446">
        <v>25</v>
      </c>
      <c r="E125" s="446">
        <v>9.289E-2</v>
      </c>
      <c r="F125" s="446">
        <v>1022.9</v>
      </c>
      <c r="G125" s="446">
        <v>22.5</v>
      </c>
      <c r="H125" s="446">
        <v>951.95699999999999</v>
      </c>
      <c r="I125" s="446">
        <v>0.999699</v>
      </c>
      <c r="J125" s="446">
        <v>0.603962</v>
      </c>
      <c r="K125" s="446">
        <v>2244.1</v>
      </c>
      <c r="L125" s="437">
        <f t="shared" si="0"/>
        <v>2.1444030673776355</v>
      </c>
      <c r="M125" s="439">
        <f t="shared" si="1"/>
        <v>1046.4916946534136</v>
      </c>
      <c r="N125" s="446" t="s">
        <v>827</v>
      </c>
      <c r="O125" s="446" t="s">
        <v>775</v>
      </c>
      <c r="P125" s="446" t="s">
        <v>20</v>
      </c>
      <c r="Q125" s="484" t="s">
        <v>862</v>
      </c>
      <c r="R125" s="485"/>
      <c r="S125" s="451"/>
      <c r="T125" s="451"/>
      <c r="U125" s="451"/>
      <c r="V125" s="451"/>
      <c r="W125" s="451"/>
      <c r="X125" s="27"/>
      <c r="Y125" s="27"/>
      <c r="Z125" s="27"/>
      <c r="AA125" s="27"/>
      <c r="AB125" s="27"/>
      <c r="AC125" s="27"/>
    </row>
    <row r="126" spans="1:29" ht="15.75">
      <c r="A126" s="446" t="s">
        <v>864</v>
      </c>
      <c r="B126" s="447">
        <v>45348.500694444447</v>
      </c>
      <c r="C126" s="446" t="s">
        <v>861</v>
      </c>
      <c r="D126" s="446">
        <v>25</v>
      </c>
      <c r="E126" s="446">
        <v>0.104017</v>
      </c>
      <c r="F126" s="446">
        <v>1022.9</v>
      </c>
      <c r="G126" s="446">
        <v>22.5</v>
      </c>
      <c r="H126" s="446">
        <v>1073.7809999999999</v>
      </c>
      <c r="I126" s="446">
        <v>0.99987099999999995</v>
      </c>
      <c r="J126" s="446">
        <v>0.53935699999999998</v>
      </c>
      <c r="K126" s="446">
        <v>2244.1</v>
      </c>
      <c r="L126" s="437">
        <f t="shared" si="0"/>
        <v>2.1444030673776355</v>
      </c>
      <c r="M126" s="439">
        <f t="shared" si="1"/>
        <v>1046.4916946534136</v>
      </c>
      <c r="N126" s="446" t="s">
        <v>827</v>
      </c>
      <c r="O126" s="446" t="s">
        <v>775</v>
      </c>
      <c r="P126" s="446" t="s">
        <v>20</v>
      </c>
      <c r="Q126" s="484" t="s">
        <v>862</v>
      </c>
      <c r="R126" s="485"/>
      <c r="S126" s="451"/>
      <c r="T126" s="451"/>
      <c r="U126" s="451"/>
      <c r="V126" s="451"/>
      <c r="W126" s="451"/>
      <c r="X126" s="27"/>
      <c r="Y126" s="27"/>
      <c r="Z126" s="27"/>
      <c r="AA126" s="27"/>
      <c r="AB126" s="27"/>
      <c r="AC126" s="27"/>
    </row>
    <row r="127" spans="1:29" ht="15.75">
      <c r="A127" s="446" t="s">
        <v>865</v>
      </c>
      <c r="B127" s="447">
        <v>45348.511805555558</v>
      </c>
      <c r="C127" s="446" t="s">
        <v>861</v>
      </c>
      <c r="D127" s="446">
        <v>25</v>
      </c>
      <c r="E127" s="446">
        <v>9.5439999999999997E-2</v>
      </c>
      <c r="F127" s="446">
        <v>1022.9</v>
      </c>
      <c r="G127" s="446">
        <v>22.5</v>
      </c>
      <c r="H127" s="446">
        <v>983.19899999999996</v>
      </c>
      <c r="I127" s="446">
        <v>0.99983599999999995</v>
      </c>
      <c r="J127" s="446">
        <v>0.58782699999999999</v>
      </c>
      <c r="K127" s="446">
        <v>2244.1</v>
      </c>
      <c r="L127" s="437">
        <f t="shared" si="0"/>
        <v>2.1444030673776355</v>
      </c>
      <c r="M127" s="439">
        <f t="shared" si="1"/>
        <v>1046.4916946534136</v>
      </c>
      <c r="N127" s="446" t="s">
        <v>827</v>
      </c>
      <c r="O127" s="446" t="s">
        <v>775</v>
      </c>
      <c r="P127" s="446" t="s">
        <v>20</v>
      </c>
      <c r="Q127" s="484" t="s">
        <v>862</v>
      </c>
      <c r="R127" s="485"/>
      <c r="S127" s="451"/>
      <c r="T127" s="451"/>
      <c r="U127" s="451"/>
      <c r="V127" s="451"/>
      <c r="W127" s="451"/>
      <c r="X127" s="27"/>
      <c r="Y127" s="27"/>
      <c r="Z127" s="27"/>
      <c r="AA127" s="27"/>
      <c r="AB127" s="27"/>
      <c r="AC127" s="27"/>
    </row>
    <row r="128" spans="1:29" ht="15.75">
      <c r="A128" s="446" t="s">
        <v>866</v>
      </c>
      <c r="B128" s="447">
        <v>45348.523611111108</v>
      </c>
      <c r="C128" s="446" t="s">
        <v>867</v>
      </c>
      <c r="D128" s="446">
        <v>25</v>
      </c>
      <c r="E128" s="446">
        <v>9.2503000000000002E-2</v>
      </c>
      <c r="F128" s="446">
        <v>1022.9</v>
      </c>
      <c r="G128" s="446">
        <v>22.5</v>
      </c>
      <c r="H128" s="446">
        <v>960.43269999999995</v>
      </c>
      <c r="I128" s="446">
        <v>0.99989600000000001</v>
      </c>
      <c r="J128" s="446">
        <v>0.60648899999999994</v>
      </c>
      <c r="K128" s="446">
        <v>2244.1</v>
      </c>
      <c r="L128" s="437">
        <f t="shared" si="0"/>
        <v>2.1444030673776355</v>
      </c>
      <c r="M128" s="439">
        <f t="shared" si="1"/>
        <v>1046.4916946534136</v>
      </c>
      <c r="N128" s="446" t="s">
        <v>542</v>
      </c>
      <c r="O128" s="446" t="s">
        <v>775</v>
      </c>
      <c r="P128" s="446" t="s">
        <v>20</v>
      </c>
      <c r="Q128" s="484" t="s">
        <v>868</v>
      </c>
      <c r="R128" s="485"/>
      <c r="S128" s="451"/>
      <c r="T128" s="451"/>
      <c r="U128" s="451"/>
      <c r="V128" s="451"/>
      <c r="W128" s="451"/>
      <c r="X128" s="27"/>
      <c r="Y128" s="27"/>
      <c r="Z128" s="27"/>
      <c r="AA128" s="27"/>
      <c r="AB128" s="27"/>
      <c r="AC128" s="27"/>
    </row>
    <row r="129" spans="1:29" ht="15.75">
      <c r="A129" s="446" t="s">
        <v>869</v>
      </c>
      <c r="B129" s="447">
        <v>45348.532638888886</v>
      </c>
      <c r="C129" s="446" t="s">
        <v>867</v>
      </c>
      <c r="D129" s="446">
        <v>25</v>
      </c>
      <c r="E129" s="446">
        <v>9.2888999999999999E-2</v>
      </c>
      <c r="F129" s="446">
        <v>1022.9</v>
      </c>
      <c r="G129" s="446">
        <v>22.5</v>
      </c>
      <c r="H129" s="446">
        <v>955.17290000000003</v>
      </c>
      <c r="I129" s="446">
        <v>0.99977400000000005</v>
      </c>
      <c r="J129" s="446">
        <v>0.603966</v>
      </c>
      <c r="K129" s="446">
        <v>2244.1</v>
      </c>
      <c r="L129" s="437">
        <f t="shared" si="0"/>
        <v>2.1444030673776355</v>
      </c>
      <c r="M129" s="439">
        <f t="shared" si="1"/>
        <v>1046.4916946534136</v>
      </c>
      <c r="N129" s="452">
        <v>2.9999999999999997E-4</v>
      </c>
      <c r="O129" s="446" t="s">
        <v>775</v>
      </c>
      <c r="P129" s="446" t="s">
        <v>20</v>
      </c>
      <c r="Q129" s="484" t="s">
        <v>870</v>
      </c>
      <c r="R129" s="485"/>
      <c r="S129" s="451"/>
      <c r="T129" s="451"/>
      <c r="U129" s="451"/>
      <c r="V129" s="451"/>
      <c r="W129" s="451"/>
      <c r="X129" s="27"/>
      <c r="Y129" s="27"/>
      <c r="Z129" s="27"/>
      <c r="AA129" s="27"/>
      <c r="AB129" s="27"/>
      <c r="AC129" s="27"/>
    </row>
    <row r="130" spans="1:29" ht="15.75">
      <c r="A130" s="446" t="s">
        <v>871</v>
      </c>
      <c r="B130" s="447">
        <v>45348.545138888891</v>
      </c>
      <c r="C130" s="446" t="s">
        <v>867</v>
      </c>
      <c r="D130" s="446">
        <v>25</v>
      </c>
      <c r="E130" s="446">
        <v>9.2924000000000007E-2</v>
      </c>
      <c r="F130" s="446">
        <v>1022.9</v>
      </c>
      <c r="G130" s="446">
        <v>22.5</v>
      </c>
      <c r="H130" s="446">
        <v>954.86109999999996</v>
      </c>
      <c r="I130" s="446">
        <v>0.99979600000000002</v>
      </c>
      <c r="J130" s="446">
        <v>0.603742</v>
      </c>
      <c r="K130" s="446">
        <v>2244.1</v>
      </c>
      <c r="L130" s="437">
        <f t="shared" si="0"/>
        <v>2.1444030673776355</v>
      </c>
      <c r="M130" s="439">
        <f t="shared" si="1"/>
        <v>1046.4916946534136</v>
      </c>
      <c r="N130" s="452">
        <v>2.9999999999999997E-4</v>
      </c>
      <c r="O130" s="446" t="s">
        <v>775</v>
      </c>
      <c r="P130" s="446" t="s">
        <v>20</v>
      </c>
      <c r="Q130" s="484" t="s">
        <v>870</v>
      </c>
      <c r="R130" s="485"/>
      <c r="S130" s="451"/>
      <c r="T130" s="451"/>
      <c r="U130" s="451"/>
      <c r="V130" s="451"/>
      <c r="W130" s="451"/>
      <c r="X130" s="27"/>
      <c r="Y130" s="27"/>
      <c r="Z130" s="27"/>
      <c r="AA130" s="27"/>
      <c r="AB130" s="27"/>
      <c r="AC130" s="27"/>
    </row>
    <row r="131" spans="1:29" ht="15.75">
      <c r="A131" s="446" t="s">
        <v>783</v>
      </c>
      <c r="B131" s="453">
        <v>45348.557638888888</v>
      </c>
      <c r="C131" s="446">
        <v>482</v>
      </c>
      <c r="D131" s="446">
        <v>25</v>
      </c>
      <c r="E131" s="446">
        <v>9.2907000000000003E-2</v>
      </c>
      <c r="F131" s="446">
        <v>36.5</v>
      </c>
      <c r="G131" s="446">
        <v>22.5</v>
      </c>
      <c r="H131" s="446">
        <v>941.28480000000002</v>
      </c>
      <c r="I131" s="446">
        <v>0.99992499999999995</v>
      </c>
      <c r="J131" s="446">
        <v>0.64457399999999998</v>
      </c>
      <c r="K131" s="446">
        <v>2395.4</v>
      </c>
      <c r="L131" s="437">
        <f t="shared" si="0"/>
        <v>1.0252174773592224</v>
      </c>
      <c r="M131" s="439">
        <f t="shared" si="1"/>
        <v>2336.4798717342624</v>
      </c>
      <c r="N131" s="446"/>
      <c r="O131" s="446" t="s">
        <v>775</v>
      </c>
      <c r="P131" s="446" t="s">
        <v>20</v>
      </c>
      <c r="Q131" s="446"/>
      <c r="R131" s="446"/>
      <c r="S131" s="451"/>
      <c r="T131" s="451"/>
      <c r="U131" s="451"/>
      <c r="V131" s="451"/>
      <c r="W131" s="451"/>
      <c r="X131" s="27"/>
      <c r="Y131" s="27"/>
      <c r="Z131" s="27"/>
      <c r="AA131" s="27"/>
      <c r="AB131" s="27"/>
      <c r="AC131" s="27"/>
    </row>
    <row r="132" spans="1:29" ht="15.75">
      <c r="A132" s="446" t="s">
        <v>784</v>
      </c>
      <c r="B132" s="453">
        <v>45348.565972222219</v>
      </c>
      <c r="C132" s="446">
        <v>483</v>
      </c>
      <c r="D132" s="446">
        <v>25</v>
      </c>
      <c r="E132" s="446">
        <v>9.2907000000000003E-2</v>
      </c>
      <c r="F132" s="446">
        <v>36.6</v>
      </c>
      <c r="G132" s="446">
        <v>22.5</v>
      </c>
      <c r="H132" s="446">
        <v>929.49469999999997</v>
      </c>
      <c r="I132" s="446">
        <v>0.99974099999999999</v>
      </c>
      <c r="J132" s="446">
        <v>0.64221099999999998</v>
      </c>
      <c r="K132" s="446">
        <v>2386.6</v>
      </c>
      <c r="L132" s="437">
        <f t="shared" si="0"/>
        <v>1.0252934602482262</v>
      </c>
      <c r="M132" s="439">
        <f t="shared" si="1"/>
        <v>2327.7238103344557</v>
      </c>
      <c r="N132" s="446"/>
      <c r="O132" s="446" t="s">
        <v>775</v>
      </c>
      <c r="P132" s="446" t="s">
        <v>20</v>
      </c>
      <c r="Q132" s="446"/>
      <c r="R132" s="446"/>
      <c r="S132" s="444"/>
      <c r="T132" s="444"/>
      <c r="U132" s="444"/>
      <c r="V132" s="444"/>
      <c r="W132" s="444"/>
    </row>
    <row r="133" spans="1:29" ht="15.75">
      <c r="A133" s="446" t="s">
        <v>785</v>
      </c>
      <c r="B133" s="453">
        <v>45348.582638888889</v>
      </c>
      <c r="C133" s="446">
        <v>430</v>
      </c>
      <c r="D133" s="446">
        <v>25</v>
      </c>
      <c r="E133" s="446">
        <v>9.2907000000000003E-2</v>
      </c>
      <c r="F133" s="446">
        <v>36.6</v>
      </c>
      <c r="G133" s="446">
        <v>22.5</v>
      </c>
      <c r="H133" s="446">
        <v>932.74030000000005</v>
      </c>
      <c r="I133" s="446">
        <v>0.999116</v>
      </c>
      <c r="J133" s="446">
        <v>0.63576600000000005</v>
      </c>
      <c r="K133" s="446">
        <v>2362.6999999999998</v>
      </c>
      <c r="L133" s="437">
        <f t="shared" si="0"/>
        <v>1.0252934602482262</v>
      </c>
      <c r="M133" s="439">
        <f t="shared" si="1"/>
        <v>2304.4134109935549</v>
      </c>
      <c r="N133" s="446"/>
      <c r="O133" s="446" t="s">
        <v>775</v>
      </c>
      <c r="P133" s="446" t="s">
        <v>20</v>
      </c>
      <c r="Q133" s="446"/>
      <c r="R133" s="446"/>
      <c r="S133" s="444"/>
      <c r="T133" s="444"/>
      <c r="U133" s="444"/>
      <c r="V133" s="444"/>
      <c r="W133" s="444"/>
    </row>
    <row r="134" spans="1:29" ht="15.75">
      <c r="A134" s="446" t="s">
        <v>786</v>
      </c>
      <c r="B134" s="453">
        <v>45348.595138888886</v>
      </c>
      <c r="C134" s="446">
        <v>431</v>
      </c>
      <c r="D134" s="446">
        <v>25</v>
      </c>
      <c r="E134" s="446">
        <v>9.2907000000000003E-2</v>
      </c>
      <c r="F134" s="446">
        <v>36.700000000000003</v>
      </c>
      <c r="G134" s="446">
        <v>22.5</v>
      </c>
      <c r="H134" s="446">
        <v>960.86959999999999</v>
      </c>
      <c r="I134" s="446">
        <v>0.99993200000000004</v>
      </c>
      <c r="J134" s="446">
        <v>0.64342699999999997</v>
      </c>
      <c r="K134" s="446">
        <v>2391.1</v>
      </c>
      <c r="L134" s="437">
        <f t="shared" si="0"/>
        <v>1.0253694475173356</v>
      </c>
      <c r="M134" s="439">
        <f t="shared" si="1"/>
        <v>2331.9399712849104</v>
      </c>
      <c r="N134" s="446"/>
      <c r="O134" s="446" t="s">
        <v>775</v>
      </c>
      <c r="P134" s="446" t="s">
        <v>20</v>
      </c>
      <c r="Q134" s="446"/>
      <c r="R134" s="446"/>
      <c r="S134" s="444"/>
      <c r="T134" s="444"/>
      <c r="U134" s="444"/>
      <c r="V134" s="444"/>
      <c r="W134" s="444"/>
    </row>
    <row r="135" spans="1:29" ht="15.75">
      <c r="A135" s="446" t="s">
        <v>787</v>
      </c>
      <c r="B135" s="453">
        <v>45348.603472222225</v>
      </c>
      <c r="C135" s="446">
        <v>170</v>
      </c>
      <c r="D135" s="446">
        <v>25</v>
      </c>
      <c r="E135" s="446">
        <v>9.2907000000000003E-2</v>
      </c>
      <c r="F135" s="446">
        <v>36.5</v>
      </c>
      <c r="G135" s="446">
        <v>22.5</v>
      </c>
      <c r="H135" s="446">
        <v>938.70839999999998</v>
      </c>
      <c r="I135" s="446">
        <v>0.99986799999999998</v>
      </c>
      <c r="J135" s="446">
        <v>0.63665899999999997</v>
      </c>
      <c r="K135" s="446">
        <v>2366</v>
      </c>
      <c r="L135" s="437">
        <f t="shared" si="0"/>
        <v>1.0252174773592224</v>
      </c>
      <c r="M135" s="439">
        <f t="shared" si="1"/>
        <v>2307.8030293576289</v>
      </c>
      <c r="N135" s="446"/>
      <c r="O135" s="446" t="s">
        <v>775</v>
      </c>
      <c r="P135" s="446" t="s">
        <v>20</v>
      </c>
      <c r="Q135" s="446"/>
      <c r="R135" s="446"/>
      <c r="S135" s="444"/>
      <c r="T135" s="444"/>
      <c r="U135" s="444"/>
      <c r="V135" s="444"/>
      <c r="W135" s="444"/>
    </row>
    <row r="136" spans="1:29" ht="15.75">
      <c r="A136" s="446" t="s">
        <v>788</v>
      </c>
      <c r="B136" s="453">
        <v>45348.617361111108</v>
      </c>
      <c r="C136" s="446">
        <v>171</v>
      </c>
      <c r="D136" s="446">
        <v>25</v>
      </c>
      <c r="E136" s="446">
        <v>9.2907000000000003E-2</v>
      </c>
      <c r="F136" s="446">
        <v>36.5</v>
      </c>
      <c r="G136" s="446">
        <v>22.5</v>
      </c>
      <c r="H136" s="446">
        <v>945.24220000000003</v>
      </c>
      <c r="I136" s="446">
        <v>0.99964600000000003</v>
      </c>
      <c r="J136" s="446">
        <v>0.63777200000000001</v>
      </c>
      <c r="K136" s="446">
        <v>2370.1</v>
      </c>
      <c r="L136" s="437">
        <f t="shared" si="0"/>
        <v>1.0252174773592224</v>
      </c>
      <c r="M136" s="439">
        <f t="shared" si="1"/>
        <v>2311.8021808455269</v>
      </c>
      <c r="N136" s="446"/>
      <c r="O136" s="446" t="s">
        <v>775</v>
      </c>
      <c r="P136" s="446" t="s">
        <v>20</v>
      </c>
      <c r="Q136" s="446"/>
      <c r="R136" s="446"/>
      <c r="S136" s="444"/>
      <c r="T136" s="444"/>
      <c r="U136" s="444"/>
      <c r="V136" s="444"/>
      <c r="W136" s="444"/>
    </row>
    <row r="137" spans="1:29" ht="15.75">
      <c r="A137" s="446" t="s">
        <v>789</v>
      </c>
      <c r="B137" s="453">
        <v>45348.625694444447</v>
      </c>
      <c r="C137" s="446">
        <v>508</v>
      </c>
      <c r="D137" s="446">
        <v>25</v>
      </c>
      <c r="E137" s="446">
        <v>9.2907000000000003E-2</v>
      </c>
      <c r="F137" s="446">
        <v>36.700000000000003</v>
      </c>
      <c r="G137" s="446">
        <v>22.5</v>
      </c>
      <c r="H137" s="446">
        <v>929.9307</v>
      </c>
      <c r="I137" s="446">
        <v>0.99975899999999995</v>
      </c>
      <c r="J137" s="446">
        <v>0.64684299999999995</v>
      </c>
      <c r="K137" s="446">
        <v>2403.8000000000002</v>
      </c>
      <c r="L137" s="437">
        <f t="shared" si="0"/>
        <v>1.0253694475173356</v>
      </c>
      <c r="M137" s="439">
        <f t="shared" si="1"/>
        <v>2344.3257508990287</v>
      </c>
      <c r="N137" s="446"/>
      <c r="O137" s="446" t="s">
        <v>775</v>
      </c>
      <c r="P137" s="446" t="s">
        <v>20</v>
      </c>
      <c r="Q137" s="446"/>
      <c r="R137" s="446"/>
      <c r="S137" s="444"/>
      <c r="T137" s="444"/>
      <c r="U137" s="444"/>
      <c r="V137" s="444"/>
      <c r="W137" s="444"/>
    </row>
    <row r="138" spans="1:29" ht="15.75">
      <c r="A138" s="446" t="s">
        <v>790</v>
      </c>
      <c r="B138" s="453">
        <v>45348.634027777778</v>
      </c>
      <c r="C138" s="446">
        <v>509</v>
      </c>
      <c r="D138" s="446">
        <v>25</v>
      </c>
      <c r="E138" s="446">
        <v>9.2907000000000003E-2</v>
      </c>
      <c r="F138" s="446">
        <v>36.700000000000003</v>
      </c>
      <c r="G138" s="446">
        <v>22.5</v>
      </c>
      <c r="H138" s="446">
        <v>951.93330000000003</v>
      </c>
      <c r="I138" s="446">
        <v>0.99990400000000002</v>
      </c>
      <c r="J138" s="446">
        <v>0.64858199999999999</v>
      </c>
      <c r="K138" s="446">
        <v>2410.3000000000002</v>
      </c>
      <c r="L138" s="437">
        <f t="shared" si="0"/>
        <v>1.0253694475173356</v>
      </c>
      <c r="M138" s="439">
        <f t="shared" si="1"/>
        <v>2350.6649294416879</v>
      </c>
      <c r="N138" s="446"/>
      <c r="O138" s="446" t="s">
        <v>775</v>
      </c>
      <c r="P138" s="446" t="s">
        <v>20</v>
      </c>
      <c r="Q138" s="446"/>
      <c r="R138" s="446"/>
      <c r="S138" s="444"/>
      <c r="T138" s="444"/>
      <c r="U138" s="444"/>
      <c r="V138" s="444"/>
      <c r="W138" s="444"/>
    </row>
    <row r="139" spans="1:29" ht="15.75">
      <c r="A139" s="446" t="s">
        <v>791</v>
      </c>
      <c r="B139" s="453">
        <v>45348.650694444441</v>
      </c>
      <c r="C139" s="446">
        <v>495</v>
      </c>
      <c r="D139" s="446">
        <v>25</v>
      </c>
      <c r="E139" s="446">
        <v>9.2907000000000003E-2</v>
      </c>
      <c r="F139" s="446">
        <v>37.200000000000003</v>
      </c>
      <c r="G139" s="446">
        <v>22.5</v>
      </c>
      <c r="H139" s="446">
        <v>956.85249999999996</v>
      </c>
      <c r="I139" s="446">
        <v>0.99997199999999997</v>
      </c>
      <c r="J139" s="446">
        <v>0.64858199999999999</v>
      </c>
      <c r="K139" s="446">
        <v>2410.3000000000002</v>
      </c>
      <c r="L139" s="437">
        <f t="shared" si="0"/>
        <v>1.0257494498155078</v>
      </c>
      <c r="M139" s="439">
        <f t="shared" si="1"/>
        <v>2349.7940948771839</v>
      </c>
      <c r="N139" s="446"/>
      <c r="O139" s="446" t="s">
        <v>775</v>
      </c>
      <c r="P139" s="446" t="s">
        <v>20</v>
      </c>
      <c r="Q139" s="446"/>
      <c r="R139" s="446"/>
      <c r="S139" s="444"/>
      <c r="T139" s="444"/>
      <c r="U139" s="444"/>
      <c r="V139" s="444"/>
      <c r="W139" s="444"/>
    </row>
    <row r="140" spans="1:29" ht="15.75">
      <c r="A140" s="446" t="s">
        <v>792</v>
      </c>
      <c r="B140" s="453">
        <v>45348.65902777778</v>
      </c>
      <c r="C140" s="446">
        <v>443</v>
      </c>
      <c r="D140" s="446">
        <v>25</v>
      </c>
      <c r="E140" s="446">
        <v>9.2907000000000003E-2</v>
      </c>
      <c r="F140" s="446">
        <v>37.1</v>
      </c>
      <c r="G140" s="446">
        <v>22.5</v>
      </c>
      <c r="H140" s="446">
        <v>961.25480000000005</v>
      </c>
      <c r="I140" s="446">
        <v>0.99963999999999997</v>
      </c>
      <c r="J140" s="446">
        <v>0.64678199999999997</v>
      </c>
      <c r="K140" s="446">
        <v>2403.6</v>
      </c>
      <c r="L140" s="437">
        <f t="shared" si="0"/>
        <v>1.0256734405384258</v>
      </c>
      <c r="M140" s="439">
        <f t="shared" si="1"/>
        <v>2343.4359368204305</v>
      </c>
      <c r="N140" s="446"/>
      <c r="O140" s="446" t="s">
        <v>775</v>
      </c>
      <c r="P140" s="446" t="s">
        <v>20</v>
      </c>
      <c r="Q140" s="446"/>
      <c r="R140" s="446"/>
      <c r="S140" s="444"/>
      <c r="T140" s="444"/>
      <c r="U140" s="444"/>
      <c r="V140" s="444"/>
      <c r="W140" s="444"/>
    </row>
    <row r="141" spans="1:29" ht="15.75">
      <c r="A141" s="446" t="s">
        <v>793</v>
      </c>
      <c r="B141" s="447">
        <v>45348.669444444444</v>
      </c>
      <c r="C141" s="446" t="s">
        <v>822</v>
      </c>
      <c r="D141" s="446">
        <v>25</v>
      </c>
      <c r="E141" s="446">
        <v>9.2907000000000003E-2</v>
      </c>
      <c r="F141" s="446">
        <v>33.4</v>
      </c>
      <c r="G141" s="446">
        <v>22.5</v>
      </c>
      <c r="H141" s="446">
        <v>948.38630000000001</v>
      </c>
      <c r="I141" s="446">
        <v>0.999838</v>
      </c>
      <c r="J141" s="446">
        <v>0.61046</v>
      </c>
      <c r="K141" s="446">
        <v>2268.6</v>
      </c>
      <c r="L141" s="437">
        <f t="shared" si="0"/>
        <v>1.0228641396069589</v>
      </c>
      <c r="M141" s="439">
        <f t="shared" si="1"/>
        <v>2217.8898566839207</v>
      </c>
      <c r="N141" s="446"/>
      <c r="O141" s="446" t="s">
        <v>775</v>
      </c>
      <c r="P141" s="446" t="s">
        <v>20</v>
      </c>
      <c r="Q141" s="446"/>
      <c r="R141" s="446"/>
      <c r="S141" s="444"/>
      <c r="T141" s="444"/>
      <c r="U141" s="444"/>
      <c r="V141" s="444"/>
      <c r="W141" s="444"/>
    </row>
    <row r="142" spans="1:29" ht="15.75">
      <c r="A142" s="446" t="s">
        <v>794</v>
      </c>
      <c r="B142" s="447">
        <v>45348.694444444445</v>
      </c>
      <c r="C142" s="446" t="s">
        <v>751</v>
      </c>
      <c r="D142" s="446">
        <v>25</v>
      </c>
      <c r="E142" s="446">
        <v>9.2907000000000003E-2</v>
      </c>
      <c r="F142" s="446">
        <v>37.4</v>
      </c>
      <c r="G142" s="446">
        <v>22.5</v>
      </c>
      <c r="H142" s="446">
        <v>968.72929999999997</v>
      </c>
      <c r="I142" s="446">
        <v>0.99981900000000001</v>
      </c>
      <c r="J142" s="446">
        <v>0.60649600000000004</v>
      </c>
      <c r="K142" s="446">
        <v>2253.9</v>
      </c>
      <c r="L142" s="437">
        <f t="shared" si="0"/>
        <v>1.0259014816453425</v>
      </c>
      <c r="M142" s="439">
        <f t="shared" si="1"/>
        <v>2196.994585079643</v>
      </c>
      <c r="N142" s="446"/>
      <c r="O142" s="446" t="s">
        <v>775</v>
      </c>
      <c r="P142" s="446" t="s">
        <v>20</v>
      </c>
      <c r="Q142" s="446"/>
      <c r="R142" s="446"/>
      <c r="S142" s="444"/>
      <c r="T142" s="444"/>
      <c r="U142" s="444"/>
      <c r="V142" s="444"/>
      <c r="W142" s="444"/>
    </row>
    <row r="143" spans="1:29" ht="15.75">
      <c r="A143" s="446" t="s">
        <v>828</v>
      </c>
      <c r="B143" s="447">
        <v>45348.700694444444</v>
      </c>
      <c r="C143" s="446" t="s">
        <v>751</v>
      </c>
      <c r="D143" s="446">
        <v>25</v>
      </c>
      <c r="E143" s="446">
        <v>9.2907000000000003E-2</v>
      </c>
      <c r="F143" s="446">
        <v>37.4</v>
      </c>
      <c r="G143" s="446">
        <v>22.5</v>
      </c>
      <c r="H143" s="446">
        <v>957.37760000000003</v>
      </c>
      <c r="I143" s="446">
        <v>0.99992700000000001</v>
      </c>
      <c r="J143" s="446">
        <v>0.60700699999999996</v>
      </c>
      <c r="K143" s="446">
        <v>2255.8000000000002</v>
      </c>
      <c r="L143" s="437">
        <f t="shared" si="0"/>
        <v>1.0259014816453425</v>
      </c>
      <c r="M143" s="439">
        <f t="shared" si="1"/>
        <v>2198.8466147666973</v>
      </c>
      <c r="N143" s="446">
        <v>1.3446</v>
      </c>
      <c r="O143" s="446" t="s">
        <v>775</v>
      </c>
      <c r="P143" s="446" t="s">
        <v>20</v>
      </c>
      <c r="Q143" s="446"/>
      <c r="R143" s="446"/>
      <c r="S143" s="444"/>
      <c r="T143" s="444"/>
      <c r="U143" s="444"/>
      <c r="V143" s="444"/>
      <c r="W143" s="444"/>
    </row>
    <row r="144" spans="1:29" ht="15.75">
      <c r="A144" s="446" t="s">
        <v>872</v>
      </c>
      <c r="B144" s="447">
        <v>45348.715277777781</v>
      </c>
      <c r="C144" s="446" t="s">
        <v>751</v>
      </c>
      <c r="D144" s="446">
        <v>25</v>
      </c>
      <c r="E144" s="446">
        <v>9.2907000000000003E-2</v>
      </c>
      <c r="F144" s="446">
        <v>37.4</v>
      </c>
      <c r="G144" s="446">
        <v>22.5</v>
      </c>
      <c r="H144" s="446">
        <v>952.61649999999997</v>
      </c>
      <c r="I144" s="446">
        <v>0.99979899999999999</v>
      </c>
      <c r="J144" s="446">
        <v>0.60436000000000001</v>
      </c>
      <c r="K144" s="446">
        <v>2246</v>
      </c>
      <c r="L144" s="437">
        <f t="shared" si="0"/>
        <v>1.0259014816453425</v>
      </c>
      <c r="M144" s="439">
        <f t="shared" si="1"/>
        <v>2189.294040591365</v>
      </c>
      <c r="N144" s="446">
        <v>6.9565999999999999</v>
      </c>
      <c r="O144" s="446" t="s">
        <v>775</v>
      </c>
      <c r="P144" s="446" t="s">
        <v>20</v>
      </c>
      <c r="Q144" s="446"/>
      <c r="R144" s="446"/>
      <c r="S144" s="444"/>
      <c r="T144" s="444"/>
      <c r="U144" s="444"/>
      <c r="V144" s="444"/>
      <c r="W144" s="444"/>
    </row>
    <row r="145" spans="1:23" ht="15.75">
      <c r="A145" s="446" t="s">
        <v>873</v>
      </c>
      <c r="B145" s="447">
        <v>45348.722222222219</v>
      </c>
      <c r="C145" s="446" t="s">
        <v>751</v>
      </c>
      <c r="D145" s="446">
        <v>25</v>
      </c>
      <c r="E145" s="446">
        <v>9.2907000000000003E-2</v>
      </c>
      <c r="F145" s="446">
        <v>37.4</v>
      </c>
      <c r="G145" s="446">
        <v>22.5</v>
      </c>
      <c r="H145" s="446">
        <v>951.96460000000002</v>
      </c>
      <c r="I145" s="446">
        <v>0.99979799999999996</v>
      </c>
      <c r="J145" s="446">
        <v>0.604657</v>
      </c>
      <c r="K145" s="446">
        <v>2247.1</v>
      </c>
      <c r="L145" s="437">
        <f t="shared" si="0"/>
        <v>1.0259014816453425</v>
      </c>
      <c r="M145" s="439">
        <f t="shared" si="1"/>
        <v>2190.3662683049229</v>
      </c>
      <c r="N145" s="446">
        <v>0.7802</v>
      </c>
      <c r="O145" s="446" t="s">
        <v>775</v>
      </c>
      <c r="P145" s="446" t="s">
        <v>20</v>
      </c>
      <c r="Q145" s="446"/>
      <c r="R145" s="446"/>
      <c r="S145" s="444"/>
      <c r="T145" s="444"/>
      <c r="U145" s="444"/>
      <c r="V145" s="444"/>
      <c r="W145" s="444"/>
    </row>
    <row r="146" spans="1:23" ht="15.75">
      <c r="A146" s="446" t="s">
        <v>823</v>
      </c>
      <c r="B146" s="447">
        <v>45349.508333333331</v>
      </c>
      <c r="C146" s="446" t="s">
        <v>751</v>
      </c>
      <c r="D146" s="446">
        <v>25</v>
      </c>
      <c r="E146" s="446">
        <v>9.2907000000000003E-2</v>
      </c>
      <c r="F146" s="446">
        <v>33.4</v>
      </c>
      <c r="G146" s="446">
        <v>22.5</v>
      </c>
      <c r="H146" s="446">
        <v>945.0367</v>
      </c>
      <c r="I146" s="446">
        <v>0.99976600000000004</v>
      </c>
      <c r="J146" s="446">
        <v>0.60373100000000002</v>
      </c>
      <c r="K146" s="446">
        <v>2243.6</v>
      </c>
      <c r="L146" s="437">
        <f t="shared" si="0"/>
        <v>1.0228641396069589</v>
      </c>
      <c r="M146" s="439">
        <f t="shared" si="1"/>
        <v>2193.4486830891497</v>
      </c>
      <c r="N146" s="446">
        <v>0.85580000000000001</v>
      </c>
      <c r="O146" s="446" t="s">
        <v>775</v>
      </c>
      <c r="P146" s="446" t="s">
        <v>20</v>
      </c>
      <c r="Q146" s="444"/>
      <c r="R146" s="444"/>
      <c r="S146" s="444"/>
      <c r="T146" s="444"/>
      <c r="U146" s="444"/>
      <c r="V146" s="444"/>
      <c r="W146" s="444"/>
    </row>
    <row r="147" spans="1:23" ht="15.75">
      <c r="A147" s="446" t="s">
        <v>781</v>
      </c>
      <c r="B147" s="454">
        <v>45349.518750000003</v>
      </c>
      <c r="C147" s="446">
        <v>496</v>
      </c>
      <c r="D147" s="446">
        <v>25</v>
      </c>
      <c r="E147" s="446">
        <v>9.2907000000000003E-2</v>
      </c>
      <c r="F147" s="455">
        <v>37.200000000000003</v>
      </c>
      <c r="G147" s="446">
        <v>22.5</v>
      </c>
      <c r="H147" s="446">
        <v>952.76430000000005</v>
      </c>
      <c r="I147" s="446">
        <v>0.99981600000000004</v>
      </c>
      <c r="J147" s="446">
        <v>0.646532</v>
      </c>
      <c r="K147" s="446">
        <v>2402.6999999999998</v>
      </c>
      <c r="L147" s="437">
        <f t="shared" si="0"/>
        <v>1.0257494498155078</v>
      </c>
      <c r="M147" s="439">
        <f t="shared" si="1"/>
        <v>2342.3848781319371</v>
      </c>
      <c r="N147" s="446"/>
      <c r="O147" s="446" t="s">
        <v>775</v>
      </c>
      <c r="P147" s="446" t="s">
        <v>20</v>
      </c>
      <c r="Q147" s="444"/>
      <c r="R147" s="444"/>
      <c r="S147" s="444"/>
      <c r="T147" s="444"/>
      <c r="U147" s="444"/>
      <c r="V147" s="444"/>
      <c r="W147" s="444"/>
    </row>
    <row r="148" spans="1:23" ht="15.75">
      <c r="A148" s="446" t="s">
        <v>782</v>
      </c>
      <c r="B148" s="454">
        <v>45349.527083333334</v>
      </c>
      <c r="C148" s="446">
        <v>444</v>
      </c>
      <c r="D148" s="446">
        <v>25</v>
      </c>
      <c r="E148" s="446">
        <v>9.2907000000000003E-2</v>
      </c>
      <c r="F148" s="446">
        <v>37.1</v>
      </c>
      <c r="G148" s="446">
        <v>22.5</v>
      </c>
      <c r="H148" s="446">
        <v>952.37400000000002</v>
      </c>
      <c r="I148" s="446">
        <v>0.99978699999999998</v>
      </c>
      <c r="J148" s="446">
        <v>0.64670399999999995</v>
      </c>
      <c r="K148" s="446">
        <v>2403.3000000000002</v>
      </c>
      <c r="L148" s="437">
        <f t="shared" si="0"/>
        <v>1.0256734405384258</v>
      </c>
      <c r="M148" s="439">
        <f t="shared" si="1"/>
        <v>2343.1434460644623</v>
      </c>
      <c r="N148" s="446"/>
      <c r="O148" s="446" t="s">
        <v>775</v>
      </c>
      <c r="P148" s="446" t="s">
        <v>20</v>
      </c>
      <c r="Q148" s="444"/>
      <c r="R148" s="444"/>
      <c r="S148" s="444"/>
      <c r="T148" s="444"/>
      <c r="U148" s="444"/>
      <c r="V148" s="444"/>
      <c r="W148" s="444"/>
    </row>
    <row r="149" spans="1:23" ht="15.75">
      <c r="A149" s="446" t="s">
        <v>783</v>
      </c>
      <c r="B149" s="454">
        <v>45349.53402777778</v>
      </c>
      <c r="C149" s="446">
        <v>469</v>
      </c>
      <c r="D149" s="446">
        <v>25</v>
      </c>
      <c r="E149" s="446">
        <v>9.2907000000000003E-2</v>
      </c>
      <c r="F149" s="446">
        <v>36.6</v>
      </c>
      <c r="G149" s="446">
        <v>22.5</v>
      </c>
      <c r="H149" s="446">
        <v>948.60609999999997</v>
      </c>
      <c r="I149" s="446">
        <v>0.99984499999999998</v>
      </c>
      <c r="J149" s="446">
        <v>0.64473400000000003</v>
      </c>
      <c r="K149" s="446">
        <v>2396</v>
      </c>
      <c r="L149" s="437">
        <f t="shared" si="0"/>
        <v>1.0252934602482262</v>
      </c>
      <c r="M149" s="439">
        <f t="shared" si="1"/>
        <v>2336.8919171881989</v>
      </c>
      <c r="N149" s="446"/>
      <c r="O149" s="446" t="s">
        <v>775</v>
      </c>
      <c r="P149" s="446" t="s">
        <v>20</v>
      </c>
      <c r="Q149" s="444"/>
      <c r="R149" s="444"/>
      <c r="S149" s="444"/>
      <c r="T149" s="444"/>
      <c r="U149" s="444"/>
      <c r="V149" s="444"/>
      <c r="W149" s="444"/>
    </row>
    <row r="150" spans="1:23" ht="15.75">
      <c r="A150" s="446" t="s">
        <v>784</v>
      </c>
      <c r="B150" s="454">
        <v>45349.546527777777</v>
      </c>
      <c r="C150" s="446">
        <v>470</v>
      </c>
      <c r="D150" s="446">
        <v>25</v>
      </c>
      <c r="E150" s="446">
        <v>9.2907000000000003E-2</v>
      </c>
      <c r="F150" s="446">
        <v>36.799999999999997</v>
      </c>
      <c r="G150" s="446">
        <v>22.5</v>
      </c>
      <c r="H150" s="446">
        <v>953.08609999999999</v>
      </c>
      <c r="I150" s="446">
        <v>0.99982899999999997</v>
      </c>
      <c r="J150" s="446">
        <v>0.64387799999999995</v>
      </c>
      <c r="K150" s="446">
        <v>2392.8000000000002</v>
      </c>
      <c r="L150" s="437">
        <f t="shared" si="0"/>
        <v>1.0254454391737517</v>
      </c>
      <c r="M150" s="439">
        <f t="shared" si="1"/>
        <v>2333.4249766891435</v>
      </c>
      <c r="N150" s="446"/>
      <c r="O150" s="446" t="s">
        <v>775</v>
      </c>
      <c r="P150" s="446" t="s">
        <v>20</v>
      </c>
      <c r="Q150" s="444"/>
      <c r="R150" s="444"/>
      <c r="S150" s="444"/>
      <c r="T150" s="444"/>
      <c r="U150" s="444"/>
      <c r="V150" s="444"/>
      <c r="W150" s="444"/>
    </row>
    <row r="151" spans="1:23" ht="15.75">
      <c r="A151" s="446" t="s">
        <v>785</v>
      </c>
      <c r="B151" s="454">
        <v>45349.552777777775</v>
      </c>
      <c r="C151" s="446">
        <v>547</v>
      </c>
      <c r="D151" s="446">
        <v>25</v>
      </c>
      <c r="E151" s="446">
        <v>9.2907000000000003E-2</v>
      </c>
      <c r="F151" s="446">
        <v>36.700000000000003</v>
      </c>
      <c r="G151" s="446">
        <v>22.5</v>
      </c>
      <c r="H151" s="446">
        <v>952.33680000000004</v>
      </c>
      <c r="I151" s="446">
        <v>0.99980800000000003</v>
      </c>
      <c r="J151" s="446">
        <v>0.64349699999999999</v>
      </c>
      <c r="K151" s="446">
        <v>2391.4</v>
      </c>
      <c r="L151" s="437">
        <f t="shared" si="0"/>
        <v>1.0253694475173356</v>
      </c>
      <c r="M151" s="439">
        <f t="shared" si="1"/>
        <v>2332.2325487561102</v>
      </c>
      <c r="N151" s="446"/>
      <c r="O151" s="446" t="s">
        <v>775</v>
      </c>
      <c r="P151" s="446" t="s">
        <v>20</v>
      </c>
      <c r="Q151" s="444"/>
      <c r="R151" s="444"/>
      <c r="S151" s="444"/>
      <c r="T151" s="444"/>
      <c r="U151" s="444"/>
      <c r="V151" s="444"/>
      <c r="W151" s="444"/>
    </row>
    <row r="152" spans="1:23" ht="15.75">
      <c r="A152" s="446" t="s">
        <v>786</v>
      </c>
      <c r="B152" s="454">
        <v>45349.559027777781</v>
      </c>
      <c r="C152" s="446">
        <v>548</v>
      </c>
      <c r="D152" s="446">
        <v>25</v>
      </c>
      <c r="E152" s="446">
        <v>9.2907000000000003E-2</v>
      </c>
      <c r="F152" s="446">
        <v>36.799999999999997</v>
      </c>
      <c r="G152" s="446">
        <v>22.5</v>
      </c>
      <c r="H152" s="446">
        <v>948.69470000000001</v>
      </c>
      <c r="I152" s="446">
        <v>0.99983599999999995</v>
      </c>
      <c r="J152" s="446">
        <v>0.64356999999999998</v>
      </c>
      <c r="K152" s="446">
        <v>2391.6999999999998</v>
      </c>
      <c r="L152" s="437">
        <f t="shared" si="0"/>
        <v>1.0254454391737517</v>
      </c>
      <c r="M152" s="439">
        <f t="shared" si="1"/>
        <v>2332.35227212781</v>
      </c>
      <c r="N152" s="446"/>
      <c r="O152" s="446" t="s">
        <v>775</v>
      </c>
      <c r="P152" s="446" t="s">
        <v>20</v>
      </c>
      <c r="Q152" s="444"/>
      <c r="R152" s="444"/>
      <c r="S152" s="444"/>
      <c r="T152" s="444"/>
      <c r="U152" s="444"/>
      <c r="V152" s="444"/>
      <c r="W152" s="444"/>
    </row>
    <row r="153" spans="1:23" ht="15.75">
      <c r="A153" s="446" t="s">
        <v>787</v>
      </c>
      <c r="B153" s="454">
        <v>45349.565972222219</v>
      </c>
      <c r="C153" s="446">
        <v>404</v>
      </c>
      <c r="D153" s="446">
        <v>25</v>
      </c>
      <c r="E153" s="446">
        <v>9.2907000000000003E-2</v>
      </c>
      <c r="F153" s="446">
        <v>36.700000000000003</v>
      </c>
      <c r="G153" s="446">
        <v>22.5</v>
      </c>
      <c r="H153" s="446">
        <v>952.54949999999997</v>
      </c>
      <c r="I153" s="446">
        <v>0.99979300000000004</v>
      </c>
      <c r="J153" s="446">
        <v>0.64403900000000003</v>
      </c>
      <c r="K153" s="446">
        <v>2393.4</v>
      </c>
      <c r="L153" s="437">
        <f t="shared" si="0"/>
        <v>1.0253694475173356</v>
      </c>
      <c r="M153" s="439">
        <f t="shared" si="1"/>
        <v>2334.1830652307744</v>
      </c>
      <c r="N153" s="446"/>
      <c r="O153" s="446" t="s">
        <v>775</v>
      </c>
      <c r="P153" s="446" t="s">
        <v>20</v>
      </c>
      <c r="Q153" s="444"/>
      <c r="R153" s="444"/>
      <c r="S153" s="444"/>
      <c r="T153" s="444"/>
      <c r="U153" s="444"/>
      <c r="V153" s="444"/>
      <c r="W153" s="444"/>
    </row>
    <row r="154" spans="1:23" ht="15.75">
      <c r="A154" s="446" t="s">
        <v>788</v>
      </c>
      <c r="B154" s="454">
        <v>45349.572222222225</v>
      </c>
      <c r="C154" s="446">
        <v>405</v>
      </c>
      <c r="D154" s="446">
        <v>25</v>
      </c>
      <c r="E154" s="446">
        <v>9.2907000000000003E-2</v>
      </c>
      <c r="F154" s="446">
        <v>36.9</v>
      </c>
      <c r="G154" s="446">
        <v>22.5</v>
      </c>
      <c r="H154" s="446">
        <v>944.85709999999995</v>
      </c>
      <c r="I154" s="446">
        <v>0.99979099999999999</v>
      </c>
      <c r="J154" s="446">
        <v>0.64371900000000004</v>
      </c>
      <c r="K154" s="446">
        <v>2392.1999999999998</v>
      </c>
      <c r="L154" s="437">
        <f t="shared" si="0"/>
        <v>1.0255214352246484</v>
      </c>
      <c r="M154" s="439">
        <f t="shared" si="1"/>
        <v>2332.6669905012468</v>
      </c>
      <c r="N154" s="446"/>
      <c r="O154" s="446" t="s">
        <v>775</v>
      </c>
      <c r="P154" s="446" t="s">
        <v>20</v>
      </c>
      <c r="Q154" s="444"/>
      <c r="R154" s="444"/>
      <c r="S154" s="444"/>
      <c r="T154" s="444"/>
      <c r="U154" s="444"/>
      <c r="V154" s="444"/>
      <c r="W154" s="444"/>
    </row>
    <row r="155" spans="1:23" ht="15.75">
      <c r="A155" s="446" t="s">
        <v>789</v>
      </c>
      <c r="B155" s="454">
        <v>45349.57916666667</v>
      </c>
      <c r="C155" s="446">
        <v>521</v>
      </c>
      <c r="D155" s="446">
        <v>25</v>
      </c>
      <c r="E155" s="446">
        <v>9.2907000000000003E-2</v>
      </c>
      <c r="F155" s="446">
        <v>36.6</v>
      </c>
      <c r="G155" s="446">
        <v>22.5</v>
      </c>
      <c r="H155" s="446">
        <v>859.65340000000003</v>
      </c>
      <c r="I155" s="446">
        <v>0.99979099999999999</v>
      </c>
      <c r="J155" s="446">
        <v>0.64631000000000005</v>
      </c>
      <c r="K155" s="446">
        <v>2401.9</v>
      </c>
      <c r="L155" s="437">
        <f t="shared" si="0"/>
        <v>1.0252934602482262</v>
      </c>
      <c r="M155" s="439">
        <f t="shared" si="1"/>
        <v>2342.6463672346977</v>
      </c>
      <c r="N155" s="446"/>
      <c r="O155" s="446" t="s">
        <v>775</v>
      </c>
      <c r="P155" s="446" t="s">
        <v>20</v>
      </c>
      <c r="Q155" s="444"/>
      <c r="R155" s="444"/>
      <c r="S155" s="444"/>
      <c r="T155" s="444"/>
      <c r="U155" s="444"/>
      <c r="V155" s="444"/>
      <c r="W155" s="444"/>
    </row>
    <row r="156" spans="1:23" ht="15.75">
      <c r="A156" s="446" t="s">
        <v>790</v>
      </c>
      <c r="B156" s="447">
        <v>45349.587500000001</v>
      </c>
      <c r="C156" s="446" t="s">
        <v>751</v>
      </c>
      <c r="D156" s="446">
        <v>25</v>
      </c>
      <c r="E156" s="446">
        <v>9.2907000000000003E-2</v>
      </c>
      <c r="F156" s="446">
        <v>33.4</v>
      </c>
      <c r="G156" s="446">
        <v>22.5</v>
      </c>
      <c r="H156" s="446">
        <v>943.13980000000004</v>
      </c>
      <c r="I156" s="446">
        <v>0.99981600000000004</v>
      </c>
      <c r="J156" s="446">
        <v>0.60695699999999997</v>
      </c>
      <c r="K156" s="446">
        <v>2255.6</v>
      </c>
      <c r="L156" s="437">
        <f t="shared" si="0"/>
        <v>1.0228641396069589</v>
      </c>
      <c r="M156" s="439">
        <f t="shared" si="1"/>
        <v>2205.1804464146398</v>
      </c>
      <c r="N156" s="446"/>
      <c r="O156" s="446" t="s">
        <v>775</v>
      </c>
      <c r="P156" s="446" t="s">
        <v>20</v>
      </c>
      <c r="Q156" s="444"/>
      <c r="R156" s="444"/>
      <c r="S156" s="444"/>
      <c r="T156" s="444"/>
      <c r="U156" s="444"/>
      <c r="V156" s="444"/>
      <c r="W156" s="444"/>
    </row>
    <row r="157" spans="1:23" ht="15.75">
      <c r="A157" s="446" t="s">
        <v>791</v>
      </c>
      <c r="B157" s="447">
        <v>45349.597916666666</v>
      </c>
      <c r="C157" s="446" t="s">
        <v>751</v>
      </c>
      <c r="D157" s="446">
        <v>25</v>
      </c>
      <c r="E157" s="446">
        <v>9.2907000000000003E-2</v>
      </c>
      <c r="F157" s="446">
        <v>33.4</v>
      </c>
      <c r="G157" s="446">
        <v>22.5</v>
      </c>
      <c r="H157" s="446">
        <v>941.40049999999997</v>
      </c>
      <c r="I157" s="446">
        <v>0.99985100000000005</v>
      </c>
      <c r="J157" s="446">
        <v>0.60600900000000002</v>
      </c>
      <c r="K157" s="446">
        <v>2252.1</v>
      </c>
      <c r="L157" s="437">
        <f t="shared" si="0"/>
        <v>1.0228641396069589</v>
      </c>
      <c r="M157" s="439">
        <f t="shared" si="1"/>
        <v>2201.7586821113719</v>
      </c>
      <c r="N157" s="446"/>
      <c r="O157" s="446" t="s">
        <v>775</v>
      </c>
      <c r="P157" s="446" t="s">
        <v>20</v>
      </c>
      <c r="Q157" s="444"/>
      <c r="R157" s="444"/>
      <c r="S157" s="444"/>
      <c r="T157" s="444"/>
      <c r="U157" s="444"/>
      <c r="V157" s="444"/>
      <c r="W157" s="444"/>
    </row>
    <row r="158" spans="1:23" ht="15.75">
      <c r="A158" s="446" t="s">
        <v>792</v>
      </c>
      <c r="B158" s="454">
        <v>45349.606944444444</v>
      </c>
      <c r="C158" s="446">
        <v>522</v>
      </c>
      <c r="D158" s="446">
        <v>25</v>
      </c>
      <c r="E158" s="446">
        <v>9.2907000000000003E-2</v>
      </c>
      <c r="F158" s="446">
        <v>36.799999999999997</v>
      </c>
      <c r="G158" s="446">
        <v>22.5</v>
      </c>
      <c r="H158" s="446">
        <v>903.12990000000002</v>
      </c>
      <c r="I158" s="446">
        <v>0.99977400000000005</v>
      </c>
      <c r="J158" s="446">
        <v>0.64481200000000005</v>
      </c>
      <c r="K158" s="446">
        <v>2396.3000000000002</v>
      </c>
      <c r="L158" s="437">
        <f t="shared" si="0"/>
        <v>1.0254454391737517</v>
      </c>
      <c r="M158" s="439">
        <f t="shared" si="1"/>
        <v>2336.8381275661127</v>
      </c>
      <c r="N158" s="446"/>
      <c r="O158" s="446" t="s">
        <v>775</v>
      </c>
      <c r="P158" s="446" t="s">
        <v>20</v>
      </c>
      <c r="Q158" s="444"/>
      <c r="R158" s="444"/>
      <c r="S158" s="444"/>
      <c r="T158" s="444"/>
      <c r="U158" s="444"/>
      <c r="V158" s="444"/>
      <c r="W158" s="444"/>
    </row>
    <row r="159" spans="1:23" ht="15.75">
      <c r="A159" s="446" t="s">
        <v>793</v>
      </c>
      <c r="B159" s="454">
        <v>45349.618055555555</v>
      </c>
      <c r="C159" s="446">
        <v>560</v>
      </c>
      <c r="D159" s="446">
        <v>25</v>
      </c>
      <c r="E159" s="446">
        <v>9.2907000000000003E-2</v>
      </c>
      <c r="F159" s="446">
        <v>36.9</v>
      </c>
      <c r="G159" s="446">
        <v>22.5</v>
      </c>
      <c r="H159" s="446">
        <v>885.726</v>
      </c>
      <c r="I159" s="446">
        <v>0.999691</v>
      </c>
      <c r="J159" s="446">
        <v>0.64599899999999999</v>
      </c>
      <c r="K159" s="446">
        <v>2400.6999999999998</v>
      </c>
      <c r="L159" s="437">
        <f t="shared" si="0"/>
        <v>1.0255214352246484</v>
      </c>
      <c r="M159" s="439">
        <f t="shared" si="1"/>
        <v>2340.9554569418706</v>
      </c>
      <c r="N159" s="446"/>
      <c r="O159" s="446" t="s">
        <v>775</v>
      </c>
      <c r="P159" s="446" t="s">
        <v>20</v>
      </c>
      <c r="Q159" s="444"/>
      <c r="R159" s="444"/>
      <c r="S159" s="444"/>
      <c r="T159" s="444"/>
      <c r="U159" s="444"/>
      <c r="V159" s="444"/>
      <c r="W159" s="444"/>
    </row>
    <row r="160" spans="1:23" ht="15.75">
      <c r="A160" s="446" t="s">
        <v>794</v>
      </c>
      <c r="B160" s="454">
        <v>45349.627083333333</v>
      </c>
      <c r="C160" s="446">
        <v>561</v>
      </c>
      <c r="D160" s="446">
        <v>25</v>
      </c>
      <c r="E160" s="446">
        <v>9.2907000000000003E-2</v>
      </c>
      <c r="F160" s="446">
        <v>36.799999999999997</v>
      </c>
      <c r="G160" s="446">
        <v>22.5</v>
      </c>
      <c r="H160" s="446">
        <v>887.47850000000005</v>
      </c>
      <c r="I160" s="446">
        <v>0.99978400000000001</v>
      </c>
      <c r="J160" s="446">
        <v>0.64640399999999998</v>
      </c>
      <c r="K160" s="446">
        <v>2402.1999999999998</v>
      </c>
      <c r="L160" s="437">
        <f t="shared" si="0"/>
        <v>1.0254454391737517</v>
      </c>
      <c r="M160" s="439">
        <f t="shared" si="1"/>
        <v>2342.5917247587176</v>
      </c>
      <c r="N160" s="446"/>
      <c r="O160" s="446" t="s">
        <v>775</v>
      </c>
      <c r="P160" s="446" t="s">
        <v>20</v>
      </c>
      <c r="Q160" s="444"/>
      <c r="R160" s="444"/>
      <c r="S160" s="444"/>
      <c r="T160" s="444"/>
      <c r="U160" s="444"/>
      <c r="V160" s="444"/>
      <c r="W160" s="444"/>
    </row>
    <row r="161" spans="1:23" ht="15.75">
      <c r="A161" s="446" t="s">
        <v>795</v>
      </c>
      <c r="B161" s="454">
        <v>45349.635416666664</v>
      </c>
      <c r="C161" s="446">
        <v>573</v>
      </c>
      <c r="D161" s="446">
        <v>25</v>
      </c>
      <c r="E161" s="446">
        <v>9.2907000000000003E-2</v>
      </c>
      <c r="F161" s="455">
        <v>36.85</v>
      </c>
      <c r="G161" s="446">
        <v>22.5</v>
      </c>
      <c r="H161" s="446">
        <v>925.96770000000004</v>
      </c>
      <c r="I161" s="446">
        <v>0.99978999999999996</v>
      </c>
      <c r="J161" s="446">
        <v>0.64358400000000004</v>
      </c>
      <c r="K161" s="446">
        <v>2391.6999999999998</v>
      </c>
      <c r="L161" s="437">
        <f t="shared" si="0"/>
        <v>1.025483436649443</v>
      </c>
      <c r="M161" s="439">
        <f t="shared" si="1"/>
        <v>2332.265850937963</v>
      </c>
      <c r="N161" s="446"/>
      <c r="O161" s="446" t="s">
        <v>775</v>
      </c>
      <c r="P161" s="446" t="s">
        <v>20</v>
      </c>
      <c r="Q161" s="444"/>
      <c r="R161" s="444"/>
      <c r="S161" s="444"/>
      <c r="T161" s="444"/>
      <c r="U161" s="444"/>
      <c r="V161" s="444"/>
      <c r="W161" s="444"/>
    </row>
    <row r="162" spans="1:23" ht="15.75">
      <c r="A162" s="446" t="s">
        <v>796</v>
      </c>
      <c r="B162" s="454">
        <v>45349.647222222222</v>
      </c>
      <c r="C162" s="446">
        <v>574</v>
      </c>
      <c r="D162" s="446">
        <v>25</v>
      </c>
      <c r="E162" s="446">
        <v>9.2907000000000003E-2</v>
      </c>
      <c r="F162" s="446">
        <v>36.9</v>
      </c>
      <c r="G162" s="446">
        <v>22.5</v>
      </c>
      <c r="H162" s="446">
        <v>910.59270000000004</v>
      </c>
      <c r="I162" s="446">
        <v>0.99969399999999997</v>
      </c>
      <c r="J162" s="446">
        <v>0.64781200000000005</v>
      </c>
      <c r="K162" s="446">
        <v>2407.4</v>
      </c>
      <c r="L162" s="437">
        <f t="shared" si="0"/>
        <v>1.0255214352246484</v>
      </c>
      <c r="M162" s="439">
        <f t="shared" si="1"/>
        <v>2347.4887187244803</v>
      </c>
      <c r="N162" s="446"/>
      <c r="O162" s="446" t="s">
        <v>775</v>
      </c>
      <c r="P162" s="446" t="s">
        <v>20</v>
      </c>
      <c r="Q162" s="444"/>
      <c r="R162" s="444"/>
      <c r="S162" s="444"/>
      <c r="T162" s="444"/>
      <c r="U162" s="444"/>
      <c r="V162" s="444"/>
      <c r="W162" s="444"/>
    </row>
    <row r="163" spans="1:23" ht="15.75">
      <c r="A163" s="446" t="s">
        <v>797</v>
      </c>
      <c r="B163" s="454">
        <v>45349.658333333333</v>
      </c>
      <c r="C163" s="446">
        <v>625</v>
      </c>
      <c r="D163" s="446">
        <v>25</v>
      </c>
      <c r="E163" s="446">
        <v>9.2907000000000003E-2</v>
      </c>
      <c r="F163" s="446">
        <v>36.799999999999997</v>
      </c>
      <c r="G163" s="446">
        <v>22.5</v>
      </c>
      <c r="H163" s="446">
        <v>915.53020000000004</v>
      </c>
      <c r="I163" s="446">
        <v>0.99973800000000002</v>
      </c>
      <c r="J163" s="446">
        <v>0.64604200000000001</v>
      </c>
      <c r="K163" s="446">
        <v>2400.9</v>
      </c>
      <c r="L163" s="437">
        <f t="shared" si="0"/>
        <v>1.0254454391737517</v>
      </c>
      <c r="M163" s="439">
        <f t="shared" si="1"/>
        <v>2341.3239830044149</v>
      </c>
      <c r="N163" s="446"/>
      <c r="O163" s="446" t="s">
        <v>775</v>
      </c>
      <c r="P163" s="446" t="s">
        <v>20</v>
      </c>
      <c r="Q163" s="444"/>
      <c r="R163" s="444"/>
      <c r="S163" s="444"/>
      <c r="T163" s="444"/>
      <c r="U163" s="444"/>
      <c r="V163" s="444"/>
      <c r="W163" s="444"/>
    </row>
    <row r="164" spans="1:23" ht="15.75">
      <c r="A164" s="446" t="s">
        <v>798</v>
      </c>
      <c r="B164" s="454">
        <v>45349.677777777775</v>
      </c>
      <c r="C164" s="446">
        <v>626</v>
      </c>
      <c r="D164" s="446">
        <v>25</v>
      </c>
      <c r="E164" s="446">
        <v>9.2907000000000003E-2</v>
      </c>
      <c r="F164" s="446">
        <v>36.799999999999997</v>
      </c>
      <c r="G164" s="446">
        <v>22.5</v>
      </c>
      <c r="H164" s="446">
        <v>929.24379999999996</v>
      </c>
      <c r="I164" s="446">
        <v>0.99971399999999999</v>
      </c>
      <c r="J164" s="446">
        <v>0.64772700000000005</v>
      </c>
      <c r="K164" s="446">
        <v>2407.1</v>
      </c>
      <c r="L164" s="437">
        <f t="shared" si="0"/>
        <v>1.0254454391737517</v>
      </c>
      <c r="M164" s="439">
        <f t="shared" si="1"/>
        <v>2347.3701359864749</v>
      </c>
      <c r="N164" s="446"/>
      <c r="O164" s="446" t="s">
        <v>775</v>
      </c>
      <c r="P164" s="446" t="s">
        <v>20</v>
      </c>
      <c r="Q164" s="444"/>
      <c r="R164" s="444"/>
      <c r="S164" s="444"/>
      <c r="T164" s="444"/>
      <c r="U164" s="444"/>
      <c r="V164" s="444"/>
      <c r="W164" s="444"/>
    </row>
    <row r="165" spans="1:23" ht="15.75">
      <c r="A165" s="446" t="s">
        <v>799</v>
      </c>
      <c r="B165" s="454">
        <v>45349.693055555559</v>
      </c>
      <c r="C165" s="446">
        <v>586</v>
      </c>
      <c r="D165" s="446">
        <v>25</v>
      </c>
      <c r="E165" s="446">
        <v>9.2907000000000003E-2</v>
      </c>
      <c r="F165" s="446">
        <v>36.799999999999997</v>
      </c>
      <c r="G165" s="446">
        <v>22.5</v>
      </c>
      <c r="H165" s="446">
        <v>926.60199999999998</v>
      </c>
      <c r="I165" s="446">
        <v>0.99989700000000004</v>
      </c>
      <c r="J165" s="446">
        <v>0.64631700000000003</v>
      </c>
      <c r="K165" s="446">
        <v>2401.9</v>
      </c>
      <c r="L165" s="437">
        <f t="shared" si="0"/>
        <v>1.0254454391737517</v>
      </c>
      <c r="M165" s="439">
        <f t="shared" si="1"/>
        <v>2342.2991689692635</v>
      </c>
      <c r="N165" s="446"/>
      <c r="O165" s="446" t="s">
        <v>775</v>
      </c>
      <c r="P165" s="446" t="s">
        <v>20</v>
      </c>
      <c r="Q165" s="444"/>
      <c r="R165" s="444"/>
      <c r="S165" s="444"/>
      <c r="T165" s="444"/>
      <c r="U165" s="444"/>
      <c r="V165" s="444"/>
      <c r="W165" s="444"/>
    </row>
    <row r="166" spans="1:23" ht="15.75">
      <c r="A166" s="446" t="s">
        <v>800</v>
      </c>
      <c r="B166" s="454">
        <v>45349.701388888891</v>
      </c>
      <c r="C166" s="446">
        <v>587</v>
      </c>
      <c r="D166" s="446">
        <v>25</v>
      </c>
      <c r="E166" s="446">
        <v>9.2907000000000003E-2</v>
      </c>
      <c r="F166" s="446">
        <v>36.700000000000003</v>
      </c>
      <c r="G166" s="446">
        <v>22.5</v>
      </c>
      <c r="H166" s="446">
        <v>931.0598</v>
      </c>
      <c r="I166" s="446">
        <v>0.99978</v>
      </c>
      <c r="J166" s="446">
        <v>0.64457699999999996</v>
      </c>
      <c r="K166" s="446">
        <v>2395.4</v>
      </c>
      <c r="L166" s="437">
        <f t="shared" si="0"/>
        <v>1.0253694475173356</v>
      </c>
      <c r="M166" s="439">
        <f t="shared" si="1"/>
        <v>2336.1335817054387</v>
      </c>
      <c r="N166" s="446"/>
      <c r="O166" s="446" t="s">
        <v>775</v>
      </c>
      <c r="P166" s="446" t="s">
        <v>20</v>
      </c>
      <c r="Q166" s="444"/>
      <c r="R166" s="444"/>
      <c r="S166" s="444"/>
      <c r="T166" s="444"/>
      <c r="U166" s="444"/>
      <c r="V166" s="444"/>
      <c r="W166" s="444"/>
    </row>
    <row r="167" spans="1:23" ht="15.75">
      <c r="A167" s="446" t="s">
        <v>801</v>
      </c>
      <c r="B167" s="454">
        <v>45349.709027777775</v>
      </c>
      <c r="C167" s="446">
        <v>612</v>
      </c>
      <c r="D167" s="446">
        <v>25</v>
      </c>
      <c r="E167" s="446">
        <v>9.2907000000000003E-2</v>
      </c>
      <c r="F167" s="446">
        <v>36.799999999999997</v>
      </c>
      <c r="G167" s="446">
        <v>22.5</v>
      </c>
      <c r="H167" s="446">
        <v>938.01480000000004</v>
      </c>
      <c r="I167" s="446">
        <v>0.99969300000000005</v>
      </c>
      <c r="J167" s="446">
        <v>0.64512499999999995</v>
      </c>
      <c r="K167" s="446">
        <v>2397.5</v>
      </c>
      <c r="L167" s="437">
        <f t="shared" si="0"/>
        <v>1.0254454391737517</v>
      </c>
      <c r="M167" s="439">
        <f t="shared" si="1"/>
        <v>2338.0083507239306</v>
      </c>
      <c r="N167" s="446"/>
      <c r="O167" s="446" t="s">
        <v>775</v>
      </c>
      <c r="P167" s="446" t="s">
        <v>20</v>
      </c>
      <c r="Q167" s="444"/>
      <c r="R167" s="444"/>
      <c r="S167" s="444"/>
      <c r="T167" s="444"/>
      <c r="U167" s="444"/>
      <c r="V167" s="444"/>
      <c r="W167" s="444"/>
    </row>
    <row r="168" spans="1:23" ht="15.75">
      <c r="A168" s="446" t="s">
        <v>803</v>
      </c>
      <c r="B168" s="447">
        <v>45349.722916666666</v>
      </c>
      <c r="C168" s="446" t="s">
        <v>751</v>
      </c>
      <c r="D168" s="446">
        <v>25</v>
      </c>
      <c r="E168" s="446">
        <v>9.2907000000000003E-2</v>
      </c>
      <c r="F168" s="446">
        <v>33.4</v>
      </c>
      <c r="G168" s="446">
        <v>22.5</v>
      </c>
      <c r="H168" s="446">
        <v>939.07550000000003</v>
      </c>
      <c r="I168" s="446">
        <v>0.99980800000000003</v>
      </c>
      <c r="J168" s="446">
        <v>0.605325</v>
      </c>
      <c r="K168" s="446">
        <v>2249.5</v>
      </c>
      <c r="L168" s="437">
        <f t="shared" si="0"/>
        <v>1.0228641396069589</v>
      </c>
      <c r="M168" s="439">
        <f t="shared" si="1"/>
        <v>2199.2168000575157</v>
      </c>
      <c r="N168" s="446"/>
      <c r="O168" s="446" t="s">
        <v>775</v>
      </c>
      <c r="P168" s="446" t="s">
        <v>20</v>
      </c>
      <c r="Q168" s="444"/>
      <c r="R168" s="444"/>
      <c r="S168" s="444"/>
      <c r="T168" s="444"/>
      <c r="U168" s="444"/>
      <c r="V168" s="444"/>
      <c r="W168" s="444"/>
    </row>
    <row r="169" spans="1:23" ht="15.75">
      <c r="A169" s="446" t="s">
        <v>804</v>
      </c>
      <c r="B169" s="454">
        <v>45349.729861111111</v>
      </c>
      <c r="C169" s="446">
        <v>613</v>
      </c>
      <c r="D169" s="446">
        <v>25</v>
      </c>
      <c r="E169" s="446">
        <v>9.2907000000000003E-2</v>
      </c>
      <c r="F169" s="446">
        <v>36.6</v>
      </c>
      <c r="G169" s="446">
        <v>22.5</v>
      </c>
      <c r="H169" s="446">
        <v>935.33960000000002</v>
      </c>
      <c r="I169" s="446">
        <v>0.99978100000000003</v>
      </c>
      <c r="J169" s="446">
        <v>0.64462200000000003</v>
      </c>
      <c r="K169" s="446">
        <v>2395.6</v>
      </c>
      <c r="L169" s="437">
        <f t="shared" si="0"/>
        <v>1.0252934602482262</v>
      </c>
      <c r="M169" s="439">
        <f t="shared" si="1"/>
        <v>2336.5017849816568</v>
      </c>
      <c r="N169" s="446"/>
      <c r="O169" s="446" t="s">
        <v>775</v>
      </c>
      <c r="P169" s="446" t="s">
        <v>20</v>
      </c>
      <c r="Q169" s="444"/>
      <c r="R169" s="444"/>
      <c r="S169" s="444"/>
      <c r="T169" s="444"/>
      <c r="U169" s="444"/>
      <c r="V169" s="444"/>
      <c r="W169" s="444"/>
    </row>
    <row r="170" spans="1:23" ht="15.75">
      <c r="A170" s="446" t="s">
        <v>805</v>
      </c>
      <c r="B170" s="454">
        <v>45349.736111111109</v>
      </c>
      <c r="C170" s="446">
        <v>534</v>
      </c>
      <c r="D170" s="446">
        <v>25</v>
      </c>
      <c r="E170" s="446">
        <v>9.2907000000000003E-2</v>
      </c>
      <c r="F170" s="446">
        <v>37.200000000000003</v>
      </c>
      <c r="G170" s="446">
        <v>22.5</v>
      </c>
      <c r="H170" s="446">
        <v>943.46439999999996</v>
      </c>
      <c r="I170" s="446">
        <v>0.99990299999999999</v>
      </c>
      <c r="J170" s="446">
        <v>0.64245799999999997</v>
      </c>
      <c r="K170" s="446">
        <v>2387.5</v>
      </c>
      <c r="L170" s="437">
        <f t="shared" si="0"/>
        <v>1.0257494498155078</v>
      </c>
      <c r="M170" s="439">
        <f t="shared" si="1"/>
        <v>2327.5664446414453</v>
      </c>
      <c r="N170" s="446"/>
      <c r="O170" s="446" t="s">
        <v>775</v>
      </c>
      <c r="P170" s="446" t="s">
        <v>20</v>
      </c>
      <c r="Q170" s="444"/>
      <c r="R170" s="444"/>
      <c r="S170" s="444"/>
      <c r="T170" s="444"/>
      <c r="U170" s="444"/>
      <c r="V170" s="444"/>
      <c r="W170" s="444"/>
    </row>
    <row r="171" spans="1:23" ht="15.75">
      <c r="A171" s="446" t="s">
        <v>806</v>
      </c>
      <c r="B171" s="454">
        <v>45349.742361111108</v>
      </c>
      <c r="C171" s="446">
        <v>535</v>
      </c>
      <c r="D171" s="446">
        <v>25</v>
      </c>
      <c r="E171" s="446">
        <v>9.2907000000000003E-2</v>
      </c>
      <c r="F171" s="446">
        <v>36.799999999999997</v>
      </c>
      <c r="G171" s="446">
        <v>22.5</v>
      </c>
      <c r="H171" s="446">
        <v>944.31579999999997</v>
      </c>
      <c r="I171" s="446">
        <v>0.99983999999999995</v>
      </c>
      <c r="J171" s="446">
        <v>0.64055499999999999</v>
      </c>
      <c r="K171" s="446">
        <v>2380.5</v>
      </c>
      <c r="L171" s="437">
        <f t="shared" si="0"/>
        <v>1.0254454391737517</v>
      </c>
      <c r="M171" s="439">
        <f t="shared" si="1"/>
        <v>2321.4301893215084</v>
      </c>
      <c r="N171" s="446"/>
      <c r="O171" s="446" t="s">
        <v>775</v>
      </c>
      <c r="P171" s="446" t="s">
        <v>20</v>
      </c>
      <c r="Q171" s="444"/>
      <c r="R171" s="444"/>
      <c r="S171" s="444"/>
      <c r="T171" s="444"/>
      <c r="U171" s="444"/>
      <c r="V171" s="444"/>
      <c r="W171" s="444"/>
    </row>
    <row r="172" spans="1:23" ht="15.75">
      <c r="A172" s="446" t="s">
        <v>807</v>
      </c>
      <c r="B172" s="447">
        <v>45349.748611111114</v>
      </c>
      <c r="C172" s="446" t="s">
        <v>751</v>
      </c>
      <c r="D172" s="446">
        <v>25</v>
      </c>
      <c r="E172" s="446">
        <v>9.2907000000000003E-2</v>
      </c>
      <c r="F172" s="446">
        <v>33.4</v>
      </c>
      <c r="G172" s="446">
        <v>22.5</v>
      </c>
      <c r="H172" s="446">
        <v>941.22029999999995</v>
      </c>
      <c r="I172" s="446">
        <v>0.99972300000000003</v>
      </c>
      <c r="J172" s="446">
        <v>0.605294</v>
      </c>
      <c r="K172" s="446">
        <v>2249.4</v>
      </c>
      <c r="L172" s="437">
        <f t="shared" si="0"/>
        <v>1.0228641396069589</v>
      </c>
      <c r="M172" s="439">
        <f t="shared" si="1"/>
        <v>2199.1190353631364</v>
      </c>
      <c r="N172" s="446"/>
      <c r="O172" s="446" t="s">
        <v>775</v>
      </c>
      <c r="P172" s="446" t="s">
        <v>20</v>
      </c>
      <c r="Q172" s="444"/>
      <c r="R172" s="444"/>
      <c r="S172" s="444"/>
      <c r="T172" s="444"/>
      <c r="U172" s="444"/>
      <c r="V172" s="444"/>
      <c r="W172" s="444"/>
    </row>
    <row r="173" spans="1:23" ht="15.75">
      <c r="A173" s="446" t="s">
        <v>772</v>
      </c>
      <c r="B173" s="456">
        <v>45355.414583333331</v>
      </c>
      <c r="C173" s="446" t="s">
        <v>773</v>
      </c>
      <c r="D173" s="446">
        <v>20</v>
      </c>
      <c r="E173" s="446">
        <v>9.2906500000000003E-2</v>
      </c>
      <c r="F173" s="446" t="s">
        <v>774</v>
      </c>
      <c r="G173" s="446">
        <v>22.5</v>
      </c>
      <c r="H173" s="446">
        <v>1373.03244</v>
      </c>
      <c r="I173" s="446">
        <v>0.99998600000000004</v>
      </c>
      <c r="J173" s="446">
        <v>0.40711399999999998</v>
      </c>
      <c r="K173" s="446">
        <v>1891.2</v>
      </c>
      <c r="L173" s="437" t="e">
        <f t="shared" si="0"/>
        <v>#VALUE!</v>
      </c>
      <c r="M173" s="439" t="e">
        <f t="shared" si="1"/>
        <v>#VALUE!</v>
      </c>
      <c r="N173" s="446"/>
      <c r="O173" s="446" t="s">
        <v>21</v>
      </c>
      <c r="P173" s="446" t="s">
        <v>20</v>
      </c>
      <c r="Q173" s="457"/>
      <c r="R173" s="457"/>
      <c r="S173" s="444"/>
      <c r="T173" s="444"/>
      <c r="U173" s="444"/>
      <c r="V173" s="444"/>
      <c r="W173" s="444"/>
    </row>
    <row r="174" spans="1:23" ht="15.75">
      <c r="A174" s="446" t="s">
        <v>776</v>
      </c>
      <c r="B174" s="456">
        <v>45355.421527777777</v>
      </c>
      <c r="C174" s="446" t="s">
        <v>773</v>
      </c>
      <c r="D174" s="446">
        <v>20</v>
      </c>
      <c r="E174" s="446">
        <v>9.2906500000000003E-2</v>
      </c>
      <c r="F174" s="446" t="s">
        <v>774</v>
      </c>
      <c r="G174" s="446">
        <v>22.5</v>
      </c>
      <c r="H174" s="446">
        <v>1361.32204</v>
      </c>
      <c r="I174" s="446">
        <v>0.99996700000000005</v>
      </c>
      <c r="J174" s="446">
        <v>0.407248</v>
      </c>
      <c r="K174" s="446">
        <v>1891.8</v>
      </c>
      <c r="L174" s="437" t="e">
        <f t="shared" si="0"/>
        <v>#VALUE!</v>
      </c>
      <c r="M174" s="439" t="e">
        <f t="shared" si="1"/>
        <v>#VALUE!</v>
      </c>
      <c r="N174" s="446">
        <v>0.43830000000000002</v>
      </c>
      <c r="O174" s="446" t="s">
        <v>21</v>
      </c>
      <c r="P174" s="446" t="s">
        <v>20</v>
      </c>
      <c r="Q174" s="457"/>
      <c r="R174" s="457"/>
      <c r="S174" s="444"/>
      <c r="T174" s="444"/>
      <c r="U174" s="444"/>
      <c r="V174" s="444"/>
      <c r="W174" s="444"/>
    </row>
    <row r="175" spans="1:23" ht="15.75">
      <c r="A175" s="446" t="s">
        <v>777</v>
      </c>
      <c r="B175" s="456">
        <v>45355.429861111108</v>
      </c>
      <c r="C175" s="446" t="s">
        <v>773</v>
      </c>
      <c r="D175" s="446">
        <v>20</v>
      </c>
      <c r="E175" s="446">
        <v>9.2906500000000003E-2</v>
      </c>
      <c r="F175" s="446" t="s">
        <v>774</v>
      </c>
      <c r="G175" s="446">
        <v>22.5</v>
      </c>
      <c r="H175" s="446">
        <v>1366.80206</v>
      </c>
      <c r="I175" s="446">
        <v>0.99996700000000005</v>
      </c>
      <c r="J175" s="446">
        <v>0.407248</v>
      </c>
      <c r="K175" s="446">
        <v>1891.8</v>
      </c>
      <c r="L175" s="437" t="e">
        <f t="shared" si="0"/>
        <v>#VALUE!</v>
      </c>
      <c r="M175" s="439" t="e">
        <f t="shared" si="1"/>
        <v>#VALUE!</v>
      </c>
      <c r="N175" s="446">
        <v>0</v>
      </c>
      <c r="O175" s="446" t="s">
        <v>21</v>
      </c>
      <c r="P175" s="446" t="s">
        <v>20</v>
      </c>
      <c r="Q175" s="457"/>
      <c r="R175" s="457"/>
      <c r="S175" s="444"/>
      <c r="T175" s="444"/>
      <c r="U175" s="444"/>
      <c r="V175" s="444"/>
      <c r="W175" s="444"/>
    </row>
    <row r="176" spans="1:23" ht="15.75">
      <c r="A176" s="446" t="s">
        <v>778</v>
      </c>
      <c r="B176" s="456">
        <v>45355.462500000001</v>
      </c>
      <c r="C176" s="446" t="s">
        <v>755</v>
      </c>
      <c r="D176" s="446">
        <v>20</v>
      </c>
      <c r="E176" s="446">
        <v>9.2906500000000003E-2</v>
      </c>
      <c r="F176" s="446" t="s">
        <v>774</v>
      </c>
      <c r="G176" s="446">
        <v>22.5</v>
      </c>
      <c r="H176" s="446">
        <v>1147.16716</v>
      </c>
      <c r="I176" s="446">
        <v>0.99983299999999997</v>
      </c>
      <c r="J176" s="446">
        <v>0.48492600000000002</v>
      </c>
      <c r="K176" s="446">
        <v>2252.6</v>
      </c>
      <c r="L176" s="437" t="e">
        <f t="shared" si="0"/>
        <v>#VALUE!</v>
      </c>
      <c r="M176" s="439" t="e">
        <f t="shared" si="1"/>
        <v>#VALUE!</v>
      </c>
      <c r="N176" s="446">
        <v>2.8854000000000002</v>
      </c>
      <c r="O176" s="446" t="s">
        <v>21</v>
      </c>
      <c r="P176" s="446" t="s">
        <v>20</v>
      </c>
      <c r="Q176" s="457"/>
      <c r="R176" s="457"/>
      <c r="S176" s="444"/>
      <c r="T176" s="444"/>
      <c r="U176" s="444"/>
      <c r="V176" s="444"/>
      <c r="W176" s="444"/>
    </row>
    <row r="177" spans="1:23" ht="15.75">
      <c r="A177" s="446" t="s">
        <v>820</v>
      </c>
      <c r="B177" s="456">
        <v>45355.47152777778</v>
      </c>
      <c r="C177" s="446" t="s">
        <v>755</v>
      </c>
      <c r="D177" s="446">
        <v>20</v>
      </c>
      <c r="E177" s="446">
        <v>9.2906500000000003E-2</v>
      </c>
      <c r="F177" s="446" t="s">
        <v>774</v>
      </c>
      <c r="G177" s="446">
        <v>22.5</v>
      </c>
      <c r="H177" s="446">
        <v>1144.0664400000001</v>
      </c>
      <c r="I177" s="446">
        <v>0.99984799999999996</v>
      </c>
      <c r="J177" s="446">
        <v>0.48540899999999998</v>
      </c>
      <c r="K177" s="446">
        <v>2254.9</v>
      </c>
      <c r="L177" s="437" t="e">
        <f t="shared" si="0"/>
        <v>#VALUE!</v>
      </c>
      <c r="M177" s="439" t="e">
        <f t="shared" si="1"/>
        <v>#VALUE!</v>
      </c>
      <c r="N177" s="446">
        <v>1.5868</v>
      </c>
      <c r="O177" s="446" t="s">
        <v>21</v>
      </c>
      <c r="P177" s="446" t="s">
        <v>20</v>
      </c>
      <c r="Q177" s="457"/>
      <c r="R177" s="457"/>
      <c r="S177" s="444"/>
      <c r="T177" s="444"/>
      <c r="U177" s="444"/>
      <c r="V177" s="444"/>
      <c r="W177" s="444"/>
    </row>
    <row r="178" spans="1:23" ht="15.75">
      <c r="A178" s="446" t="s">
        <v>780</v>
      </c>
      <c r="B178" s="456">
        <v>45355.488888888889</v>
      </c>
      <c r="C178" s="446">
        <v>118</v>
      </c>
      <c r="D178" s="446">
        <v>20</v>
      </c>
      <c r="E178" s="446">
        <v>9.2906500000000003E-2</v>
      </c>
      <c r="F178" s="446">
        <v>36.1</v>
      </c>
      <c r="G178" s="446">
        <v>22.5</v>
      </c>
      <c r="H178" s="446">
        <v>1059.89581</v>
      </c>
      <c r="I178" s="446">
        <v>0.99987499999999996</v>
      </c>
      <c r="J178" s="446">
        <v>0.51095100000000004</v>
      </c>
      <c r="K178" s="446">
        <v>2373.5</v>
      </c>
      <c r="L178" s="437">
        <f t="shared" si="0"/>
        <v>1.0249135894591785</v>
      </c>
      <c r="M178" s="439">
        <f t="shared" si="1"/>
        <v>2315.8049853280186</v>
      </c>
      <c r="N178" s="446"/>
      <c r="O178" s="446" t="s">
        <v>21</v>
      </c>
      <c r="P178" s="446" t="s">
        <v>20</v>
      </c>
      <c r="Q178" s="457"/>
      <c r="R178" s="457"/>
      <c r="S178" s="444"/>
      <c r="T178" s="444"/>
      <c r="U178" s="444"/>
      <c r="V178" s="444"/>
      <c r="W178" s="444"/>
    </row>
    <row r="179" spans="1:23" ht="15.75">
      <c r="A179" s="446" t="s">
        <v>781</v>
      </c>
      <c r="B179" s="456">
        <v>45355.498611111114</v>
      </c>
      <c r="C179" s="446">
        <v>119</v>
      </c>
      <c r="D179" s="446">
        <v>20</v>
      </c>
      <c r="E179" s="446">
        <v>9.2906500000000003E-2</v>
      </c>
      <c r="F179" s="446">
        <v>36.200000000000003</v>
      </c>
      <c r="G179" s="446">
        <v>22.5</v>
      </c>
      <c r="H179" s="446">
        <v>1040.87393</v>
      </c>
      <c r="I179" s="446">
        <v>0.99982199999999999</v>
      </c>
      <c r="J179" s="446">
        <v>0.51044</v>
      </c>
      <c r="K179" s="446">
        <v>2371.1999999999998</v>
      </c>
      <c r="L179" s="437">
        <f t="shared" si="0"/>
        <v>1.0249895549003767</v>
      </c>
      <c r="M179" s="439">
        <f t="shared" si="1"/>
        <v>2313.3894278858943</v>
      </c>
      <c r="N179" s="446"/>
      <c r="O179" s="446" t="s">
        <v>21</v>
      </c>
      <c r="P179" s="446" t="s">
        <v>20</v>
      </c>
      <c r="Q179" s="457"/>
      <c r="R179" s="457"/>
      <c r="S179" s="444"/>
      <c r="T179" s="444"/>
      <c r="U179" s="444"/>
      <c r="V179" s="444"/>
      <c r="W179" s="444"/>
    </row>
    <row r="180" spans="1:23" ht="15.75">
      <c r="A180" s="446" t="s">
        <v>874</v>
      </c>
      <c r="B180" s="456">
        <v>45355.581944444442</v>
      </c>
      <c r="C180" s="446">
        <v>326</v>
      </c>
      <c r="D180" s="446">
        <v>20</v>
      </c>
      <c r="E180" s="446">
        <v>9.2906500000000003E-2</v>
      </c>
      <c r="F180" s="446">
        <v>36.299999999999997</v>
      </c>
      <c r="G180" s="446">
        <v>22.5</v>
      </c>
      <c r="H180" s="446">
        <v>1109.92004</v>
      </c>
      <c r="I180" s="446">
        <v>0.99985999999999997</v>
      </c>
      <c r="J180" s="446">
        <v>0.51177700000000004</v>
      </c>
      <c r="K180" s="446">
        <v>2377.4</v>
      </c>
      <c r="L180" s="437">
        <f t="shared" si="0"/>
        <v>1.0250655246925739</v>
      </c>
      <c r="M180" s="439">
        <f t="shared" si="1"/>
        <v>2319.2663714965956</v>
      </c>
      <c r="N180" s="446"/>
      <c r="O180" s="446" t="s">
        <v>21</v>
      </c>
      <c r="P180" s="446" t="s">
        <v>20</v>
      </c>
      <c r="Q180" s="457"/>
      <c r="R180" s="457"/>
      <c r="S180" s="444"/>
      <c r="T180" s="444"/>
      <c r="U180" s="444"/>
      <c r="V180" s="444"/>
      <c r="W180" s="444"/>
    </row>
    <row r="181" spans="1:23" ht="15.75">
      <c r="A181" s="446" t="s">
        <v>783</v>
      </c>
      <c r="B181" s="456">
        <v>45355.591666666667</v>
      </c>
      <c r="C181" s="446">
        <v>327</v>
      </c>
      <c r="D181" s="446">
        <v>20</v>
      </c>
      <c r="E181" s="446">
        <v>9.2906500000000003E-2</v>
      </c>
      <c r="F181" s="446">
        <v>36.299999999999997</v>
      </c>
      <c r="G181" s="446">
        <v>22.5</v>
      </c>
      <c r="H181" s="446">
        <v>1105.1262999999999</v>
      </c>
      <c r="I181" s="446">
        <v>0.99977899999999997</v>
      </c>
      <c r="J181" s="446">
        <v>0.51268400000000003</v>
      </c>
      <c r="K181" s="446">
        <v>2381.6</v>
      </c>
      <c r="L181" s="437">
        <f t="shared" si="0"/>
        <v>1.0250655246925739</v>
      </c>
      <c r="M181" s="439">
        <f t="shared" si="1"/>
        <v>2323.3636705460976</v>
      </c>
      <c r="N181" s="446"/>
      <c r="O181" s="446" t="s">
        <v>21</v>
      </c>
      <c r="P181" s="446" t="s">
        <v>20</v>
      </c>
      <c r="Q181" s="457"/>
      <c r="R181" s="457"/>
      <c r="S181" s="444"/>
      <c r="T181" s="444"/>
      <c r="U181" s="444"/>
      <c r="V181" s="444"/>
      <c r="W181" s="444"/>
    </row>
    <row r="182" spans="1:23" ht="15.75">
      <c r="A182" s="446" t="s">
        <v>784</v>
      </c>
      <c r="B182" s="456">
        <v>45355.599305555559</v>
      </c>
      <c r="C182" s="446">
        <v>183</v>
      </c>
      <c r="D182" s="446">
        <v>20</v>
      </c>
      <c r="E182" s="446">
        <v>9.2906500000000003E-2</v>
      </c>
      <c r="F182" s="446">
        <v>36.799999999999997</v>
      </c>
      <c r="G182" s="446">
        <v>22.5</v>
      </c>
      <c r="H182" s="446">
        <v>1100.9168099999999</v>
      </c>
      <c r="I182" s="446">
        <v>0.999807</v>
      </c>
      <c r="J182" s="446">
        <v>0.51726300000000003</v>
      </c>
      <c r="K182" s="446">
        <v>2402.9</v>
      </c>
      <c r="L182" s="437">
        <f t="shared" si="0"/>
        <v>1.0254454391737517</v>
      </c>
      <c r="M182" s="439">
        <f t="shared" si="1"/>
        <v>2343.2743549341117</v>
      </c>
      <c r="N182" s="446"/>
      <c r="O182" s="446" t="s">
        <v>21</v>
      </c>
      <c r="P182" s="446" t="s">
        <v>20</v>
      </c>
      <c r="Q182" s="457"/>
      <c r="R182" s="457"/>
      <c r="S182" s="444"/>
      <c r="T182" s="444"/>
      <c r="U182" s="444"/>
      <c r="V182" s="444"/>
      <c r="W182" s="444"/>
    </row>
    <row r="183" spans="1:23" ht="15.75">
      <c r="A183" s="446" t="s">
        <v>785</v>
      </c>
      <c r="B183" s="456">
        <v>45355.604861111111</v>
      </c>
      <c r="C183" s="446">
        <v>184</v>
      </c>
      <c r="D183" s="446">
        <v>20</v>
      </c>
      <c r="E183" s="446">
        <v>9.2906500000000003E-2</v>
      </c>
      <c r="F183" s="446">
        <v>36.9</v>
      </c>
      <c r="G183" s="446">
        <v>22.5</v>
      </c>
      <c r="H183" s="446">
        <v>1104.15039</v>
      </c>
      <c r="I183" s="446">
        <v>0.99983999999999995</v>
      </c>
      <c r="J183" s="446">
        <v>0.519478</v>
      </c>
      <c r="K183" s="446">
        <v>2413.1</v>
      </c>
      <c r="L183" s="437">
        <f t="shared" si="0"/>
        <v>1.0255214352246484</v>
      </c>
      <c r="M183" s="439">
        <f t="shared" si="1"/>
        <v>2353.0468668081926</v>
      </c>
      <c r="N183" s="446"/>
      <c r="O183" s="446" t="s">
        <v>21</v>
      </c>
      <c r="P183" s="446" t="s">
        <v>20</v>
      </c>
      <c r="Q183" s="457"/>
      <c r="R183" s="457"/>
      <c r="S183" s="444"/>
      <c r="T183" s="444"/>
      <c r="U183" s="444"/>
      <c r="V183" s="444"/>
      <c r="W183" s="444"/>
    </row>
    <row r="184" spans="1:23" ht="15.75">
      <c r="A184" s="446" t="s">
        <v>786</v>
      </c>
      <c r="B184" s="456">
        <v>45355.611805555556</v>
      </c>
      <c r="C184" s="446">
        <v>235</v>
      </c>
      <c r="D184" s="446">
        <v>20</v>
      </c>
      <c r="E184" s="446">
        <v>9.2906500000000003E-2</v>
      </c>
      <c r="F184" s="446">
        <v>36.299999999999997</v>
      </c>
      <c r="G184" s="446">
        <v>22.5</v>
      </c>
      <c r="H184" s="446">
        <v>1105.3321000000001</v>
      </c>
      <c r="I184" s="446">
        <v>0.99980899999999995</v>
      </c>
      <c r="J184" s="446">
        <v>0.51173199999999996</v>
      </c>
      <c r="K184" s="446">
        <v>2377.1999999999998</v>
      </c>
      <c r="L184" s="437">
        <f t="shared" si="0"/>
        <v>1.0250655246925739</v>
      </c>
      <c r="M184" s="439">
        <f t="shared" si="1"/>
        <v>2319.0712620180479</v>
      </c>
      <c r="N184" s="446"/>
      <c r="O184" s="446" t="s">
        <v>21</v>
      </c>
      <c r="P184" s="446" t="s">
        <v>20</v>
      </c>
      <c r="Q184" s="457"/>
      <c r="R184" s="457"/>
      <c r="S184" s="444"/>
      <c r="T184" s="444"/>
      <c r="U184" s="444"/>
      <c r="V184" s="444"/>
      <c r="W184" s="444"/>
    </row>
    <row r="185" spans="1:23" ht="15.75">
      <c r="A185" s="446" t="s">
        <v>787</v>
      </c>
      <c r="B185" s="456">
        <v>45355.618750000001</v>
      </c>
      <c r="C185" s="446">
        <v>236</v>
      </c>
      <c r="D185" s="446">
        <v>20</v>
      </c>
      <c r="E185" s="446">
        <v>9.2906500000000003E-2</v>
      </c>
      <c r="F185" s="446">
        <v>36.4</v>
      </c>
      <c r="G185" s="446">
        <v>22.5</v>
      </c>
      <c r="H185" s="446">
        <v>1112.5970400000001</v>
      </c>
      <c r="I185" s="446">
        <v>0.99990500000000004</v>
      </c>
      <c r="J185" s="446">
        <v>0.51289799999999997</v>
      </c>
      <c r="K185" s="446">
        <v>2382.6</v>
      </c>
      <c r="L185" s="437">
        <f t="shared" si="0"/>
        <v>1.0251414988430922</v>
      </c>
      <c r="M185" s="439">
        <f t="shared" si="1"/>
        <v>2324.1669590869619</v>
      </c>
      <c r="N185" s="446"/>
      <c r="O185" s="446" t="s">
        <v>21</v>
      </c>
      <c r="P185" s="446" t="s">
        <v>20</v>
      </c>
      <c r="Q185" s="457"/>
      <c r="R185" s="457"/>
      <c r="S185" s="444"/>
      <c r="T185" s="444"/>
      <c r="U185" s="444"/>
      <c r="V185" s="444"/>
      <c r="W185" s="444"/>
    </row>
    <row r="186" spans="1:23" ht="15.75">
      <c r="A186" s="446" t="s">
        <v>788</v>
      </c>
      <c r="B186" s="456">
        <v>45355.628472222219</v>
      </c>
      <c r="C186" s="446">
        <v>131</v>
      </c>
      <c r="D186" s="446">
        <v>20</v>
      </c>
      <c r="E186" s="446">
        <v>9.2906500000000003E-2</v>
      </c>
      <c r="F186" s="446">
        <v>36.299999999999997</v>
      </c>
      <c r="G186" s="446">
        <v>22.5</v>
      </c>
      <c r="H186" s="446">
        <v>1122.53205</v>
      </c>
      <c r="I186" s="446">
        <v>0.99977000000000005</v>
      </c>
      <c r="J186" s="446">
        <v>0.51089600000000002</v>
      </c>
      <c r="K186" s="446">
        <v>2373.3000000000002</v>
      </c>
      <c r="L186" s="437">
        <f t="shared" si="0"/>
        <v>1.0250655246925739</v>
      </c>
      <c r="M186" s="439">
        <f t="shared" si="1"/>
        <v>2315.2666271863677</v>
      </c>
      <c r="N186" s="446"/>
      <c r="O186" s="446" t="s">
        <v>21</v>
      </c>
      <c r="P186" s="446" t="s">
        <v>20</v>
      </c>
      <c r="Q186" s="457"/>
      <c r="R186" s="457"/>
      <c r="S186" s="444"/>
      <c r="T186" s="444"/>
      <c r="U186" s="444"/>
      <c r="V186" s="444"/>
      <c r="W186" s="444"/>
    </row>
    <row r="187" spans="1:23" ht="15.75">
      <c r="A187" s="446" t="s">
        <v>789</v>
      </c>
      <c r="B187" s="456">
        <v>45355.636805555558</v>
      </c>
      <c r="C187" s="446">
        <v>132</v>
      </c>
      <c r="D187" s="446">
        <v>20</v>
      </c>
      <c r="E187" s="446">
        <v>9.2906500000000003E-2</v>
      </c>
      <c r="F187" s="446">
        <v>36.4</v>
      </c>
      <c r="G187" s="446">
        <v>22.5</v>
      </c>
      <c r="H187" s="446">
        <v>1119.7018399999999</v>
      </c>
      <c r="I187" s="446">
        <v>0.99982700000000002</v>
      </c>
      <c r="J187" s="446">
        <v>0.50970300000000002</v>
      </c>
      <c r="K187" s="446">
        <v>2367.6999999999998</v>
      </c>
      <c r="L187" s="437">
        <f t="shared" si="0"/>
        <v>1.0251414988430922</v>
      </c>
      <c r="M187" s="439">
        <f t="shared" si="1"/>
        <v>2309.6323801855951</v>
      </c>
      <c r="N187" s="446"/>
      <c r="O187" s="446" t="s">
        <v>21</v>
      </c>
      <c r="P187" s="446" t="s">
        <v>20</v>
      </c>
      <c r="Q187" s="457"/>
      <c r="R187" s="457"/>
      <c r="S187" s="444"/>
      <c r="T187" s="444"/>
      <c r="U187" s="444"/>
      <c r="V187" s="444"/>
      <c r="W187" s="444"/>
    </row>
    <row r="188" spans="1:23" ht="15.75">
      <c r="A188" s="446" t="s">
        <v>875</v>
      </c>
      <c r="B188" s="456">
        <v>45355.652083333334</v>
      </c>
      <c r="C188" s="446" t="s">
        <v>755</v>
      </c>
      <c r="D188" s="446">
        <v>20</v>
      </c>
      <c r="E188" s="446">
        <v>9.2906500000000003E-2</v>
      </c>
      <c r="F188" s="446">
        <v>33.200000000000003</v>
      </c>
      <c r="G188" s="446">
        <v>22.5</v>
      </c>
      <c r="H188" s="446">
        <v>1133.86932</v>
      </c>
      <c r="I188" s="446">
        <v>0.999857</v>
      </c>
      <c r="J188" s="446">
        <v>0.48536099999999999</v>
      </c>
      <c r="K188" s="446">
        <v>2254.6999999999998</v>
      </c>
      <c r="L188" s="437">
        <f t="shared" si="0"/>
        <v>1.0227124503008802</v>
      </c>
      <c r="M188" s="439">
        <f t="shared" si="1"/>
        <v>2204.6275073083066</v>
      </c>
      <c r="N188" s="446"/>
      <c r="O188" s="446" t="s">
        <v>21</v>
      </c>
      <c r="P188" s="446" t="s">
        <v>20</v>
      </c>
      <c r="Q188" s="457"/>
      <c r="R188" s="457"/>
      <c r="S188" s="444"/>
      <c r="T188" s="444"/>
      <c r="U188" s="444"/>
      <c r="V188" s="444"/>
      <c r="W188" s="444"/>
    </row>
    <row r="189" spans="1:23" ht="15.75">
      <c r="A189" s="446" t="s">
        <v>791</v>
      </c>
      <c r="B189" s="456">
        <v>45355.660416666666</v>
      </c>
      <c r="C189" s="446">
        <v>248</v>
      </c>
      <c r="D189" s="446">
        <v>20</v>
      </c>
      <c r="E189" s="446">
        <v>9.2906500000000003E-2</v>
      </c>
      <c r="F189" s="446">
        <v>36.6</v>
      </c>
      <c r="G189" s="446">
        <v>22.5</v>
      </c>
      <c r="H189" s="446">
        <v>1132.02988</v>
      </c>
      <c r="I189" s="446">
        <v>0.99979200000000001</v>
      </c>
      <c r="J189" s="446">
        <v>0.51596500000000001</v>
      </c>
      <c r="K189" s="446">
        <v>2396.8000000000002</v>
      </c>
      <c r="L189" s="437">
        <f t="shared" si="0"/>
        <v>1.0252934602482262</v>
      </c>
      <c r="M189" s="439">
        <f t="shared" si="1"/>
        <v>2337.6721816012837</v>
      </c>
      <c r="N189" s="446"/>
      <c r="O189" s="446" t="s">
        <v>21</v>
      </c>
      <c r="P189" s="446" t="s">
        <v>20</v>
      </c>
      <c r="Q189" s="457"/>
      <c r="R189" s="457"/>
      <c r="S189" s="444"/>
      <c r="T189" s="444"/>
      <c r="U189" s="444"/>
      <c r="V189" s="444"/>
      <c r="W189" s="444"/>
    </row>
    <row r="190" spans="1:23" ht="15.75">
      <c r="A190" s="446" t="s">
        <v>792</v>
      </c>
      <c r="B190" s="456">
        <v>45355.669444444444</v>
      </c>
      <c r="C190" s="446">
        <v>249</v>
      </c>
      <c r="D190" s="446">
        <v>20</v>
      </c>
      <c r="E190" s="446">
        <v>9.2906500000000003E-2</v>
      </c>
      <c r="F190" s="446">
        <v>36.799999999999997</v>
      </c>
      <c r="G190" s="446">
        <v>22.5</v>
      </c>
      <c r="H190" s="446">
        <v>1139.6807799999999</v>
      </c>
      <c r="I190" s="446">
        <v>0.99977400000000005</v>
      </c>
      <c r="J190" s="446">
        <v>0.51865600000000001</v>
      </c>
      <c r="K190" s="446">
        <v>2409.3000000000002</v>
      </c>
      <c r="L190" s="437">
        <f t="shared" si="0"/>
        <v>1.0254454391737517</v>
      </c>
      <c r="M190" s="439">
        <f t="shared" si="1"/>
        <v>2349.5155451091414</v>
      </c>
      <c r="N190" s="446"/>
      <c r="O190" s="446" t="s">
        <v>21</v>
      </c>
      <c r="P190" s="446" t="s">
        <v>20</v>
      </c>
      <c r="Q190" s="457"/>
      <c r="R190" s="457"/>
      <c r="S190" s="444"/>
      <c r="T190" s="444"/>
      <c r="U190" s="444"/>
      <c r="V190" s="444"/>
      <c r="W190" s="444"/>
    </row>
    <row r="191" spans="1:23" ht="15.75">
      <c r="A191" s="446" t="s">
        <v>793</v>
      </c>
      <c r="B191" s="456">
        <v>45355.686111111114</v>
      </c>
      <c r="C191" s="446">
        <v>196</v>
      </c>
      <c r="D191" s="446">
        <v>20</v>
      </c>
      <c r="E191" s="446">
        <v>9.2906500000000003E-2</v>
      </c>
      <c r="F191" s="446">
        <v>36.700000000000003</v>
      </c>
      <c r="G191" s="446">
        <v>22.5</v>
      </c>
      <c r="H191" s="446">
        <v>1164.8054999999999</v>
      </c>
      <c r="I191" s="446">
        <v>0.99982099999999996</v>
      </c>
      <c r="J191" s="446">
        <v>0.501745</v>
      </c>
      <c r="K191" s="446">
        <v>2330.8000000000002</v>
      </c>
      <c r="L191" s="437">
        <f t="shared" si="0"/>
        <v>1.0253694475173356</v>
      </c>
      <c r="M191" s="439">
        <f t="shared" si="1"/>
        <v>2273.1318995737815</v>
      </c>
      <c r="N191" s="446"/>
      <c r="O191" s="446" t="s">
        <v>21</v>
      </c>
      <c r="P191" s="446" t="s">
        <v>20</v>
      </c>
      <c r="Q191" s="457"/>
      <c r="R191" s="457"/>
      <c r="S191" s="444"/>
      <c r="T191" s="444"/>
      <c r="U191" s="444"/>
      <c r="V191" s="444"/>
      <c r="W191" s="444"/>
    </row>
    <row r="192" spans="1:23" ht="15.75">
      <c r="A192" s="446" t="s">
        <v>828</v>
      </c>
      <c r="B192" s="456">
        <v>45355.698611111111</v>
      </c>
      <c r="C192" s="446">
        <v>197</v>
      </c>
      <c r="D192" s="446">
        <v>20</v>
      </c>
      <c r="E192" s="446">
        <v>9.2906500000000003E-2</v>
      </c>
      <c r="F192" s="446">
        <v>36.700000000000003</v>
      </c>
      <c r="G192" s="446">
        <v>22.5</v>
      </c>
      <c r="H192" s="446">
        <v>1186.4059199999999</v>
      </c>
      <c r="I192" s="446">
        <v>0.99981600000000004</v>
      </c>
      <c r="J192" s="446">
        <v>0.50212199999999996</v>
      </c>
      <c r="K192" s="446">
        <v>2332.5</v>
      </c>
      <c r="L192" s="437">
        <f t="shared" si="0"/>
        <v>1.0253694475173356</v>
      </c>
      <c r="M192" s="439">
        <f t="shared" si="1"/>
        <v>2274.7898385772464</v>
      </c>
      <c r="N192" s="446"/>
      <c r="O192" s="446" t="s">
        <v>21</v>
      </c>
      <c r="P192" s="446" t="s">
        <v>20</v>
      </c>
      <c r="Q192" s="457"/>
      <c r="R192" s="457"/>
      <c r="S192" s="444"/>
      <c r="T192" s="444"/>
      <c r="U192" s="444"/>
      <c r="V192" s="444"/>
      <c r="W192" s="444"/>
    </row>
    <row r="193" spans="1:23" ht="15.75">
      <c r="A193" s="446" t="s">
        <v>795</v>
      </c>
      <c r="B193" s="456">
        <v>45355.708333333336</v>
      </c>
      <c r="C193" s="446">
        <v>171</v>
      </c>
      <c r="D193" s="446">
        <v>20</v>
      </c>
      <c r="E193" s="446">
        <v>9.2906500000000003E-2</v>
      </c>
      <c r="F193" s="446">
        <v>36.5</v>
      </c>
      <c r="G193" s="446">
        <v>22.5</v>
      </c>
      <c r="H193" s="446">
        <v>1140.7663700000001</v>
      </c>
      <c r="I193" s="446">
        <v>0.99974399999999997</v>
      </c>
      <c r="J193" s="446">
        <v>0.51075199999999998</v>
      </c>
      <c r="K193" s="446">
        <v>2372.6</v>
      </c>
      <c r="L193" s="437">
        <f t="shared" si="0"/>
        <v>1.0252174773592224</v>
      </c>
      <c r="M193" s="439">
        <f t="shared" si="1"/>
        <v>2314.2406878503425</v>
      </c>
      <c r="N193" s="446"/>
      <c r="O193" s="446" t="s">
        <v>21</v>
      </c>
      <c r="P193" s="446" t="s">
        <v>20</v>
      </c>
      <c r="Q193" s="457"/>
      <c r="R193" s="457"/>
      <c r="S193" s="444"/>
      <c r="T193" s="444"/>
      <c r="U193" s="444"/>
      <c r="V193" s="444"/>
      <c r="W193" s="444"/>
    </row>
    <row r="194" spans="1:23" ht="15.75">
      <c r="A194" s="446" t="s">
        <v>796</v>
      </c>
      <c r="B194" s="456">
        <v>45355.718055555553</v>
      </c>
      <c r="C194" s="446">
        <v>170</v>
      </c>
      <c r="D194" s="446">
        <v>20</v>
      </c>
      <c r="E194" s="446">
        <v>9.2906500000000003E-2</v>
      </c>
      <c r="F194" s="446">
        <v>36.5</v>
      </c>
      <c r="G194" s="446">
        <v>22.5</v>
      </c>
      <c r="H194" s="446">
        <v>1144.6156599999999</v>
      </c>
      <c r="I194" s="446">
        <v>0.99978999999999996</v>
      </c>
      <c r="J194" s="446">
        <v>0.51075499999999996</v>
      </c>
      <c r="K194" s="446">
        <v>2372.6</v>
      </c>
      <c r="L194" s="437">
        <f t="shared" si="0"/>
        <v>1.0252174773592224</v>
      </c>
      <c r="M194" s="439">
        <f t="shared" si="1"/>
        <v>2314.2406878503425</v>
      </c>
      <c r="N194" s="446"/>
      <c r="O194" s="446" t="s">
        <v>21</v>
      </c>
      <c r="P194" s="446" t="s">
        <v>20</v>
      </c>
      <c r="Q194" s="457"/>
      <c r="R194" s="457"/>
      <c r="S194" s="444"/>
      <c r="T194" s="444"/>
      <c r="U194" s="444"/>
      <c r="V194" s="444"/>
      <c r="W194" s="444"/>
    </row>
    <row r="195" spans="1:23" ht="15.75">
      <c r="A195" s="446" t="s">
        <v>797</v>
      </c>
      <c r="B195" s="456">
        <v>45355.724999999999</v>
      </c>
      <c r="C195" s="446" t="s">
        <v>755</v>
      </c>
      <c r="D195" s="446">
        <v>20</v>
      </c>
      <c r="E195" s="446">
        <v>9.2906500000000003E-2</v>
      </c>
      <c r="F195" s="446">
        <v>33.200000000000003</v>
      </c>
      <c r="G195" s="446">
        <v>22.5</v>
      </c>
      <c r="H195" s="446">
        <v>1140.6766600000001</v>
      </c>
      <c r="I195" s="446">
        <v>0.99979300000000004</v>
      </c>
      <c r="J195" s="446">
        <v>0.48480499999999999</v>
      </c>
      <c r="K195" s="446">
        <v>2252.1</v>
      </c>
      <c r="L195" s="437">
        <f t="shared" si="0"/>
        <v>1.0227124503008802</v>
      </c>
      <c r="M195" s="439">
        <f t="shared" si="1"/>
        <v>2202.0852482410241</v>
      </c>
      <c r="N195" s="446"/>
      <c r="O195" s="446" t="s">
        <v>21</v>
      </c>
      <c r="P195" s="446" t="s">
        <v>20</v>
      </c>
      <c r="Q195" s="457"/>
      <c r="R195" s="457"/>
      <c r="S195" s="444"/>
      <c r="T195" s="444"/>
      <c r="U195" s="444"/>
      <c r="V195" s="444"/>
      <c r="W195" s="444"/>
    </row>
    <row r="196" spans="1:23" ht="15.75">
      <c r="A196" s="446" t="s">
        <v>772</v>
      </c>
      <c r="B196" s="456">
        <v>45356.390972222223</v>
      </c>
      <c r="C196" s="446" t="s">
        <v>773</v>
      </c>
      <c r="D196" s="446">
        <v>20</v>
      </c>
      <c r="E196" s="446">
        <v>9.2906500000000003E-2</v>
      </c>
      <c r="F196" s="446" t="s">
        <v>774</v>
      </c>
      <c r="G196" s="446">
        <v>22.5</v>
      </c>
      <c r="H196" s="446">
        <v>1345.18984</v>
      </c>
      <c r="I196" s="446">
        <v>0.99996600000000002</v>
      </c>
      <c r="J196" s="446">
        <v>0.40542299999999998</v>
      </c>
      <c r="K196" s="446">
        <v>1883.3</v>
      </c>
      <c r="L196" s="437" t="e">
        <f t="shared" si="0"/>
        <v>#VALUE!</v>
      </c>
      <c r="M196" s="439" t="e">
        <f t="shared" si="1"/>
        <v>#VALUE!</v>
      </c>
      <c r="N196" s="446"/>
      <c r="O196" s="446" t="s">
        <v>21</v>
      </c>
      <c r="P196" s="446" t="s">
        <v>20</v>
      </c>
      <c r="Q196" s="457"/>
      <c r="R196" s="457"/>
      <c r="S196" s="444"/>
      <c r="T196" s="444"/>
      <c r="U196" s="444"/>
      <c r="V196" s="444"/>
      <c r="W196" s="444"/>
    </row>
    <row r="197" spans="1:23" ht="15.75">
      <c r="A197" s="446" t="s">
        <v>776</v>
      </c>
      <c r="B197" s="456">
        <v>45356.397222222222</v>
      </c>
      <c r="C197" s="446" t="s">
        <v>773</v>
      </c>
      <c r="D197" s="446">
        <v>20</v>
      </c>
      <c r="E197" s="446">
        <v>9.2906500000000003E-2</v>
      </c>
      <c r="F197" s="446" t="s">
        <v>774</v>
      </c>
      <c r="G197" s="446">
        <v>22.5</v>
      </c>
      <c r="H197" s="446">
        <v>1345.18984</v>
      </c>
      <c r="I197" s="446">
        <v>0.99996600000000002</v>
      </c>
      <c r="J197" s="446">
        <v>0.40542299999999998</v>
      </c>
      <c r="K197" s="446">
        <v>1883.3</v>
      </c>
      <c r="L197" s="437" t="e">
        <f t="shared" si="0"/>
        <v>#VALUE!</v>
      </c>
      <c r="M197" s="439" t="e">
        <f t="shared" si="1"/>
        <v>#VALUE!</v>
      </c>
      <c r="N197" s="446">
        <v>0</v>
      </c>
      <c r="O197" s="446" t="s">
        <v>21</v>
      </c>
      <c r="P197" s="446" t="s">
        <v>20</v>
      </c>
      <c r="Q197" s="457"/>
      <c r="R197" s="457"/>
      <c r="S197" s="444"/>
      <c r="T197" s="444"/>
      <c r="U197" s="444"/>
      <c r="V197" s="444"/>
      <c r="W197" s="444"/>
    </row>
    <row r="198" spans="1:23" ht="15.75">
      <c r="A198" s="446" t="s">
        <v>777</v>
      </c>
      <c r="B198" s="456">
        <v>45356.404166666667</v>
      </c>
      <c r="C198" s="446" t="s">
        <v>773</v>
      </c>
      <c r="D198" s="446">
        <v>20</v>
      </c>
      <c r="E198" s="446">
        <v>9.2906500000000003E-2</v>
      </c>
      <c r="F198" s="446" t="s">
        <v>774</v>
      </c>
      <c r="G198" s="446">
        <v>22.5</v>
      </c>
      <c r="H198" s="446">
        <v>1316.76478</v>
      </c>
      <c r="I198" s="446">
        <v>0.99996600000000002</v>
      </c>
      <c r="J198" s="446">
        <v>0.39179199999999997</v>
      </c>
      <c r="K198" s="446">
        <v>1820</v>
      </c>
      <c r="L198" s="437" t="e">
        <f t="shared" si="0"/>
        <v>#VALUE!</v>
      </c>
      <c r="M198" s="439" t="e">
        <f t="shared" si="1"/>
        <v>#VALUE!</v>
      </c>
      <c r="N198" s="446">
        <v>44.773200000000003</v>
      </c>
      <c r="O198" s="446" t="s">
        <v>21</v>
      </c>
      <c r="P198" s="446" t="s">
        <v>20</v>
      </c>
      <c r="Q198" s="457"/>
      <c r="R198" s="457"/>
      <c r="S198" s="444"/>
      <c r="T198" s="444"/>
      <c r="U198" s="444"/>
      <c r="V198" s="444"/>
      <c r="W198" s="444"/>
    </row>
    <row r="199" spans="1:23" ht="15.75">
      <c r="A199" s="446" t="s">
        <v>858</v>
      </c>
      <c r="B199" s="456">
        <v>45356.43472222222</v>
      </c>
      <c r="C199" s="446" t="s">
        <v>773</v>
      </c>
      <c r="D199" s="446">
        <v>20</v>
      </c>
      <c r="E199" s="446">
        <v>9.2906500000000003E-2</v>
      </c>
      <c r="F199" s="446" t="s">
        <v>774</v>
      </c>
      <c r="G199" s="446">
        <v>22.5</v>
      </c>
      <c r="H199" s="446">
        <v>0</v>
      </c>
      <c r="I199" s="446">
        <v>0</v>
      </c>
      <c r="J199" s="446">
        <v>0</v>
      </c>
      <c r="K199" s="446">
        <v>0</v>
      </c>
      <c r="L199" s="437" t="e">
        <f t="shared" si="0"/>
        <v>#VALUE!</v>
      </c>
      <c r="M199" s="439" t="e">
        <f t="shared" si="1"/>
        <v>#VALUE!</v>
      </c>
      <c r="N199" s="446" t="s">
        <v>827</v>
      </c>
      <c r="O199" s="446" t="s">
        <v>21</v>
      </c>
      <c r="P199" s="446" t="s">
        <v>20</v>
      </c>
      <c r="Q199" s="457"/>
      <c r="R199" s="457"/>
      <c r="S199" s="444"/>
      <c r="T199" s="444"/>
      <c r="U199" s="444"/>
      <c r="V199" s="444"/>
      <c r="W199" s="444"/>
    </row>
    <row r="200" spans="1:23" ht="15.75">
      <c r="A200" s="446" t="s">
        <v>859</v>
      </c>
      <c r="B200" s="456">
        <v>45356.436805555553</v>
      </c>
      <c r="C200" s="446" t="s">
        <v>773</v>
      </c>
      <c r="D200" s="446">
        <v>20</v>
      </c>
      <c r="E200" s="446">
        <v>9.2906500000000003E-2</v>
      </c>
      <c r="F200" s="446" t="s">
        <v>774</v>
      </c>
      <c r="G200" s="446">
        <v>22.5</v>
      </c>
      <c r="H200" s="446">
        <v>1347.25512</v>
      </c>
      <c r="I200" s="446">
        <v>0.99998299999999996</v>
      </c>
      <c r="J200" s="446">
        <v>0.40664499999999998</v>
      </c>
      <c r="K200" s="446">
        <v>1889</v>
      </c>
      <c r="L200" s="437" t="e">
        <f t="shared" si="0"/>
        <v>#VALUE!</v>
      </c>
      <c r="M200" s="439" t="e">
        <f t="shared" si="1"/>
        <v>#VALUE!</v>
      </c>
      <c r="N200" s="446"/>
      <c r="O200" s="446" t="s">
        <v>21</v>
      </c>
      <c r="P200" s="446" t="s">
        <v>20</v>
      </c>
      <c r="Q200" s="457"/>
      <c r="R200" s="457"/>
      <c r="S200" s="444"/>
      <c r="T200" s="444"/>
      <c r="U200" s="444"/>
      <c r="V200" s="444"/>
      <c r="W200" s="444"/>
    </row>
    <row r="201" spans="1:23" ht="15.75">
      <c r="A201" s="446" t="s">
        <v>876</v>
      </c>
      <c r="B201" s="456">
        <v>45356.463194444441</v>
      </c>
      <c r="C201" s="446" t="s">
        <v>773</v>
      </c>
      <c r="D201" s="446">
        <v>20</v>
      </c>
      <c r="E201" s="446">
        <v>9.2906500000000003E-2</v>
      </c>
      <c r="F201" s="446" t="s">
        <v>774</v>
      </c>
      <c r="G201" s="446">
        <v>22.5</v>
      </c>
      <c r="H201" s="446">
        <v>1334.8053</v>
      </c>
      <c r="I201" s="446">
        <v>0.99996399999999996</v>
      </c>
      <c r="J201" s="446">
        <v>0.40588000000000002</v>
      </c>
      <c r="K201" s="446">
        <v>1885.4</v>
      </c>
      <c r="L201" s="437" t="e">
        <f t="shared" si="0"/>
        <v>#VALUE!</v>
      </c>
      <c r="M201" s="439" t="e">
        <f t="shared" si="1"/>
        <v>#VALUE!</v>
      </c>
      <c r="N201" s="446">
        <v>2.512</v>
      </c>
      <c r="O201" s="446" t="s">
        <v>21</v>
      </c>
      <c r="P201" s="446" t="s">
        <v>20</v>
      </c>
      <c r="Q201" s="457"/>
      <c r="R201" s="457"/>
      <c r="S201" s="444"/>
      <c r="T201" s="444"/>
      <c r="U201" s="444"/>
      <c r="V201" s="444"/>
      <c r="W201" s="444"/>
    </row>
    <row r="202" spans="1:23" ht="15.75">
      <c r="A202" s="446" t="s">
        <v>877</v>
      </c>
      <c r="B202" s="456">
        <v>45356.469444444447</v>
      </c>
      <c r="C202" s="446" t="s">
        <v>773</v>
      </c>
      <c r="D202" s="446">
        <v>20</v>
      </c>
      <c r="E202" s="446">
        <v>9.2906500000000003E-2</v>
      </c>
      <c r="F202" s="446" t="s">
        <v>774</v>
      </c>
      <c r="G202" s="446">
        <v>22.5</v>
      </c>
      <c r="H202" s="446">
        <v>1336.7203400000001</v>
      </c>
      <c r="I202" s="446">
        <v>0.99997499999999995</v>
      </c>
      <c r="J202" s="446">
        <v>0.40517700000000001</v>
      </c>
      <c r="K202" s="446">
        <v>1882.2</v>
      </c>
      <c r="L202" s="437" t="e">
        <f t="shared" si="0"/>
        <v>#VALUE!</v>
      </c>
      <c r="M202" s="439" t="e">
        <f t="shared" si="1"/>
        <v>#VALUE!</v>
      </c>
      <c r="N202" s="446">
        <v>2.3096999999999999</v>
      </c>
      <c r="O202" s="446" t="s">
        <v>21</v>
      </c>
      <c r="P202" s="446" t="s">
        <v>20</v>
      </c>
      <c r="Q202" s="457"/>
      <c r="R202" s="457"/>
      <c r="S202" s="444"/>
      <c r="T202" s="444"/>
      <c r="U202" s="444"/>
      <c r="V202" s="444"/>
      <c r="W202" s="444"/>
    </row>
    <row r="203" spans="1:23" ht="15.75">
      <c r="A203" s="446" t="s">
        <v>778</v>
      </c>
      <c r="B203" s="456">
        <v>45356.479861111111</v>
      </c>
      <c r="C203" s="446" t="s">
        <v>773</v>
      </c>
      <c r="D203" s="446">
        <v>20</v>
      </c>
      <c r="E203" s="446">
        <v>9.2906500000000003E-2</v>
      </c>
      <c r="F203" s="446" t="s">
        <v>774</v>
      </c>
      <c r="G203" s="446">
        <v>22.5</v>
      </c>
      <c r="H203" s="446">
        <v>1359.8029799999999</v>
      </c>
      <c r="I203" s="446">
        <v>0.99994300000000003</v>
      </c>
      <c r="J203" s="446">
        <v>0.45248500000000003</v>
      </c>
      <c r="K203" s="446">
        <v>2101.9</v>
      </c>
      <c r="L203" s="437" t="e">
        <f t="shared" si="0"/>
        <v>#VALUE!</v>
      </c>
      <c r="M203" s="439" t="e">
        <f t="shared" si="1"/>
        <v>#VALUE!</v>
      </c>
      <c r="N203" s="446"/>
      <c r="O203" s="446" t="s">
        <v>21</v>
      </c>
      <c r="P203" s="446" t="s">
        <v>20</v>
      </c>
      <c r="Q203" s="486" t="s">
        <v>878</v>
      </c>
      <c r="R203" s="485"/>
      <c r="S203" s="444"/>
      <c r="T203" s="444"/>
      <c r="U203" s="444"/>
      <c r="V203" s="444"/>
      <c r="W203" s="444"/>
    </row>
    <row r="204" spans="1:23" ht="15.75">
      <c r="A204" s="446" t="s">
        <v>820</v>
      </c>
      <c r="B204" s="456">
        <v>45356.488888888889</v>
      </c>
      <c r="C204" s="446" t="s">
        <v>773</v>
      </c>
      <c r="D204" s="446">
        <v>20</v>
      </c>
      <c r="E204" s="446">
        <v>9.2906500000000003E-2</v>
      </c>
      <c r="F204" s="446" t="s">
        <v>774</v>
      </c>
      <c r="G204" s="446">
        <v>22.5</v>
      </c>
      <c r="H204" s="446">
        <v>1356.4220800000001</v>
      </c>
      <c r="I204" s="446">
        <v>0.99993600000000005</v>
      </c>
      <c r="J204" s="446">
        <v>0.45275500000000002</v>
      </c>
      <c r="K204" s="446">
        <v>2103.1999999999998</v>
      </c>
      <c r="L204" s="437" t="e">
        <f t="shared" si="0"/>
        <v>#VALUE!</v>
      </c>
      <c r="M204" s="439" t="e">
        <f t="shared" si="1"/>
        <v>#VALUE!</v>
      </c>
      <c r="N204" s="446">
        <v>0.88859999999999995</v>
      </c>
      <c r="O204" s="446" t="s">
        <v>21</v>
      </c>
      <c r="P204" s="446" t="s">
        <v>20</v>
      </c>
      <c r="Q204" s="457"/>
      <c r="R204" s="457"/>
      <c r="S204" s="444"/>
      <c r="T204" s="444"/>
      <c r="U204" s="444"/>
      <c r="V204" s="444"/>
      <c r="W204" s="444"/>
    </row>
    <row r="205" spans="1:23" ht="15.75">
      <c r="A205" s="446" t="s">
        <v>821</v>
      </c>
      <c r="B205" s="456">
        <v>45356.495138888888</v>
      </c>
      <c r="C205" s="446" t="s">
        <v>773</v>
      </c>
      <c r="D205" s="446">
        <v>20</v>
      </c>
      <c r="E205" s="446">
        <v>9.2906500000000003E-2</v>
      </c>
      <c r="F205" s="446" t="s">
        <v>774</v>
      </c>
      <c r="G205" s="446">
        <v>22.5</v>
      </c>
      <c r="H205" s="446">
        <v>1362.86537</v>
      </c>
      <c r="I205" s="446">
        <v>0.99996499999999999</v>
      </c>
      <c r="J205" s="446">
        <v>0.45169500000000001</v>
      </c>
      <c r="K205" s="446">
        <v>2098.3000000000002</v>
      </c>
      <c r="L205" s="437" t="e">
        <f t="shared" si="0"/>
        <v>#VALUE!</v>
      </c>
      <c r="M205" s="439" t="e">
        <f t="shared" si="1"/>
        <v>#VALUE!</v>
      </c>
      <c r="N205" s="446">
        <v>3.4830999999999999</v>
      </c>
      <c r="O205" s="446" t="s">
        <v>21</v>
      </c>
      <c r="P205" s="446" t="s">
        <v>20</v>
      </c>
      <c r="Q205" s="457"/>
      <c r="R205" s="457"/>
      <c r="S205" s="444"/>
      <c r="T205" s="444"/>
      <c r="U205" s="444"/>
      <c r="V205" s="444"/>
      <c r="W205" s="444"/>
    </row>
    <row r="206" spans="1:23" ht="15.75">
      <c r="A206" s="446" t="s">
        <v>879</v>
      </c>
      <c r="B206" s="456">
        <v>45356.504861111112</v>
      </c>
      <c r="C206" s="446" t="s">
        <v>773</v>
      </c>
      <c r="D206" s="446">
        <v>20</v>
      </c>
      <c r="E206" s="446">
        <v>9.2906500000000003E-2</v>
      </c>
      <c r="F206" s="446" t="s">
        <v>774</v>
      </c>
      <c r="G206" s="446">
        <v>22.5</v>
      </c>
      <c r="H206" s="446">
        <v>1359.0681</v>
      </c>
      <c r="I206" s="446">
        <v>0.99995000000000001</v>
      </c>
      <c r="J206" s="446">
        <v>0.45181300000000002</v>
      </c>
      <c r="K206" s="446">
        <v>2098.8000000000002</v>
      </c>
      <c r="L206" s="437" t="e">
        <f t="shared" si="0"/>
        <v>#VALUE!</v>
      </c>
      <c r="M206" s="439" t="e">
        <f t="shared" si="1"/>
        <v>#VALUE!</v>
      </c>
      <c r="N206" s="446">
        <v>0.38879999999999998</v>
      </c>
      <c r="O206" s="446" t="s">
        <v>21</v>
      </c>
      <c r="P206" s="446" t="s">
        <v>20</v>
      </c>
      <c r="Q206" s="457"/>
      <c r="R206" s="457"/>
      <c r="S206" s="444"/>
      <c r="T206" s="444"/>
      <c r="U206" s="444"/>
      <c r="V206" s="444"/>
      <c r="W206" s="444"/>
    </row>
    <row r="207" spans="1:23" ht="15.75">
      <c r="A207" s="446" t="s">
        <v>781</v>
      </c>
      <c r="B207" s="456">
        <v>45356.530555555553</v>
      </c>
      <c r="C207" s="446" t="s">
        <v>755</v>
      </c>
      <c r="D207" s="446">
        <v>20</v>
      </c>
      <c r="E207" s="446">
        <v>9.2906500000000003E-2</v>
      </c>
      <c r="F207" s="446">
        <v>33.200000000000003</v>
      </c>
      <c r="G207" s="446">
        <v>22.5</v>
      </c>
      <c r="H207" s="446">
        <v>1139.56926</v>
      </c>
      <c r="I207" s="446">
        <v>0.99979799999999996</v>
      </c>
      <c r="J207" s="446">
        <v>0.48540499999999998</v>
      </c>
      <c r="K207" s="446">
        <v>2254.9</v>
      </c>
      <c r="L207" s="437">
        <f t="shared" si="0"/>
        <v>1.0227124503008802</v>
      </c>
      <c r="M207" s="439">
        <f t="shared" si="1"/>
        <v>2204.8230656980977</v>
      </c>
      <c r="N207" s="446"/>
      <c r="O207" s="446" t="s">
        <v>21</v>
      </c>
      <c r="P207" s="446" t="s">
        <v>20</v>
      </c>
      <c r="Q207" s="457"/>
      <c r="R207" s="457"/>
      <c r="S207" s="444"/>
      <c r="T207" s="444"/>
      <c r="U207" s="444"/>
      <c r="V207" s="444"/>
      <c r="W207" s="444"/>
    </row>
    <row r="208" spans="1:23" ht="15.75">
      <c r="A208" s="446" t="s">
        <v>782</v>
      </c>
      <c r="B208" s="456">
        <v>45356.540972222225</v>
      </c>
      <c r="C208" s="446">
        <v>482</v>
      </c>
      <c r="D208" s="446">
        <v>20</v>
      </c>
      <c r="E208" s="446">
        <v>9.2906500000000003E-2</v>
      </c>
      <c r="F208" s="446">
        <v>36.5</v>
      </c>
      <c r="G208" s="446">
        <v>22.5</v>
      </c>
      <c r="H208" s="446">
        <v>1152.13418</v>
      </c>
      <c r="I208" s="446">
        <v>0.99978599999999995</v>
      </c>
      <c r="J208" s="446">
        <v>0.51537999999999995</v>
      </c>
      <c r="K208" s="446">
        <v>2394.1</v>
      </c>
      <c r="L208" s="437">
        <f t="shared" si="0"/>
        <v>1.0252174773592224</v>
      </c>
      <c r="M208" s="439">
        <f t="shared" si="1"/>
        <v>2335.2118480917579</v>
      </c>
      <c r="N208" s="446"/>
      <c r="O208" s="446" t="s">
        <v>21</v>
      </c>
      <c r="P208" s="446" t="s">
        <v>20</v>
      </c>
      <c r="Q208" s="457"/>
      <c r="R208" s="457"/>
      <c r="S208" s="444"/>
      <c r="T208" s="444"/>
      <c r="U208" s="444"/>
      <c r="V208" s="444"/>
      <c r="W208" s="444"/>
    </row>
    <row r="209" spans="1:23" ht="15.75">
      <c r="A209" s="446" t="s">
        <v>783</v>
      </c>
      <c r="B209" s="456">
        <v>45356.54583333333</v>
      </c>
      <c r="C209" s="446">
        <v>483</v>
      </c>
      <c r="D209" s="446">
        <v>20</v>
      </c>
      <c r="E209" s="446">
        <v>9.2906500000000003E-2</v>
      </c>
      <c r="F209" s="446">
        <v>36.6</v>
      </c>
      <c r="G209" s="446">
        <v>22.5</v>
      </c>
      <c r="H209" s="446">
        <v>1143.9213299999999</v>
      </c>
      <c r="I209" s="446">
        <v>0.99976500000000001</v>
      </c>
      <c r="J209" s="446">
        <v>0.51393599999999995</v>
      </c>
      <c r="K209" s="446">
        <v>2387.4</v>
      </c>
      <c r="L209" s="437">
        <f t="shared" si="0"/>
        <v>1.0252934602482262</v>
      </c>
      <c r="M209" s="439">
        <f t="shared" si="1"/>
        <v>2328.5040747475405</v>
      </c>
      <c r="N209" s="446"/>
      <c r="O209" s="446" t="s">
        <v>21</v>
      </c>
      <c r="P209" s="446" t="s">
        <v>20</v>
      </c>
      <c r="Q209" s="457"/>
      <c r="R209" s="457"/>
      <c r="S209" s="444"/>
      <c r="T209" s="444"/>
      <c r="U209" s="444"/>
      <c r="V209" s="444"/>
      <c r="W209" s="444"/>
    </row>
    <row r="210" spans="1:23" ht="15.75">
      <c r="A210" s="446" t="s">
        <v>784</v>
      </c>
      <c r="B210" s="456">
        <v>45356.554166666669</v>
      </c>
      <c r="C210" s="446">
        <v>430</v>
      </c>
      <c r="D210" s="446">
        <v>20</v>
      </c>
      <c r="E210" s="446">
        <v>9.2906500000000003E-2</v>
      </c>
      <c r="F210" s="446">
        <v>36.6</v>
      </c>
      <c r="G210" s="446">
        <v>22.5</v>
      </c>
      <c r="H210" s="446">
        <v>1149.7797599999999</v>
      </c>
      <c r="I210" s="446">
        <v>0.99974600000000002</v>
      </c>
      <c r="J210" s="446">
        <v>0.512243</v>
      </c>
      <c r="K210" s="446">
        <v>2379.5</v>
      </c>
      <c r="L210" s="437">
        <f t="shared" si="0"/>
        <v>1.0252934602482262</v>
      </c>
      <c r="M210" s="439">
        <f t="shared" si="1"/>
        <v>2320.7989636683305</v>
      </c>
      <c r="N210" s="446"/>
      <c r="O210" s="446" t="s">
        <v>21</v>
      </c>
      <c r="P210" s="446" t="s">
        <v>20</v>
      </c>
      <c r="Q210" s="457"/>
      <c r="R210" s="457"/>
      <c r="S210" s="444"/>
      <c r="T210" s="444"/>
      <c r="U210" s="444"/>
      <c r="V210" s="444"/>
      <c r="W210" s="444"/>
    </row>
    <row r="211" spans="1:23" ht="15.75">
      <c r="A211" s="446" t="s">
        <v>785</v>
      </c>
      <c r="B211" s="456">
        <v>45356.570138888892</v>
      </c>
      <c r="C211" s="446">
        <v>431</v>
      </c>
      <c r="D211" s="446">
        <v>20</v>
      </c>
      <c r="E211" s="446">
        <v>9.2906500000000003E-2</v>
      </c>
      <c r="F211" s="446">
        <v>36.700000000000003</v>
      </c>
      <c r="G211" s="446">
        <v>22.5</v>
      </c>
      <c r="H211" s="446">
        <v>1151.67038</v>
      </c>
      <c r="I211" s="446">
        <v>0.99975000000000003</v>
      </c>
      <c r="J211" s="446">
        <v>0.511432</v>
      </c>
      <c r="K211" s="446">
        <v>2375.8000000000002</v>
      </c>
      <c r="L211" s="437">
        <f t="shared" si="0"/>
        <v>1.0253694475173356</v>
      </c>
      <c r="M211" s="439">
        <f t="shared" si="1"/>
        <v>2317.0185202537286</v>
      </c>
      <c r="N211" s="446"/>
      <c r="O211" s="446" t="s">
        <v>21</v>
      </c>
      <c r="P211" s="446" t="s">
        <v>20</v>
      </c>
      <c r="Q211" s="457"/>
      <c r="R211" s="457"/>
      <c r="S211" s="444"/>
      <c r="T211" s="444"/>
      <c r="U211" s="444"/>
      <c r="V211" s="444"/>
      <c r="W211" s="444"/>
    </row>
    <row r="212" spans="1:23" ht="15.75">
      <c r="A212" s="446" t="s">
        <v>786</v>
      </c>
      <c r="B212" s="456">
        <v>45356.578472222223</v>
      </c>
      <c r="C212" s="446">
        <v>508</v>
      </c>
      <c r="D212" s="446">
        <v>20</v>
      </c>
      <c r="E212" s="446">
        <v>9.2906500000000003E-2</v>
      </c>
      <c r="F212" s="446">
        <v>36.700000000000003</v>
      </c>
      <c r="G212" s="446">
        <v>22.5</v>
      </c>
      <c r="H212" s="446">
        <v>1147.74009</v>
      </c>
      <c r="I212" s="446">
        <v>0.99978100000000003</v>
      </c>
      <c r="J212" s="446">
        <v>0.51821799999999996</v>
      </c>
      <c r="K212" s="446">
        <v>2407.3000000000002</v>
      </c>
      <c r="L212" s="437">
        <f t="shared" si="0"/>
        <v>1.0253694475173356</v>
      </c>
      <c r="M212" s="439">
        <f t="shared" si="1"/>
        <v>2347.7391547296916</v>
      </c>
      <c r="N212" s="446"/>
      <c r="O212" s="446" t="s">
        <v>21</v>
      </c>
      <c r="P212" s="446" t="s">
        <v>20</v>
      </c>
      <c r="Q212" s="457"/>
      <c r="R212" s="457"/>
      <c r="S212" s="444"/>
      <c r="T212" s="444"/>
      <c r="U212" s="444"/>
      <c r="V212" s="444"/>
      <c r="W212" s="444"/>
    </row>
    <row r="213" spans="1:23" ht="15.75">
      <c r="A213" s="446" t="s">
        <v>787</v>
      </c>
      <c r="B213" s="456">
        <v>45356.586111111108</v>
      </c>
      <c r="C213" s="446">
        <v>509</v>
      </c>
      <c r="D213" s="446">
        <v>20</v>
      </c>
      <c r="E213" s="446">
        <v>9.2906500000000003E-2</v>
      </c>
      <c r="F213" s="446">
        <v>36.700000000000003</v>
      </c>
      <c r="G213" s="446">
        <v>22.5</v>
      </c>
      <c r="H213" s="446">
        <v>1165.5732599999999</v>
      </c>
      <c r="I213" s="446">
        <v>0.99990100000000004</v>
      </c>
      <c r="J213" s="446">
        <v>0.52068800000000004</v>
      </c>
      <c r="K213" s="446">
        <v>2418.8000000000002</v>
      </c>
      <c r="L213" s="437">
        <f t="shared" si="0"/>
        <v>1.0253694475173356</v>
      </c>
      <c r="M213" s="439">
        <f t="shared" si="1"/>
        <v>2358.954624459011</v>
      </c>
      <c r="N213" s="446"/>
      <c r="O213" s="446" t="s">
        <v>21</v>
      </c>
      <c r="P213" s="446" t="s">
        <v>20</v>
      </c>
      <c r="Q213" s="457"/>
      <c r="R213" s="457"/>
      <c r="S213" s="444"/>
      <c r="T213" s="444"/>
      <c r="U213" s="444"/>
      <c r="V213" s="444"/>
      <c r="W213" s="444"/>
    </row>
    <row r="214" spans="1:23" ht="15.75">
      <c r="A214" s="446" t="s">
        <v>788</v>
      </c>
      <c r="B214" s="456">
        <v>45356.592361111114</v>
      </c>
      <c r="C214" s="446">
        <v>495</v>
      </c>
      <c r="D214" s="446">
        <v>20</v>
      </c>
      <c r="E214" s="446">
        <v>9.2906500000000003E-2</v>
      </c>
      <c r="F214" s="446">
        <v>37.200000000000003</v>
      </c>
      <c r="G214" s="446">
        <v>22.5</v>
      </c>
      <c r="H214" s="446">
        <v>1168.57313</v>
      </c>
      <c r="I214" s="446">
        <v>0.99953199999999998</v>
      </c>
      <c r="J214" s="446">
        <v>0.51832699999999998</v>
      </c>
      <c r="K214" s="446">
        <v>2407.8000000000002</v>
      </c>
      <c r="L214" s="437">
        <f t="shared" si="0"/>
        <v>1.0257494498155078</v>
      </c>
      <c r="M214" s="439">
        <f t="shared" si="1"/>
        <v>2347.3568525267738</v>
      </c>
      <c r="N214" s="446"/>
      <c r="O214" s="446" t="s">
        <v>21</v>
      </c>
      <c r="P214" s="446" t="s">
        <v>20</v>
      </c>
      <c r="Q214" s="457"/>
      <c r="R214" s="457"/>
      <c r="S214" s="444"/>
      <c r="T214" s="444"/>
      <c r="U214" s="444"/>
      <c r="V214" s="444"/>
      <c r="W214" s="444"/>
    </row>
    <row r="215" spans="1:23" ht="15.75">
      <c r="A215" s="446" t="s">
        <v>789</v>
      </c>
      <c r="B215" s="456">
        <v>45356.604166666664</v>
      </c>
      <c r="C215" s="446">
        <v>496</v>
      </c>
      <c r="D215" s="446">
        <v>20</v>
      </c>
      <c r="E215" s="446">
        <v>9.2906500000000003E-2</v>
      </c>
      <c r="F215" s="446">
        <v>37.200000000000003</v>
      </c>
      <c r="G215" s="446">
        <v>22.5</v>
      </c>
      <c r="H215" s="446">
        <v>1156.29892</v>
      </c>
      <c r="I215" s="446">
        <v>0.99973100000000004</v>
      </c>
      <c r="J215" s="446">
        <v>0.51832999999999996</v>
      </c>
      <c r="K215" s="446">
        <v>2407.8000000000002</v>
      </c>
      <c r="L215" s="437">
        <f t="shared" si="0"/>
        <v>1.0257494498155078</v>
      </c>
      <c r="M215" s="439">
        <f t="shared" si="1"/>
        <v>2347.3568525267738</v>
      </c>
      <c r="N215" s="446"/>
      <c r="O215" s="446" t="s">
        <v>21</v>
      </c>
      <c r="P215" s="446" t="s">
        <v>20</v>
      </c>
      <c r="Q215" s="457"/>
      <c r="R215" s="457"/>
      <c r="S215" s="444"/>
      <c r="T215" s="444"/>
      <c r="U215" s="444"/>
      <c r="V215" s="444"/>
      <c r="W215" s="444"/>
    </row>
    <row r="216" spans="1:23" ht="15.75">
      <c r="A216" s="446" t="s">
        <v>790</v>
      </c>
      <c r="B216" s="456">
        <v>45356.613888888889</v>
      </c>
      <c r="C216" s="446">
        <v>443</v>
      </c>
      <c r="D216" s="446">
        <v>20</v>
      </c>
      <c r="E216" s="446">
        <v>9.2906500000000003E-2</v>
      </c>
      <c r="F216" s="446">
        <v>37.1</v>
      </c>
      <c r="G216" s="446">
        <v>22.5</v>
      </c>
      <c r="H216" s="446">
        <v>1150.8869099999999</v>
      </c>
      <c r="I216" s="446">
        <v>0.999807</v>
      </c>
      <c r="J216" s="446">
        <v>0.51368000000000003</v>
      </c>
      <c r="K216" s="446">
        <v>2386.1999999999998</v>
      </c>
      <c r="L216" s="437">
        <f t="shared" si="0"/>
        <v>1.0256734405384258</v>
      </c>
      <c r="M216" s="439">
        <f t="shared" si="1"/>
        <v>2326.4714729742514</v>
      </c>
      <c r="N216" s="446"/>
      <c r="O216" s="446" t="s">
        <v>21</v>
      </c>
      <c r="P216" s="446" t="s">
        <v>20</v>
      </c>
      <c r="Q216" s="457"/>
      <c r="R216" s="457"/>
      <c r="S216" s="444"/>
      <c r="T216" s="444"/>
      <c r="U216" s="444"/>
      <c r="V216" s="444"/>
      <c r="W216" s="444"/>
    </row>
    <row r="217" spans="1:23" ht="15.75">
      <c r="A217" s="446" t="s">
        <v>791</v>
      </c>
      <c r="B217" s="456">
        <v>45356.619444444441</v>
      </c>
      <c r="C217" s="446">
        <v>444</v>
      </c>
      <c r="D217" s="446">
        <v>20</v>
      </c>
      <c r="E217" s="446">
        <v>9.2906500000000003E-2</v>
      </c>
      <c r="F217" s="446">
        <v>37.1</v>
      </c>
      <c r="G217" s="446">
        <v>22.5</v>
      </c>
      <c r="H217" s="446">
        <v>1140.2000399999999</v>
      </c>
      <c r="I217" s="446">
        <v>0.99971699999999997</v>
      </c>
      <c r="J217" s="446">
        <v>0.51606099999999999</v>
      </c>
      <c r="K217" s="446">
        <v>2397.3000000000002</v>
      </c>
      <c r="L217" s="437">
        <f t="shared" si="0"/>
        <v>1.0256734405384258</v>
      </c>
      <c r="M217" s="439">
        <f t="shared" si="1"/>
        <v>2337.2936309450902</v>
      </c>
      <c r="N217" s="446"/>
      <c r="O217" s="446" t="s">
        <v>21</v>
      </c>
      <c r="P217" s="446" t="s">
        <v>20</v>
      </c>
      <c r="Q217" s="457"/>
      <c r="R217" s="457"/>
      <c r="S217" s="444"/>
      <c r="T217" s="444"/>
      <c r="U217" s="444"/>
      <c r="V217" s="444"/>
      <c r="W217" s="444"/>
    </row>
    <row r="218" spans="1:23" ht="15.75">
      <c r="A218" s="446" t="s">
        <v>792</v>
      </c>
      <c r="B218" s="456">
        <v>45356.627083333333</v>
      </c>
      <c r="C218" s="446" t="s">
        <v>755</v>
      </c>
      <c r="D218" s="446">
        <v>20</v>
      </c>
      <c r="E218" s="446">
        <v>9.2906500000000003E-2</v>
      </c>
      <c r="F218" s="446">
        <v>33.200000000000003</v>
      </c>
      <c r="G218" s="446">
        <v>22.5</v>
      </c>
      <c r="H218" s="446">
        <v>1150.59879</v>
      </c>
      <c r="I218" s="446">
        <v>0.99979399999999996</v>
      </c>
      <c r="J218" s="446">
        <v>0.48587799999999998</v>
      </c>
      <c r="K218" s="446">
        <v>2257.1</v>
      </c>
      <c r="L218" s="437">
        <f t="shared" si="0"/>
        <v>1.0227124503008802</v>
      </c>
      <c r="M218" s="439">
        <f t="shared" si="1"/>
        <v>2206.9742079857979</v>
      </c>
      <c r="N218" s="446"/>
      <c r="O218" s="446" t="s">
        <v>21</v>
      </c>
      <c r="P218" s="446" t="s">
        <v>20</v>
      </c>
      <c r="Q218" s="457"/>
      <c r="R218" s="457"/>
      <c r="S218" s="444"/>
      <c r="T218" s="444"/>
      <c r="U218" s="444"/>
      <c r="V218" s="444"/>
      <c r="W218" s="444"/>
    </row>
    <row r="219" spans="1:23" ht="15.75">
      <c r="A219" s="446" t="s">
        <v>880</v>
      </c>
      <c r="B219" s="456">
        <v>45356.65</v>
      </c>
      <c r="C219" s="446" t="s">
        <v>755</v>
      </c>
      <c r="D219" s="446">
        <v>20</v>
      </c>
      <c r="E219" s="446">
        <v>9.2949000000000004E-2</v>
      </c>
      <c r="F219" s="446">
        <v>1022.7</v>
      </c>
      <c r="G219" s="446">
        <v>22.5</v>
      </c>
      <c r="H219" s="446">
        <v>1122.59557</v>
      </c>
      <c r="I219" s="446">
        <v>0.999718</v>
      </c>
      <c r="J219" s="446">
        <v>0.48495500000000002</v>
      </c>
      <c r="K219" s="446">
        <v>2253.8000000000002</v>
      </c>
      <c r="L219" s="437">
        <f t="shared" si="0"/>
        <v>2.1440936580887748</v>
      </c>
      <c r="M219" s="439">
        <f t="shared" si="1"/>
        <v>1051.1667675977442</v>
      </c>
      <c r="N219" s="446" t="s">
        <v>542</v>
      </c>
      <c r="O219" s="446" t="s">
        <v>775</v>
      </c>
      <c r="P219" s="446" t="s">
        <v>20</v>
      </c>
      <c r="Q219" s="486" t="s">
        <v>868</v>
      </c>
      <c r="R219" s="485"/>
      <c r="S219" s="444"/>
      <c r="T219" s="444"/>
      <c r="U219" s="444"/>
      <c r="V219" s="444"/>
      <c r="W219" s="444"/>
    </row>
    <row r="220" spans="1:23" ht="15.75">
      <c r="A220" s="446" t="s">
        <v>881</v>
      </c>
      <c r="B220" s="456">
        <v>45356.65625</v>
      </c>
      <c r="C220" s="446" t="s">
        <v>755</v>
      </c>
      <c r="D220" s="446">
        <v>20</v>
      </c>
      <c r="E220" s="446">
        <v>0.10317610000000001</v>
      </c>
      <c r="F220" s="446">
        <v>1022.7</v>
      </c>
      <c r="G220" s="446">
        <v>22.5</v>
      </c>
      <c r="H220" s="446">
        <v>1229.0080399999999</v>
      </c>
      <c r="I220" s="446">
        <v>0.99983900000000003</v>
      </c>
      <c r="J220" s="446">
        <v>0.43688399999999999</v>
      </c>
      <c r="K220" s="446">
        <v>2253.8000000000002</v>
      </c>
      <c r="L220" s="437">
        <f t="shared" si="0"/>
        <v>2.1440936580887748</v>
      </c>
      <c r="M220" s="439">
        <f t="shared" si="1"/>
        <v>1051.1667675977442</v>
      </c>
      <c r="N220" s="446" t="s">
        <v>542</v>
      </c>
      <c r="O220" s="446" t="s">
        <v>775</v>
      </c>
      <c r="P220" s="446" t="s">
        <v>20</v>
      </c>
      <c r="Q220" s="486" t="s">
        <v>868</v>
      </c>
      <c r="R220" s="485"/>
      <c r="S220" s="444"/>
      <c r="T220" s="444"/>
      <c r="U220" s="444"/>
      <c r="V220" s="444"/>
      <c r="W220" s="444"/>
    </row>
    <row r="221" spans="1:23" ht="15.75">
      <c r="A221" s="446" t="s">
        <v>882</v>
      </c>
      <c r="B221" s="456">
        <v>45356.664583333331</v>
      </c>
      <c r="C221" s="446" t="s">
        <v>755</v>
      </c>
      <c r="D221" s="446">
        <v>20</v>
      </c>
      <c r="E221" s="446">
        <v>9.30478E-2</v>
      </c>
      <c r="F221" s="446">
        <v>1022.7</v>
      </c>
      <c r="G221" s="446">
        <v>22.5</v>
      </c>
      <c r="H221" s="446">
        <v>1126.5922399999999</v>
      </c>
      <c r="I221" s="446">
        <v>0.99980400000000003</v>
      </c>
      <c r="J221" s="446">
        <v>0.48443900000000001</v>
      </c>
      <c r="K221" s="446">
        <v>2253.8000000000002</v>
      </c>
      <c r="L221" s="437">
        <f t="shared" si="0"/>
        <v>2.1440936580887748</v>
      </c>
      <c r="M221" s="439">
        <f t="shared" si="1"/>
        <v>1051.1667675977442</v>
      </c>
      <c r="N221" s="452">
        <v>2.9999999999999997E-4</v>
      </c>
      <c r="O221" s="446" t="s">
        <v>775</v>
      </c>
      <c r="P221" s="446" t="s">
        <v>20</v>
      </c>
      <c r="Q221" s="486" t="s">
        <v>868</v>
      </c>
      <c r="R221" s="485"/>
      <c r="S221" s="444"/>
      <c r="T221" s="444"/>
      <c r="U221" s="444"/>
      <c r="V221" s="444"/>
      <c r="W221" s="444"/>
    </row>
    <row r="222" spans="1:23" ht="15.75">
      <c r="A222" s="446" t="s">
        <v>883</v>
      </c>
      <c r="B222" s="456">
        <v>45356.672222222223</v>
      </c>
      <c r="C222" s="446" t="s">
        <v>755</v>
      </c>
      <c r="D222" s="446">
        <v>20</v>
      </c>
      <c r="E222" s="446">
        <v>9.3011099999999999E-2</v>
      </c>
      <c r="F222" s="446">
        <v>1022.7</v>
      </c>
      <c r="G222" s="446">
        <v>22.5</v>
      </c>
      <c r="H222" s="446">
        <v>1119.71399</v>
      </c>
      <c r="I222" s="446">
        <v>0.99981799999999998</v>
      </c>
      <c r="J222" s="446">
        <v>0.48463099999999998</v>
      </c>
      <c r="K222" s="446">
        <v>2253.8000000000002</v>
      </c>
      <c r="L222" s="437">
        <f t="shared" si="0"/>
        <v>2.1440936580887748</v>
      </c>
      <c r="M222" s="439">
        <f t="shared" si="1"/>
        <v>1051.1667675977442</v>
      </c>
      <c r="N222" s="452">
        <v>2.9999999999999997E-4</v>
      </c>
      <c r="O222" s="446" t="s">
        <v>21</v>
      </c>
      <c r="P222" s="446" t="s">
        <v>20</v>
      </c>
      <c r="Q222" s="486" t="s">
        <v>868</v>
      </c>
      <c r="R222" s="485"/>
      <c r="S222" s="444"/>
      <c r="T222" s="444"/>
      <c r="U222" s="444"/>
      <c r="V222" s="444"/>
      <c r="W222" s="444"/>
    </row>
    <row r="223" spans="1:23" ht="15.75">
      <c r="A223" s="446" t="s">
        <v>794</v>
      </c>
      <c r="B223" s="456">
        <v>45356.679861111108</v>
      </c>
      <c r="C223" s="446">
        <v>469</v>
      </c>
      <c r="D223" s="446">
        <v>20</v>
      </c>
      <c r="E223" s="446">
        <v>9.3029500000000001E-2</v>
      </c>
      <c r="F223" s="446">
        <v>36.6</v>
      </c>
      <c r="G223" s="446">
        <v>22.5</v>
      </c>
      <c r="H223" s="446">
        <v>1149.28883</v>
      </c>
      <c r="I223" s="446">
        <v>0.99970700000000001</v>
      </c>
      <c r="J223" s="446">
        <v>0.51489600000000002</v>
      </c>
      <c r="K223" s="446">
        <v>2395</v>
      </c>
      <c r="L223" s="437">
        <f t="shared" si="0"/>
        <v>1.0252934602482262</v>
      </c>
      <c r="M223" s="439">
        <f t="shared" si="1"/>
        <v>2335.9165866718436</v>
      </c>
      <c r="N223" s="446"/>
      <c r="O223" s="446" t="s">
        <v>21</v>
      </c>
      <c r="P223" s="446" t="s">
        <v>20</v>
      </c>
      <c r="Q223" s="457"/>
      <c r="R223" s="457"/>
      <c r="S223" s="444"/>
      <c r="T223" s="444"/>
      <c r="U223" s="444"/>
      <c r="V223" s="444"/>
      <c r="W223" s="444"/>
    </row>
    <row r="224" spans="1:23" ht="15.75">
      <c r="A224" s="446" t="s">
        <v>795</v>
      </c>
      <c r="B224" s="456">
        <v>45356.693749999999</v>
      </c>
      <c r="C224" s="446">
        <v>470</v>
      </c>
      <c r="D224" s="446">
        <v>20</v>
      </c>
      <c r="E224" s="446">
        <v>9.3029500000000001E-2</v>
      </c>
      <c r="F224" s="446">
        <v>36.799999999999997</v>
      </c>
      <c r="G224" s="446">
        <v>22.5</v>
      </c>
      <c r="H224" s="446">
        <v>1156.6010699999999</v>
      </c>
      <c r="I224" s="446">
        <v>0.99981100000000001</v>
      </c>
      <c r="J224" s="446">
        <v>0.516594</v>
      </c>
      <c r="K224" s="446">
        <v>2402.9</v>
      </c>
      <c r="L224" s="437">
        <f t="shared" si="0"/>
        <v>1.0254454391737517</v>
      </c>
      <c r="M224" s="439">
        <f t="shared" si="1"/>
        <v>2343.2743549341117</v>
      </c>
      <c r="N224" s="446"/>
      <c r="O224" s="446" t="s">
        <v>21</v>
      </c>
      <c r="P224" s="446" t="s">
        <v>20</v>
      </c>
      <c r="Q224" s="457"/>
      <c r="R224" s="457"/>
      <c r="S224" s="444"/>
      <c r="T224" s="444"/>
      <c r="U224" s="444"/>
      <c r="V224" s="444"/>
      <c r="W224" s="444"/>
    </row>
    <row r="225" spans="1:23" ht="15.75">
      <c r="A225" s="446" t="s">
        <v>796</v>
      </c>
      <c r="B225" s="456">
        <v>45356.703472222223</v>
      </c>
      <c r="C225" s="446">
        <v>547</v>
      </c>
      <c r="D225" s="446">
        <v>20</v>
      </c>
      <c r="E225" s="446">
        <v>9.3029500000000001E-2</v>
      </c>
      <c r="F225" s="446">
        <v>36.700000000000003</v>
      </c>
      <c r="G225" s="446">
        <v>22.5</v>
      </c>
      <c r="H225" s="446">
        <v>1155.9827499999999</v>
      </c>
      <c r="I225" s="446">
        <v>0.999753</v>
      </c>
      <c r="J225" s="446">
        <v>0.51456100000000005</v>
      </c>
      <c r="K225" s="446">
        <v>2393.5</v>
      </c>
      <c r="L225" s="437">
        <f t="shared" si="0"/>
        <v>1.0253694475173356</v>
      </c>
      <c r="M225" s="439">
        <f t="shared" si="1"/>
        <v>2334.2805910545076</v>
      </c>
      <c r="N225" s="446"/>
      <c r="O225" s="446" t="s">
        <v>21</v>
      </c>
      <c r="P225" s="446" t="s">
        <v>20</v>
      </c>
      <c r="Q225" s="457"/>
      <c r="R225" s="457"/>
      <c r="S225" s="444"/>
      <c r="T225" s="444"/>
      <c r="U225" s="444"/>
      <c r="V225" s="444"/>
      <c r="W225" s="444"/>
    </row>
    <row r="226" spans="1:23" ht="15.75">
      <c r="A226" s="446" t="s">
        <v>797</v>
      </c>
      <c r="B226" s="456">
        <v>45356.713888888888</v>
      </c>
      <c r="C226" s="446" t="s">
        <v>755</v>
      </c>
      <c r="D226" s="446">
        <v>20</v>
      </c>
      <c r="E226" s="446">
        <v>9.3029500000000001E-2</v>
      </c>
      <c r="F226" s="446">
        <v>33.200000000000003</v>
      </c>
      <c r="G226" s="446">
        <v>22.5</v>
      </c>
      <c r="H226" s="446">
        <v>0</v>
      </c>
      <c r="I226" s="446">
        <v>0</v>
      </c>
      <c r="J226" s="446">
        <v>0</v>
      </c>
      <c r="K226" s="446">
        <v>0</v>
      </c>
      <c r="L226" s="437">
        <f t="shared" si="0"/>
        <v>1.0227124503008802</v>
      </c>
      <c r="M226" s="439">
        <f t="shared" si="1"/>
        <v>0</v>
      </c>
      <c r="N226" s="446" t="s">
        <v>827</v>
      </c>
      <c r="O226" s="446" t="s">
        <v>775</v>
      </c>
      <c r="P226" s="446" t="s">
        <v>20</v>
      </c>
      <c r="Q226" s="486" t="s">
        <v>884</v>
      </c>
      <c r="R226" s="485"/>
      <c r="S226" s="444"/>
      <c r="T226" s="444"/>
      <c r="U226" s="444"/>
      <c r="V226" s="444"/>
      <c r="W226" s="444"/>
    </row>
    <row r="227" spans="1:23" ht="15.75">
      <c r="A227" s="446" t="s">
        <v>885</v>
      </c>
      <c r="B227" s="456">
        <v>45356.718055555553</v>
      </c>
      <c r="C227" s="446" t="s">
        <v>755</v>
      </c>
      <c r="D227" s="446">
        <v>20</v>
      </c>
      <c r="E227" s="446">
        <v>9.3029500000000001E-2</v>
      </c>
      <c r="F227" s="446">
        <v>33.200000000000003</v>
      </c>
      <c r="G227" s="446">
        <v>22.5</v>
      </c>
      <c r="H227" s="446">
        <v>0</v>
      </c>
      <c r="I227" s="446">
        <v>0</v>
      </c>
      <c r="J227" s="446">
        <v>0</v>
      </c>
      <c r="K227" s="446">
        <v>0</v>
      </c>
      <c r="L227" s="437">
        <f t="shared" si="0"/>
        <v>1.0227124503008802</v>
      </c>
      <c r="M227" s="439">
        <f t="shared" si="1"/>
        <v>0</v>
      </c>
      <c r="N227" s="446" t="s">
        <v>827</v>
      </c>
      <c r="O227" s="446" t="s">
        <v>775</v>
      </c>
      <c r="P227" s="446" t="s">
        <v>20</v>
      </c>
      <c r="Q227" s="486" t="s">
        <v>886</v>
      </c>
      <c r="R227" s="485"/>
      <c r="S227" s="444"/>
      <c r="T227" s="444"/>
      <c r="U227" s="444"/>
      <c r="V227" s="444"/>
      <c r="W227" s="444"/>
    </row>
    <row r="228" spans="1:23" ht="15.75">
      <c r="A228" s="446" t="s">
        <v>798</v>
      </c>
      <c r="B228" s="456">
        <v>45356.72152777778</v>
      </c>
      <c r="C228" s="446" t="s">
        <v>751</v>
      </c>
      <c r="D228" s="446">
        <v>20</v>
      </c>
      <c r="E228" s="446">
        <v>9.3029500000000001E-2</v>
      </c>
      <c r="F228" s="446">
        <v>33.4</v>
      </c>
      <c r="G228" s="446">
        <v>22.5</v>
      </c>
      <c r="H228" s="446">
        <v>1141.92273</v>
      </c>
      <c r="I228" s="446">
        <v>0.99980800000000003</v>
      </c>
      <c r="J228" s="446">
        <v>0.48430499999999999</v>
      </c>
      <c r="K228" s="446">
        <v>2252.6999999999998</v>
      </c>
      <c r="L228" s="437">
        <f t="shared" si="0"/>
        <v>1.0228641396069589</v>
      </c>
      <c r="M228" s="439">
        <f t="shared" si="1"/>
        <v>2202.3452702776463</v>
      </c>
      <c r="N228" s="446"/>
      <c r="O228" s="446" t="s">
        <v>21</v>
      </c>
      <c r="P228" s="446" t="s">
        <v>20</v>
      </c>
      <c r="Q228" s="486" t="s">
        <v>887</v>
      </c>
      <c r="R228" s="485"/>
      <c r="S228" s="444"/>
      <c r="T228" s="444"/>
      <c r="U228" s="444"/>
      <c r="V228" s="444"/>
      <c r="W228" s="444"/>
    </row>
    <row r="229" spans="1:23" ht="15.75">
      <c r="A229" s="446" t="s">
        <v>799</v>
      </c>
      <c r="B229" s="456">
        <v>45356.730555555558</v>
      </c>
      <c r="C229" s="446" t="s">
        <v>750</v>
      </c>
      <c r="D229" s="446">
        <v>20</v>
      </c>
      <c r="E229" s="446">
        <v>9.3029500000000001E-2</v>
      </c>
      <c r="F229" s="446">
        <v>33.4</v>
      </c>
      <c r="G229" s="446">
        <v>22.5</v>
      </c>
      <c r="H229" s="446">
        <v>1140.13572</v>
      </c>
      <c r="I229" s="446">
        <v>0.99966900000000003</v>
      </c>
      <c r="J229" s="446">
        <v>0.48329100000000003</v>
      </c>
      <c r="K229" s="446">
        <v>2248</v>
      </c>
      <c r="L229" s="437">
        <f t="shared" si="0"/>
        <v>1.0228641396069589</v>
      </c>
      <c r="M229" s="439">
        <f t="shared" si="1"/>
        <v>2197.7503296418295</v>
      </c>
      <c r="N229" s="446"/>
      <c r="O229" s="446" t="s">
        <v>775</v>
      </c>
      <c r="P229" s="446" t="s">
        <v>20</v>
      </c>
      <c r="Q229" s="457"/>
      <c r="R229" s="457"/>
      <c r="S229" s="444"/>
      <c r="T229" s="444"/>
      <c r="U229" s="444"/>
      <c r="V229" s="444"/>
      <c r="W229" s="444"/>
    </row>
    <row r="230" spans="1:23" ht="15.75">
      <c r="A230" s="446" t="s">
        <v>800</v>
      </c>
      <c r="B230" s="456">
        <v>45356.752083333333</v>
      </c>
      <c r="C230" s="446" t="s">
        <v>750</v>
      </c>
      <c r="D230" s="446">
        <v>20</v>
      </c>
      <c r="E230" s="446">
        <v>9.3029500000000001E-2</v>
      </c>
      <c r="F230" s="446">
        <v>33.4</v>
      </c>
      <c r="G230" s="446">
        <v>22.5</v>
      </c>
      <c r="H230" s="446">
        <v>1150.54654</v>
      </c>
      <c r="I230" s="446">
        <v>0.99974499999999999</v>
      </c>
      <c r="J230" s="446">
        <v>0.48282199999999997</v>
      </c>
      <c r="K230" s="446">
        <v>2245.8000000000002</v>
      </c>
      <c r="L230" s="437">
        <f t="shared" si="0"/>
        <v>1.0228641396069589</v>
      </c>
      <c r="M230" s="439">
        <f t="shared" si="1"/>
        <v>2195.5995063654896</v>
      </c>
      <c r="N230" s="446"/>
      <c r="O230" s="446" t="s">
        <v>775</v>
      </c>
      <c r="P230" s="446" t="s">
        <v>20</v>
      </c>
      <c r="Q230" s="457"/>
      <c r="R230" s="457"/>
      <c r="S230" s="444"/>
      <c r="T230" s="444"/>
      <c r="U230" s="444"/>
      <c r="V230" s="444"/>
      <c r="W230" s="444"/>
    </row>
    <row r="231" spans="1:23" ht="15.75">
      <c r="A231" s="446" t="s">
        <v>888</v>
      </c>
      <c r="B231" s="456">
        <v>45356.765972222223</v>
      </c>
      <c r="C231" s="446" t="s">
        <v>750</v>
      </c>
      <c r="D231" s="446">
        <v>20</v>
      </c>
      <c r="E231" s="446">
        <v>9.3029500000000001E-2</v>
      </c>
      <c r="F231" s="446">
        <v>33.4</v>
      </c>
      <c r="G231" s="446">
        <v>22.5</v>
      </c>
      <c r="H231" s="446">
        <v>1136.04042</v>
      </c>
      <c r="I231" s="446">
        <v>0.99975899999999995</v>
      </c>
      <c r="J231" s="446">
        <v>0.48287799999999997</v>
      </c>
      <c r="K231" s="446">
        <v>2246.1</v>
      </c>
      <c r="L231" s="437">
        <f t="shared" si="0"/>
        <v>1.0228641396069589</v>
      </c>
      <c r="M231" s="439">
        <f t="shared" si="1"/>
        <v>2195.8928004486265</v>
      </c>
      <c r="N231" s="446">
        <v>0.18240000000000001</v>
      </c>
      <c r="O231" s="446" t="s">
        <v>775</v>
      </c>
      <c r="P231" s="446" t="s">
        <v>20</v>
      </c>
      <c r="Q231" s="457"/>
      <c r="R231" s="457"/>
      <c r="S231" s="444"/>
      <c r="T231" s="444"/>
      <c r="U231" s="444"/>
      <c r="V231" s="444"/>
      <c r="W231" s="444"/>
    </row>
    <row r="232" spans="1:23" ht="15.75">
      <c r="A232" s="446" t="s">
        <v>889</v>
      </c>
      <c r="B232" s="456">
        <v>45356.775694444441</v>
      </c>
      <c r="C232" s="446" t="s">
        <v>750</v>
      </c>
      <c r="D232" s="446">
        <v>20</v>
      </c>
      <c r="E232" s="446">
        <v>9.3029500000000001E-2</v>
      </c>
      <c r="F232" s="446">
        <v>33.4</v>
      </c>
      <c r="G232" s="446">
        <v>22.5</v>
      </c>
      <c r="H232" s="446">
        <v>1131.8281500000001</v>
      </c>
      <c r="I232" s="446">
        <v>0.99977199999999999</v>
      </c>
      <c r="J232" s="446">
        <v>0.48294799999999999</v>
      </c>
      <c r="K232" s="446">
        <v>2246.4</v>
      </c>
      <c r="L232" s="437">
        <f t="shared" si="0"/>
        <v>1.0228641396069589</v>
      </c>
      <c r="M232" s="439">
        <f t="shared" si="1"/>
        <v>2196.186094531764</v>
      </c>
      <c r="N232" s="446">
        <v>0.23089999999999999</v>
      </c>
      <c r="O232" s="446" t="s">
        <v>775</v>
      </c>
      <c r="P232" s="446" t="s">
        <v>20</v>
      </c>
      <c r="Q232" s="457"/>
      <c r="R232" s="457"/>
      <c r="S232" s="444"/>
      <c r="T232" s="444"/>
      <c r="U232" s="444"/>
      <c r="V232" s="444"/>
      <c r="W232" s="444"/>
    </row>
    <row r="233" spans="1:23" ht="15.75">
      <c r="A233" s="446" t="s">
        <v>772</v>
      </c>
      <c r="B233" s="456">
        <v>45358.431944444441</v>
      </c>
      <c r="C233" s="446" t="s">
        <v>773</v>
      </c>
      <c r="D233" s="446">
        <v>25</v>
      </c>
      <c r="E233" s="446">
        <v>9.3029500000000001E-2</v>
      </c>
      <c r="F233" s="446" t="s">
        <v>774</v>
      </c>
      <c r="G233" s="446">
        <v>22.5</v>
      </c>
      <c r="H233" s="446">
        <v>1071.9257299999999</v>
      </c>
      <c r="I233" s="446">
        <v>0.99996799999999997</v>
      </c>
      <c r="J233" s="446">
        <v>0.56751799999999997</v>
      </c>
      <c r="K233" s="446">
        <v>2111.8000000000002</v>
      </c>
      <c r="L233" s="437" t="e">
        <f t="shared" si="0"/>
        <v>#VALUE!</v>
      </c>
      <c r="M233" s="439" t="e">
        <f t="shared" si="1"/>
        <v>#VALUE!</v>
      </c>
      <c r="N233" s="446"/>
      <c r="O233" s="446" t="s">
        <v>775</v>
      </c>
      <c r="P233" s="446" t="s">
        <v>20</v>
      </c>
      <c r="Q233" s="457"/>
      <c r="R233" s="457"/>
      <c r="S233" s="444"/>
      <c r="T233" s="444"/>
      <c r="U233" s="444"/>
      <c r="V233" s="444"/>
      <c r="W233" s="444"/>
    </row>
    <row r="234" spans="1:23" ht="15.75">
      <c r="A234" s="446" t="s">
        <v>776</v>
      </c>
      <c r="B234" s="456">
        <v>45358.441666666666</v>
      </c>
      <c r="C234" s="446" t="s">
        <v>773</v>
      </c>
      <c r="D234" s="446">
        <v>25</v>
      </c>
      <c r="E234" s="446">
        <v>9.3029500000000001E-2</v>
      </c>
      <c r="F234" s="446" t="s">
        <v>774</v>
      </c>
      <c r="G234" s="446">
        <v>22.5</v>
      </c>
      <c r="H234" s="446">
        <v>1070.37708</v>
      </c>
      <c r="I234" s="446">
        <v>0.99997000000000003</v>
      </c>
      <c r="J234" s="446">
        <v>0.56712600000000002</v>
      </c>
      <c r="K234" s="446">
        <v>2110.4</v>
      </c>
      <c r="L234" s="437" t="e">
        <f t="shared" si="0"/>
        <v>#VALUE!</v>
      </c>
      <c r="M234" s="439" t="e">
        <f t="shared" si="1"/>
        <v>#VALUE!</v>
      </c>
      <c r="N234" s="446">
        <v>1.0310999999999999</v>
      </c>
      <c r="O234" s="446" t="s">
        <v>775</v>
      </c>
      <c r="P234" s="446" t="s">
        <v>20</v>
      </c>
      <c r="Q234" s="457"/>
      <c r="R234" s="457"/>
      <c r="S234" s="444"/>
      <c r="T234" s="444"/>
      <c r="U234" s="444"/>
      <c r="V234" s="444"/>
      <c r="W234" s="444"/>
    </row>
    <row r="235" spans="1:23" ht="15.75">
      <c r="A235" s="446" t="s">
        <v>777</v>
      </c>
      <c r="B235" s="456">
        <v>45358.447916666664</v>
      </c>
      <c r="C235" s="446" t="s">
        <v>773</v>
      </c>
      <c r="D235" s="446">
        <v>25</v>
      </c>
      <c r="E235" s="446">
        <v>9.3029500000000001E-2</v>
      </c>
      <c r="F235" s="446" t="s">
        <v>774</v>
      </c>
      <c r="G235" s="446">
        <v>22.5</v>
      </c>
      <c r="H235" s="446">
        <v>1071.72093</v>
      </c>
      <c r="I235" s="446">
        <v>0.99994799999999995</v>
      </c>
      <c r="J235" s="446">
        <v>0.566971</v>
      </c>
      <c r="K235" s="446">
        <v>2109.8000000000002</v>
      </c>
      <c r="L235" s="437" t="e">
        <f t="shared" si="0"/>
        <v>#VALUE!</v>
      </c>
      <c r="M235" s="439" t="e">
        <f t="shared" si="1"/>
        <v>#VALUE!</v>
      </c>
      <c r="N235" s="446">
        <v>0.40839999999999999</v>
      </c>
      <c r="O235" s="446" t="s">
        <v>775</v>
      </c>
      <c r="P235" s="446" t="s">
        <v>20</v>
      </c>
      <c r="Q235" s="457"/>
      <c r="R235" s="457"/>
      <c r="S235" s="444"/>
      <c r="T235" s="444"/>
      <c r="U235" s="444"/>
      <c r="V235" s="444"/>
      <c r="W235" s="444"/>
    </row>
    <row r="236" spans="1:23" ht="15.75">
      <c r="A236" s="446" t="s">
        <v>778</v>
      </c>
      <c r="B236" s="456">
        <v>45358.459027777775</v>
      </c>
      <c r="C236" s="446" t="s">
        <v>890</v>
      </c>
      <c r="D236" s="446">
        <v>25</v>
      </c>
      <c r="E236" s="446">
        <v>9.3029500000000001E-2</v>
      </c>
      <c r="F236" s="446">
        <v>33.200000000000003</v>
      </c>
      <c r="G236" s="446">
        <v>22.5</v>
      </c>
      <c r="H236" s="446">
        <v>905.69841699999995</v>
      </c>
      <c r="I236" s="446">
        <v>0.99976799999999999</v>
      </c>
      <c r="J236" s="446">
        <v>0.60722299999999996</v>
      </c>
      <c r="K236" s="446">
        <v>2259.6</v>
      </c>
      <c r="L236" s="437">
        <f t="shared" si="0"/>
        <v>1.0227124503008802</v>
      </c>
      <c r="M236" s="439">
        <f t="shared" si="1"/>
        <v>2209.418687858185</v>
      </c>
      <c r="N236" s="446"/>
      <c r="O236" s="446" t="s">
        <v>775</v>
      </c>
      <c r="P236" s="446" t="s">
        <v>20</v>
      </c>
      <c r="Q236" s="457"/>
      <c r="R236" s="457"/>
      <c r="S236" s="444"/>
      <c r="T236" s="444"/>
      <c r="U236" s="444"/>
      <c r="V236" s="444"/>
      <c r="W236" s="444"/>
    </row>
    <row r="237" spans="1:23" ht="15.75">
      <c r="A237" s="446" t="s">
        <v>820</v>
      </c>
      <c r="B237" s="456">
        <v>45358.467361111114</v>
      </c>
      <c r="C237" s="446" t="s">
        <v>890</v>
      </c>
      <c r="D237" s="446">
        <v>25</v>
      </c>
      <c r="E237" s="446">
        <v>9.3029500000000001E-2</v>
      </c>
      <c r="F237" s="446">
        <v>33.200000000000003</v>
      </c>
      <c r="G237" s="446">
        <v>22.5</v>
      </c>
      <c r="H237" s="446">
        <v>890.45619299999998</v>
      </c>
      <c r="I237" s="446">
        <v>0.99978900000000004</v>
      </c>
      <c r="J237" s="446">
        <v>0.60685599999999995</v>
      </c>
      <c r="K237" s="446">
        <v>2258.1999999999998</v>
      </c>
      <c r="L237" s="437">
        <f t="shared" si="0"/>
        <v>1.0227124503008802</v>
      </c>
      <c r="M237" s="439">
        <f t="shared" si="1"/>
        <v>2208.049779129648</v>
      </c>
      <c r="N237" s="446">
        <v>0.96630000000000005</v>
      </c>
      <c r="O237" s="446" t="s">
        <v>775</v>
      </c>
      <c r="P237" s="446" t="s">
        <v>20</v>
      </c>
      <c r="Q237" s="457"/>
      <c r="R237" s="457"/>
      <c r="S237" s="444"/>
      <c r="T237" s="444"/>
      <c r="U237" s="444"/>
      <c r="V237" s="444"/>
      <c r="W237" s="444"/>
    </row>
    <row r="238" spans="1:23" ht="15.75">
      <c r="A238" s="446" t="s">
        <v>891</v>
      </c>
      <c r="B238" s="456">
        <v>45358.477777777778</v>
      </c>
      <c r="C238" s="446" t="s">
        <v>890</v>
      </c>
      <c r="D238" s="446">
        <v>25</v>
      </c>
      <c r="E238" s="446">
        <v>9.2911900000000006E-2</v>
      </c>
      <c r="F238" s="446">
        <v>1022.7</v>
      </c>
      <c r="G238" s="446">
        <v>22.5</v>
      </c>
      <c r="H238" s="446">
        <v>887.02176999999995</v>
      </c>
      <c r="I238" s="446">
        <v>0.99978699999999998</v>
      </c>
      <c r="J238" s="446">
        <v>0.60643499999999995</v>
      </c>
      <c r="K238" s="446">
        <v>2253.8000000000002</v>
      </c>
      <c r="L238" s="437">
        <f t="shared" si="0"/>
        <v>2.1440936580887748</v>
      </c>
      <c r="M238" s="439">
        <f t="shared" si="1"/>
        <v>1051.1667675977442</v>
      </c>
      <c r="N238" s="446" t="s">
        <v>542</v>
      </c>
      <c r="O238" s="446" t="s">
        <v>775</v>
      </c>
      <c r="P238" s="446" t="s">
        <v>20</v>
      </c>
      <c r="Q238" s="486" t="s">
        <v>868</v>
      </c>
      <c r="R238" s="485"/>
      <c r="S238" s="444"/>
      <c r="T238" s="444"/>
      <c r="U238" s="444"/>
      <c r="V238" s="444"/>
      <c r="W238" s="444"/>
    </row>
    <row r="239" spans="1:23" ht="15.75">
      <c r="A239" s="446" t="s">
        <v>892</v>
      </c>
      <c r="B239" s="456">
        <v>45358.48541666667</v>
      </c>
      <c r="C239" s="446" t="s">
        <v>890</v>
      </c>
      <c r="D239" s="446">
        <v>25</v>
      </c>
      <c r="E239" s="446">
        <v>9.28533E-2</v>
      </c>
      <c r="F239" s="446">
        <v>1022.7</v>
      </c>
      <c r="G239" s="446">
        <v>22.5</v>
      </c>
      <c r="H239" s="446">
        <v>889.16127600000004</v>
      </c>
      <c r="I239" s="446">
        <v>0.99980000000000002</v>
      </c>
      <c r="J239" s="446">
        <v>0.60681799999999997</v>
      </c>
      <c r="K239" s="446">
        <v>2253.8000000000002</v>
      </c>
      <c r="L239" s="437">
        <f t="shared" si="0"/>
        <v>2.1440936580887748</v>
      </c>
      <c r="M239" s="439">
        <f t="shared" si="1"/>
        <v>1051.1667675977442</v>
      </c>
      <c r="N239" s="446" t="s">
        <v>542</v>
      </c>
      <c r="O239" s="446" t="s">
        <v>775</v>
      </c>
      <c r="P239" s="446" t="s">
        <v>20</v>
      </c>
      <c r="Q239" s="486" t="s">
        <v>868</v>
      </c>
      <c r="R239" s="485"/>
      <c r="S239" s="444"/>
      <c r="T239" s="444"/>
      <c r="U239" s="444"/>
      <c r="V239" s="444"/>
      <c r="W239" s="444"/>
    </row>
    <row r="240" spans="1:23" ht="15.75">
      <c r="A240" s="446" t="s">
        <v>893</v>
      </c>
      <c r="B240" s="456">
        <v>45358.491666666669</v>
      </c>
      <c r="C240" s="446" t="s">
        <v>890</v>
      </c>
      <c r="D240" s="446">
        <v>25</v>
      </c>
      <c r="E240" s="446">
        <v>9.2994900000000005E-2</v>
      </c>
      <c r="F240" s="446">
        <v>1022.7</v>
      </c>
      <c r="G240" s="446">
        <v>22.5</v>
      </c>
      <c r="H240" s="446">
        <v>886.32460200000003</v>
      </c>
      <c r="I240" s="446">
        <v>0.99970300000000001</v>
      </c>
      <c r="J240" s="446">
        <v>0.60589400000000004</v>
      </c>
      <c r="K240" s="446">
        <v>2253.8000000000002</v>
      </c>
      <c r="L240" s="437">
        <f t="shared" si="0"/>
        <v>2.1440936580887748</v>
      </c>
      <c r="M240" s="439">
        <f t="shared" si="1"/>
        <v>1051.1667675977442</v>
      </c>
      <c r="N240" s="452">
        <v>6.9999999999999999E-4</v>
      </c>
      <c r="O240" s="446" t="s">
        <v>21</v>
      </c>
      <c r="P240" s="446" t="s">
        <v>20</v>
      </c>
      <c r="Q240" s="486" t="s">
        <v>868</v>
      </c>
      <c r="R240" s="485"/>
      <c r="S240" s="444"/>
      <c r="T240" s="444"/>
      <c r="U240" s="444"/>
      <c r="V240" s="444"/>
      <c r="W240" s="444"/>
    </row>
    <row r="241" spans="1:23" ht="15.75">
      <c r="A241" s="446" t="s">
        <v>894</v>
      </c>
      <c r="B241" s="456">
        <v>45358.499305555553</v>
      </c>
      <c r="C241" s="446" t="s">
        <v>890</v>
      </c>
      <c r="D241" s="446">
        <v>25</v>
      </c>
      <c r="E241" s="446">
        <v>9.2907000000000003E-2</v>
      </c>
      <c r="F241" s="446">
        <v>1022.7</v>
      </c>
      <c r="G241" s="446">
        <v>22.5</v>
      </c>
      <c r="H241" s="446">
        <v>887.174937</v>
      </c>
      <c r="I241" s="446">
        <v>0.99978199999999995</v>
      </c>
      <c r="J241" s="446">
        <v>0.60646699999999998</v>
      </c>
      <c r="K241" s="446">
        <v>2253.8000000000002</v>
      </c>
      <c r="L241" s="437">
        <f t="shared" si="0"/>
        <v>2.1440936580887748</v>
      </c>
      <c r="M241" s="439">
        <f t="shared" si="1"/>
        <v>1051.1667675977442</v>
      </c>
      <c r="N241" s="452">
        <v>6.9999999999999999E-4</v>
      </c>
      <c r="O241" s="446" t="s">
        <v>21</v>
      </c>
      <c r="P241" s="446" t="s">
        <v>20</v>
      </c>
      <c r="Q241" s="486" t="s">
        <v>868</v>
      </c>
      <c r="R241" s="485"/>
      <c r="S241" s="444"/>
      <c r="T241" s="444"/>
      <c r="U241" s="444"/>
      <c r="V241" s="444"/>
      <c r="W241" s="444"/>
    </row>
    <row r="242" spans="1:23" ht="15.75">
      <c r="A242" s="446" t="s">
        <v>781</v>
      </c>
      <c r="B242" s="456">
        <v>45358.506944444445</v>
      </c>
      <c r="C242" s="446" t="s">
        <v>890</v>
      </c>
      <c r="D242" s="446">
        <v>25</v>
      </c>
      <c r="E242" s="446">
        <v>9.2951000000000006E-2</v>
      </c>
      <c r="F242" s="446">
        <v>33.200000000000003</v>
      </c>
      <c r="G242" s="446">
        <v>22.5</v>
      </c>
      <c r="H242" s="446">
        <v>891.79499899999996</v>
      </c>
      <c r="I242" s="446">
        <v>0.99975999999999998</v>
      </c>
      <c r="J242" s="446">
        <v>0.60636699999999999</v>
      </c>
      <c r="K242" s="446">
        <v>2256.1999999999998</v>
      </c>
      <c r="L242" s="437">
        <f t="shared" si="0"/>
        <v>1.0227124503008802</v>
      </c>
      <c r="M242" s="439">
        <f t="shared" si="1"/>
        <v>2206.0941952317385</v>
      </c>
      <c r="N242" s="446"/>
      <c r="O242" s="446" t="s">
        <v>21</v>
      </c>
      <c r="P242" s="446" t="s">
        <v>20</v>
      </c>
      <c r="Q242" s="457" t="s">
        <v>895</v>
      </c>
      <c r="R242" s="457"/>
      <c r="S242" s="444"/>
      <c r="T242" s="444"/>
      <c r="U242" s="444"/>
      <c r="V242" s="444"/>
      <c r="W242" s="444"/>
    </row>
    <row r="243" spans="1:23" ht="15.75">
      <c r="A243" s="446" t="s">
        <v>782</v>
      </c>
      <c r="B243" s="456">
        <v>45358.522916666669</v>
      </c>
      <c r="C243" s="446">
        <v>548</v>
      </c>
      <c r="D243" s="446">
        <v>25</v>
      </c>
      <c r="E243" s="446">
        <v>9.2951000000000006E-2</v>
      </c>
      <c r="F243" s="446">
        <v>36.799999999999997</v>
      </c>
      <c r="G243" s="446">
        <v>22.5</v>
      </c>
      <c r="H243" s="446">
        <v>900.12488900000005</v>
      </c>
      <c r="I243" s="446">
        <v>0.99987300000000001</v>
      </c>
      <c r="J243" s="446">
        <v>0.64488599999999996</v>
      </c>
      <c r="K243" s="446">
        <v>2397.6999999999998</v>
      </c>
      <c r="L243" s="437">
        <f t="shared" si="0"/>
        <v>1.0254454391737517</v>
      </c>
      <c r="M243" s="439">
        <f t="shared" si="1"/>
        <v>2338.2033879169003</v>
      </c>
      <c r="N243" s="446"/>
      <c r="O243" s="446" t="s">
        <v>21</v>
      </c>
      <c r="P243" s="446" t="s">
        <v>20</v>
      </c>
      <c r="Q243" s="457"/>
      <c r="R243" s="457"/>
      <c r="S243" s="444"/>
      <c r="T243" s="444"/>
      <c r="U243" s="444"/>
      <c r="V243" s="444"/>
      <c r="W243" s="444"/>
    </row>
    <row r="244" spans="1:23" ht="15.75">
      <c r="A244" s="446" t="s">
        <v>783</v>
      </c>
      <c r="B244" s="456">
        <v>45358.529861111114</v>
      </c>
      <c r="C244" s="446">
        <v>404</v>
      </c>
      <c r="D244" s="446">
        <v>25</v>
      </c>
      <c r="E244" s="446">
        <v>9.2951000000000006E-2</v>
      </c>
      <c r="F244" s="446">
        <v>36.700000000000003</v>
      </c>
      <c r="G244" s="446">
        <v>22.5</v>
      </c>
      <c r="H244" s="446">
        <v>895.652108</v>
      </c>
      <c r="I244" s="446">
        <v>0.99977099999999997</v>
      </c>
      <c r="J244" s="446">
        <v>0.64346899999999996</v>
      </c>
      <c r="K244" s="446">
        <v>2392.4</v>
      </c>
      <c r="L244" s="437">
        <f t="shared" si="0"/>
        <v>1.0253694475173356</v>
      </c>
      <c r="M244" s="439">
        <f t="shared" si="1"/>
        <v>2333.2078069934423</v>
      </c>
      <c r="N244" s="446"/>
      <c r="O244" s="446" t="s">
        <v>21</v>
      </c>
      <c r="P244" s="446" t="s">
        <v>20</v>
      </c>
      <c r="Q244" s="457"/>
      <c r="R244" s="457"/>
      <c r="S244" s="444"/>
      <c r="T244" s="444"/>
      <c r="U244" s="444"/>
      <c r="V244" s="444"/>
      <c r="W244" s="444"/>
    </row>
    <row r="245" spans="1:23" ht="15.75">
      <c r="A245" s="446" t="s">
        <v>784</v>
      </c>
      <c r="B245" s="456">
        <v>45358.536111111112</v>
      </c>
      <c r="C245" s="446">
        <v>405</v>
      </c>
      <c r="D245" s="446">
        <v>25</v>
      </c>
      <c r="E245" s="446">
        <v>9.2951000000000006E-2</v>
      </c>
      <c r="F245" s="446">
        <v>36.9</v>
      </c>
      <c r="G245" s="446">
        <v>22.5</v>
      </c>
      <c r="H245" s="446">
        <v>906.345731</v>
      </c>
      <c r="I245" s="446">
        <v>0.99990400000000002</v>
      </c>
      <c r="J245" s="446">
        <v>0.64527400000000001</v>
      </c>
      <c r="K245" s="446">
        <v>2399.1999999999998</v>
      </c>
      <c r="L245" s="437">
        <f t="shared" si="0"/>
        <v>1.0255214352246484</v>
      </c>
      <c r="M245" s="439">
        <f t="shared" si="1"/>
        <v>2339.492786393525</v>
      </c>
      <c r="N245" s="446"/>
      <c r="O245" s="446" t="s">
        <v>21</v>
      </c>
      <c r="P245" s="446" t="s">
        <v>20</v>
      </c>
      <c r="Q245" s="457"/>
      <c r="R245" s="457"/>
      <c r="S245" s="444"/>
      <c r="T245" s="444"/>
      <c r="U245" s="444"/>
      <c r="V245" s="444"/>
      <c r="W245" s="444"/>
    </row>
    <row r="246" spans="1:23" ht="15.75">
      <c r="A246" s="446" t="s">
        <v>785</v>
      </c>
      <c r="B246" s="456">
        <v>45358.548611111109</v>
      </c>
      <c r="C246" s="446">
        <v>300</v>
      </c>
      <c r="D246" s="446">
        <v>25</v>
      </c>
      <c r="E246" s="446">
        <v>9.2951000000000006E-2</v>
      </c>
      <c r="F246" s="446">
        <v>36.4</v>
      </c>
      <c r="G246" s="446">
        <v>22.5</v>
      </c>
      <c r="H246" s="446">
        <v>901.813805</v>
      </c>
      <c r="I246" s="446">
        <v>0.99978800000000001</v>
      </c>
      <c r="J246" s="446">
        <v>0.64279799999999998</v>
      </c>
      <c r="K246" s="446">
        <v>2389.9</v>
      </c>
      <c r="L246" s="437">
        <f t="shared" si="0"/>
        <v>1.0251414988430922</v>
      </c>
      <c r="M246" s="439">
        <f t="shared" si="1"/>
        <v>2331.2879272735377</v>
      </c>
      <c r="N246" s="446"/>
      <c r="O246" s="446" t="s">
        <v>21</v>
      </c>
      <c r="P246" s="446" t="s">
        <v>20</v>
      </c>
      <c r="Q246" s="457"/>
      <c r="R246" s="457"/>
      <c r="S246" s="444"/>
      <c r="T246" s="444"/>
      <c r="U246" s="444"/>
      <c r="V246" s="444"/>
      <c r="W246" s="444"/>
    </row>
    <row r="247" spans="1:23" ht="15.75">
      <c r="A247" s="446" t="s">
        <v>786</v>
      </c>
      <c r="B247" s="456">
        <v>45358.557638888888</v>
      </c>
      <c r="C247" s="446">
        <v>301</v>
      </c>
      <c r="D247" s="446">
        <v>25</v>
      </c>
      <c r="E247" s="446">
        <v>9.2951000000000006E-2</v>
      </c>
      <c r="F247" s="446">
        <v>36.6</v>
      </c>
      <c r="G247" s="446">
        <v>22.5</v>
      </c>
      <c r="H247" s="446">
        <v>896.44946400000003</v>
      </c>
      <c r="I247" s="446">
        <v>0.99983900000000003</v>
      </c>
      <c r="J247" s="446">
        <v>0.64360300000000004</v>
      </c>
      <c r="K247" s="446">
        <v>2392.9</v>
      </c>
      <c r="L247" s="437">
        <f t="shared" si="0"/>
        <v>1.0252934602482262</v>
      </c>
      <c r="M247" s="439">
        <f t="shared" si="1"/>
        <v>2333.8683925874966</v>
      </c>
      <c r="N247" s="446"/>
      <c r="O247" s="446" t="s">
        <v>21</v>
      </c>
      <c r="P247" s="446" t="s">
        <v>20</v>
      </c>
      <c r="Q247" s="457"/>
      <c r="R247" s="457"/>
      <c r="S247" s="444"/>
      <c r="T247" s="444"/>
      <c r="U247" s="444"/>
      <c r="V247" s="444"/>
      <c r="W247" s="444"/>
    </row>
    <row r="248" spans="1:23" ht="15.75">
      <c r="A248" s="446" t="s">
        <v>787</v>
      </c>
      <c r="B248" s="456">
        <v>45358.565972222219</v>
      </c>
      <c r="C248" s="446">
        <v>209</v>
      </c>
      <c r="D248" s="446">
        <v>25</v>
      </c>
      <c r="E248" s="446">
        <v>9.2951000000000006E-2</v>
      </c>
      <c r="F248" s="446">
        <v>36.4</v>
      </c>
      <c r="G248" s="446">
        <v>22.5</v>
      </c>
      <c r="H248" s="446">
        <v>893.88121000000001</v>
      </c>
      <c r="I248" s="446">
        <v>0.99981100000000001</v>
      </c>
      <c r="J248" s="446">
        <v>0.63667399999999996</v>
      </c>
      <c r="K248" s="446">
        <v>2367.1999999999998</v>
      </c>
      <c r="L248" s="437">
        <f t="shared" si="0"/>
        <v>1.0251414988430922</v>
      </c>
      <c r="M248" s="439">
        <f t="shared" si="1"/>
        <v>2309.1446426385696</v>
      </c>
      <c r="N248" s="446"/>
      <c r="O248" s="446" t="s">
        <v>21</v>
      </c>
      <c r="P248" s="446" t="s">
        <v>20</v>
      </c>
      <c r="Q248" s="457"/>
      <c r="R248" s="457"/>
      <c r="S248" s="444"/>
      <c r="T248" s="444"/>
      <c r="U248" s="444"/>
      <c r="V248" s="444"/>
      <c r="W248" s="444"/>
    </row>
    <row r="249" spans="1:23" ht="15.75">
      <c r="A249" s="446" t="s">
        <v>788</v>
      </c>
      <c r="B249" s="456">
        <v>45358.573611111111</v>
      </c>
      <c r="C249" s="446">
        <v>210</v>
      </c>
      <c r="D249" s="446">
        <v>25</v>
      </c>
      <c r="E249" s="446">
        <v>9.2951000000000006E-2</v>
      </c>
      <c r="F249" s="446">
        <v>36.4</v>
      </c>
      <c r="G249" s="446">
        <v>22.5</v>
      </c>
      <c r="H249" s="446">
        <v>897.58403699999997</v>
      </c>
      <c r="I249" s="446">
        <v>0.99976399999999999</v>
      </c>
      <c r="J249" s="446">
        <v>0.63688299999999998</v>
      </c>
      <c r="K249" s="446">
        <v>2368</v>
      </c>
      <c r="L249" s="437">
        <f t="shared" si="0"/>
        <v>1.0251414988430922</v>
      </c>
      <c r="M249" s="439">
        <f t="shared" si="1"/>
        <v>2309.9250227138109</v>
      </c>
      <c r="N249" s="446"/>
      <c r="O249" s="446" t="s">
        <v>21</v>
      </c>
      <c r="P249" s="446" t="s">
        <v>20</v>
      </c>
      <c r="Q249" s="457"/>
      <c r="R249" s="457"/>
      <c r="S249" s="444"/>
      <c r="T249" s="444"/>
      <c r="U249" s="444"/>
      <c r="V249" s="444"/>
      <c r="W249" s="444"/>
    </row>
    <row r="250" spans="1:23" ht="15.75">
      <c r="A250" s="446" t="s">
        <v>789</v>
      </c>
      <c r="B250" s="456">
        <v>45358.580555555556</v>
      </c>
      <c r="C250" s="446">
        <v>222</v>
      </c>
      <c r="D250" s="446">
        <v>25</v>
      </c>
      <c r="E250" s="446">
        <v>9.2951000000000006E-2</v>
      </c>
      <c r="F250" s="446">
        <v>36.799999999999997</v>
      </c>
      <c r="G250" s="446">
        <v>22.5</v>
      </c>
      <c r="H250" s="446">
        <v>898.43614500000001</v>
      </c>
      <c r="I250" s="446">
        <v>0.99981500000000001</v>
      </c>
      <c r="J250" s="446">
        <v>0.648343</v>
      </c>
      <c r="K250" s="446">
        <v>2410.6</v>
      </c>
      <c r="L250" s="437">
        <f t="shared" si="0"/>
        <v>1.0254454391737517</v>
      </c>
      <c r="M250" s="439">
        <f t="shared" si="1"/>
        <v>2350.7832868634441</v>
      </c>
      <c r="N250" s="446"/>
      <c r="O250" s="446" t="s">
        <v>21</v>
      </c>
      <c r="P250" s="446" t="s">
        <v>20</v>
      </c>
      <c r="Q250" s="457"/>
      <c r="R250" s="457"/>
      <c r="S250" s="444"/>
      <c r="T250" s="444"/>
      <c r="U250" s="444"/>
      <c r="V250" s="444"/>
      <c r="W250" s="444"/>
    </row>
    <row r="251" spans="1:23" ht="15.75">
      <c r="A251" s="446" t="s">
        <v>790</v>
      </c>
      <c r="B251" s="456">
        <v>45358.588194444441</v>
      </c>
      <c r="C251" s="446">
        <v>223</v>
      </c>
      <c r="D251" s="446">
        <v>25</v>
      </c>
      <c r="E251" s="446">
        <v>9.2951000000000006E-2</v>
      </c>
      <c r="F251" s="446">
        <v>36.9</v>
      </c>
      <c r="G251" s="446">
        <v>22.5</v>
      </c>
      <c r="H251" s="446">
        <v>898.10471099999995</v>
      </c>
      <c r="I251" s="446">
        <v>0.99986900000000001</v>
      </c>
      <c r="J251" s="446">
        <v>0.64827400000000002</v>
      </c>
      <c r="K251" s="446">
        <v>2410.3000000000002</v>
      </c>
      <c r="L251" s="437">
        <f t="shared" si="0"/>
        <v>1.0255214352246484</v>
      </c>
      <c r="M251" s="439">
        <f t="shared" si="1"/>
        <v>2350.3165484512815</v>
      </c>
      <c r="N251" s="446"/>
      <c r="O251" s="446" t="s">
        <v>21</v>
      </c>
      <c r="P251" s="446" t="s">
        <v>20</v>
      </c>
      <c r="Q251" s="457"/>
      <c r="R251" s="457"/>
      <c r="S251" s="444"/>
      <c r="T251" s="444"/>
      <c r="U251" s="444"/>
      <c r="V251" s="444"/>
      <c r="W251" s="444"/>
    </row>
    <row r="252" spans="1:23" ht="15.75">
      <c r="A252" s="446" t="s">
        <v>791</v>
      </c>
      <c r="B252" s="456">
        <v>45358.595833333333</v>
      </c>
      <c r="C252" s="446">
        <v>313</v>
      </c>
      <c r="D252" s="446">
        <v>25</v>
      </c>
      <c r="E252" s="446">
        <v>9.2951000000000006E-2</v>
      </c>
      <c r="F252" s="446">
        <v>36.799999999999997</v>
      </c>
      <c r="G252" s="446">
        <v>22.5</v>
      </c>
      <c r="H252" s="446">
        <v>895.97465899999997</v>
      </c>
      <c r="I252" s="446">
        <v>0.99982499999999996</v>
      </c>
      <c r="J252" s="446">
        <v>0.64598199999999995</v>
      </c>
      <c r="K252" s="446">
        <v>2401.8000000000002</v>
      </c>
      <c r="L252" s="437">
        <f t="shared" si="0"/>
        <v>1.0254454391737517</v>
      </c>
      <c r="M252" s="439">
        <f t="shared" si="1"/>
        <v>2342.2016503727787</v>
      </c>
      <c r="N252" s="446"/>
      <c r="O252" s="446" t="s">
        <v>21</v>
      </c>
      <c r="P252" s="446" t="s">
        <v>20</v>
      </c>
      <c r="Q252" s="457"/>
      <c r="R252" s="457"/>
      <c r="S252" s="444"/>
      <c r="T252" s="444"/>
      <c r="U252" s="444"/>
      <c r="V252" s="444"/>
      <c r="W252" s="444"/>
    </row>
    <row r="253" spans="1:23" ht="15.75">
      <c r="A253" s="446" t="s">
        <v>896</v>
      </c>
      <c r="B253" s="456">
        <v>45358.615277777775</v>
      </c>
      <c r="C253" s="446" t="s">
        <v>890</v>
      </c>
      <c r="D253" s="446">
        <v>25</v>
      </c>
      <c r="E253" s="446">
        <v>9.2951000000000006E-2</v>
      </c>
      <c r="F253" s="446">
        <v>33.200000000000003</v>
      </c>
      <c r="G253" s="446">
        <v>22.5</v>
      </c>
      <c r="H253" s="446">
        <v>891.01256100000001</v>
      </c>
      <c r="I253" s="446">
        <v>0.99976500000000001</v>
      </c>
      <c r="J253" s="446">
        <v>0.60696099999999997</v>
      </c>
      <c r="K253" s="446">
        <v>2256.6999999999998</v>
      </c>
      <c r="L253" s="437">
        <f t="shared" si="0"/>
        <v>1.0227124503008802</v>
      </c>
      <c r="M253" s="439">
        <f t="shared" si="1"/>
        <v>2206.5830912062161</v>
      </c>
      <c r="N253" s="446">
        <v>0.5958</v>
      </c>
      <c r="O253" s="446" t="s">
        <v>21</v>
      </c>
      <c r="P253" s="446" t="s">
        <v>20</v>
      </c>
      <c r="Q253" s="457"/>
      <c r="R253" s="457"/>
      <c r="S253" s="444"/>
      <c r="T253" s="444"/>
      <c r="U253" s="444"/>
      <c r="V253" s="444"/>
      <c r="W253" s="444"/>
    </row>
    <row r="254" spans="1:23" ht="15.75">
      <c r="A254" s="446" t="s">
        <v>793</v>
      </c>
      <c r="B254" s="456">
        <v>45358.622916666667</v>
      </c>
      <c r="C254" s="446">
        <v>314</v>
      </c>
      <c r="D254" s="446">
        <v>25</v>
      </c>
      <c r="E254" s="446">
        <v>9.2951000000000006E-2</v>
      </c>
      <c r="F254" s="446">
        <v>36.799999999999997</v>
      </c>
      <c r="G254" s="446">
        <v>22.5</v>
      </c>
      <c r="H254" s="446">
        <v>894.86660900000004</v>
      </c>
      <c r="I254" s="446">
        <v>0.99984200000000001</v>
      </c>
      <c r="J254" s="446">
        <v>0.64650799999999997</v>
      </c>
      <c r="K254" s="446">
        <v>2403.6999999999998</v>
      </c>
      <c r="L254" s="437">
        <f t="shared" si="0"/>
        <v>1.0254454391737517</v>
      </c>
      <c r="M254" s="439">
        <f t="shared" si="1"/>
        <v>2344.0545037059901</v>
      </c>
      <c r="N254" s="446"/>
      <c r="O254" s="446" t="s">
        <v>775</v>
      </c>
      <c r="P254" s="446" t="s">
        <v>20</v>
      </c>
      <c r="Q254" s="457"/>
      <c r="R254" s="457"/>
      <c r="S254" s="444"/>
      <c r="T254" s="444"/>
      <c r="U254" s="444"/>
      <c r="V254" s="444"/>
      <c r="W254" s="444"/>
    </row>
    <row r="255" spans="1:23" ht="15.75">
      <c r="A255" s="446" t="s">
        <v>794</v>
      </c>
      <c r="B255" s="456">
        <v>45358.630555555559</v>
      </c>
      <c r="C255" s="446">
        <v>573</v>
      </c>
      <c r="D255" s="446">
        <v>25</v>
      </c>
      <c r="E255" s="446">
        <v>9.2951000000000006E-2</v>
      </c>
      <c r="F255" s="455">
        <v>36.85</v>
      </c>
      <c r="G255" s="446">
        <v>22.5</v>
      </c>
      <c r="H255" s="446">
        <v>0</v>
      </c>
      <c r="I255" s="446">
        <v>0</v>
      </c>
      <c r="J255" s="446">
        <v>0</v>
      </c>
      <c r="K255" s="446">
        <v>0</v>
      </c>
      <c r="L255" s="437">
        <f t="shared" si="0"/>
        <v>1.025483436649443</v>
      </c>
      <c r="M255" s="439">
        <f t="shared" si="1"/>
        <v>0</v>
      </c>
      <c r="N255" s="446" t="s">
        <v>827</v>
      </c>
      <c r="O255" s="446" t="s">
        <v>775</v>
      </c>
      <c r="P255" s="446" t="s">
        <v>20</v>
      </c>
      <c r="Q255" s="457"/>
      <c r="R255" s="457"/>
      <c r="S255" s="444"/>
      <c r="T255" s="444"/>
      <c r="U255" s="444"/>
      <c r="V255" s="444"/>
      <c r="W255" s="444"/>
    </row>
    <row r="256" spans="1:23" ht="15.75">
      <c r="A256" s="446" t="s">
        <v>795</v>
      </c>
      <c r="B256" s="456">
        <v>45358.632638888892</v>
      </c>
      <c r="C256" s="446">
        <v>574</v>
      </c>
      <c r="D256" s="446">
        <v>25</v>
      </c>
      <c r="E256" s="446">
        <v>9.2951000000000006E-2</v>
      </c>
      <c r="F256" s="446">
        <v>36.9</v>
      </c>
      <c r="G256" s="446">
        <v>22.5</v>
      </c>
      <c r="H256" s="446">
        <v>894.33043999999995</v>
      </c>
      <c r="I256" s="446">
        <v>0.99983200000000005</v>
      </c>
      <c r="J256" s="446">
        <v>0.64540200000000003</v>
      </c>
      <c r="K256" s="446">
        <v>2399.6</v>
      </c>
      <c r="L256" s="437">
        <f t="shared" si="0"/>
        <v>1.0255214352246484</v>
      </c>
      <c r="M256" s="439">
        <f t="shared" si="1"/>
        <v>2339.8828318730839</v>
      </c>
      <c r="N256" s="446"/>
      <c r="O256" s="446" t="s">
        <v>775</v>
      </c>
      <c r="P256" s="446" t="s">
        <v>20</v>
      </c>
      <c r="Q256" s="457"/>
      <c r="R256" s="457"/>
      <c r="S256" s="444"/>
      <c r="T256" s="444"/>
      <c r="U256" s="444"/>
      <c r="V256" s="444"/>
      <c r="W256" s="444"/>
    </row>
    <row r="257" spans="1:23" ht="15.75">
      <c r="A257" s="446" t="s">
        <v>796</v>
      </c>
      <c r="B257" s="456">
        <v>45358.63958333333</v>
      </c>
      <c r="C257" s="446">
        <v>573</v>
      </c>
      <c r="D257" s="446">
        <v>25</v>
      </c>
      <c r="E257" s="446">
        <v>9.2951000000000006E-2</v>
      </c>
      <c r="F257" s="455">
        <v>36.85</v>
      </c>
      <c r="G257" s="446">
        <v>22.5</v>
      </c>
      <c r="H257" s="446">
        <v>896.69905400000005</v>
      </c>
      <c r="I257" s="446">
        <v>0.99977400000000005</v>
      </c>
      <c r="J257" s="446">
        <v>0.63943300000000003</v>
      </c>
      <c r="K257" s="446">
        <v>2377.4</v>
      </c>
      <c r="L257" s="437">
        <f t="shared" ref="L257:L325" si="2">(999.842594+0.06793952*G257-0.00909529*G257^2+0.0001001685*G257^3-0.000001120083*G257^4+0.000000006536332*G257^5+(0.824493-0.0040899*G257+0.000076438*G257^2-0.00000082467*G257^3+0.0000000053875*G257^4)*F257+ (-0.00572466 + 0.00010227*G257 - 0.0000016546*G257^2)*F257^1.5 +
0.00048314*F257^2)/1000</f>
        <v>1.025483436649443</v>
      </c>
      <c r="M257" s="439">
        <f t="shared" ref="M257:M325" si="3">K257/L257</f>
        <v>2318.3212083538547</v>
      </c>
      <c r="N257" s="446"/>
      <c r="O257" s="446" t="s">
        <v>775</v>
      </c>
      <c r="P257" s="446" t="s">
        <v>20</v>
      </c>
      <c r="Q257" s="457"/>
      <c r="R257" s="457"/>
      <c r="S257" s="444"/>
      <c r="T257" s="444"/>
      <c r="U257" s="444"/>
      <c r="V257" s="444"/>
      <c r="W257" s="444"/>
    </row>
    <row r="258" spans="1:23" ht="15.75">
      <c r="A258" s="446" t="s">
        <v>797</v>
      </c>
      <c r="B258" s="456">
        <v>45358.647222222222</v>
      </c>
      <c r="C258" s="446">
        <v>261</v>
      </c>
      <c r="D258" s="446">
        <v>25</v>
      </c>
      <c r="E258" s="446">
        <v>9.2951000000000006E-2</v>
      </c>
      <c r="F258" s="446">
        <v>36.799999999999997</v>
      </c>
      <c r="G258" s="446">
        <v>22.5</v>
      </c>
      <c r="H258" s="446">
        <v>901.18776800000001</v>
      </c>
      <c r="I258" s="446">
        <v>0.99972000000000005</v>
      </c>
      <c r="J258" s="446">
        <v>0.65152900000000002</v>
      </c>
      <c r="K258" s="446">
        <v>2422.4</v>
      </c>
      <c r="L258" s="437">
        <f t="shared" si="2"/>
        <v>1.0254454391737517</v>
      </c>
      <c r="M258" s="439">
        <f t="shared" si="3"/>
        <v>2362.2904812486545</v>
      </c>
      <c r="N258" s="446"/>
      <c r="O258" s="446" t="s">
        <v>775</v>
      </c>
      <c r="P258" s="446" t="s">
        <v>20</v>
      </c>
      <c r="Q258" s="457"/>
      <c r="R258" s="457"/>
      <c r="S258" s="444"/>
      <c r="T258" s="444"/>
      <c r="U258" s="444"/>
      <c r="V258" s="444"/>
      <c r="W258" s="444"/>
    </row>
    <row r="259" spans="1:23" ht="15.75">
      <c r="A259" s="446" t="s">
        <v>798</v>
      </c>
      <c r="B259" s="456">
        <v>45358.654861111114</v>
      </c>
      <c r="C259" s="446">
        <v>262</v>
      </c>
      <c r="D259" s="446">
        <v>25</v>
      </c>
      <c r="E259" s="446">
        <v>9.2951000000000006E-2</v>
      </c>
      <c r="F259" s="446">
        <v>36.9</v>
      </c>
      <c r="G259" s="446">
        <v>22.5</v>
      </c>
      <c r="H259" s="446">
        <v>894.15181099999995</v>
      </c>
      <c r="I259" s="446">
        <v>0.99979899999999999</v>
      </c>
      <c r="J259" s="446">
        <v>0.64968599999999999</v>
      </c>
      <c r="K259" s="446">
        <v>2415.6</v>
      </c>
      <c r="L259" s="437">
        <f t="shared" si="2"/>
        <v>1.0255214352246484</v>
      </c>
      <c r="M259" s="439">
        <f t="shared" si="3"/>
        <v>2355.4846510554348</v>
      </c>
      <c r="N259" s="446"/>
      <c r="O259" s="446" t="s">
        <v>775</v>
      </c>
      <c r="P259" s="446" t="s">
        <v>20</v>
      </c>
      <c r="Q259" s="457"/>
      <c r="R259" s="457"/>
      <c r="S259" s="444"/>
      <c r="T259" s="444"/>
      <c r="U259" s="444"/>
      <c r="V259" s="444"/>
      <c r="W259" s="444"/>
    </row>
    <row r="260" spans="1:23" ht="15.75">
      <c r="A260" s="446" t="s">
        <v>799</v>
      </c>
      <c r="B260" s="456">
        <v>45358.661805555559</v>
      </c>
      <c r="C260" s="446">
        <v>586</v>
      </c>
      <c r="D260" s="446">
        <v>25</v>
      </c>
      <c r="E260" s="446">
        <v>9.2951000000000006E-2</v>
      </c>
      <c r="F260" s="446">
        <v>36.799999999999997</v>
      </c>
      <c r="G260" s="446">
        <v>22.5</v>
      </c>
      <c r="H260" s="446">
        <v>903.73875899999996</v>
      </c>
      <c r="I260" s="446">
        <v>0.99988699999999997</v>
      </c>
      <c r="J260" s="446">
        <v>0.64873800000000004</v>
      </c>
      <c r="K260" s="446">
        <v>2412</v>
      </c>
      <c r="L260" s="437">
        <f t="shared" si="2"/>
        <v>1.0254454391737517</v>
      </c>
      <c r="M260" s="439">
        <f t="shared" si="3"/>
        <v>2352.1485472142317</v>
      </c>
      <c r="N260" s="446"/>
      <c r="O260" s="446" t="s">
        <v>775</v>
      </c>
      <c r="P260" s="446" t="s">
        <v>20</v>
      </c>
      <c r="Q260" s="457"/>
      <c r="R260" s="457"/>
      <c r="S260" s="444"/>
      <c r="T260" s="444"/>
      <c r="U260" s="444"/>
      <c r="V260" s="444"/>
      <c r="W260" s="444"/>
    </row>
    <row r="261" spans="1:23" ht="15.75">
      <c r="A261" s="446" t="s">
        <v>800</v>
      </c>
      <c r="B261" s="456">
        <v>45358.67291666667</v>
      </c>
      <c r="C261" s="446">
        <v>587</v>
      </c>
      <c r="D261" s="446">
        <v>25</v>
      </c>
      <c r="E261" s="446">
        <v>9.2951000000000006E-2</v>
      </c>
      <c r="F261" s="446">
        <v>36.700000000000003</v>
      </c>
      <c r="G261" s="446">
        <v>22.5</v>
      </c>
      <c r="H261" s="446">
        <v>899.44501600000001</v>
      </c>
      <c r="I261" s="446">
        <v>0.99985000000000002</v>
      </c>
      <c r="J261" s="446">
        <v>0.64446499999999995</v>
      </c>
      <c r="K261" s="446">
        <v>2396.1</v>
      </c>
      <c r="L261" s="437">
        <f t="shared" si="2"/>
        <v>1.0253694475173356</v>
      </c>
      <c r="M261" s="439">
        <f t="shared" si="3"/>
        <v>2336.816262471571</v>
      </c>
      <c r="N261" s="446"/>
      <c r="O261" s="446" t="s">
        <v>775</v>
      </c>
      <c r="P261" s="446" t="s">
        <v>20</v>
      </c>
      <c r="Q261" s="457"/>
      <c r="R261" s="457"/>
      <c r="S261" s="444"/>
      <c r="T261" s="444"/>
      <c r="U261" s="444"/>
      <c r="V261" s="444"/>
      <c r="W261" s="444"/>
    </row>
    <row r="262" spans="1:23" ht="15.75">
      <c r="A262" s="446" t="s">
        <v>801</v>
      </c>
      <c r="B262" s="456">
        <v>45358.680555555555</v>
      </c>
      <c r="C262" s="446">
        <v>612</v>
      </c>
      <c r="D262" s="446">
        <v>25</v>
      </c>
      <c r="E262" s="446">
        <v>9.2951000000000006E-2</v>
      </c>
      <c r="F262" s="446">
        <v>36.799999999999997</v>
      </c>
      <c r="G262" s="446">
        <v>22.5</v>
      </c>
      <c r="H262" s="446">
        <v>894.42339300000003</v>
      </c>
      <c r="I262" s="446">
        <v>0.99985000000000002</v>
      </c>
      <c r="J262" s="446">
        <v>0.64537500000000003</v>
      </c>
      <c r="K262" s="446">
        <v>2399.5</v>
      </c>
      <c r="L262" s="437">
        <f t="shared" si="2"/>
        <v>1.0254454391737517</v>
      </c>
      <c r="M262" s="439">
        <f t="shared" si="3"/>
        <v>2339.9587226536273</v>
      </c>
      <c r="N262" s="446"/>
      <c r="O262" s="446" t="s">
        <v>775</v>
      </c>
      <c r="P262" s="446" t="s">
        <v>20</v>
      </c>
      <c r="Q262" s="457"/>
      <c r="R262" s="457"/>
      <c r="S262" s="444"/>
      <c r="T262" s="444"/>
      <c r="U262" s="444"/>
      <c r="V262" s="444"/>
      <c r="W262" s="444"/>
    </row>
    <row r="263" spans="1:23" ht="15.75">
      <c r="A263" s="446" t="s">
        <v>803</v>
      </c>
      <c r="B263" s="456">
        <v>45358.685416666667</v>
      </c>
      <c r="C263" s="446">
        <v>613</v>
      </c>
      <c r="D263" s="446">
        <v>25</v>
      </c>
      <c r="E263" s="446">
        <v>9.2951000000000006E-2</v>
      </c>
      <c r="F263" s="446">
        <v>36.6</v>
      </c>
      <c r="G263" s="446">
        <v>22.5</v>
      </c>
      <c r="H263" s="446">
        <v>897.68212700000004</v>
      </c>
      <c r="I263" s="446">
        <v>0.99990800000000002</v>
      </c>
      <c r="J263" s="446">
        <v>0.64617500000000005</v>
      </c>
      <c r="K263" s="446">
        <v>2402.5</v>
      </c>
      <c r="L263" s="437">
        <f t="shared" si="2"/>
        <v>1.0252934602482262</v>
      </c>
      <c r="M263" s="439">
        <f t="shared" si="3"/>
        <v>2343.2315655445109</v>
      </c>
      <c r="N263" s="446"/>
      <c r="O263" s="446" t="s">
        <v>775</v>
      </c>
      <c r="P263" s="446" t="s">
        <v>20</v>
      </c>
      <c r="Q263" s="457"/>
      <c r="R263" s="457"/>
      <c r="S263" s="444"/>
      <c r="T263" s="444"/>
      <c r="U263" s="444"/>
      <c r="V263" s="444"/>
      <c r="W263" s="444"/>
    </row>
    <row r="264" spans="1:23" ht="15.75">
      <c r="A264" s="446" t="s">
        <v>804</v>
      </c>
      <c r="B264" s="456">
        <v>45358.695833333331</v>
      </c>
      <c r="C264" s="446">
        <v>287</v>
      </c>
      <c r="D264" s="446">
        <v>25</v>
      </c>
      <c r="E264" s="446">
        <v>9.2951000000000006E-2</v>
      </c>
      <c r="F264" s="446">
        <v>36.799999999999997</v>
      </c>
      <c r="G264" s="446">
        <v>22.5</v>
      </c>
      <c r="H264" s="446">
        <v>899.87973099999999</v>
      </c>
      <c r="I264" s="446">
        <v>0.99976600000000004</v>
      </c>
      <c r="J264" s="446">
        <v>0.64635600000000004</v>
      </c>
      <c r="K264" s="446">
        <v>2403.1999999999998</v>
      </c>
      <c r="L264" s="437">
        <f t="shared" si="2"/>
        <v>1.0254454391737517</v>
      </c>
      <c r="M264" s="439">
        <f t="shared" si="3"/>
        <v>2343.5669107235658</v>
      </c>
      <c r="N264" s="446"/>
      <c r="O264" s="446" t="s">
        <v>775</v>
      </c>
      <c r="P264" s="446" t="s">
        <v>20</v>
      </c>
      <c r="Q264" s="457"/>
      <c r="R264" s="457"/>
      <c r="S264" s="444"/>
      <c r="T264" s="444"/>
      <c r="U264" s="444"/>
      <c r="V264" s="444"/>
      <c r="W264" s="444"/>
    </row>
    <row r="265" spans="1:23" ht="15.75">
      <c r="A265" s="446" t="s">
        <v>805</v>
      </c>
      <c r="B265" s="456">
        <v>45358.703472222223</v>
      </c>
      <c r="C265" s="446" t="s">
        <v>890</v>
      </c>
      <c r="D265" s="446">
        <v>25</v>
      </c>
      <c r="E265" s="446">
        <v>9.2951000000000006E-2</v>
      </c>
      <c r="F265" s="446">
        <v>33.200000000000003</v>
      </c>
      <c r="G265" s="446">
        <v>22.5</v>
      </c>
      <c r="H265" s="446">
        <v>896.565336</v>
      </c>
      <c r="I265" s="446">
        <v>0.99977700000000003</v>
      </c>
      <c r="J265" s="446">
        <v>0.607904</v>
      </c>
      <c r="K265" s="446">
        <v>2260.1999999999998</v>
      </c>
      <c r="L265" s="437">
        <f t="shared" si="2"/>
        <v>1.0227124503008802</v>
      </c>
      <c r="M265" s="439">
        <f t="shared" si="3"/>
        <v>2210.0053630275579</v>
      </c>
      <c r="N265" s="446"/>
      <c r="O265" s="446" t="s">
        <v>775</v>
      </c>
      <c r="P265" s="446" t="s">
        <v>20</v>
      </c>
      <c r="Q265" s="457" t="s">
        <v>897</v>
      </c>
      <c r="R265" s="457"/>
      <c r="S265" s="444"/>
      <c r="T265" s="444"/>
      <c r="U265" s="444"/>
      <c r="V265" s="444"/>
      <c r="W265" s="444"/>
    </row>
    <row r="266" spans="1:23" ht="15.75">
      <c r="A266" s="446" t="s">
        <v>898</v>
      </c>
      <c r="B266" s="456">
        <v>45358.712500000001</v>
      </c>
      <c r="C266" s="446" t="s">
        <v>890</v>
      </c>
      <c r="D266" s="446">
        <v>25</v>
      </c>
      <c r="E266" s="446">
        <v>9.2951000000000006E-2</v>
      </c>
      <c r="F266" s="446">
        <v>33.200000000000003</v>
      </c>
      <c r="G266" s="446">
        <v>22.5</v>
      </c>
      <c r="H266" s="446">
        <v>890.20053700000005</v>
      </c>
      <c r="I266" s="446">
        <v>0.99982099999999996</v>
      </c>
      <c r="J266" s="446">
        <v>0.60941000000000001</v>
      </c>
      <c r="K266" s="446">
        <v>2265.8000000000002</v>
      </c>
      <c r="L266" s="437">
        <f t="shared" si="2"/>
        <v>1.0227124503008802</v>
      </c>
      <c r="M266" s="439">
        <f t="shared" si="3"/>
        <v>2215.4809979417046</v>
      </c>
      <c r="N266" s="446">
        <v>3.9596</v>
      </c>
      <c r="O266" s="446" t="s">
        <v>775</v>
      </c>
      <c r="P266" s="446" t="s">
        <v>20</v>
      </c>
      <c r="Q266" s="457" t="s">
        <v>897</v>
      </c>
      <c r="R266" s="457"/>
      <c r="S266" s="444"/>
      <c r="T266" s="444"/>
      <c r="U266" s="444"/>
      <c r="V266" s="444"/>
      <c r="W266" s="444"/>
    </row>
    <row r="267" spans="1:23" ht="15.75">
      <c r="A267" s="446" t="s">
        <v>806</v>
      </c>
      <c r="B267" s="456">
        <v>45358.725694444445</v>
      </c>
      <c r="C267" s="446" t="s">
        <v>890</v>
      </c>
      <c r="D267" s="446">
        <v>25</v>
      </c>
      <c r="E267" s="446">
        <v>9.2951000000000006E-2</v>
      </c>
      <c r="F267" s="446">
        <v>33.200000000000003</v>
      </c>
      <c r="G267" s="446">
        <v>22.5</v>
      </c>
      <c r="H267" s="446">
        <v>893.10417199999995</v>
      </c>
      <c r="I267" s="446">
        <v>0.99973800000000002</v>
      </c>
      <c r="J267" s="446">
        <v>0.610927</v>
      </c>
      <c r="K267" s="446">
        <v>2271.5</v>
      </c>
      <c r="L267" s="437">
        <f t="shared" si="2"/>
        <v>1.0227124503008802</v>
      </c>
      <c r="M267" s="439">
        <f t="shared" si="3"/>
        <v>2221.0544120507466</v>
      </c>
      <c r="N267" s="446"/>
      <c r="O267" s="446" t="s">
        <v>775</v>
      </c>
      <c r="P267" s="446" t="s">
        <v>20</v>
      </c>
      <c r="Q267" s="457" t="s">
        <v>897</v>
      </c>
      <c r="R267" s="457"/>
      <c r="S267" s="444"/>
      <c r="T267" s="444"/>
      <c r="U267" s="444"/>
      <c r="V267" s="444"/>
      <c r="W267" s="444"/>
    </row>
    <row r="268" spans="1:23" ht="15.75">
      <c r="A268" s="446" t="s">
        <v>807</v>
      </c>
      <c r="B268" s="456">
        <v>45358.740277777775</v>
      </c>
      <c r="C268" s="446" t="s">
        <v>899</v>
      </c>
      <c r="D268" s="446">
        <v>25</v>
      </c>
      <c r="E268" s="446">
        <v>9.2951000000000006E-2</v>
      </c>
      <c r="F268" s="446">
        <v>33.200000000000003</v>
      </c>
      <c r="G268" s="446">
        <v>22.5</v>
      </c>
      <c r="H268" s="446">
        <v>894.03927399999998</v>
      </c>
      <c r="I268" s="446">
        <v>0.99978900000000004</v>
      </c>
      <c r="J268" s="446">
        <v>0.61489400000000005</v>
      </c>
      <c r="K268" s="446">
        <v>2286.1999999999998</v>
      </c>
      <c r="L268" s="437">
        <f t="shared" si="2"/>
        <v>1.0227124503008802</v>
      </c>
      <c r="M268" s="439">
        <f t="shared" si="3"/>
        <v>2235.4279537003817</v>
      </c>
      <c r="N268" s="446"/>
      <c r="O268" s="446" t="s">
        <v>775</v>
      </c>
      <c r="P268" s="446" t="s">
        <v>20</v>
      </c>
      <c r="Q268" s="457" t="s">
        <v>900</v>
      </c>
      <c r="R268" s="457"/>
      <c r="S268" s="444"/>
      <c r="T268" s="444"/>
      <c r="U268" s="444"/>
      <c r="V268" s="444"/>
      <c r="W268" s="444"/>
    </row>
    <row r="269" spans="1:23" ht="15.75">
      <c r="A269" s="446" t="s">
        <v>901</v>
      </c>
      <c r="B269" s="456">
        <v>45358.75277777778</v>
      </c>
      <c r="C269" s="446" t="s">
        <v>899</v>
      </c>
      <c r="D269" s="446">
        <v>25</v>
      </c>
      <c r="E269" s="446">
        <v>9.3106499999999995E-2</v>
      </c>
      <c r="F269" s="446">
        <v>1022.7</v>
      </c>
      <c r="G269" s="446">
        <v>22.5</v>
      </c>
      <c r="H269" s="446">
        <v>847.78300899999999</v>
      </c>
      <c r="I269" s="446">
        <v>0.99950600000000001</v>
      </c>
      <c r="J269" s="446">
        <v>0.60516800000000004</v>
      </c>
      <c r="K269" s="446">
        <v>2253.8000000000002</v>
      </c>
      <c r="L269" s="437">
        <f t="shared" si="2"/>
        <v>2.1440936580887748</v>
      </c>
      <c r="M269" s="439">
        <f t="shared" si="3"/>
        <v>1051.1667675977442</v>
      </c>
      <c r="N269" s="446" t="s">
        <v>542</v>
      </c>
      <c r="O269" s="446" t="s">
        <v>775</v>
      </c>
      <c r="P269" s="446" t="s">
        <v>20</v>
      </c>
      <c r="Q269" s="486" t="s">
        <v>868</v>
      </c>
      <c r="R269" s="485"/>
      <c r="S269" s="444"/>
      <c r="T269" s="444"/>
      <c r="U269" s="444"/>
      <c r="V269" s="444"/>
      <c r="W269" s="444"/>
    </row>
    <row r="270" spans="1:23" ht="15.75">
      <c r="A270" s="446" t="s">
        <v>902</v>
      </c>
      <c r="B270" s="456">
        <v>45358.761111111111</v>
      </c>
      <c r="C270" s="446" t="s">
        <v>899</v>
      </c>
      <c r="D270" s="446">
        <v>25</v>
      </c>
      <c r="E270" s="446">
        <v>9.2354699999999998E-2</v>
      </c>
      <c r="F270" s="446">
        <v>1022.7</v>
      </c>
      <c r="G270" s="446">
        <v>22.5</v>
      </c>
      <c r="H270" s="446">
        <v>878.16286400000001</v>
      </c>
      <c r="I270" s="446">
        <v>0.99987999999999999</v>
      </c>
      <c r="J270" s="446">
        <v>0.61009400000000003</v>
      </c>
      <c r="K270" s="446">
        <v>2253.8000000000002</v>
      </c>
      <c r="L270" s="437">
        <f t="shared" si="2"/>
        <v>2.1440936580887748</v>
      </c>
      <c r="M270" s="439">
        <f t="shared" si="3"/>
        <v>1051.1667675977442</v>
      </c>
      <c r="N270" s="446" t="s">
        <v>542</v>
      </c>
      <c r="O270" s="446" t="s">
        <v>775</v>
      </c>
      <c r="P270" s="446" t="s">
        <v>20</v>
      </c>
      <c r="Q270" s="486" t="s">
        <v>868</v>
      </c>
      <c r="R270" s="485"/>
      <c r="S270" s="444"/>
      <c r="T270" s="444"/>
      <c r="U270" s="444"/>
      <c r="V270" s="444"/>
      <c r="W270" s="444"/>
    </row>
    <row r="271" spans="1:23" ht="15.75">
      <c r="A271" s="446" t="s">
        <v>903</v>
      </c>
      <c r="B271" s="456">
        <v>45358.771527777775</v>
      </c>
      <c r="C271" s="446" t="s">
        <v>899</v>
      </c>
      <c r="D271" s="446">
        <v>25</v>
      </c>
      <c r="E271" s="446">
        <v>9.2773999999999995E-2</v>
      </c>
      <c r="F271" s="446">
        <v>1022.7</v>
      </c>
      <c r="G271" s="446">
        <v>22.5</v>
      </c>
      <c r="H271" s="446">
        <v>870.60226299999999</v>
      </c>
      <c r="I271" s="446">
        <v>0.999583</v>
      </c>
      <c r="J271" s="446">
        <v>0.60733599999999999</v>
      </c>
      <c r="K271" s="446">
        <v>2253.8000000000002</v>
      </c>
      <c r="L271" s="437">
        <f t="shared" si="2"/>
        <v>2.1440936580887748</v>
      </c>
      <c r="M271" s="439">
        <f t="shared" si="3"/>
        <v>1051.1667675977442</v>
      </c>
      <c r="N271" s="452">
        <v>5.9999999999999995E-4</v>
      </c>
      <c r="O271" s="446" t="s">
        <v>775</v>
      </c>
      <c r="P271" s="446" t="s">
        <v>20</v>
      </c>
      <c r="Q271" s="486" t="s">
        <v>868</v>
      </c>
      <c r="R271" s="485"/>
      <c r="S271" s="444"/>
      <c r="T271" s="444"/>
      <c r="U271" s="444"/>
      <c r="V271" s="444"/>
      <c r="W271" s="444"/>
    </row>
    <row r="272" spans="1:23" ht="15.75">
      <c r="A272" s="446" t="s">
        <v>904</v>
      </c>
      <c r="B272" s="456">
        <v>45358.780555555553</v>
      </c>
      <c r="C272" s="446" t="s">
        <v>899</v>
      </c>
      <c r="D272" s="446">
        <v>25</v>
      </c>
      <c r="E272" s="446">
        <v>9.2688800000000002E-2</v>
      </c>
      <c r="F272" s="446">
        <v>1022.7</v>
      </c>
      <c r="G272" s="446">
        <v>22.5</v>
      </c>
      <c r="H272" s="446">
        <v>870.76468999999997</v>
      </c>
      <c r="I272" s="446">
        <v>0.99973400000000001</v>
      </c>
      <c r="J272" s="446">
        <v>0.60789499999999996</v>
      </c>
      <c r="K272" s="446">
        <v>2253.8000000000002</v>
      </c>
      <c r="L272" s="437">
        <f t="shared" si="2"/>
        <v>2.1440936580887748</v>
      </c>
      <c r="M272" s="439">
        <f t="shared" si="3"/>
        <v>1051.1667675977442</v>
      </c>
      <c r="N272" s="452">
        <v>5.9999999999999995E-4</v>
      </c>
      <c r="O272" s="446" t="s">
        <v>775</v>
      </c>
      <c r="P272" s="446" t="s">
        <v>20</v>
      </c>
      <c r="Q272" s="486" t="s">
        <v>868</v>
      </c>
      <c r="R272" s="485"/>
      <c r="S272" s="444"/>
      <c r="T272" s="444"/>
      <c r="U272" s="444"/>
      <c r="V272" s="444"/>
      <c r="W272" s="444"/>
    </row>
    <row r="273" spans="1:23" ht="15.75">
      <c r="A273" s="446" t="s">
        <v>809</v>
      </c>
      <c r="B273" s="456">
        <v>45358.790277777778</v>
      </c>
      <c r="C273" s="446" t="s">
        <v>899</v>
      </c>
      <c r="D273" s="446">
        <v>25</v>
      </c>
      <c r="E273" s="446">
        <v>9.2731400000000005E-2</v>
      </c>
      <c r="F273" s="446">
        <v>33.200000000000003</v>
      </c>
      <c r="G273" s="446">
        <v>22.5</v>
      </c>
      <c r="H273" s="446">
        <v>877.38463100000001</v>
      </c>
      <c r="I273" s="446">
        <v>0.99974300000000005</v>
      </c>
      <c r="J273" s="446">
        <v>0.60765199999999997</v>
      </c>
      <c r="K273" s="446">
        <v>2253.9</v>
      </c>
      <c r="L273" s="437">
        <f t="shared" si="2"/>
        <v>1.0227124503008802</v>
      </c>
      <c r="M273" s="439">
        <f t="shared" si="3"/>
        <v>2203.845273749143</v>
      </c>
      <c r="N273" s="446"/>
      <c r="O273" s="446" t="s">
        <v>21</v>
      </c>
      <c r="P273" s="446" t="s">
        <v>20</v>
      </c>
      <c r="Q273" s="457"/>
      <c r="R273" s="457"/>
      <c r="S273" s="444"/>
      <c r="T273" s="444"/>
      <c r="U273" s="444"/>
      <c r="V273" s="444"/>
      <c r="W273" s="444"/>
    </row>
    <row r="274" spans="1:23" ht="15.75">
      <c r="A274" s="446" t="s">
        <v>810</v>
      </c>
      <c r="B274" s="456">
        <v>45358.803472222222</v>
      </c>
      <c r="C274" s="446">
        <v>288</v>
      </c>
      <c r="D274" s="446">
        <v>25</v>
      </c>
      <c r="E274" s="446">
        <v>9.2731400000000005E-2</v>
      </c>
      <c r="F274" s="446">
        <v>36.799999999999997</v>
      </c>
      <c r="G274" s="446">
        <v>22.5</v>
      </c>
      <c r="H274" s="446">
        <v>878.24653499999999</v>
      </c>
      <c r="I274" s="446">
        <v>0.99977199999999999</v>
      </c>
      <c r="J274" s="446">
        <v>0.64655099999999999</v>
      </c>
      <c r="K274" s="446">
        <v>2398.1999999999998</v>
      </c>
      <c r="L274" s="437">
        <f t="shared" si="2"/>
        <v>1.0254454391737517</v>
      </c>
      <c r="M274" s="439">
        <f t="shared" si="3"/>
        <v>2338.6909808993241</v>
      </c>
      <c r="N274" s="446"/>
      <c r="O274" s="446" t="s">
        <v>21</v>
      </c>
      <c r="P274" s="446" t="s">
        <v>20</v>
      </c>
      <c r="Q274" s="457"/>
      <c r="R274" s="457"/>
      <c r="S274" s="444"/>
      <c r="T274" s="444"/>
      <c r="U274" s="444"/>
      <c r="V274" s="444"/>
      <c r="W274" s="444"/>
    </row>
    <row r="275" spans="1:23" ht="15.75">
      <c r="A275" s="446" t="s">
        <v>811</v>
      </c>
      <c r="B275" s="456">
        <v>45358.80972222222</v>
      </c>
      <c r="C275" s="446">
        <v>274</v>
      </c>
      <c r="D275" s="446">
        <v>25</v>
      </c>
      <c r="E275" s="446">
        <v>9.2731400000000005E-2</v>
      </c>
      <c r="F275" s="446">
        <v>36.6</v>
      </c>
      <c r="G275" s="446">
        <v>22.5</v>
      </c>
      <c r="H275" s="446">
        <v>882.57739600000002</v>
      </c>
      <c r="I275" s="446">
        <v>0.99989899999999998</v>
      </c>
      <c r="J275" s="446">
        <v>0.64651599999999998</v>
      </c>
      <c r="K275" s="446">
        <v>2398.1</v>
      </c>
      <c r="L275" s="437">
        <f t="shared" si="2"/>
        <v>1.0252934602482262</v>
      </c>
      <c r="M275" s="439">
        <f t="shared" si="3"/>
        <v>2338.9401112725459</v>
      </c>
      <c r="N275" s="446"/>
      <c r="O275" s="446" t="s">
        <v>21</v>
      </c>
      <c r="P275" s="446" t="s">
        <v>20</v>
      </c>
      <c r="Q275" s="457"/>
      <c r="R275" s="457"/>
      <c r="S275" s="444"/>
      <c r="T275" s="444"/>
      <c r="U275" s="444"/>
      <c r="V275" s="444"/>
      <c r="W275" s="444"/>
    </row>
    <row r="276" spans="1:23" ht="15.75">
      <c r="A276" s="446" t="s">
        <v>812</v>
      </c>
      <c r="B276" s="456">
        <v>45358.818749999999</v>
      </c>
      <c r="C276" s="446">
        <v>275</v>
      </c>
      <c r="D276" s="446">
        <v>25</v>
      </c>
      <c r="E276" s="446">
        <v>9.2731400000000005E-2</v>
      </c>
      <c r="F276" s="446">
        <v>36.6</v>
      </c>
      <c r="G276" s="446">
        <v>22.5</v>
      </c>
      <c r="H276" s="446">
        <v>886.33079599999996</v>
      </c>
      <c r="I276" s="446">
        <v>0.99987300000000001</v>
      </c>
      <c r="J276" s="446">
        <v>0.64699300000000004</v>
      </c>
      <c r="K276" s="446">
        <v>2399.9</v>
      </c>
      <c r="L276" s="437">
        <f t="shared" si="2"/>
        <v>1.0252934602482262</v>
      </c>
      <c r="M276" s="439">
        <f t="shared" si="3"/>
        <v>2340.6957062019865</v>
      </c>
      <c r="N276" s="446"/>
      <c r="O276" s="446" t="s">
        <v>21</v>
      </c>
      <c r="P276" s="446" t="s">
        <v>20</v>
      </c>
      <c r="Q276" s="457"/>
      <c r="R276" s="457"/>
      <c r="S276" s="444"/>
      <c r="T276" s="444"/>
      <c r="U276" s="444"/>
      <c r="V276" s="444"/>
      <c r="W276" s="444"/>
    </row>
    <row r="277" spans="1:23" ht="15.75">
      <c r="A277" s="446" t="s">
        <v>813</v>
      </c>
      <c r="B277" s="456">
        <v>45358.82708333333</v>
      </c>
      <c r="C277" s="446">
        <v>534</v>
      </c>
      <c r="D277" s="446">
        <v>25</v>
      </c>
      <c r="E277" s="446">
        <v>9.2731400000000005E-2</v>
      </c>
      <c r="F277" s="446">
        <v>37.200000000000003</v>
      </c>
      <c r="G277" s="446">
        <v>22.5</v>
      </c>
      <c r="H277" s="446">
        <v>886.110905</v>
      </c>
      <c r="I277" s="446">
        <v>0.99968800000000002</v>
      </c>
      <c r="J277" s="446">
        <v>0.63983999999999996</v>
      </c>
      <c r="K277" s="446">
        <v>2373.3000000000002</v>
      </c>
      <c r="L277" s="437">
        <f t="shared" si="2"/>
        <v>1.0257494498155078</v>
      </c>
      <c r="M277" s="439">
        <f t="shared" si="3"/>
        <v>2313.7229080911175</v>
      </c>
      <c r="N277" s="446"/>
      <c r="O277" s="446" t="s">
        <v>21</v>
      </c>
      <c r="P277" s="446" t="s">
        <v>20</v>
      </c>
      <c r="Q277" s="457"/>
      <c r="R277" s="457"/>
      <c r="S277" s="444"/>
      <c r="T277" s="444"/>
      <c r="U277" s="444"/>
      <c r="V277" s="444"/>
      <c r="W277" s="444"/>
    </row>
    <row r="278" spans="1:23" ht="15.75">
      <c r="A278" s="446" t="s">
        <v>815</v>
      </c>
      <c r="B278" s="456">
        <v>45358.834027777775</v>
      </c>
      <c r="C278" s="446">
        <v>535</v>
      </c>
      <c r="D278" s="446">
        <v>25</v>
      </c>
      <c r="E278" s="446">
        <v>9.2731400000000005E-2</v>
      </c>
      <c r="F278" s="446">
        <v>36.799999999999997</v>
      </c>
      <c r="G278" s="446">
        <v>22.5</v>
      </c>
      <c r="H278" s="446">
        <v>883.53355599999998</v>
      </c>
      <c r="I278" s="446">
        <v>0.99982700000000002</v>
      </c>
      <c r="J278" s="446">
        <v>0.64103900000000003</v>
      </c>
      <c r="K278" s="446">
        <v>2377.8000000000002</v>
      </c>
      <c r="L278" s="437">
        <f t="shared" si="2"/>
        <v>1.0254454391737517</v>
      </c>
      <c r="M278" s="439">
        <f t="shared" si="3"/>
        <v>2318.797187216418</v>
      </c>
      <c r="N278" s="446"/>
      <c r="O278" s="446" t="s">
        <v>21</v>
      </c>
      <c r="P278" s="446" t="s">
        <v>20</v>
      </c>
      <c r="Q278" s="457"/>
      <c r="R278" s="457"/>
      <c r="S278" s="444"/>
      <c r="T278" s="444"/>
      <c r="U278" s="444"/>
      <c r="V278" s="444"/>
      <c r="W278" s="444"/>
    </row>
    <row r="279" spans="1:23" ht="15.75">
      <c r="A279" s="446" t="s">
        <v>817</v>
      </c>
      <c r="B279" s="456">
        <v>45358.839583333334</v>
      </c>
      <c r="C279" s="446">
        <v>521</v>
      </c>
      <c r="D279" s="446">
        <v>25</v>
      </c>
      <c r="E279" s="446">
        <v>9.2731400000000005E-2</v>
      </c>
      <c r="F279" s="446">
        <v>36.6</v>
      </c>
      <c r="G279" s="446">
        <v>22.5</v>
      </c>
      <c r="H279" s="446">
        <v>887.49594999999999</v>
      </c>
      <c r="I279" s="446">
        <v>0.99976500000000001</v>
      </c>
      <c r="J279" s="446">
        <v>0.64629899999999996</v>
      </c>
      <c r="K279" s="446">
        <v>2397.3000000000002</v>
      </c>
      <c r="L279" s="437">
        <f t="shared" si="2"/>
        <v>1.0252934602482262</v>
      </c>
      <c r="M279" s="439">
        <f t="shared" si="3"/>
        <v>2338.1598468594616</v>
      </c>
      <c r="N279" s="446"/>
      <c r="O279" s="446" t="s">
        <v>21</v>
      </c>
      <c r="P279" s="446" t="s">
        <v>20</v>
      </c>
      <c r="Q279" s="457"/>
      <c r="R279" s="457"/>
      <c r="S279" s="444"/>
      <c r="T279" s="444"/>
      <c r="U279" s="444"/>
      <c r="V279" s="444"/>
      <c r="W279" s="444"/>
    </row>
    <row r="280" spans="1:23" ht="15.75">
      <c r="A280" s="446" t="s">
        <v>853</v>
      </c>
      <c r="B280" s="456">
        <v>45358.845138888886</v>
      </c>
      <c r="C280" s="446">
        <v>522</v>
      </c>
      <c r="D280" s="446">
        <v>25</v>
      </c>
      <c r="E280" s="446">
        <v>9.2731400000000005E-2</v>
      </c>
      <c r="F280" s="446">
        <v>36.799999999999997</v>
      </c>
      <c r="G280" s="446">
        <v>22.5</v>
      </c>
      <c r="H280" s="446">
        <v>887.70349099999999</v>
      </c>
      <c r="I280" s="446">
        <v>0.99976900000000002</v>
      </c>
      <c r="J280" s="446">
        <v>0.64467200000000002</v>
      </c>
      <c r="K280" s="446">
        <v>2391.3000000000002</v>
      </c>
      <c r="L280" s="437">
        <f t="shared" si="2"/>
        <v>1.0254454391737517</v>
      </c>
      <c r="M280" s="439">
        <f t="shared" si="3"/>
        <v>2331.962197741871</v>
      </c>
      <c r="N280" s="446"/>
      <c r="O280" s="446" t="s">
        <v>21</v>
      </c>
      <c r="P280" s="446" t="s">
        <v>20</v>
      </c>
      <c r="Q280" s="457"/>
      <c r="R280" s="457"/>
      <c r="S280" s="444"/>
      <c r="T280" s="444"/>
      <c r="U280" s="444"/>
      <c r="V280" s="444"/>
      <c r="W280" s="444"/>
    </row>
    <row r="281" spans="1:23" ht="15.75">
      <c r="A281" s="446" t="s">
        <v>854</v>
      </c>
      <c r="B281" s="456">
        <v>45358.85</v>
      </c>
      <c r="C281" s="446">
        <v>560</v>
      </c>
      <c r="D281" s="446">
        <v>25</v>
      </c>
      <c r="E281" s="446">
        <v>9.2731400000000005E-2</v>
      </c>
      <c r="F281" s="446">
        <v>36.9</v>
      </c>
      <c r="G281" s="446">
        <v>22.5</v>
      </c>
      <c r="H281" s="446">
        <v>884.56705099999999</v>
      </c>
      <c r="I281" s="446">
        <v>0.99979799999999996</v>
      </c>
      <c r="J281" s="446">
        <v>0.64569100000000001</v>
      </c>
      <c r="K281" s="446">
        <v>2395</v>
      </c>
      <c r="L281" s="437">
        <f t="shared" si="2"/>
        <v>1.0255214352246484</v>
      </c>
      <c r="M281" s="439">
        <f t="shared" si="3"/>
        <v>2335.3973088581583</v>
      </c>
      <c r="N281" s="446"/>
      <c r="O281" s="446" t="s">
        <v>21</v>
      </c>
      <c r="P281" s="446" t="s">
        <v>20</v>
      </c>
      <c r="Q281" s="457"/>
      <c r="R281" s="457"/>
      <c r="S281" s="444"/>
      <c r="T281" s="444"/>
      <c r="U281" s="444"/>
      <c r="V281" s="444"/>
      <c r="W281" s="444"/>
    </row>
    <row r="282" spans="1:23" ht="15.75">
      <c r="A282" s="446" t="s">
        <v>855</v>
      </c>
      <c r="B282" s="456">
        <v>45358.855555555558</v>
      </c>
      <c r="C282" s="446" t="s">
        <v>899</v>
      </c>
      <c r="D282" s="446">
        <v>25</v>
      </c>
      <c r="E282" s="446">
        <v>9.2731400000000005E-2</v>
      </c>
      <c r="F282" s="446">
        <v>33.200000000000003</v>
      </c>
      <c r="G282" s="446">
        <v>22.5</v>
      </c>
      <c r="H282" s="446">
        <v>876.18828099999996</v>
      </c>
      <c r="I282" s="446">
        <v>0.99974499999999999</v>
      </c>
      <c r="J282" s="446">
        <v>0.60813700000000004</v>
      </c>
      <c r="K282" s="446">
        <v>2255.6999999999998</v>
      </c>
      <c r="L282" s="437">
        <f t="shared" si="2"/>
        <v>1.0227124503008802</v>
      </c>
      <c r="M282" s="439">
        <f t="shared" si="3"/>
        <v>2205.6052992572613</v>
      </c>
      <c r="N282" s="446"/>
      <c r="O282" s="446" t="s">
        <v>21</v>
      </c>
      <c r="P282" s="446" t="s">
        <v>20</v>
      </c>
      <c r="Q282" s="457"/>
      <c r="R282" s="457"/>
      <c r="S282" s="444"/>
      <c r="T282" s="444"/>
      <c r="U282" s="444"/>
      <c r="V282" s="444"/>
      <c r="W282" s="444"/>
    </row>
    <row r="283" spans="1:23" ht="15.75">
      <c r="A283" s="446" t="s">
        <v>856</v>
      </c>
      <c r="B283" s="456">
        <v>45358.861805555556</v>
      </c>
      <c r="C283" s="446">
        <v>561</v>
      </c>
      <c r="D283" s="446">
        <v>25</v>
      </c>
      <c r="E283" s="446">
        <v>9.2731400000000005E-2</v>
      </c>
      <c r="F283" s="446">
        <v>36.799999999999997</v>
      </c>
      <c r="G283" s="446">
        <v>22.5</v>
      </c>
      <c r="H283" s="446">
        <v>886.01411399999995</v>
      </c>
      <c r="I283" s="446">
        <v>0.99978999999999996</v>
      </c>
      <c r="J283" s="446">
        <v>0.64530200000000004</v>
      </c>
      <c r="K283" s="446">
        <v>2393.6</v>
      </c>
      <c r="L283" s="437">
        <f t="shared" si="2"/>
        <v>1.0254454391737517</v>
      </c>
      <c r="M283" s="439">
        <f t="shared" si="3"/>
        <v>2334.2051254610219</v>
      </c>
      <c r="N283" s="446"/>
      <c r="O283" s="446" t="s">
        <v>21</v>
      </c>
      <c r="P283" s="446" t="s">
        <v>20</v>
      </c>
      <c r="Q283" s="457"/>
      <c r="R283" s="457"/>
      <c r="S283" s="444"/>
      <c r="T283" s="444"/>
      <c r="U283" s="444"/>
      <c r="V283" s="444"/>
      <c r="W283" s="444"/>
    </row>
    <row r="284" spans="1:23" ht="15.75">
      <c r="A284" s="446" t="s">
        <v>857</v>
      </c>
      <c r="B284" s="456">
        <v>45358.866666666669</v>
      </c>
      <c r="C284" s="446">
        <v>625</v>
      </c>
      <c r="D284" s="446">
        <v>25</v>
      </c>
      <c r="E284" s="446">
        <v>9.2731400000000005E-2</v>
      </c>
      <c r="F284" s="446">
        <v>36.799999999999997</v>
      </c>
      <c r="G284" s="446">
        <v>22.5</v>
      </c>
      <c r="H284" s="446">
        <v>885.27398500000004</v>
      </c>
      <c r="I284" s="446">
        <v>0.99969200000000003</v>
      </c>
      <c r="J284" s="446">
        <v>0.64556000000000002</v>
      </c>
      <c r="K284" s="446">
        <v>2394.5</v>
      </c>
      <c r="L284" s="437">
        <f t="shared" si="2"/>
        <v>1.0254454391737517</v>
      </c>
      <c r="M284" s="439">
        <f t="shared" si="3"/>
        <v>2335.0827928293857</v>
      </c>
      <c r="N284" s="446"/>
      <c r="O284" s="446" t="s">
        <v>21</v>
      </c>
      <c r="P284" s="446" t="s">
        <v>20</v>
      </c>
      <c r="Q284" s="457"/>
      <c r="R284" s="457"/>
      <c r="S284" s="444"/>
      <c r="T284" s="444"/>
      <c r="U284" s="444"/>
      <c r="V284" s="444"/>
      <c r="W284" s="444"/>
    </row>
    <row r="285" spans="1:23" ht="15.75">
      <c r="A285" s="446" t="s">
        <v>905</v>
      </c>
      <c r="B285" s="456">
        <v>45358.872916666667</v>
      </c>
      <c r="C285" s="446">
        <v>626</v>
      </c>
      <c r="D285" s="446">
        <v>25</v>
      </c>
      <c r="E285" s="446">
        <v>9.2731400000000005E-2</v>
      </c>
      <c r="F285" s="446">
        <v>36.799999999999997</v>
      </c>
      <c r="G285" s="446">
        <v>22.5</v>
      </c>
      <c r="H285" s="446">
        <v>885.27398500000004</v>
      </c>
      <c r="I285" s="446">
        <v>0.99969200000000003</v>
      </c>
      <c r="J285" s="446">
        <v>0.64556000000000002</v>
      </c>
      <c r="K285" s="446">
        <v>2394.5</v>
      </c>
      <c r="L285" s="437">
        <f t="shared" si="2"/>
        <v>1.0254454391737517</v>
      </c>
      <c r="M285" s="439">
        <f t="shared" si="3"/>
        <v>2335.0827928293857</v>
      </c>
      <c r="N285" s="446"/>
      <c r="O285" s="446" t="s">
        <v>21</v>
      </c>
      <c r="P285" s="446" t="s">
        <v>20</v>
      </c>
      <c r="Q285" s="457"/>
      <c r="R285" s="457"/>
      <c r="S285" s="444"/>
      <c r="T285" s="444"/>
      <c r="U285" s="444"/>
      <c r="V285" s="444"/>
      <c r="W285" s="444"/>
    </row>
    <row r="286" spans="1:23" ht="15.75">
      <c r="A286" s="446" t="s">
        <v>906</v>
      </c>
      <c r="B286" s="456">
        <v>45358.877083333333</v>
      </c>
      <c r="C286" s="446" t="s">
        <v>899</v>
      </c>
      <c r="D286" s="446">
        <v>25</v>
      </c>
      <c r="E286" s="446">
        <v>9.2731400000000005E-2</v>
      </c>
      <c r="F286" s="446">
        <v>33.200000000000003</v>
      </c>
      <c r="G286" s="446">
        <v>22.5</v>
      </c>
      <c r="H286" s="446">
        <v>882.79559099999994</v>
      </c>
      <c r="I286" s="446">
        <v>0.99973999999999996</v>
      </c>
      <c r="J286" s="446">
        <v>0.60836699999999999</v>
      </c>
      <c r="K286" s="446">
        <v>2256.6</v>
      </c>
      <c r="L286" s="437">
        <f t="shared" si="2"/>
        <v>1.0227124503008802</v>
      </c>
      <c r="M286" s="439">
        <f t="shared" si="3"/>
        <v>2206.4853120113207</v>
      </c>
      <c r="N286" s="446"/>
      <c r="O286" s="446" t="s">
        <v>21</v>
      </c>
      <c r="P286" s="446" t="s">
        <v>20</v>
      </c>
      <c r="Q286" s="457"/>
      <c r="R286" s="457"/>
      <c r="S286" s="444"/>
      <c r="T286" s="444"/>
      <c r="U286" s="444"/>
      <c r="V286" s="444"/>
      <c r="W286" s="444"/>
    </row>
    <row r="287" spans="1:23" ht="15.75">
      <c r="A287" s="458" t="s">
        <v>772</v>
      </c>
      <c r="B287" s="459">
        <v>45362.474999999999</v>
      </c>
      <c r="C287" s="460" t="s">
        <v>773</v>
      </c>
      <c r="D287" s="460">
        <v>20</v>
      </c>
      <c r="E287" s="460">
        <v>9.2730999999999994E-2</v>
      </c>
      <c r="F287" s="460" t="s">
        <v>774</v>
      </c>
      <c r="G287" s="460">
        <v>22.5</v>
      </c>
      <c r="H287" s="460">
        <v>1353.51</v>
      </c>
      <c r="I287" s="460">
        <v>0.99995299999999998</v>
      </c>
      <c r="J287" s="460">
        <v>0.45897399999999999</v>
      </c>
      <c r="K287" s="460">
        <v>2128.1</v>
      </c>
      <c r="L287" s="437" t="e">
        <f t="shared" si="2"/>
        <v>#VALUE!</v>
      </c>
      <c r="M287" s="439" t="e">
        <f t="shared" si="3"/>
        <v>#VALUE!</v>
      </c>
      <c r="N287" s="460"/>
      <c r="O287" s="446" t="s">
        <v>21</v>
      </c>
      <c r="P287" s="460" t="s">
        <v>20</v>
      </c>
      <c r="Q287" s="460"/>
      <c r="R287" s="444"/>
      <c r="S287" s="444"/>
      <c r="T287" s="444"/>
      <c r="U287" s="444"/>
      <c r="V287" s="444"/>
      <c r="W287" s="444"/>
    </row>
    <row r="288" spans="1:23" ht="15.75">
      <c r="A288" s="458" t="s">
        <v>776</v>
      </c>
      <c r="B288" s="459">
        <v>45362.482638888891</v>
      </c>
      <c r="C288" s="460" t="s">
        <v>773</v>
      </c>
      <c r="D288" s="460">
        <v>20</v>
      </c>
      <c r="E288" s="460">
        <v>9.2730999999999994E-2</v>
      </c>
      <c r="F288" s="460" t="s">
        <v>774</v>
      </c>
      <c r="G288" s="460">
        <v>22.5</v>
      </c>
      <c r="H288" s="460">
        <v>1353.953</v>
      </c>
      <c r="I288" s="460">
        <v>0.99995800000000001</v>
      </c>
      <c r="J288" s="460">
        <v>0.45916699999999999</v>
      </c>
      <c r="K288" s="460">
        <v>2129</v>
      </c>
      <c r="L288" s="437" t="e">
        <f t="shared" si="2"/>
        <v>#VALUE!</v>
      </c>
      <c r="M288" s="439" t="e">
        <f t="shared" si="3"/>
        <v>#VALUE!</v>
      </c>
      <c r="N288" s="460">
        <v>0.6331</v>
      </c>
      <c r="O288" s="446" t="s">
        <v>21</v>
      </c>
      <c r="P288" s="460" t="s">
        <v>20</v>
      </c>
      <c r="Q288" s="460"/>
      <c r="R288" s="444"/>
      <c r="S288" s="444"/>
      <c r="T288" s="444"/>
      <c r="U288" s="444"/>
      <c r="V288" s="444"/>
      <c r="W288" s="444"/>
    </row>
    <row r="289" spans="1:23" ht="15.75">
      <c r="A289" s="458" t="s">
        <v>777</v>
      </c>
      <c r="B289" s="459">
        <v>45362.488888888889</v>
      </c>
      <c r="C289" s="460" t="s">
        <v>773</v>
      </c>
      <c r="D289" s="460">
        <v>20</v>
      </c>
      <c r="E289" s="460">
        <v>9.2730999999999994E-2</v>
      </c>
      <c r="F289" s="460" t="s">
        <v>774</v>
      </c>
      <c r="G289" s="460">
        <v>22.5</v>
      </c>
      <c r="H289" s="460">
        <v>1354.1659999999999</v>
      </c>
      <c r="I289" s="460">
        <v>0.99991799999999997</v>
      </c>
      <c r="J289" s="460">
        <v>0.45938299999999999</v>
      </c>
      <c r="K289" s="460">
        <v>2128</v>
      </c>
      <c r="L289" s="437" t="e">
        <f t="shared" si="2"/>
        <v>#VALUE!</v>
      </c>
      <c r="M289" s="439" t="e">
        <f t="shared" si="3"/>
        <v>#VALUE!</v>
      </c>
      <c r="N289" s="460">
        <v>0.70709999999999995</v>
      </c>
      <c r="O289" s="446" t="s">
        <v>21</v>
      </c>
      <c r="P289" s="460" t="s">
        <v>20</v>
      </c>
      <c r="Q289" s="460"/>
      <c r="R289" s="444"/>
      <c r="S289" s="444"/>
      <c r="T289" s="444"/>
      <c r="U289" s="444"/>
      <c r="V289" s="444"/>
      <c r="W289" s="444"/>
    </row>
    <row r="290" spans="1:23" ht="15.75">
      <c r="A290" s="458" t="s">
        <v>778</v>
      </c>
      <c r="B290" s="459">
        <v>45362.51458333333</v>
      </c>
      <c r="C290" s="460" t="s">
        <v>907</v>
      </c>
      <c r="D290" s="460">
        <v>20</v>
      </c>
      <c r="E290" s="460">
        <v>9.2730999999999994E-2</v>
      </c>
      <c r="F290" s="460">
        <v>33.200000000000003</v>
      </c>
      <c r="G290" s="460">
        <v>22.5</v>
      </c>
      <c r="H290" s="460">
        <v>1111.556</v>
      </c>
      <c r="I290" s="460">
        <v>0.99974200000000002</v>
      </c>
      <c r="J290" s="460">
        <v>0.48977399999999999</v>
      </c>
      <c r="K290" s="460">
        <v>2256.1999999999998</v>
      </c>
      <c r="L290" s="437">
        <f t="shared" si="2"/>
        <v>1.0227124503008802</v>
      </c>
      <c r="M290" s="439">
        <f t="shared" si="3"/>
        <v>2206.0941952317385</v>
      </c>
      <c r="N290" s="460"/>
      <c r="O290" s="446" t="s">
        <v>21</v>
      </c>
      <c r="P290" s="460" t="s">
        <v>20</v>
      </c>
      <c r="Q290" s="460"/>
      <c r="R290" s="444"/>
      <c r="S290" s="444"/>
      <c r="T290" s="444"/>
      <c r="U290" s="444"/>
      <c r="V290" s="444"/>
      <c r="W290" s="444"/>
    </row>
    <row r="291" spans="1:23" ht="15.75">
      <c r="A291" s="458" t="s">
        <v>784</v>
      </c>
      <c r="B291" s="459">
        <v>45362.594444444447</v>
      </c>
      <c r="C291" s="460">
        <v>46</v>
      </c>
      <c r="D291" s="460">
        <v>20</v>
      </c>
      <c r="E291" s="460">
        <v>9.2730999999999994E-2</v>
      </c>
      <c r="F291" s="460">
        <v>36.299999999999997</v>
      </c>
      <c r="G291" s="460">
        <v>22.5</v>
      </c>
      <c r="H291" s="460">
        <v>0</v>
      </c>
      <c r="I291" s="460">
        <v>0</v>
      </c>
      <c r="J291" s="460">
        <v>0</v>
      </c>
      <c r="K291" s="460">
        <v>0</v>
      </c>
      <c r="L291" s="437">
        <f t="shared" si="2"/>
        <v>1.0250655246925739</v>
      </c>
      <c r="M291" s="439">
        <f t="shared" si="3"/>
        <v>0</v>
      </c>
      <c r="N291" s="460" t="s">
        <v>827</v>
      </c>
      <c r="O291" s="460" t="s">
        <v>775</v>
      </c>
      <c r="P291" s="460" t="s">
        <v>20</v>
      </c>
      <c r="Q291" s="460"/>
      <c r="R291" s="444"/>
      <c r="S291" s="444"/>
      <c r="T291" s="444"/>
      <c r="U291" s="444"/>
      <c r="V291" s="444"/>
      <c r="W291" s="444"/>
    </row>
    <row r="292" spans="1:23" ht="15.75">
      <c r="A292" s="458" t="s">
        <v>908</v>
      </c>
      <c r="B292" s="459">
        <v>45362.597916666666</v>
      </c>
      <c r="C292" s="460">
        <v>46</v>
      </c>
      <c r="D292" s="460">
        <v>20</v>
      </c>
      <c r="E292" s="460">
        <v>9.2730999999999994E-2</v>
      </c>
      <c r="F292" s="460">
        <v>36.299999999999997</v>
      </c>
      <c r="G292" s="460">
        <v>22.5</v>
      </c>
      <c r="H292" s="460">
        <v>1019.273</v>
      </c>
      <c r="I292" s="460">
        <v>0.99981299999999995</v>
      </c>
      <c r="J292" s="460">
        <v>0.51227299999999998</v>
      </c>
      <c r="K292" s="460">
        <v>2375.1999999999998</v>
      </c>
      <c r="L292" s="437">
        <f t="shared" si="2"/>
        <v>1.0250655246925739</v>
      </c>
      <c r="M292" s="439">
        <f t="shared" si="3"/>
        <v>2317.1201672325706</v>
      </c>
      <c r="N292" s="460"/>
      <c r="O292" s="446" t="s">
        <v>21</v>
      </c>
      <c r="P292" s="460" t="s">
        <v>20</v>
      </c>
      <c r="Q292" s="460"/>
      <c r="R292" s="444"/>
      <c r="S292" s="444"/>
      <c r="T292" s="444"/>
      <c r="U292" s="444"/>
      <c r="V292" s="444"/>
      <c r="W292" s="444"/>
    </row>
    <row r="293" spans="1:23" ht="15.75">
      <c r="A293" s="458" t="s">
        <v>785</v>
      </c>
      <c r="B293" s="459">
        <v>45362.604166666664</v>
      </c>
      <c r="C293" s="460">
        <v>144</v>
      </c>
      <c r="D293" s="460">
        <v>20</v>
      </c>
      <c r="E293" s="460">
        <v>9.2730999999999994E-2</v>
      </c>
      <c r="F293" s="460">
        <v>36.200000000000003</v>
      </c>
      <c r="G293" s="460">
        <v>22.5</v>
      </c>
      <c r="H293" s="460">
        <v>1032.5530000000001</v>
      </c>
      <c r="I293" s="460">
        <v>0.99973199999999995</v>
      </c>
      <c r="J293" s="460">
        <v>0.51440799999999998</v>
      </c>
      <c r="K293" s="460">
        <v>2385.1</v>
      </c>
      <c r="L293" s="437">
        <f t="shared" si="2"/>
        <v>1.0249895549003767</v>
      </c>
      <c r="M293" s="439">
        <f t="shared" si="3"/>
        <v>2326.9505416880256</v>
      </c>
      <c r="N293" s="460"/>
      <c r="O293" s="446" t="s">
        <v>21</v>
      </c>
      <c r="P293" s="460" t="s">
        <v>20</v>
      </c>
      <c r="Q293" s="460"/>
      <c r="R293" s="444"/>
      <c r="S293" s="444"/>
      <c r="T293" s="444"/>
      <c r="U293" s="444"/>
      <c r="V293" s="444"/>
      <c r="W293" s="444"/>
    </row>
    <row r="294" spans="1:23" ht="15.75">
      <c r="A294" s="458" t="s">
        <v>786</v>
      </c>
      <c r="B294" s="459">
        <v>45362.61041666667</v>
      </c>
      <c r="C294" s="460">
        <v>145</v>
      </c>
      <c r="D294" s="460">
        <v>20</v>
      </c>
      <c r="E294" s="460">
        <v>9.2730999999999994E-2</v>
      </c>
      <c r="F294" s="460">
        <v>36.299999999999997</v>
      </c>
      <c r="G294" s="460">
        <v>22.5</v>
      </c>
      <c r="H294" s="460">
        <v>1018.0170000000001</v>
      </c>
      <c r="I294" s="460">
        <v>0.99979799999999996</v>
      </c>
      <c r="J294" s="460">
        <v>0.51440399999999997</v>
      </c>
      <c r="K294" s="460">
        <v>2385.1</v>
      </c>
      <c r="L294" s="437">
        <f t="shared" si="2"/>
        <v>1.0250655246925739</v>
      </c>
      <c r="M294" s="439">
        <f t="shared" si="3"/>
        <v>2326.7780864206825</v>
      </c>
      <c r="N294" s="460"/>
      <c r="O294" s="446" t="s">
        <v>21</v>
      </c>
      <c r="P294" s="460" t="s">
        <v>20</v>
      </c>
      <c r="Q294" s="460"/>
      <c r="R294" s="444"/>
      <c r="S294" s="444"/>
      <c r="T294" s="444"/>
      <c r="U294" s="444"/>
      <c r="V294" s="444"/>
      <c r="W294" s="444"/>
    </row>
    <row r="295" spans="1:23" ht="15.75">
      <c r="A295" s="458" t="s">
        <v>787</v>
      </c>
      <c r="B295" s="459">
        <v>45362.617361111108</v>
      </c>
      <c r="C295" s="460">
        <v>89</v>
      </c>
      <c r="D295" s="460">
        <v>20</v>
      </c>
      <c r="E295" s="460">
        <v>9.2730999999999994E-2</v>
      </c>
      <c r="F295" s="460">
        <v>36.200000000000003</v>
      </c>
      <c r="G295" s="460">
        <v>22.5</v>
      </c>
      <c r="H295" s="460">
        <v>1038.6949999999999</v>
      </c>
      <c r="I295" s="460">
        <v>0.99984700000000004</v>
      </c>
      <c r="J295" s="461">
        <v>0.51507999999999998</v>
      </c>
      <c r="K295" s="460">
        <v>2388.1999999999998</v>
      </c>
      <c r="L295" s="437">
        <f t="shared" si="2"/>
        <v>1.0249895549003767</v>
      </c>
      <c r="M295" s="439">
        <f t="shared" si="3"/>
        <v>2329.9749627518104</v>
      </c>
      <c r="N295" s="460"/>
      <c r="O295" s="446" t="s">
        <v>21</v>
      </c>
      <c r="P295" s="460" t="s">
        <v>20</v>
      </c>
      <c r="Q295" s="460"/>
      <c r="R295" s="444"/>
      <c r="S295" s="444"/>
      <c r="T295" s="444"/>
      <c r="U295" s="444"/>
      <c r="V295" s="444"/>
      <c r="W295" s="444"/>
    </row>
    <row r="296" spans="1:23" ht="15.75">
      <c r="A296" s="458" t="s">
        <v>788</v>
      </c>
      <c r="B296" s="459">
        <v>45362.623611111114</v>
      </c>
      <c r="C296" s="460">
        <v>90</v>
      </c>
      <c r="D296" s="460">
        <v>20</v>
      </c>
      <c r="E296" s="460">
        <v>9.2730999999999994E-2</v>
      </c>
      <c r="F296" s="460">
        <v>36.200000000000003</v>
      </c>
      <c r="G296" s="460">
        <v>22.5</v>
      </c>
      <c r="H296" s="460">
        <v>1037.3530000000001</v>
      </c>
      <c r="I296" s="460">
        <v>0.99979499999999999</v>
      </c>
      <c r="J296" s="460">
        <v>0.51464500000000002</v>
      </c>
      <c r="K296" s="460">
        <v>2386.1999999999998</v>
      </c>
      <c r="L296" s="437">
        <f t="shared" si="2"/>
        <v>1.0249895549003767</v>
      </c>
      <c r="M296" s="439">
        <f t="shared" si="3"/>
        <v>2328.02372335582</v>
      </c>
      <c r="N296" s="460"/>
      <c r="O296" s="446" t="s">
        <v>21</v>
      </c>
      <c r="P296" s="460" t="s">
        <v>20</v>
      </c>
      <c r="Q296" s="460"/>
      <c r="R296" s="444"/>
      <c r="S296" s="444"/>
      <c r="T296" s="444"/>
      <c r="U296" s="444"/>
      <c r="V296" s="444"/>
      <c r="W296" s="444"/>
    </row>
    <row r="297" spans="1:23" ht="15.75">
      <c r="A297" s="458" t="s">
        <v>789</v>
      </c>
      <c r="B297" s="459">
        <v>45362.630555555559</v>
      </c>
      <c r="C297" s="460">
        <v>78</v>
      </c>
      <c r="D297" s="460">
        <v>20</v>
      </c>
      <c r="E297" s="460">
        <v>9.2730999999999994E-2</v>
      </c>
      <c r="F297" s="460">
        <v>36.200000000000003</v>
      </c>
      <c r="G297" s="460">
        <v>22.5</v>
      </c>
      <c r="H297" s="460">
        <v>1029.038</v>
      </c>
      <c r="I297" s="460">
        <v>0.99974799999999997</v>
      </c>
      <c r="J297" s="460">
        <v>0.51468499999999995</v>
      </c>
      <c r="K297" s="460">
        <v>2386.4</v>
      </c>
      <c r="L297" s="437">
        <f t="shared" si="2"/>
        <v>1.0249895549003767</v>
      </c>
      <c r="M297" s="439">
        <f t="shared" si="3"/>
        <v>2328.2188472954194</v>
      </c>
      <c r="N297" s="460"/>
      <c r="O297" s="446" t="s">
        <v>21</v>
      </c>
      <c r="P297" s="460" t="s">
        <v>20</v>
      </c>
      <c r="Q297" s="460"/>
      <c r="R297" s="444"/>
      <c r="S297" s="444"/>
      <c r="T297" s="444"/>
      <c r="U297" s="444"/>
      <c r="V297" s="444"/>
      <c r="W297" s="444"/>
    </row>
    <row r="298" spans="1:23" ht="15.75">
      <c r="A298" s="458" t="s">
        <v>790</v>
      </c>
      <c r="B298" s="459">
        <v>45362.63958333333</v>
      </c>
      <c r="C298" s="460">
        <v>79</v>
      </c>
      <c r="D298" s="460">
        <v>20</v>
      </c>
      <c r="E298" s="460">
        <v>9.2730999999999994E-2</v>
      </c>
      <c r="F298" s="460">
        <v>36.299999999999997</v>
      </c>
      <c r="G298" s="460">
        <v>22.5</v>
      </c>
      <c r="H298" s="460">
        <v>1036.607</v>
      </c>
      <c r="I298" s="460">
        <v>0.99972899999999998</v>
      </c>
      <c r="J298" s="460">
        <v>0.51270700000000002</v>
      </c>
      <c r="K298" s="460">
        <v>2377.1999999999998</v>
      </c>
      <c r="L298" s="437">
        <f t="shared" si="2"/>
        <v>1.0250655246925739</v>
      </c>
      <c r="M298" s="439">
        <f t="shared" si="3"/>
        <v>2319.0712620180479</v>
      </c>
      <c r="N298" s="460"/>
      <c r="O298" s="446" t="s">
        <v>21</v>
      </c>
      <c r="P298" s="460" t="s">
        <v>20</v>
      </c>
      <c r="Q298" s="460"/>
      <c r="R298" s="444"/>
      <c r="S298" s="444"/>
      <c r="T298" s="444"/>
      <c r="U298" s="444"/>
      <c r="V298" s="444"/>
      <c r="W298" s="444"/>
    </row>
    <row r="299" spans="1:23" ht="15.75">
      <c r="A299" s="458" t="s">
        <v>791</v>
      </c>
      <c r="B299" s="459">
        <v>45362.647222222222</v>
      </c>
      <c r="C299" s="460" t="s">
        <v>899</v>
      </c>
      <c r="D299" s="460">
        <v>20</v>
      </c>
      <c r="E299" s="460">
        <v>9.2730999999999994E-2</v>
      </c>
      <c r="F299" s="460">
        <v>33.200000000000003</v>
      </c>
      <c r="G299" s="460">
        <v>22.5</v>
      </c>
      <c r="H299" s="460">
        <v>1110.6559999999999</v>
      </c>
      <c r="I299" s="460">
        <v>0.99978100000000003</v>
      </c>
      <c r="J299" s="460">
        <v>0.48945499999999997</v>
      </c>
      <c r="K299" s="460">
        <v>2256.3000000000002</v>
      </c>
      <c r="L299" s="437">
        <f t="shared" si="2"/>
        <v>1.0227124503008802</v>
      </c>
      <c r="M299" s="439">
        <f t="shared" si="3"/>
        <v>2206.1919744266343</v>
      </c>
      <c r="N299" s="460"/>
      <c r="O299" s="446" t="s">
        <v>21</v>
      </c>
      <c r="P299" s="460" t="s">
        <v>20</v>
      </c>
      <c r="Q299" s="460"/>
      <c r="R299" s="444"/>
      <c r="S299" s="444"/>
      <c r="T299" s="444"/>
      <c r="U299" s="444"/>
      <c r="V299" s="444"/>
      <c r="W299" s="444"/>
    </row>
    <row r="300" spans="1:23" ht="15.75">
      <c r="A300" s="458" t="s">
        <v>792</v>
      </c>
      <c r="B300" s="459">
        <v>45362.654861111114</v>
      </c>
      <c r="C300" s="460">
        <v>24</v>
      </c>
      <c r="D300" s="460">
        <v>20</v>
      </c>
      <c r="E300" s="460">
        <v>9.2730999999999994E-2</v>
      </c>
      <c r="F300" s="460">
        <v>36</v>
      </c>
      <c r="G300" s="460">
        <v>22.5</v>
      </c>
      <c r="H300" s="460">
        <v>1057.4880000000001</v>
      </c>
      <c r="I300" s="460">
        <v>0.99980800000000003</v>
      </c>
      <c r="J300" s="460">
        <v>0.51421399999999995</v>
      </c>
      <c r="K300" s="460">
        <v>2384.1999999999998</v>
      </c>
      <c r="L300" s="437">
        <f t="shared" si="2"/>
        <v>1.0248376283616278</v>
      </c>
      <c r="M300" s="439">
        <f t="shared" si="3"/>
        <v>2326.4173114052587</v>
      </c>
      <c r="N300" s="460"/>
      <c r="O300" s="446" t="s">
        <v>21</v>
      </c>
      <c r="P300" s="460" t="s">
        <v>20</v>
      </c>
      <c r="Q300" s="460"/>
      <c r="R300" s="444"/>
      <c r="S300" s="444"/>
      <c r="T300" s="444"/>
      <c r="U300" s="444"/>
      <c r="V300" s="444"/>
      <c r="W300" s="444"/>
    </row>
    <row r="301" spans="1:23" ht="15.75">
      <c r="A301" s="458" t="s">
        <v>793</v>
      </c>
      <c r="B301" s="459">
        <v>45362.663194444445</v>
      </c>
      <c r="C301" s="460">
        <v>23</v>
      </c>
      <c r="D301" s="460">
        <v>20</v>
      </c>
      <c r="E301" s="460">
        <v>9.2730999999999994E-2</v>
      </c>
      <c r="F301" s="460">
        <v>36</v>
      </c>
      <c r="G301" s="460">
        <v>22.5</v>
      </c>
      <c r="H301" s="460">
        <v>1046.019</v>
      </c>
      <c r="I301" s="460">
        <v>0.999776</v>
      </c>
      <c r="J301" s="460">
        <v>0.51308399999999998</v>
      </c>
      <c r="K301" s="460">
        <v>2378.9</v>
      </c>
      <c r="L301" s="437">
        <f t="shared" si="2"/>
        <v>1.0248376283616278</v>
      </c>
      <c r="M301" s="439">
        <f t="shared" si="3"/>
        <v>2321.2457604655524</v>
      </c>
      <c r="N301" s="460"/>
      <c r="O301" s="446" t="s">
        <v>21</v>
      </c>
      <c r="P301" s="460" t="s">
        <v>20</v>
      </c>
      <c r="Q301" s="460"/>
      <c r="R301" s="444"/>
      <c r="S301" s="444"/>
      <c r="T301" s="444"/>
      <c r="U301" s="444"/>
      <c r="V301" s="444"/>
      <c r="W301" s="444"/>
    </row>
    <row r="302" spans="1:23" ht="15.75">
      <c r="A302" s="458" t="s">
        <v>794</v>
      </c>
      <c r="B302" s="459">
        <v>45362.671527777777</v>
      </c>
      <c r="C302" s="460">
        <v>34</v>
      </c>
      <c r="D302" s="460">
        <v>20</v>
      </c>
      <c r="E302" s="460">
        <v>9.2730999999999994E-2</v>
      </c>
      <c r="F302" s="460">
        <v>36</v>
      </c>
      <c r="G302" s="460">
        <v>22.5</v>
      </c>
      <c r="H302" s="460">
        <v>1040.672</v>
      </c>
      <c r="I302" s="460">
        <v>0.99973999999999996</v>
      </c>
      <c r="J302" s="460">
        <v>0.51313699999999995</v>
      </c>
      <c r="K302" s="460">
        <v>2379.1999999999998</v>
      </c>
      <c r="L302" s="437">
        <f t="shared" si="2"/>
        <v>1.0248376283616278</v>
      </c>
      <c r="M302" s="439">
        <f t="shared" si="3"/>
        <v>2321.5384897640261</v>
      </c>
      <c r="N302" s="460"/>
      <c r="O302" s="446" t="s">
        <v>21</v>
      </c>
      <c r="P302" s="460" t="s">
        <v>20</v>
      </c>
      <c r="Q302" s="460"/>
      <c r="R302" s="444"/>
      <c r="S302" s="444"/>
      <c r="T302" s="444"/>
      <c r="U302" s="444"/>
      <c r="V302" s="444"/>
      <c r="W302" s="444"/>
    </row>
    <row r="303" spans="1:23" ht="15.75">
      <c r="A303" s="458" t="s">
        <v>795</v>
      </c>
      <c r="B303" s="459">
        <v>45362.677083333336</v>
      </c>
      <c r="C303" s="460">
        <v>35</v>
      </c>
      <c r="D303" s="460">
        <v>20</v>
      </c>
      <c r="E303" s="460">
        <v>9.2730999999999994E-2</v>
      </c>
      <c r="F303" s="460">
        <v>36</v>
      </c>
      <c r="G303" s="460">
        <v>22.5</v>
      </c>
      <c r="H303" s="460">
        <v>1067.6759999999999</v>
      </c>
      <c r="I303" s="460">
        <v>0.99980100000000005</v>
      </c>
      <c r="J303" s="460">
        <v>0.51476599999999995</v>
      </c>
      <c r="K303" s="460">
        <v>2386.6999999999998</v>
      </c>
      <c r="L303" s="437">
        <f t="shared" si="2"/>
        <v>1.0248376283616278</v>
      </c>
      <c r="M303" s="439">
        <f t="shared" si="3"/>
        <v>2328.8567222258748</v>
      </c>
      <c r="N303" s="460"/>
      <c r="O303" s="446" t="s">
        <v>21</v>
      </c>
      <c r="P303" s="460" t="s">
        <v>20</v>
      </c>
      <c r="Q303" s="460"/>
      <c r="R303" s="444"/>
      <c r="S303" s="444"/>
      <c r="T303" s="444"/>
      <c r="U303" s="444"/>
      <c r="V303" s="444"/>
      <c r="W303" s="444"/>
    </row>
    <row r="304" spans="1:23" ht="15.75">
      <c r="A304" s="458" t="s">
        <v>796</v>
      </c>
      <c r="B304" s="459">
        <v>45362.684027777781</v>
      </c>
      <c r="C304" s="460">
        <v>67</v>
      </c>
      <c r="D304" s="460">
        <v>20</v>
      </c>
      <c r="E304" s="460">
        <v>9.2730999999999994E-2</v>
      </c>
      <c r="F304" s="460">
        <v>36.299999999999997</v>
      </c>
      <c r="G304" s="460">
        <v>22.5</v>
      </c>
      <c r="H304" s="460">
        <v>1050.3430000000001</v>
      </c>
      <c r="I304" s="460">
        <v>0.99979099999999999</v>
      </c>
      <c r="J304" s="460">
        <v>0.51385800000000004</v>
      </c>
      <c r="K304" s="460">
        <v>2382.5</v>
      </c>
      <c r="L304" s="437">
        <f t="shared" si="2"/>
        <v>1.0250655246925739</v>
      </c>
      <c r="M304" s="439">
        <f t="shared" si="3"/>
        <v>2324.241663199562</v>
      </c>
      <c r="N304" s="460"/>
      <c r="O304" s="446" t="s">
        <v>21</v>
      </c>
      <c r="P304" s="460" t="s">
        <v>20</v>
      </c>
      <c r="Q304" s="460"/>
      <c r="R304" s="444"/>
      <c r="S304" s="444"/>
      <c r="T304" s="444"/>
      <c r="U304" s="444"/>
      <c r="V304" s="444"/>
      <c r="W304" s="444"/>
    </row>
    <row r="305" spans="1:23" ht="15.75">
      <c r="A305" s="458" t="s">
        <v>797</v>
      </c>
      <c r="B305" s="459">
        <v>45362.690972222219</v>
      </c>
      <c r="C305" s="460">
        <v>68</v>
      </c>
      <c r="D305" s="460">
        <v>20</v>
      </c>
      <c r="E305" s="460">
        <v>9.2730999999999994E-2</v>
      </c>
      <c r="F305" s="460">
        <v>36.299999999999997</v>
      </c>
      <c r="G305" s="460">
        <v>22.5</v>
      </c>
      <c r="H305" s="460">
        <v>1060.491</v>
      </c>
      <c r="I305" s="460">
        <v>0.99967700000000004</v>
      </c>
      <c r="J305" s="460">
        <v>0.51455799999999996</v>
      </c>
      <c r="K305" s="460">
        <v>2385.8000000000002</v>
      </c>
      <c r="L305" s="437">
        <f t="shared" si="2"/>
        <v>1.0250655246925739</v>
      </c>
      <c r="M305" s="439">
        <f t="shared" si="3"/>
        <v>2327.4609695955996</v>
      </c>
      <c r="N305" s="460"/>
      <c r="O305" s="446" t="s">
        <v>21</v>
      </c>
      <c r="P305" s="460" t="s">
        <v>20</v>
      </c>
      <c r="Q305" s="460"/>
      <c r="R305" s="444"/>
      <c r="S305" s="444"/>
      <c r="T305" s="444"/>
      <c r="U305" s="444"/>
      <c r="V305" s="444"/>
      <c r="W305" s="444"/>
    </row>
    <row r="306" spans="1:23" ht="15.75">
      <c r="A306" s="458" t="s">
        <v>798</v>
      </c>
      <c r="B306" s="459">
        <v>45362.698611111111</v>
      </c>
      <c r="C306" s="460">
        <v>56</v>
      </c>
      <c r="D306" s="460">
        <v>20</v>
      </c>
      <c r="E306" s="460">
        <v>9.2730999999999994E-2</v>
      </c>
      <c r="F306" s="460">
        <v>36.299999999999997</v>
      </c>
      <c r="G306" s="460">
        <v>22.5</v>
      </c>
      <c r="H306" s="460">
        <v>1062.5930000000001</v>
      </c>
      <c r="I306" s="460">
        <v>0.99977199999999999</v>
      </c>
      <c r="J306" s="460">
        <v>0.51407800000000003</v>
      </c>
      <c r="K306" s="460">
        <v>2383.6</v>
      </c>
      <c r="L306" s="437">
        <f t="shared" si="2"/>
        <v>1.0250655246925739</v>
      </c>
      <c r="M306" s="439">
        <f t="shared" si="3"/>
        <v>2325.3147653315746</v>
      </c>
      <c r="N306" s="460"/>
      <c r="O306" s="446" t="s">
        <v>21</v>
      </c>
      <c r="P306" s="460" t="s">
        <v>20</v>
      </c>
      <c r="Q306" s="460"/>
      <c r="R306" s="444"/>
      <c r="S306" s="444"/>
      <c r="T306" s="444"/>
      <c r="U306" s="444"/>
      <c r="V306" s="444"/>
      <c r="W306" s="444"/>
    </row>
    <row r="307" spans="1:23" ht="15.75">
      <c r="A307" s="458" t="s">
        <v>799</v>
      </c>
      <c r="B307" s="459">
        <v>45362.704861111109</v>
      </c>
      <c r="C307" s="460">
        <v>57</v>
      </c>
      <c r="D307" s="460">
        <v>20</v>
      </c>
      <c r="E307" s="460">
        <v>9.2730999999999994E-2</v>
      </c>
      <c r="F307" s="460">
        <v>36.4</v>
      </c>
      <c r="G307" s="460">
        <v>22.5</v>
      </c>
      <c r="H307" s="460">
        <v>1075.8989999999999</v>
      </c>
      <c r="I307" s="460">
        <v>0.99970000000000003</v>
      </c>
      <c r="J307" s="460">
        <v>0.51442699999999997</v>
      </c>
      <c r="K307" s="460">
        <v>2385.1999999999998</v>
      </c>
      <c r="L307" s="437">
        <f t="shared" si="2"/>
        <v>1.0251414988430922</v>
      </c>
      <c r="M307" s="439">
        <f t="shared" si="3"/>
        <v>2326.7031943314955</v>
      </c>
      <c r="N307" s="460"/>
      <c r="O307" s="446" t="s">
        <v>21</v>
      </c>
      <c r="P307" s="460" t="s">
        <v>20</v>
      </c>
      <c r="Q307" s="460"/>
      <c r="R307" s="444"/>
      <c r="S307" s="444"/>
      <c r="T307" s="444"/>
      <c r="U307" s="444"/>
      <c r="V307" s="444"/>
      <c r="W307" s="444"/>
    </row>
    <row r="308" spans="1:23" ht="15.75">
      <c r="A308" s="458" t="s">
        <v>800</v>
      </c>
      <c r="B308" s="459">
        <v>45362.711805555555</v>
      </c>
      <c r="C308" s="460">
        <v>12</v>
      </c>
      <c r="D308" s="460">
        <v>20</v>
      </c>
      <c r="E308" s="460">
        <v>9.2730999999999994E-2</v>
      </c>
      <c r="F308" s="460">
        <v>36.200000000000003</v>
      </c>
      <c r="G308" s="460">
        <v>22.5</v>
      </c>
      <c r="H308" s="460">
        <v>1069.8900000000001</v>
      </c>
      <c r="I308" s="460">
        <v>0.99980400000000003</v>
      </c>
      <c r="J308" s="460">
        <v>0.51235900000000001</v>
      </c>
      <c r="K308" s="460">
        <v>2375.6</v>
      </c>
      <c r="L308" s="437">
        <f t="shared" si="2"/>
        <v>1.0249895549003767</v>
      </c>
      <c r="M308" s="439">
        <f t="shared" si="3"/>
        <v>2317.6821545570724</v>
      </c>
      <c r="N308" s="460"/>
      <c r="O308" s="446" t="s">
        <v>21</v>
      </c>
      <c r="P308" s="460" t="s">
        <v>20</v>
      </c>
      <c r="Q308" s="460"/>
      <c r="R308" s="444"/>
      <c r="S308" s="444"/>
      <c r="T308" s="444"/>
      <c r="U308" s="444"/>
      <c r="V308" s="444"/>
      <c r="W308" s="444"/>
    </row>
    <row r="309" spans="1:23" ht="15.75">
      <c r="A309" s="458" t="s">
        <v>801</v>
      </c>
      <c r="B309" s="459">
        <v>45362.717361111114</v>
      </c>
      <c r="C309" s="460">
        <v>13</v>
      </c>
      <c r="D309" s="460">
        <v>20</v>
      </c>
      <c r="E309" s="460">
        <v>9.2730999999999994E-2</v>
      </c>
      <c r="F309" s="460">
        <v>36.299999999999997</v>
      </c>
      <c r="G309" s="460">
        <v>22.5</v>
      </c>
      <c r="H309" s="460">
        <v>1073.2750000000001</v>
      </c>
      <c r="I309" s="460">
        <v>0.99978500000000003</v>
      </c>
      <c r="J309" s="460">
        <v>0.51351100000000005</v>
      </c>
      <c r="K309" s="460">
        <v>2380.9</v>
      </c>
      <c r="L309" s="437">
        <f t="shared" si="2"/>
        <v>1.0250655246925739</v>
      </c>
      <c r="M309" s="439">
        <f t="shared" si="3"/>
        <v>2322.6807873711805</v>
      </c>
      <c r="N309" s="460"/>
      <c r="O309" s="446" t="s">
        <v>21</v>
      </c>
      <c r="P309" s="460" t="s">
        <v>20</v>
      </c>
      <c r="Q309" s="460"/>
      <c r="R309" s="444"/>
      <c r="S309" s="444"/>
      <c r="T309" s="444"/>
      <c r="U309" s="444"/>
      <c r="V309" s="444"/>
      <c r="W309" s="444"/>
    </row>
    <row r="310" spans="1:23" ht="15.75">
      <c r="A310" s="446" t="s">
        <v>803</v>
      </c>
      <c r="B310" s="447">
        <v>45362.729861111111</v>
      </c>
      <c r="C310" s="446" t="s">
        <v>899</v>
      </c>
      <c r="D310" s="446">
        <v>20</v>
      </c>
      <c r="E310" s="446">
        <v>9.2730999999999994E-2</v>
      </c>
      <c r="F310" s="446">
        <v>33.200000000000003</v>
      </c>
      <c r="G310" s="446">
        <v>22.5</v>
      </c>
      <c r="H310" s="446">
        <v>1109.2329999999999</v>
      </c>
      <c r="I310" s="446">
        <v>0.99977800000000006</v>
      </c>
      <c r="J310" s="446">
        <v>0.488147</v>
      </c>
      <c r="K310" s="446">
        <v>2256.9</v>
      </c>
      <c r="L310" s="437">
        <f t="shared" si="2"/>
        <v>1.0227124503008802</v>
      </c>
      <c r="M310" s="439">
        <f t="shared" si="3"/>
        <v>2206.7786495960072</v>
      </c>
      <c r="N310" s="446"/>
      <c r="O310" s="446" t="s">
        <v>21</v>
      </c>
      <c r="P310" s="446" t="s">
        <v>20</v>
      </c>
      <c r="Q310" s="446"/>
      <c r="R310" s="444"/>
      <c r="S310" s="444"/>
      <c r="T310" s="444"/>
      <c r="U310" s="444"/>
      <c r="V310" s="444"/>
      <c r="W310" s="444"/>
    </row>
    <row r="311" spans="1:23" ht="15.75">
      <c r="A311" s="446" t="s">
        <v>772</v>
      </c>
      <c r="B311" s="456">
        <v>45364.573611111111</v>
      </c>
      <c r="C311" s="446" t="s">
        <v>773</v>
      </c>
      <c r="D311" s="446">
        <v>20</v>
      </c>
      <c r="E311" s="446">
        <v>9.2731400000000005E-2</v>
      </c>
      <c r="F311" s="446" t="s">
        <v>774</v>
      </c>
      <c r="G311" s="446">
        <v>22.5</v>
      </c>
      <c r="H311" s="446">
        <v>1298.41472</v>
      </c>
      <c r="I311" s="446">
        <v>0.99990699999999999</v>
      </c>
      <c r="J311" s="446">
        <v>0.45542500000000002</v>
      </c>
      <c r="K311" s="446">
        <v>2111.6</v>
      </c>
      <c r="L311" s="437" t="e">
        <f t="shared" si="2"/>
        <v>#VALUE!</v>
      </c>
      <c r="M311" s="439" t="e">
        <f t="shared" si="3"/>
        <v>#VALUE!</v>
      </c>
      <c r="N311" s="446"/>
      <c r="O311" s="446" t="s">
        <v>21</v>
      </c>
      <c r="P311" s="446" t="s">
        <v>20</v>
      </c>
      <c r="Q311" s="462"/>
      <c r="R311" s="444"/>
      <c r="S311" s="444"/>
      <c r="T311" s="444"/>
      <c r="U311" s="444"/>
      <c r="V311" s="444"/>
      <c r="W311" s="444"/>
    </row>
    <row r="312" spans="1:23" ht="15.75">
      <c r="A312" s="446" t="s">
        <v>777</v>
      </c>
      <c r="B312" s="456">
        <v>45364.584722222222</v>
      </c>
      <c r="C312" s="446" t="s">
        <v>773</v>
      </c>
      <c r="D312" s="446">
        <v>20</v>
      </c>
      <c r="E312" s="446">
        <v>9.2731400000000005E-2</v>
      </c>
      <c r="F312" s="446" t="s">
        <v>774</v>
      </c>
      <c r="G312" s="446">
        <v>22.5</v>
      </c>
      <c r="H312" s="446">
        <v>1292.74566</v>
      </c>
      <c r="I312" s="446">
        <v>0.99995400000000001</v>
      </c>
      <c r="J312" s="446">
        <v>0.455654</v>
      </c>
      <c r="K312" s="446">
        <v>2112.6999999999998</v>
      </c>
      <c r="L312" s="437" t="e">
        <f t="shared" si="2"/>
        <v>#VALUE!</v>
      </c>
      <c r="M312" s="439" t="e">
        <f t="shared" si="3"/>
        <v>#VALUE!</v>
      </c>
      <c r="N312" s="446">
        <v>0.77810000000000001</v>
      </c>
      <c r="O312" s="446" t="s">
        <v>21</v>
      </c>
      <c r="P312" s="446" t="s">
        <v>20</v>
      </c>
      <c r="Q312" s="462"/>
      <c r="R312" s="444"/>
      <c r="S312" s="444"/>
      <c r="T312" s="444"/>
      <c r="U312" s="444"/>
      <c r="V312" s="444"/>
      <c r="W312" s="444"/>
    </row>
    <row r="313" spans="1:23" ht="15.75">
      <c r="A313" s="446" t="s">
        <v>858</v>
      </c>
      <c r="B313" s="456">
        <v>45364.59097222222</v>
      </c>
      <c r="C313" s="446" t="s">
        <v>773</v>
      </c>
      <c r="D313" s="446">
        <v>20</v>
      </c>
      <c r="E313" s="446">
        <v>9.2731400000000005E-2</v>
      </c>
      <c r="F313" s="446" t="s">
        <v>774</v>
      </c>
      <c r="G313" s="446">
        <v>22.5</v>
      </c>
      <c r="H313" s="446">
        <v>1282.4086</v>
      </c>
      <c r="I313" s="446">
        <v>0.99993500000000002</v>
      </c>
      <c r="J313" s="446">
        <v>0.455065</v>
      </c>
      <c r="K313" s="446">
        <v>2112</v>
      </c>
      <c r="L313" s="437" t="e">
        <f t="shared" si="2"/>
        <v>#VALUE!</v>
      </c>
      <c r="M313" s="439" t="e">
        <f t="shared" si="3"/>
        <v>#VALUE!</v>
      </c>
      <c r="N313" s="446">
        <v>0.55669999999999997</v>
      </c>
      <c r="O313" s="446" t="s">
        <v>21</v>
      </c>
      <c r="P313" s="446" t="s">
        <v>20</v>
      </c>
      <c r="Q313" s="462"/>
      <c r="R313" s="444"/>
      <c r="S313" s="444"/>
      <c r="T313" s="444"/>
      <c r="U313" s="444"/>
      <c r="V313" s="444"/>
      <c r="W313" s="444"/>
    </row>
    <row r="314" spans="1:23" ht="15.75">
      <c r="A314" s="446" t="s">
        <v>778</v>
      </c>
      <c r="B314" s="456">
        <v>45364.604861111111</v>
      </c>
      <c r="C314" s="446" t="s">
        <v>909</v>
      </c>
      <c r="D314" s="446">
        <v>20</v>
      </c>
      <c r="E314" s="446">
        <v>9.2731400000000005E-2</v>
      </c>
      <c r="F314" s="446">
        <v>33.200000000000003</v>
      </c>
      <c r="G314" s="446">
        <v>22.5</v>
      </c>
      <c r="H314" s="446">
        <v>877.76469499999996</v>
      </c>
      <c r="I314" s="446">
        <v>0.99982400000000005</v>
      </c>
      <c r="J314" s="446">
        <v>0.48999700000000002</v>
      </c>
      <c r="K314" s="446">
        <v>2253.8000000000002</v>
      </c>
      <c r="L314" s="437">
        <f t="shared" si="2"/>
        <v>1.0227124503008802</v>
      </c>
      <c r="M314" s="439">
        <f t="shared" si="3"/>
        <v>2203.7474945542476</v>
      </c>
      <c r="N314" s="446"/>
      <c r="O314" s="446" t="s">
        <v>21</v>
      </c>
      <c r="P314" s="446" t="s">
        <v>20</v>
      </c>
      <c r="Q314" s="462"/>
      <c r="R314" s="444"/>
      <c r="S314" s="444"/>
      <c r="T314" s="444"/>
      <c r="U314" s="444"/>
      <c r="V314" s="444"/>
      <c r="W314" s="444"/>
    </row>
    <row r="315" spans="1:23" ht="15.75">
      <c r="A315" s="446" t="s">
        <v>780</v>
      </c>
      <c r="B315" s="456">
        <v>45364.612500000003</v>
      </c>
      <c r="C315" s="446">
        <v>314</v>
      </c>
      <c r="D315" s="446">
        <v>20</v>
      </c>
      <c r="E315" s="446">
        <v>9.2731400000000005E-2</v>
      </c>
      <c r="F315" s="446">
        <v>36.799999999999997</v>
      </c>
      <c r="G315" s="446">
        <v>22.5</v>
      </c>
      <c r="H315" s="446">
        <v>1091.7983400000001</v>
      </c>
      <c r="I315" s="446">
        <v>0.99981799999999998</v>
      </c>
      <c r="J315" s="446">
        <v>0.52051400000000003</v>
      </c>
      <c r="K315" s="446">
        <v>2413.4</v>
      </c>
      <c r="L315" s="437">
        <f t="shared" si="2"/>
        <v>1.0254454391737517</v>
      </c>
      <c r="M315" s="439">
        <f t="shared" si="3"/>
        <v>2353.5138075650193</v>
      </c>
      <c r="N315" s="446"/>
      <c r="O315" s="446" t="s">
        <v>21</v>
      </c>
      <c r="P315" s="446" t="s">
        <v>20</v>
      </c>
      <c r="Q315" s="462"/>
      <c r="R315" s="444"/>
      <c r="S315" s="444"/>
      <c r="T315" s="444"/>
      <c r="U315" s="444"/>
      <c r="V315" s="444"/>
      <c r="W315" s="444"/>
    </row>
    <row r="316" spans="1:23" ht="15.75">
      <c r="A316" s="446" t="s">
        <v>781</v>
      </c>
      <c r="B316" s="456">
        <v>45364.619444444441</v>
      </c>
      <c r="C316" s="446">
        <v>573</v>
      </c>
      <c r="D316" s="446">
        <v>20</v>
      </c>
      <c r="E316" s="446">
        <v>9.2731400000000005E-2</v>
      </c>
      <c r="F316" s="455">
        <v>36.85</v>
      </c>
      <c r="G316" s="446">
        <v>22.5</v>
      </c>
      <c r="H316" s="446">
        <v>1082.9444000000001</v>
      </c>
      <c r="I316" s="446">
        <v>0.99973999999999996</v>
      </c>
      <c r="J316" s="446">
        <v>0.52038300000000004</v>
      </c>
      <c r="K316" s="446">
        <v>2412.8000000000002</v>
      </c>
      <c r="L316" s="437">
        <f t="shared" si="2"/>
        <v>1.025483436649443</v>
      </c>
      <c r="M316" s="439">
        <f t="shared" si="3"/>
        <v>2352.8415123732566</v>
      </c>
      <c r="N316" s="446"/>
      <c r="O316" s="446" t="s">
        <v>21</v>
      </c>
      <c r="P316" s="446" t="s">
        <v>20</v>
      </c>
      <c r="Q316" s="462"/>
      <c r="R316" s="444"/>
      <c r="S316" s="444"/>
      <c r="T316" s="444"/>
      <c r="U316" s="444"/>
      <c r="V316" s="444"/>
      <c r="W316" s="444"/>
    </row>
    <row r="317" spans="1:23" ht="15.75">
      <c r="A317" s="446" t="s">
        <v>782</v>
      </c>
      <c r="B317" s="456">
        <v>45364.625694444447</v>
      </c>
      <c r="C317" s="446">
        <v>574</v>
      </c>
      <c r="D317" s="446">
        <v>20</v>
      </c>
      <c r="E317" s="446">
        <v>9.2731400000000005E-2</v>
      </c>
      <c r="F317" s="446">
        <v>36.9</v>
      </c>
      <c r="G317" s="446">
        <v>22.5</v>
      </c>
      <c r="H317" s="446">
        <v>1077.80684</v>
      </c>
      <c r="I317" s="446">
        <v>0.99966299999999997</v>
      </c>
      <c r="J317" s="446">
        <v>0.51893699999999998</v>
      </c>
      <c r="K317" s="446">
        <v>2406.1</v>
      </c>
      <c r="L317" s="437">
        <f t="shared" si="2"/>
        <v>1.0255214352246484</v>
      </c>
      <c r="M317" s="439">
        <f t="shared" si="3"/>
        <v>2346.221070915914</v>
      </c>
      <c r="N317" s="446"/>
      <c r="O317" s="446" t="s">
        <v>21</v>
      </c>
      <c r="P317" s="446" t="s">
        <v>20</v>
      </c>
      <c r="Q317" s="462"/>
      <c r="R317" s="444"/>
      <c r="S317" s="444"/>
      <c r="T317" s="444"/>
      <c r="U317" s="444"/>
      <c r="V317" s="444"/>
      <c r="W317" s="444"/>
    </row>
    <row r="318" spans="1:23" ht="15.75">
      <c r="A318" s="446" t="s">
        <v>783</v>
      </c>
      <c r="B318" s="456">
        <v>45364.634027777778</v>
      </c>
      <c r="C318" s="446">
        <v>261</v>
      </c>
      <c r="D318" s="446">
        <v>20</v>
      </c>
      <c r="E318" s="446">
        <v>9.2731400000000005E-2</v>
      </c>
      <c r="F318" s="446">
        <v>36.799999999999997</v>
      </c>
      <c r="G318" s="446">
        <v>22.5</v>
      </c>
      <c r="H318" s="446">
        <v>1081.2833700000001</v>
      </c>
      <c r="I318" s="446">
        <v>0.99966100000000002</v>
      </c>
      <c r="J318" s="446">
        <v>0.52166000000000001</v>
      </c>
      <c r="K318" s="446">
        <v>2418.6999999999998</v>
      </c>
      <c r="L318" s="437">
        <f t="shared" si="2"/>
        <v>1.0254454391737517</v>
      </c>
      <c r="M318" s="439">
        <f t="shared" si="3"/>
        <v>2358.6822931787156</v>
      </c>
      <c r="N318" s="446"/>
      <c r="O318" s="446" t="s">
        <v>21</v>
      </c>
      <c r="P318" s="446" t="s">
        <v>20</v>
      </c>
      <c r="Q318" s="462"/>
      <c r="R318" s="444"/>
      <c r="S318" s="444"/>
      <c r="T318" s="444"/>
      <c r="U318" s="444"/>
      <c r="V318" s="444"/>
      <c r="W318" s="444"/>
    </row>
    <row r="319" spans="1:23" ht="15.75">
      <c r="A319" s="446" t="s">
        <v>784</v>
      </c>
      <c r="B319" s="456">
        <v>45364.640277777777</v>
      </c>
      <c r="C319" s="446">
        <v>262</v>
      </c>
      <c r="D319" s="446">
        <v>20</v>
      </c>
      <c r="E319" s="446">
        <v>9.2731400000000005E-2</v>
      </c>
      <c r="F319" s="446">
        <v>36.9</v>
      </c>
      <c r="G319" s="446">
        <v>22.5</v>
      </c>
      <c r="H319" s="446">
        <v>1094.8218400000001</v>
      </c>
      <c r="I319" s="446">
        <v>0.99976200000000004</v>
      </c>
      <c r="J319" s="446">
        <v>0.52254</v>
      </c>
      <c r="K319" s="446">
        <v>2422.8000000000002</v>
      </c>
      <c r="L319" s="437">
        <f t="shared" si="2"/>
        <v>1.0255214352246484</v>
      </c>
      <c r="M319" s="439">
        <f t="shared" si="3"/>
        <v>2362.5054696874931</v>
      </c>
      <c r="N319" s="446"/>
      <c r="O319" s="446" t="s">
        <v>21</v>
      </c>
      <c r="P319" s="446" t="s">
        <v>20</v>
      </c>
      <c r="Q319" s="462"/>
      <c r="R319" s="444"/>
      <c r="S319" s="444"/>
      <c r="T319" s="444"/>
      <c r="U319" s="444"/>
      <c r="V319" s="444"/>
      <c r="W319" s="444"/>
    </row>
    <row r="320" spans="1:23" ht="15.75">
      <c r="A320" s="446" t="s">
        <v>785</v>
      </c>
      <c r="B320" s="456">
        <v>45364.648611111108</v>
      </c>
      <c r="C320" s="446">
        <v>586</v>
      </c>
      <c r="D320" s="446">
        <v>20</v>
      </c>
      <c r="E320" s="446">
        <v>9.2731400000000005E-2</v>
      </c>
      <c r="F320" s="446">
        <v>36.799999999999997</v>
      </c>
      <c r="G320" s="446">
        <v>22.5</v>
      </c>
      <c r="H320" s="446">
        <v>1089.65915</v>
      </c>
      <c r="I320" s="446">
        <v>0.99977199999999999</v>
      </c>
      <c r="J320" s="446">
        <v>0.51842299999999997</v>
      </c>
      <c r="K320" s="446">
        <v>2403.6999999999998</v>
      </c>
      <c r="L320" s="437">
        <f t="shared" si="2"/>
        <v>1.0254454391737517</v>
      </c>
      <c r="M320" s="439">
        <f t="shared" si="3"/>
        <v>2344.0545037059901</v>
      </c>
      <c r="N320" s="446"/>
      <c r="O320" s="446" t="s">
        <v>21</v>
      </c>
      <c r="P320" s="446" t="s">
        <v>20</v>
      </c>
      <c r="Q320" s="462"/>
      <c r="R320" s="444"/>
      <c r="S320" s="444"/>
      <c r="T320" s="444"/>
      <c r="U320" s="444"/>
      <c r="V320" s="444"/>
      <c r="W320" s="444"/>
    </row>
    <row r="321" spans="1:23" ht="15.75">
      <c r="A321" s="446" t="s">
        <v>786</v>
      </c>
      <c r="B321" s="456">
        <v>45364.654861111114</v>
      </c>
      <c r="C321" s="446">
        <v>587</v>
      </c>
      <c r="D321" s="446">
        <v>20</v>
      </c>
      <c r="E321" s="446">
        <v>9.2731400000000005E-2</v>
      </c>
      <c r="F321" s="455">
        <v>36.700000000000003</v>
      </c>
      <c r="G321" s="446">
        <v>22.5</v>
      </c>
      <c r="H321" s="446">
        <v>1102.05944</v>
      </c>
      <c r="I321" s="446">
        <v>0.99968699999999999</v>
      </c>
      <c r="J321" s="446">
        <v>0.51954900000000004</v>
      </c>
      <c r="K321" s="446">
        <v>2408.9</v>
      </c>
      <c r="L321" s="437">
        <f t="shared" si="2"/>
        <v>1.0253694475173356</v>
      </c>
      <c r="M321" s="439">
        <f t="shared" si="3"/>
        <v>2349.2995679094229</v>
      </c>
      <c r="N321" s="446"/>
      <c r="O321" s="446" t="s">
        <v>21</v>
      </c>
      <c r="P321" s="446" t="s">
        <v>20</v>
      </c>
      <c r="Q321" s="462"/>
      <c r="R321" s="444"/>
      <c r="S321" s="444"/>
      <c r="T321" s="444"/>
      <c r="U321" s="444"/>
      <c r="V321" s="444"/>
      <c r="W321" s="444"/>
    </row>
    <row r="322" spans="1:23" ht="15.75">
      <c r="A322" s="446" t="s">
        <v>787</v>
      </c>
      <c r="B322" s="456">
        <v>45364.660416666666</v>
      </c>
      <c r="C322" s="446">
        <v>612</v>
      </c>
      <c r="D322" s="446">
        <v>20</v>
      </c>
      <c r="E322" s="446">
        <v>9.2731400000000005E-2</v>
      </c>
      <c r="F322" s="446">
        <v>36.799999999999997</v>
      </c>
      <c r="G322" s="446">
        <v>22.5</v>
      </c>
      <c r="H322" s="446">
        <v>1097.74227</v>
      </c>
      <c r="I322" s="446">
        <v>0.99973199999999995</v>
      </c>
      <c r="J322" s="446">
        <v>0.519756</v>
      </c>
      <c r="K322" s="446">
        <v>2409.9</v>
      </c>
      <c r="L322" s="437">
        <f t="shared" si="2"/>
        <v>1.0254454391737517</v>
      </c>
      <c r="M322" s="439">
        <f t="shared" si="3"/>
        <v>2350.1006566880501</v>
      </c>
      <c r="N322" s="446"/>
      <c r="O322" s="446" t="s">
        <v>21</v>
      </c>
      <c r="P322" s="446" t="s">
        <v>20</v>
      </c>
      <c r="Q322" s="462"/>
      <c r="R322" s="444"/>
      <c r="S322" s="444"/>
      <c r="T322" s="444"/>
      <c r="U322" s="444"/>
      <c r="V322" s="444"/>
      <c r="W322" s="444"/>
    </row>
    <row r="323" spans="1:23" ht="15.75">
      <c r="A323" s="446" t="s">
        <v>788</v>
      </c>
      <c r="B323" s="456">
        <v>45364.667361111111</v>
      </c>
      <c r="C323" s="446">
        <v>613</v>
      </c>
      <c r="D323" s="446">
        <v>20</v>
      </c>
      <c r="E323" s="446">
        <v>9.2731400000000005E-2</v>
      </c>
      <c r="F323" s="446">
        <v>36.6</v>
      </c>
      <c r="G323" s="446">
        <v>22.5</v>
      </c>
      <c r="H323" s="446">
        <v>1091.7284400000001</v>
      </c>
      <c r="I323" s="446">
        <v>0.99975999999999998</v>
      </c>
      <c r="J323" s="446">
        <v>0.51904899999999998</v>
      </c>
      <c r="K323" s="446">
        <v>2406.6</v>
      </c>
      <c r="L323" s="437">
        <f t="shared" si="2"/>
        <v>1.0252934602482262</v>
      </c>
      <c r="M323" s="439">
        <f t="shared" si="3"/>
        <v>2347.230420661569</v>
      </c>
      <c r="N323" s="446"/>
      <c r="O323" s="446" t="s">
        <v>21</v>
      </c>
      <c r="P323" s="446" t="s">
        <v>20</v>
      </c>
      <c r="Q323" s="462"/>
      <c r="R323" s="444"/>
      <c r="S323" s="444"/>
      <c r="T323" s="444"/>
      <c r="U323" s="444"/>
      <c r="V323" s="444"/>
      <c r="W323" s="444"/>
    </row>
    <row r="324" spans="1:23" ht="15.75">
      <c r="A324" s="446" t="s">
        <v>789</v>
      </c>
      <c r="B324" s="456">
        <v>45364.674305555556</v>
      </c>
      <c r="C324" s="446">
        <v>287</v>
      </c>
      <c r="D324" s="446">
        <v>20</v>
      </c>
      <c r="E324" s="446">
        <v>9.2731400000000005E-2</v>
      </c>
      <c r="F324" s="446">
        <v>36.799999999999997</v>
      </c>
      <c r="G324" s="446">
        <v>22.5</v>
      </c>
      <c r="H324" s="446">
        <v>1103.8489099999999</v>
      </c>
      <c r="I324" s="446">
        <v>0.99992000000000003</v>
      </c>
      <c r="J324" s="446">
        <v>0.52202400000000004</v>
      </c>
      <c r="K324" s="446">
        <v>2420.4</v>
      </c>
      <c r="L324" s="437">
        <f t="shared" si="2"/>
        <v>1.0254454391737517</v>
      </c>
      <c r="M324" s="439">
        <f t="shared" si="3"/>
        <v>2360.3401093189582</v>
      </c>
      <c r="N324" s="446"/>
      <c r="O324" s="446" t="s">
        <v>21</v>
      </c>
      <c r="P324" s="446" t="s">
        <v>20</v>
      </c>
      <c r="Q324" s="462"/>
      <c r="R324" s="444"/>
      <c r="S324" s="444"/>
      <c r="T324" s="444"/>
      <c r="U324" s="444"/>
      <c r="V324" s="444"/>
      <c r="W324" s="444"/>
    </row>
    <row r="325" spans="1:23" ht="15.75">
      <c r="A325" s="446" t="s">
        <v>790</v>
      </c>
      <c r="B325" s="456">
        <v>45364.684027777781</v>
      </c>
      <c r="C325" s="446" t="s">
        <v>909</v>
      </c>
      <c r="D325" s="446">
        <v>20</v>
      </c>
      <c r="E325" s="446">
        <v>9.2731400000000005E-2</v>
      </c>
      <c r="F325" s="446">
        <v>33.200000000000003</v>
      </c>
      <c r="G325" s="446">
        <v>22.5</v>
      </c>
      <c r="H325" s="446">
        <v>877.744642</v>
      </c>
      <c r="I325" s="446">
        <v>0.99998299999999996</v>
      </c>
      <c r="J325" s="446">
        <v>0.489954</v>
      </c>
      <c r="K325" s="446">
        <v>2254</v>
      </c>
      <c r="L325" s="437">
        <f t="shared" si="2"/>
        <v>1.0227124503008802</v>
      </c>
      <c r="M325" s="439">
        <f t="shared" si="3"/>
        <v>2203.9430529440383</v>
      </c>
      <c r="N325" s="446"/>
      <c r="O325" s="446" t="s">
        <v>21</v>
      </c>
      <c r="P325" s="446" t="s">
        <v>20</v>
      </c>
      <c r="Q325" s="462"/>
      <c r="R325" s="444"/>
      <c r="S325" s="444"/>
      <c r="T325" s="444"/>
      <c r="U325" s="444"/>
      <c r="V325" s="444"/>
      <c r="W325" s="444"/>
    </row>
    <row r="326" spans="1:23" ht="15.75">
      <c r="A326" s="463"/>
      <c r="C326" s="464"/>
      <c r="D326" s="464"/>
      <c r="E326" s="464"/>
      <c r="F326" s="464"/>
      <c r="G326" s="464"/>
      <c r="H326" s="464"/>
      <c r="I326" s="464"/>
      <c r="J326" s="464"/>
      <c r="K326" s="464"/>
      <c r="L326" s="464"/>
      <c r="M326" s="465"/>
      <c r="N326" s="464"/>
      <c r="O326" s="464"/>
      <c r="P326" s="464"/>
      <c r="Q326" s="444"/>
      <c r="R326" s="444"/>
      <c r="S326" s="444"/>
      <c r="T326" s="444"/>
      <c r="U326" s="444"/>
      <c r="V326" s="444"/>
      <c r="W326" s="444"/>
    </row>
    <row r="327" spans="1:23" ht="15.75">
      <c r="A327" s="463"/>
      <c r="C327" s="464"/>
      <c r="D327" s="464"/>
      <c r="E327" s="464"/>
      <c r="F327" s="464"/>
      <c r="G327" s="464"/>
      <c r="H327" s="464"/>
      <c r="I327" s="464"/>
      <c r="J327" s="464"/>
      <c r="K327" s="464"/>
      <c r="L327" s="464"/>
      <c r="M327" s="465"/>
      <c r="N327" s="464"/>
      <c r="O327" s="464"/>
      <c r="P327" s="464"/>
      <c r="Q327" s="444"/>
      <c r="R327" s="444"/>
      <c r="S327" s="444"/>
      <c r="T327" s="444"/>
      <c r="U327" s="444"/>
      <c r="V327" s="444"/>
      <c r="W327" s="444"/>
    </row>
    <row r="328" spans="1:23" ht="15.75">
      <c r="A328" s="463"/>
      <c r="C328" s="464"/>
      <c r="D328" s="464"/>
      <c r="E328" s="464"/>
      <c r="F328" s="464"/>
      <c r="G328" s="464"/>
      <c r="H328" s="464"/>
      <c r="I328" s="464"/>
      <c r="J328" s="464"/>
      <c r="K328" s="464"/>
      <c r="L328" s="464"/>
      <c r="M328" s="465"/>
      <c r="N328" s="464"/>
      <c r="O328" s="464"/>
      <c r="P328" s="464"/>
      <c r="Q328" s="444"/>
      <c r="R328" s="444"/>
      <c r="S328" s="444"/>
      <c r="T328" s="444"/>
      <c r="U328" s="444"/>
      <c r="V328" s="444"/>
      <c r="W328" s="444"/>
    </row>
    <row r="329" spans="1:23" ht="15.75">
      <c r="A329" s="463"/>
      <c r="C329" s="464"/>
      <c r="D329" s="464"/>
      <c r="E329" s="464"/>
      <c r="F329" s="464"/>
      <c r="G329" s="464"/>
      <c r="H329" s="464"/>
      <c r="I329" s="464"/>
      <c r="J329" s="464"/>
      <c r="K329" s="464"/>
      <c r="L329" s="464"/>
      <c r="M329" s="465"/>
      <c r="N329" s="464"/>
      <c r="O329" s="464"/>
      <c r="P329" s="464"/>
      <c r="Q329" s="444"/>
      <c r="R329" s="444"/>
      <c r="S329" s="444"/>
      <c r="T329" s="444"/>
      <c r="U329" s="444"/>
      <c r="V329" s="444"/>
      <c r="W329" s="444"/>
    </row>
    <row r="330" spans="1:23" ht="15.75">
      <c r="A330" s="463"/>
      <c r="C330" s="464"/>
      <c r="D330" s="464"/>
      <c r="E330" s="464"/>
      <c r="F330" s="464"/>
      <c r="G330" s="464"/>
      <c r="H330" s="464"/>
      <c r="I330" s="464"/>
      <c r="J330" s="464"/>
      <c r="K330" s="464"/>
      <c r="L330" s="464"/>
      <c r="M330" s="465"/>
      <c r="N330" s="464"/>
      <c r="O330" s="464"/>
      <c r="P330" s="464"/>
      <c r="Q330" s="444"/>
      <c r="R330" s="444"/>
      <c r="S330" s="444"/>
      <c r="T330" s="444"/>
      <c r="U330" s="444"/>
      <c r="V330" s="444"/>
      <c r="W330" s="444"/>
    </row>
    <row r="331" spans="1:23" ht="15.75">
      <c r="A331" s="463"/>
      <c r="C331" s="464"/>
      <c r="D331" s="464"/>
      <c r="E331" s="464"/>
      <c r="F331" s="464"/>
      <c r="G331" s="464"/>
      <c r="H331" s="464"/>
      <c r="I331" s="464"/>
      <c r="J331" s="464"/>
      <c r="K331" s="464"/>
      <c r="L331" s="464"/>
      <c r="M331" s="465"/>
      <c r="N331" s="464"/>
      <c r="O331" s="464"/>
      <c r="P331" s="464"/>
      <c r="Q331" s="444"/>
      <c r="R331" s="444"/>
      <c r="S331" s="444"/>
      <c r="T331" s="444"/>
      <c r="U331" s="444"/>
      <c r="V331" s="444"/>
      <c r="W331" s="444"/>
    </row>
    <row r="332" spans="1:23" ht="15.75">
      <c r="A332" s="463"/>
      <c r="C332" s="464"/>
      <c r="D332" s="464"/>
      <c r="E332" s="464"/>
      <c r="F332" s="464"/>
      <c r="G332" s="464"/>
      <c r="H332" s="464"/>
      <c r="I332" s="464"/>
      <c r="J332" s="464"/>
      <c r="K332" s="464"/>
      <c r="L332" s="464"/>
      <c r="M332" s="465"/>
      <c r="N332" s="464"/>
      <c r="O332" s="464"/>
      <c r="P332" s="464"/>
      <c r="Q332" s="444"/>
      <c r="R332" s="444"/>
      <c r="S332" s="444"/>
      <c r="T332" s="444"/>
      <c r="U332" s="444"/>
      <c r="V332" s="444"/>
      <c r="W332" s="444"/>
    </row>
    <row r="333" spans="1:23" ht="15.75">
      <c r="A333" s="463"/>
      <c r="C333" s="464"/>
      <c r="D333" s="464"/>
      <c r="E333" s="464"/>
      <c r="F333" s="464"/>
      <c r="G333" s="464"/>
      <c r="H333" s="464"/>
      <c r="I333" s="464"/>
      <c r="J333" s="464"/>
      <c r="K333" s="464"/>
      <c r="L333" s="464"/>
      <c r="M333" s="465"/>
      <c r="N333" s="464"/>
      <c r="O333" s="464"/>
      <c r="P333" s="464"/>
      <c r="Q333" s="444"/>
      <c r="R333" s="444"/>
      <c r="S333" s="444"/>
      <c r="T333" s="444"/>
      <c r="U333" s="444"/>
      <c r="V333" s="444"/>
      <c r="W333" s="444"/>
    </row>
    <row r="334" spans="1:23" ht="15.75">
      <c r="A334" s="463"/>
      <c r="C334" s="464"/>
      <c r="D334" s="464"/>
      <c r="E334" s="464"/>
      <c r="F334" s="464"/>
      <c r="G334" s="464"/>
      <c r="H334" s="464"/>
      <c r="I334" s="464"/>
      <c r="J334" s="464"/>
      <c r="K334" s="464"/>
      <c r="L334" s="464"/>
      <c r="M334" s="465"/>
      <c r="N334" s="464"/>
      <c r="O334" s="464"/>
      <c r="P334" s="464"/>
      <c r="Q334" s="444"/>
      <c r="R334" s="444"/>
      <c r="S334" s="444"/>
      <c r="T334" s="444"/>
      <c r="U334" s="444"/>
      <c r="V334" s="444"/>
      <c r="W334" s="444"/>
    </row>
    <row r="335" spans="1:23" ht="15.75">
      <c r="A335" s="463"/>
      <c r="C335" s="464"/>
      <c r="D335" s="464"/>
      <c r="E335" s="464"/>
      <c r="F335" s="464"/>
      <c r="G335" s="464"/>
      <c r="H335" s="464"/>
      <c r="I335" s="464"/>
      <c r="J335" s="464"/>
      <c r="K335" s="464"/>
      <c r="L335" s="464"/>
      <c r="M335" s="465"/>
      <c r="N335" s="464"/>
      <c r="O335" s="464"/>
      <c r="P335" s="464"/>
      <c r="Q335" s="444"/>
      <c r="R335" s="444"/>
      <c r="S335" s="444"/>
      <c r="T335" s="444"/>
      <c r="U335" s="444"/>
      <c r="V335" s="444"/>
      <c r="W335" s="444"/>
    </row>
    <row r="336" spans="1:23" ht="15.75">
      <c r="A336" s="463"/>
      <c r="C336" s="464"/>
      <c r="D336" s="464"/>
      <c r="E336" s="464"/>
      <c r="F336" s="464"/>
      <c r="G336" s="464"/>
      <c r="H336" s="464"/>
      <c r="I336" s="464"/>
      <c r="J336" s="464"/>
      <c r="K336" s="464"/>
      <c r="L336" s="464"/>
      <c r="M336" s="465"/>
      <c r="N336" s="464"/>
      <c r="O336" s="464"/>
      <c r="P336" s="464"/>
      <c r="Q336" s="444"/>
      <c r="R336" s="444"/>
      <c r="S336" s="444"/>
      <c r="T336" s="444"/>
      <c r="U336" s="444"/>
      <c r="V336" s="444"/>
      <c r="W336" s="444"/>
    </row>
    <row r="337" spans="1:23" ht="15.75">
      <c r="A337" s="463"/>
      <c r="C337" s="464"/>
      <c r="D337" s="464"/>
      <c r="E337" s="464"/>
      <c r="F337" s="464"/>
      <c r="G337" s="464"/>
      <c r="H337" s="464"/>
      <c r="I337" s="464"/>
      <c r="J337" s="464"/>
      <c r="K337" s="464"/>
      <c r="L337" s="464"/>
      <c r="M337" s="465"/>
      <c r="N337" s="464"/>
      <c r="O337" s="464"/>
      <c r="P337" s="464"/>
      <c r="Q337" s="444"/>
      <c r="R337" s="444"/>
      <c r="S337" s="444"/>
      <c r="T337" s="444"/>
      <c r="U337" s="444"/>
      <c r="V337" s="444"/>
      <c r="W337" s="444"/>
    </row>
    <row r="338" spans="1:23" ht="15.75">
      <c r="A338" s="463"/>
      <c r="C338" s="464"/>
      <c r="D338" s="464"/>
      <c r="E338" s="464"/>
      <c r="F338" s="464"/>
      <c r="G338" s="464"/>
      <c r="H338" s="464"/>
      <c r="I338" s="464"/>
      <c r="J338" s="464"/>
      <c r="K338" s="464"/>
      <c r="L338" s="464"/>
      <c r="M338" s="465"/>
      <c r="N338" s="464"/>
      <c r="O338" s="464"/>
      <c r="P338" s="464"/>
      <c r="Q338" s="444"/>
      <c r="R338" s="444"/>
      <c r="S338" s="444"/>
      <c r="T338" s="444"/>
      <c r="U338" s="444"/>
      <c r="V338" s="444"/>
      <c r="W338" s="444"/>
    </row>
    <row r="339" spans="1:23" ht="15.75">
      <c r="A339" s="463"/>
      <c r="C339" s="464"/>
      <c r="D339" s="464"/>
      <c r="E339" s="464"/>
      <c r="F339" s="464"/>
      <c r="G339" s="464"/>
      <c r="H339" s="464"/>
      <c r="I339" s="464"/>
      <c r="J339" s="464"/>
      <c r="K339" s="464"/>
      <c r="L339" s="464"/>
      <c r="M339" s="465"/>
      <c r="N339" s="464"/>
      <c r="O339" s="464"/>
      <c r="P339" s="464"/>
      <c r="Q339" s="444"/>
      <c r="R339" s="444"/>
      <c r="S339" s="444"/>
      <c r="T339" s="444"/>
      <c r="U339" s="444"/>
      <c r="V339" s="444"/>
      <c r="W339" s="444"/>
    </row>
    <row r="340" spans="1:23" ht="15.75">
      <c r="A340" s="463"/>
      <c r="C340" s="464"/>
      <c r="D340" s="464"/>
      <c r="E340" s="464"/>
      <c r="F340" s="464"/>
      <c r="G340" s="464"/>
      <c r="H340" s="464"/>
      <c r="I340" s="464"/>
      <c r="J340" s="464"/>
      <c r="K340" s="464"/>
      <c r="L340" s="464"/>
      <c r="M340" s="465"/>
      <c r="N340" s="464"/>
      <c r="O340" s="464"/>
      <c r="P340" s="464"/>
      <c r="Q340" s="444"/>
      <c r="R340" s="444"/>
      <c r="S340" s="444"/>
      <c r="T340" s="444"/>
      <c r="U340" s="444"/>
      <c r="V340" s="444"/>
      <c r="W340" s="444"/>
    </row>
    <row r="341" spans="1:23" ht="15.75">
      <c r="A341" s="463"/>
      <c r="C341" s="464"/>
      <c r="D341" s="464"/>
      <c r="E341" s="464"/>
      <c r="F341" s="464"/>
      <c r="G341" s="464"/>
      <c r="H341" s="464"/>
      <c r="I341" s="464"/>
      <c r="J341" s="464"/>
      <c r="K341" s="464"/>
      <c r="L341" s="464"/>
      <c r="M341" s="465"/>
      <c r="N341" s="464"/>
      <c r="O341" s="464"/>
      <c r="P341" s="464"/>
      <c r="Q341" s="444"/>
      <c r="R341" s="444"/>
      <c r="S341" s="444"/>
      <c r="T341" s="444"/>
      <c r="U341" s="444"/>
      <c r="V341" s="444"/>
      <c r="W341" s="444"/>
    </row>
    <row r="342" spans="1:23" ht="15.75">
      <c r="A342" s="463"/>
      <c r="B342" s="464"/>
      <c r="C342" s="464"/>
      <c r="D342" s="464"/>
      <c r="E342" s="464"/>
      <c r="F342" s="464"/>
      <c r="G342" s="464"/>
      <c r="H342" s="464"/>
      <c r="I342" s="464"/>
      <c r="J342" s="464"/>
      <c r="K342" s="464"/>
      <c r="L342" s="464"/>
      <c r="M342" s="465"/>
      <c r="N342" s="464"/>
      <c r="O342" s="464"/>
      <c r="P342" s="464"/>
      <c r="Q342" s="444"/>
      <c r="R342" s="444"/>
      <c r="S342" s="444"/>
      <c r="T342" s="444"/>
      <c r="U342" s="444"/>
      <c r="V342" s="444"/>
      <c r="W342" s="444"/>
    </row>
    <row r="343" spans="1:23" ht="15.75">
      <c r="A343" s="463"/>
      <c r="B343" s="464"/>
      <c r="C343" s="464"/>
      <c r="D343" s="464"/>
      <c r="E343" s="464"/>
      <c r="F343" s="464"/>
      <c r="G343" s="464"/>
      <c r="H343" s="464"/>
      <c r="I343" s="464"/>
      <c r="J343" s="464"/>
      <c r="K343" s="464"/>
      <c r="L343" s="464"/>
      <c r="M343" s="465"/>
      <c r="N343" s="464"/>
      <c r="O343" s="464"/>
      <c r="P343" s="464"/>
      <c r="Q343" s="444"/>
      <c r="R343" s="444"/>
      <c r="S343" s="444"/>
      <c r="T343" s="444"/>
      <c r="U343" s="444"/>
      <c r="V343" s="444"/>
      <c r="W343" s="444"/>
    </row>
    <row r="344" spans="1:23" ht="15.75">
      <c r="A344" s="463"/>
      <c r="B344" s="464"/>
      <c r="C344" s="464"/>
      <c r="D344" s="464"/>
      <c r="E344" s="464"/>
      <c r="F344" s="464"/>
      <c r="G344" s="464"/>
      <c r="H344" s="464"/>
      <c r="I344" s="464"/>
      <c r="J344" s="464"/>
      <c r="K344" s="464"/>
      <c r="L344" s="464"/>
      <c r="M344" s="465"/>
      <c r="N344" s="464"/>
      <c r="O344" s="464"/>
      <c r="P344" s="464"/>
      <c r="Q344" s="444"/>
      <c r="R344" s="444"/>
      <c r="S344" s="444"/>
      <c r="T344" s="444"/>
      <c r="U344" s="444"/>
      <c r="V344" s="444"/>
      <c r="W344" s="444"/>
    </row>
    <row r="345" spans="1:23" ht="15.75">
      <c r="A345" s="463"/>
      <c r="B345" s="464"/>
      <c r="C345" s="464"/>
      <c r="D345" s="464"/>
      <c r="E345" s="464"/>
      <c r="F345" s="464"/>
      <c r="G345" s="464"/>
      <c r="H345" s="464"/>
      <c r="I345" s="464"/>
      <c r="J345" s="464"/>
      <c r="K345" s="464"/>
      <c r="L345" s="464"/>
      <c r="M345" s="465"/>
      <c r="N345" s="464"/>
      <c r="O345" s="464"/>
      <c r="P345" s="464"/>
      <c r="Q345" s="444"/>
      <c r="R345" s="444"/>
      <c r="S345" s="444"/>
      <c r="T345" s="444"/>
      <c r="U345" s="444"/>
      <c r="V345" s="444"/>
      <c r="W345" s="444"/>
    </row>
    <row r="346" spans="1:23" ht="15.75">
      <c r="A346" s="463"/>
      <c r="B346" s="464"/>
      <c r="C346" s="464"/>
      <c r="D346" s="464"/>
      <c r="E346" s="464"/>
      <c r="F346" s="464"/>
      <c r="G346" s="464"/>
      <c r="H346" s="464"/>
      <c r="I346" s="464"/>
      <c r="J346" s="464"/>
      <c r="K346" s="464"/>
      <c r="L346" s="464"/>
      <c r="M346" s="465"/>
      <c r="N346" s="464"/>
      <c r="O346" s="464"/>
      <c r="P346" s="464"/>
      <c r="Q346" s="444"/>
      <c r="R346" s="444"/>
      <c r="S346" s="444"/>
      <c r="T346" s="444"/>
      <c r="U346" s="444"/>
      <c r="V346" s="444"/>
      <c r="W346" s="444"/>
    </row>
    <row r="347" spans="1:23" ht="15.75">
      <c r="A347" s="463"/>
      <c r="B347" s="464"/>
      <c r="C347" s="464"/>
      <c r="D347" s="464"/>
      <c r="E347" s="464"/>
      <c r="F347" s="464"/>
      <c r="G347" s="464"/>
      <c r="H347" s="464"/>
      <c r="I347" s="464"/>
      <c r="J347" s="464"/>
      <c r="K347" s="464"/>
      <c r="L347" s="464"/>
      <c r="M347" s="465"/>
      <c r="N347" s="464"/>
      <c r="O347" s="464"/>
      <c r="P347" s="464"/>
      <c r="Q347" s="444"/>
      <c r="R347" s="444"/>
      <c r="S347" s="444"/>
      <c r="T347" s="444"/>
      <c r="U347" s="444"/>
      <c r="V347" s="444"/>
      <c r="W347" s="444"/>
    </row>
    <row r="348" spans="1:23" ht="15.75">
      <c r="A348" s="463"/>
      <c r="B348" s="464"/>
      <c r="C348" s="464"/>
      <c r="D348" s="464"/>
      <c r="E348" s="464"/>
      <c r="F348" s="464"/>
      <c r="G348" s="464"/>
      <c r="H348" s="464"/>
      <c r="I348" s="464"/>
      <c r="J348" s="464"/>
      <c r="K348" s="464"/>
      <c r="L348" s="464"/>
      <c r="M348" s="465"/>
      <c r="N348" s="464"/>
      <c r="O348" s="464"/>
      <c r="P348" s="464"/>
      <c r="Q348" s="444"/>
      <c r="R348" s="444"/>
      <c r="S348" s="444"/>
      <c r="T348" s="444"/>
      <c r="U348" s="444"/>
      <c r="V348" s="444"/>
      <c r="W348" s="444"/>
    </row>
    <row r="349" spans="1:23" ht="15.75">
      <c r="A349" s="463"/>
      <c r="B349" s="464"/>
      <c r="C349" s="464"/>
      <c r="D349" s="464"/>
      <c r="E349" s="464"/>
      <c r="F349" s="464"/>
      <c r="G349" s="464"/>
      <c r="H349" s="464"/>
      <c r="I349" s="464"/>
      <c r="J349" s="464"/>
      <c r="K349" s="464"/>
      <c r="L349" s="464"/>
      <c r="M349" s="465"/>
      <c r="N349" s="464"/>
      <c r="O349" s="464"/>
      <c r="P349" s="464"/>
      <c r="Q349" s="444"/>
      <c r="R349" s="444"/>
      <c r="S349" s="444"/>
      <c r="T349" s="444"/>
      <c r="U349" s="444"/>
      <c r="V349" s="444"/>
      <c r="W349" s="444"/>
    </row>
    <row r="350" spans="1:23" ht="15.75">
      <c r="A350" s="463"/>
      <c r="B350" s="464"/>
      <c r="C350" s="464"/>
      <c r="D350" s="464"/>
      <c r="E350" s="464"/>
      <c r="F350" s="464"/>
      <c r="G350" s="464"/>
      <c r="H350" s="464"/>
      <c r="I350" s="464"/>
      <c r="J350" s="464"/>
      <c r="K350" s="464"/>
      <c r="L350" s="464"/>
      <c r="M350" s="465"/>
      <c r="N350" s="464"/>
      <c r="O350" s="464"/>
      <c r="P350" s="464"/>
      <c r="Q350" s="444"/>
      <c r="R350" s="444"/>
      <c r="S350" s="444"/>
      <c r="T350" s="444"/>
      <c r="U350" s="444"/>
      <c r="V350" s="444"/>
      <c r="W350" s="444"/>
    </row>
    <row r="351" spans="1:23" ht="15.75">
      <c r="A351" s="463"/>
      <c r="B351" s="464"/>
      <c r="C351" s="464"/>
      <c r="D351" s="464"/>
      <c r="E351" s="464"/>
      <c r="F351" s="464"/>
      <c r="G351" s="464"/>
      <c r="H351" s="464"/>
      <c r="I351" s="464"/>
      <c r="J351" s="464"/>
      <c r="K351" s="464"/>
      <c r="L351" s="464"/>
      <c r="M351" s="465"/>
      <c r="N351" s="464"/>
      <c r="O351" s="464"/>
      <c r="P351" s="464"/>
      <c r="Q351" s="444"/>
      <c r="R351" s="444"/>
      <c r="S351" s="444"/>
      <c r="T351" s="444"/>
      <c r="U351" s="444"/>
      <c r="V351" s="444"/>
      <c r="W351" s="444"/>
    </row>
    <row r="352" spans="1:23" ht="15.75">
      <c r="A352" s="463"/>
      <c r="B352" s="464"/>
      <c r="C352" s="464"/>
      <c r="D352" s="464"/>
      <c r="E352" s="464"/>
      <c r="F352" s="464"/>
      <c r="G352" s="464"/>
      <c r="H352" s="464"/>
      <c r="I352" s="464"/>
      <c r="J352" s="464"/>
      <c r="K352" s="464"/>
      <c r="L352" s="464"/>
      <c r="M352" s="465"/>
      <c r="N352" s="464"/>
      <c r="O352" s="464"/>
      <c r="P352" s="464"/>
      <c r="Q352" s="444"/>
      <c r="R352" s="444"/>
      <c r="S352" s="444"/>
      <c r="T352" s="444"/>
      <c r="U352" s="444"/>
      <c r="V352" s="444"/>
      <c r="W352" s="444"/>
    </row>
    <row r="353" spans="1:23" ht="15.75">
      <c r="A353" s="463"/>
      <c r="B353" s="464"/>
      <c r="C353" s="464"/>
      <c r="D353" s="464"/>
      <c r="E353" s="464"/>
      <c r="F353" s="464"/>
      <c r="G353" s="464"/>
      <c r="H353" s="464"/>
      <c r="I353" s="464"/>
      <c r="J353" s="464"/>
      <c r="K353" s="464"/>
      <c r="L353" s="464"/>
      <c r="M353" s="465"/>
      <c r="N353" s="464"/>
      <c r="O353" s="464"/>
      <c r="P353" s="464"/>
      <c r="Q353" s="444"/>
      <c r="R353" s="444"/>
      <c r="S353" s="444"/>
      <c r="T353" s="444"/>
      <c r="U353" s="444"/>
      <c r="V353" s="444"/>
      <c r="W353" s="444"/>
    </row>
    <row r="354" spans="1:23" ht="15.75">
      <c r="A354" s="463"/>
      <c r="B354" s="464"/>
      <c r="C354" s="464"/>
      <c r="D354" s="464"/>
      <c r="E354" s="464"/>
      <c r="F354" s="464"/>
      <c r="G354" s="464"/>
      <c r="H354" s="464"/>
      <c r="I354" s="464"/>
      <c r="J354" s="464"/>
      <c r="K354" s="464"/>
      <c r="L354" s="464"/>
      <c r="M354" s="465"/>
      <c r="N354" s="464"/>
      <c r="O354" s="464"/>
      <c r="P354" s="464"/>
      <c r="Q354" s="444"/>
      <c r="R354" s="444"/>
      <c r="S354" s="444"/>
      <c r="T354" s="444"/>
      <c r="U354" s="444"/>
      <c r="V354" s="444"/>
      <c r="W354" s="444"/>
    </row>
    <row r="355" spans="1:23" ht="15.75">
      <c r="A355" s="463"/>
      <c r="B355" s="464"/>
      <c r="C355" s="464"/>
      <c r="D355" s="464"/>
      <c r="E355" s="464"/>
      <c r="F355" s="464"/>
      <c r="G355" s="464"/>
      <c r="H355" s="464"/>
      <c r="I355" s="464"/>
      <c r="J355" s="464"/>
      <c r="K355" s="464"/>
      <c r="L355" s="464"/>
      <c r="M355" s="465"/>
      <c r="N355" s="464"/>
      <c r="O355" s="464"/>
      <c r="P355" s="464"/>
      <c r="Q355" s="444"/>
      <c r="R355" s="444"/>
      <c r="S355" s="444"/>
      <c r="T355" s="444"/>
      <c r="U355" s="444"/>
      <c r="V355" s="444"/>
      <c r="W355" s="444"/>
    </row>
    <row r="356" spans="1:23" ht="15.75">
      <c r="A356" s="463"/>
      <c r="B356" s="464"/>
      <c r="C356" s="464"/>
      <c r="D356" s="464"/>
      <c r="E356" s="464"/>
      <c r="F356" s="464"/>
      <c r="G356" s="464"/>
      <c r="H356" s="464"/>
      <c r="I356" s="464"/>
      <c r="J356" s="464"/>
      <c r="K356" s="464"/>
      <c r="L356" s="464"/>
      <c r="M356" s="465"/>
      <c r="N356" s="464"/>
      <c r="O356" s="464"/>
      <c r="P356" s="464"/>
      <c r="Q356" s="444"/>
      <c r="R356" s="444"/>
      <c r="S356" s="444"/>
      <c r="T356" s="444"/>
      <c r="U356" s="444"/>
      <c r="V356" s="444"/>
      <c r="W356" s="444"/>
    </row>
    <row r="357" spans="1:23" ht="15.75">
      <c r="A357" s="463"/>
      <c r="B357" s="464"/>
      <c r="C357" s="464"/>
      <c r="D357" s="464"/>
      <c r="E357" s="464"/>
      <c r="F357" s="464"/>
      <c r="G357" s="464"/>
      <c r="H357" s="464"/>
      <c r="I357" s="464"/>
      <c r="J357" s="464"/>
      <c r="K357" s="464"/>
      <c r="L357" s="464"/>
      <c r="M357" s="465"/>
      <c r="N357" s="464"/>
      <c r="O357" s="464"/>
      <c r="P357" s="464"/>
      <c r="Q357" s="444"/>
      <c r="R357" s="444"/>
      <c r="S357" s="444"/>
      <c r="T357" s="444"/>
      <c r="U357" s="444"/>
      <c r="V357" s="444"/>
      <c r="W357" s="444"/>
    </row>
    <row r="358" spans="1:23" ht="15.75">
      <c r="A358" s="463"/>
      <c r="B358" s="464"/>
      <c r="C358" s="464"/>
      <c r="D358" s="464"/>
      <c r="E358" s="464"/>
      <c r="F358" s="464"/>
      <c r="G358" s="464"/>
      <c r="H358" s="464"/>
      <c r="I358" s="464"/>
      <c r="J358" s="464"/>
      <c r="K358" s="464"/>
      <c r="L358" s="464"/>
      <c r="M358" s="465"/>
      <c r="N358" s="464"/>
      <c r="O358" s="464"/>
      <c r="P358" s="464"/>
      <c r="Q358" s="444"/>
      <c r="R358" s="444"/>
      <c r="S358" s="444"/>
      <c r="T358" s="444"/>
      <c r="U358" s="444"/>
      <c r="V358" s="444"/>
      <c r="W358" s="444"/>
    </row>
    <row r="359" spans="1:23" ht="15.75">
      <c r="A359" s="463"/>
      <c r="B359" s="464"/>
      <c r="C359" s="464"/>
      <c r="D359" s="464"/>
      <c r="E359" s="464"/>
      <c r="F359" s="464"/>
      <c r="G359" s="464"/>
      <c r="H359" s="464"/>
      <c r="I359" s="464"/>
      <c r="J359" s="464"/>
      <c r="K359" s="464"/>
      <c r="L359" s="464"/>
      <c r="M359" s="465"/>
      <c r="N359" s="464"/>
      <c r="O359" s="464"/>
      <c r="P359" s="464"/>
      <c r="Q359" s="444"/>
      <c r="R359" s="444"/>
      <c r="S359" s="444"/>
      <c r="T359" s="444"/>
      <c r="U359" s="444"/>
      <c r="V359" s="444"/>
      <c r="W359" s="444"/>
    </row>
    <row r="360" spans="1:23" ht="15.75">
      <c r="A360" s="463"/>
      <c r="B360" s="464"/>
      <c r="C360" s="464"/>
      <c r="D360" s="464"/>
      <c r="E360" s="464"/>
      <c r="F360" s="464"/>
      <c r="G360" s="464"/>
      <c r="H360" s="464"/>
      <c r="I360" s="464"/>
      <c r="J360" s="464"/>
      <c r="K360" s="464"/>
      <c r="L360" s="464"/>
      <c r="M360" s="465"/>
      <c r="N360" s="464"/>
      <c r="O360" s="464"/>
      <c r="P360" s="464"/>
      <c r="Q360" s="444"/>
      <c r="R360" s="444"/>
      <c r="S360" s="444"/>
      <c r="T360" s="444"/>
      <c r="U360" s="444"/>
      <c r="V360" s="444"/>
      <c r="W360" s="444"/>
    </row>
    <row r="361" spans="1:23" ht="15.75">
      <c r="A361" s="463"/>
      <c r="B361" s="464"/>
      <c r="C361" s="464"/>
      <c r="D361" s="464"/>
      <c r="E361" s="464"/>
      <c r="F361" s="464"/>
      <c r="G361" s="464"/>
      <c r="H361" s="464"/>
      <c r="I361" s="464"/>
      <c r="J361" s="464"/>
      <c r="K361" s="464"/>
      <c r="L361" s="464"/>
      <c r="M361" s="465"/>
      <c r="N361" s="464"/>
      <c r="O361" s="464"/>
      <c r="P361" s="464"/>
      <c r="Q361" s="444"/>
      <c r="R361" s="444"/>
      <c r="S361" s="444"/>
      <c r="T361" s="444"/>
      <c r="U361" s="444"/>
      <c r="V361" s="444"/>
      <c r="W361" s="444"/>
    </row>
    <row r="362" spans="1:23" ht="15.75">
      <c r="A362" s="463"/>
      <c r="B362" s="464"/>
      <c r="C362" s="464"/>
      <c r="D362" s="464"/>
      <c r="E362" s="464"/>
      <c r="F362" s="464"/>
      <c r="G362" s="464"/>
      <c r="H362" s="464"/>
      <c r="I362" s="464"/>
      <c r="J362" s="464"/>
      <c r="K362" s="464"/>
      <c r="L362" s="464"/>
      <c r="M362" s="465"/>
      <c r="N362" s="464"/>
      <c r="O362" s="464"/>
      <c r="P362" s="464"/>
      <c r="Q362" s="444"/>
      <c r="R362" s="444"/>
      <c r="S362" s="444"/>
      <c r="T362" s="444"/>
      <c r="U362" s="444"/>
      <c r="V362" s="444"/>
      <c r="W362" s="444"/>
    </row>
    <row r="363" spans="1:23" ht="15.75">
      <c r="A363" s="463"/>
      <c r="B363" s="464"/>
      <c r="C363" s="464"/>
      <c r="D363" s="464"/>
      <c r="E363" s="464"/>
      <c r="F363" s="464"/>
      <c r="G363" s="464"/>
      <c r="H363" s="464"/>
      <c r="I363" s="464"/>
      <c r="J363" s="464"/>
      <c r="K363" s="464"/>
      <c r="L363" s="464"/>
      <c r="M363" s="465"/>
      <c r="N363" s="464"/>
      <c r="O363" s="464"/>
      <c r="P363" s="464"/>
      <c r="Q363" s="444"/>
      <c r="R363" s="444"/>
      <c r="S363" s="444"/>
      <c r="T363" s="444"/>
      <c r="U363" s="444"/>
      <c r="V363" s="444"/>
      <c r="W363" s="444"/>
    </row>
    <row r="364" spans="1:23" ht="15.75">
      <c r="A364" s="463"/>
      <c r="B364" s="464"/>
      <c r="C364" s="464"/>
      <c r="D364" s="464"/>
      <c r="E364" s="464"/>
      <c r="F364" s="464"/>
      <c r="G364" s="464"/>
      <c r="H364" s="464"/>
      <c r="I364" s="464"/>
      <c r="J364" s="464"/>
      <c r="K364" s="464"/>
      <c r="L364" s="464"/>
      <c r="M364" s="465"/>
      <c r="N364" s="464"/>
      <c r="O364" s="464"/>
      <c r="P364" s="464"/>
      <c r="Q364" s="444"/>
      <c r="R364" s="444"/>
      <c r="S364" s="444"/>
      <c r="T364" s="444"/>
      <c r="U364" s="444"/>
      <c r="V364" s="444"/>
      <c r="W364" s="444"/>
    </row>
    <row r="365" spans="1:23" ht="15.75">
      <c r="A365" s="463"/>
      <c r="B365" s="464"/>
      <c r="C365" s="464"/>
      <c r="D365" s="464"/>
      <c r="E365" s="464"/>
      <c r="F365" s="464"/>
      <c r="G365" s="464"/>
      <c r="H365" s="464"/>
      <c r="I365" s="464"/>
      <c r="J365" s="464"/>
      <c r="K365" s="464"/>
      <c r="L365" s="464"/>
      <c r="M365" s="465"/>
      <c r="N365" s="464"/>
      <c r="O365" s="464"/>
      <c r="P365" s="464"/>
      <c r="Q365" s="444"/>
      <c r="R365" s="444"/>
      <c r="S365" s="444"/>
      <c r="T365" s="444"/>
      <c r="U365" s="444"/>
      <c r="V365" s="444"/>
      <c r="W365" s="444"/>
    </row>
    <row r="366" spans="1:23" ht="15.75">
      <c r="A366" s="463"/>
      <c r="B366" s="464"/>
      <c r="C366" s="464"/>
      <c r="D366" s="464"/>
      <c r="E366" s="464"/>
      <c r="F366" s="464"/>
      <c r="G366" s="464"/>
      <c r="H366" s="464"/>
      <c r="I366" s="464"/>
      <c r="J366" s="464"/>
      <c r="K366" s="464"/>
      <c r="L366" s="464"/>
      <c r="M366" s="465"/>
      <c r="N366" s="464"/>
      <c r="O366" s="464"/>
      <c r="P366" s="464"/>
      <c r="Q366" s="444"/>
      <c r="R366" s="444"/>
      <c r="S366" s="444"/>
      <c r="T366" s="444"/>
      <c r="U366" s="444"/>
      <c r="V366" s="444"/>
      <c r="W366" s="444"/>
    </row>
    <row r="367" spans="1:23" ht="15.75">
      <c r="A367" s="463"/>
      <c r="B367" s="464"/>
      <c r="C367" s="464"/>
      <c r="D367" s="464"/>
      <c r="E367" s="464"/>
      <c r="F367" s="464"/>
      <c r="G367" s="464"/>
      <c r="H367" s="464"/>
      <c r="I367" s="464"/>
      <c r="J367" s="464"/>
      <c r="K367" s="464"/>
      <c r="L367" s="464"/>
      <c r="M367" s="465"/>
      <c r="N367" s="464"/>
      <c r="O367" s="464"/>
      <c r="P367" s="464"/>
      <c r="Q367" s="444"/>
      <c r="R367" s="444"/>
      <c r="S367" s="444"/>
      <c r="T367" s="444"/>
      <c r="U367" s="444"/>
      <c r="V367" s="444"/>
      <c r="W367" s="444"/>
    </row>
    <row r="368" spans="1:23" ht="15.75">
      <c r="A368" s="463"/>
      <c r="B368" s="464"/>
      <c r="C368" s="464"/>
      <c r="D368" s="464"/>
      <c r="E368" s="464"/>
      <c r="F368" s="464"/>
      <c r="G368" s="464"/>
      <c r="H368" s="464"/>
      <c r="I368" s="464"/>
      <c r="J368" s="464"/>
      <c r="K368" s="464"/>
      <c r="L368" s="464"/>
      <c r="M368" s="465"/>
      <c r="N368" s="464"/>
      <c r="O368" s="464"/>
      <c r="P368" s="464"/>
      <c r="Q368" s="444"/>
      <c r="R368" s="444"/>
      <c r="S368" s="444"/>
      <c r="T368" s="444"/>
      <c r="U368" s="444"/>
      <c r="V368" s="444"/>
      <c r="W368" s="444"/>
    </row>
    <row r="369" spans="1:23" ht="15.75">
      <c r="A369" s="463"/>
      <c r="B369" s="464"/>
      <c r="C369" s="464"/>
      <c r="D369" s="464"/>
      <c r="E369" s="464"/>
      <c r="F369" s="464"/>
      <c r="G369" s="464"/>
      <c r="H369" s="464"/>
      <c r="I369" s="464"/>
      <c r="J369" s="464"/>
      <c r="K369" s="464"/>
      <c r="L369" s="464"/>
      <c r="M369" s="465"/>
      <c r="N369" s="464"/>
      <c r="O369" s="464"/>
      <c r="P369" s="464"/>
      <c r="Q369" s="444"/>
      <c r="R369" s="444"/>
      <c r="S369" s="444"/>
      <c r="T369" s="444"/>
      <c r="U369" s="444"/>
      <c r="V369" s="444"/>
      <c r="W369" s="444"/>
    </row>
    <row r="370" spans="1:23" ht="15.75">
      <c r="A370" s="463"/>
      <c r="B370" s="464"/>
      <c r="C370" s="464"/>
      <c r="D370" s="464"/>
      <c r="E370" s="464"/>
      <c r="F370" s="464"/>
      <c r="G370" s="464"/>
      <c r="H370" s="464"/>
      <c r="I370" s="464"/>
      <c r="J370" s="464"/>
      <c r="K370" s="464"/>
      <c r="L370" s="464"/>
      <c r="M370" s="465"/>
      <c r="N370" s="464"/>
      <c r="O370" s="464"/>
      <c r="P370" s="464"/>
      <c r="Q370" s="444"/>
      <c r="R370" s="444"/>
      <c r="S370" s="444"/>
      <c r="T370" s="444"/>
      <c r="U370" s="444"/>
      <c r="V370" s="444"/>
      <c r="W370" s="444"/>
    </row>
    <row r="371" spans="1:23" ht="15.75">
      <c r="A371" s="463"/>
      <c r="B371" s="464"/>
      <c r="C371" s="464"/>
      <c r="D371" s="464"/>
      <c r="E371" s="464"/>
      <c r="F371" s="464"/>
      <c r="G371" s="464"/>
      <c r="H371" s="464"/>
      <c r="I371" s="464"/>
      <c r="J371" s="464"/>
      <c r="K371" s="464"/>
      <c r="L371" s="464"/>
      <c r="M371" s="465"/>
      <c r="N371" s="464"/>
      <c r="O371" s="464"/>
      <c r="P371" s="464"/>
      <c r="Q371" s="444"/>
      <c r="R371" s="444"/>
      <c r="S371" s="444"/>
      <c r="T371" s="444"/>
      <c r="U371" s="444"/>
      <c r="V371" s="444"/>
      <c r="W371" s="444"/>
    </row>
    <row r="372" spans="1:23" ht="15.75">
      <c r="A372" s="463"/>
      <c r="B372" s="464"/>
      <c r="C372" s="464"/>
      <c r="D372" s="464"/>
      <c r="E372" s="464"/>
      <c r="F372" s="464"/>
      <c r="G372" s="464"/>
      <c r="H372" s="464"/>
      <c r="I372" s="464"/>
      <c r="J372" s="464"/>
      <c r="K372" s="464"/>
      <c r="L372" s="464"/>
      <c r="M372" s="465"/>
      <c r="N372" s="464"/>
      <c r="O372" s="464"/>
      <c r="P372" s="464"/>
      <c r="Q372" s="444"/>
      <c r="R372" s="444"/>
      <c r="S372" s="444"/>
      <c r="T372" s="444"/>
      <c r="U372" s="444"/>
      <c r="V372" s="444"/>
      <c r="W372" s="444"/>
    </row>
    <row r="373" spans="1:23" ht="15.75">
      <c r="A373" s="463"/>
      <c r="B373" s="464"/>
      <c r="C373" s="464"/>
      <c r="D373" s="464"/>
      <c r="E373" s="464"/>
      <c r="F373" s="464"/>
      <c r="G373" s="464"/>
      <c r="H373" s="464"/>
      <c r="I373" s="464"/>
      <c r="J373" s="464"/>
      <c r="K373" s="464"/>
      <c r="L373" s="464"/>
      <c r="M373" s="465"/>
      <c r="N373" s="464"/>
      <c r="O373" s="464"/>
      <c r="P373" s="464"/>
      <c r="Q373" s="444"/>
      <c r="R373" s="444"/>
      <c r="S373" s="444"/>
      <c r="T373" s="444"/>
      <c r="U373" s="444"/>
      <c r="V373" s="444"/>
      <c r="W373" s="444"/>
    </row>
    <row r="374" spans="1:23" ht="15.75">
      <c r="A374" s="463"/>
      <c r="B374" s="464"/>
      <c r="C374" s="464"/>
      <c r="D374" s="464"/>
      <c r="E374" s="464"/>
      <c r="F374" s="464"/>
      <c r="G374" s="464"/>
      <c r="H374" s="464"/>
      <c r="I374" s="464"/>
      <c r="J374" s="464"/>
      <c r="K374" s="464"/>
      <c r="L374" s="464"/>
      <c r="M374" s="465"/>
      <c r="N374" s="464"/>
      <c r="O374" s="464"/>
      <c r="P374" s="464"/>
      <c r="Q374" s="444"/>
      <c r="R374" s="444"/>
      <c r="S374" s="444"/>
      <c r="T374" s="444"/>
      <c r="U374" s="444"/>
      <c r="V374" s="444"/>
      <c r="W374" s="444"/>
    </row>
    <row r="375" spans="1:23" ht="15.75">
      <c r="A375" s="463"/>
      <c r="B375" s="464"/>
      <c r="C375" s="464"/>
      <c r="D375" s="464"/>
      <c r="E375" s="464"/>
      <c r="F375" s="464"/>
      <c r="G375" s="464"/>
      <c r="H375" s="464"/>
      <c r="I375" s="464"/>
      <c r="J375" s="464"/>
      <c r="K375" s="464"/>
      <c r="L375" s="464"/>
      <c r="M375" s="465"/>
      <c r="N375" s="464"/>
      <c r="O375" s="464"/>
      <c r="P375" s="464"/>
      <c r="Q375" s="444"/>
      <c r="R375" s="444"/>
      <c r="S375" s="444"/>
      <c r="T375" s="444"/>
      <c r="U375" s="444"/>
      <c r="V375" s="444"/>
      <c r="W375" s="444"/>
    </row>
    <row r="376" spans="1:23" ht="15.75">
      <c r="A376" s="463"/>
      <c r="B376" s="464"/>
      <c r="C376" s="464"/>
      <c r="D376" s="464"/>
      <c r="E376" s="464"/>
      <c r="F376" s="464"/>
      <c r="G376" s="464"/>
      <c r="H376" s="464"/>
      <c r="I376" s="464"/>
      <c r="J376" s="464"/>
      <c r="K376" s="464"/>
      <c r="L376" s="464"/>
      <c r="M376" s="465"/>
      <c r="N376" s="464"/>
      <c r="O376" s="464"/>
      <c r="P376" s="464"/>
      <c r="Q376" s="444"/>
      <c r="R376" s="444"/>
      <c r="S376" s="444"/>
      <c r="T376" s="444"/>
      <c r="U376" s="444"/>
      <c r="V376" s="444"/>
      <c r="W376" s="444"/>
    </row>
    <row r="377" spans="1:23" ht="15.75">
      <c r="A377" s="463"/>
      <c r="B377" s="464"/>
      <c r="C377" s="464"/>
      <c r="D377" s="464"/>
      <c r="E377" s="464"/>
      <c r="F377" s="464"/>
      <c r="G377" s="464"/>
      <c r="H377" s="464"/>
      <c r="I377" s="464"/>
      <c r="J377" s="464"/>
      <c r="K377" s="464"/>
      <c r="L377" s="464"/>
      <c r="M377" s="465"/>
      <c r="N377" s="464"/>
      <c r="O377" s="464"/>
      <c r="P377" s="464"/>
      <c r="Q377" s="444"/>
      <c r="R377" s="444"/>
      <c r="S377" s="444"/>
      <c r="T377" s="444"/>
      <c r="U377" s="444"/>
      <c r="V377" s="444"/>
      <c r="W377" s="444"/>
    </row>
    <row r="378" spans="1:23" ht="15.75">
      <c r="A378" s="463"/>
      <c r="B378" s="464"/>
      <c r="C378" s="464"/>
      <c r="D378" s="464"/>
      <c r="E378" s="464"/>
      <c r="F378" s="464"/>
      <c r="G378" s="464"/>
      <c r="H378" s="464"/>
      <c r="I378" s="464"/>
      <c r="J378" s="464"/>
      <c r="K378" s="464"/>
      <c r="L378" s="464"/>
      <c r="M378" s="465"/>
      <c r="N378" s="464"/>
      <c r="O378" s="464"/>
      <c r="P378" s="464"/>
      <c r="Q378" s="444"/>
      <c r="R378" s="444"/>
      <c r="S378" s="444"/>
      <c r="T378" s="444"/>
      <c r="U378" s="444"/>
      <c r="V378" s="444"/>
      <c r="W378" s="444"/>
    </row>
    <row r="379" spans="1:23" ht="15.75">
      <c r="A379" s="463"/>
      <c r="B379" s="464"/>
      <c r="C379" s="464"/>
      <c r="D379" s="464"/>
      <c r="E379" s="464"/>
      <c r="F379" s="464"/>
      <c r="G379" s="464"/>
      <c r="H379" s="464"/>
      <c r="I379" s="464"/>
      <c r="J379" s="464"/>
      <c r="K379" s="464"/>
      <c r="L379" s="464"/>
      <c r="M379" s="465"/>
      <c r="N379" s="464"/>
      <c r="O379" s="464"/>
      <c r="P379" s="464"/>
      <c r="Q379" s="444"/>
      <c r="R379" s="444"/>
      <c r="S379" s="444"/>
      <c r="T379" s="444"/>
      <c r="U379" s="444"/>
      <c r="V379" s="444"/>
      <c r="W379" s="444"/>
    </row>
    <row r="380" spans="1:23" ht="15.75">
      <c r="A380" s="463"/>
      <c r="B380" s="464"/>
      <c r="C380" s="464"/>
      <c r="D380" s="464"/>
      <c r="E380" s="464"/>
      <c r="F380" s="464"/>
      <c r="G380" s="464"/>
      <c r="H380" s="464"/>
      <c r="I380" s="464"/>
      <c r="J380" s="464"/>
      <c r="K380" s="464"/>
      <c r="L380" s="464"/>
      <c r="M380" s="465"/>
      <c r="N380" s="464"/>
      <c r="O380" s="464"/>
      <c r="P380" s="464"/>
      <c r="Q380" s="444"/>
      <c r="R380" s="444"/>
      <c r="S380" s="444"/>
      <c r="T380" s="444"/>
      <c r="U380" s="444"/>
      <c r="V380" s="444"/>
      <c r="W380" s="444"/>
    </row>
    <row r="381" spans="1:23" ht="15.75">
      <c r="A381" s="463"/>
      <c r="B381" s="464"/>
      <c r="C381" s="464"/>
      <c r="D381" s="464"/>
      <c r="E381" s="464"/>
      <c r="F381" s="464"/>
      <c r="G381" s="464"/>
      <c r="H381" s="464"/>
      <c r="I381" s="464"/>
      <c r="J381" s="464"/>
      <c r="K381" s="464"/>
      <c r="L381" s="464"/>
      <c r="M381" s="465"/>
      <c r="N381" s="464"/>
      <c r="O381" s="464"/>
      <c r="P381" s="464"/>
      <c r="Q381" s="444"/>
      <c r="R381" s="444"/>
      <c r="S381" s="444"/>
      <c r="T381" s="444"/>
      <c r="U381" s="444"/>
      <c r="V381" s="444"/>
      <c r="W381" s="444"/>
    </row>
    <row r="382" spans="1:23" ht="15.75">
      <c r="A382" s="463"/>
      <c r="B382" s="464"/>
      <c r="C382" s="464"/>
      <c r="D382" s="464"/>
      <c r="E382" s="464"/>
      <c r="F382" s="464"/>
      <c r="G382" s="464"/>
      <c r="H382" s="464"/>
      <c r="I382" s="464"/>
      <c r="J382" s="464"/>
      <c r="K382" s="464"/>
      <c r="L382" s="464"/>
      <c r="M382" s="465"/>
      <c r="N382" s="464"/>
      <c r="O382" s="464"/>
      <c r="P382" s="464"/>
      <c r="Q382" s="444"/>
      <c r="R382" s="444"/>
      <c r="S382" s="444"/>
      <c r="T382" s="444"/>
      <c r="U382" s="444"/>
      <c r="V382" s="444"/>
      <c r="W382" s="444"/>
    </row>
    <row r="383" spans="1:23" ht="15.75">
      <c r="A383" s="463"/>
      <c r="B383" s="464"/>
      <c r="C383" s="464"/>
      <c r="D383" s="464"/>
      <c r="E383" s="464"/>
      <c r="F383" s="464"/>
      <c r="G383" s="464"/>
      <c r="H383" s="464"/>
      <c r="I383" s="464"/>
      <c r="J383" s="464"/>
      <c r="K383" s="464"/>
      <c r="L383" s="464"/>
      <c r="M383" s="465"/>
      <c r="N383" s="464"/>
      <c r="O383" s="464"/>
      <c r="P383" s="464"/>
      <c r="Q383" s="444"/>
      <c r="R383" s="444"/>
      <c r="S383" s="444"/>
      <c r="T383" s="444"/>
      <c r="U383" s="444"/>
      <c r="V383" s="444"/>
      <c r="W383" s="444"/>
    </row>
    <row r="384" spans="1:23" ht="15.75">
      <c r="A384" s="463"/>
      <c r="B384" s="464"/>
      <c r="C384" s="464"/>
      <c r="D384" s="464"/>
      <c r="E384" s="464"/>
      <c r="F384" s="464"/>
      <c r="G384" s="464"/>
      <c r="H384" s="464"/>
      <c r="I384" s="464"/>
      <c r="J384" s="464"/>
      <c r="K384" s="464"/>
      <c r="L384" s="464"/>
      <c r="M384" s="465"/>
      <c r="N384" s="464"/>
      <c r="O384" s="464"/>
      <c r="P384" s="464"/>
      <c r="Q384" s="444"/>
      <c r="R384" s="444"/>
      <c r="S384" s="444"/>
      <c r="T384" s="444"/>
      <c r="U384" s="444"/>
      <c r="V384" s="444"/>
      <c r="W384" s="444"/>
    </row>
    <row r="385" spans="1:23" ht="15.75">
      <c r="A385" s="463"/>
      <c r="B385" s="464"/>
      <c r="C385" s="464"/>
      <c r="D385" s="464"/>
      <c r="E385" s="464"/>
      <c r="F385" s="464"/>
      <c r="G385" s="464"/>
      <c r="H385" s="464"/>
      <c r="I385" s="464"/>
      <c r="J385" s="464"/>
      <c r="K385" s="464"/>
      <c r="L385" s="464"/>
      <c r="M385" s="465"/>
      <c r="N385" s="464"/>
      <c r="O385" s="464"/>
      <c r="P385" s="464"/>
      <c r="Q385" s="444"/>
      <c r="R385" s="444"/>
      <c r="S385" s="444"/>
      <c r="T385" s="444"/>
      <c r="U385" s="444"/>
      <c r="V385" s="444"/>
      <c r="W385" s="444"/>
    </row>
    <row r="386" spans="1:23" ht="15.75">
      <c r="A386" s="463"/>
      <c r="B386" s="464"/>
      <c r="C386" s="464"/>
      <c r="D386" s="464"/>
      <c r="E386" s="464"/>
      <c r="F386" s="464"/>
      <c r="G386" s="464"/>
      <c r="H386" s="464"/>
      <c r="I386" s="464"/>
      <c r="J386" s="464"/>
      <c r="K386" s="464"/>
      <c r="L386" s="464"/>
      <c r="M386" s="465"/>
      <c r="N386" s="464"/>
      <c r="O386" s="464"/>
      <c r="P386" s="464"/>
      <c r="Q386" s="444"/>
      <c r="R386" s="444"/>
      <c r="S386" s="444"/>
      <c r="T386" s="444"/>
      <c r="U386" s="444"/>
      <c r="V386" s="444"/>
      <c r="W386" s="444"/>
    </row>
    <row r="387" spans="1:23" ht="15.75">
      <c r="A387" s="463"/>
      <c r="B387" s="464"/>
      <c r="C387" s="464"/>
      <c r="D387" s="464"/>
      <c r="E387" s="464"/>
      <c r="F387" s="464"/>
      <c r="G387" s="464"/>
      <c r="H387" s="464"/>
      <c r="I387" s="464"/>
      <c r="J387" s="464"/>
      <c r="K387" s="464"/>
      <c r="L387" s="464"/>
      <c r="M387" s="465"/>
      <c r="N387" s="464"/>
      <c r="O387" s="464"/>
      <c r="P387" s="464"/>
      <c r="Q387" s="444"/>
      <c r="R387" s="444"/>
      <c r="S387" s="444"/>
      <c r="T387" s="444"/>
      <c r="U387" s="444"/>
      <c r="V387" s="444"/>
      <c r="W387" s="444"/>
    </row>
    <row r="388" spans="1:23" ht="15.75">
      <c r="A388" s="463"/>
      <c r="B388" s="464"/>
      <c r="C388" s="464"/>
      <c r="D388" s="464"/>
      <c r="E388" s="464"/>
      <c r="F388" s="464"/>
      <c r="G388" s="464"/>
      <c r="H388" s="464"/>
      <c r="I388" s="464"/>
      <c r="J388" s="464"/>
      <c r="K388" s="464"/>
      <c r="L388" s="464"/>
      <c r="M388" s="465"/>
      <c r="N388" s="464"/>
      <c r="O388" s="464"/>
      <c r="P388" s="464"/>
      <c r="Q388" s="444"/>
      <c r="R388" s="444"/>
      <c r="S388" s="444"/>
      <c r="T388" s="444"/>
      <c r="U388" s="444"/>
      <c r="V388" s="444"/>
      <c r="W388" s="444"/>
    </row>
    <row r="389" spans="1:23" ht="15.75">
      <c r="A389" s="463"/>
      <c r="B389" s="464"/>
      <c r="C389" s="464"/>
      <c r="D389" s="464"/>
      <c r="E389" s="464"/>
      <c r="F389" s="464"/>
      <c r="G389" s="464"/>
      <c r="H389" s="464"/>
      <c r="I389" s="464"/>
      <c r="J389" s="464"/>
      <c r="K389" s="464"/>
      <c r="L389" s="464"/>
      <c r="M389" s="465"/>
      <c r="N389" s="464"/>
      <c r="O389" s="464"/>
      <c r="P389" s="464"/>
      <c r="Q389" s="444"/>
      <c r="R389" s="444"/>
      <c r="S389" s="444"/>
      <c r="T389" s="444"/>
      <c r="U389" s="444"/>
      <c r="V389" s="444"/>
      <c r="W389" s="444"/>
    </row>
    <row r="390" spans="1:23" ht="15.75">
      <c r="A390" s="463"/>
      <c r="B390" s="464"/>
      <c r="C390" s="464"/>
      <c r="D390" s="464"/>
      <c r="E390" s="464"/>
      <c r="F390" s="464"/>
      <c r="G390" s="464"/>
      <c r="H390" s="464"/>
      <c r="I390" s="464"/>
      <c r="J390" s="464"/>
      <c r="K390" s="464"/>
      <c r="L390" s="464"/>
      <c r="M390" s="465"/>
      <c r="N390" s="464"/>
      <c r="O390" s="464"/>
      <c r="P390" s="464"/>
      <c r="Q390" s="444"/>
      <c r="R390" s="444"/>
      <c r="S390" s="444"/>
      <c r="T390" s="444"/>
      <c r="U390" s="444"/>
      <c r="V390" s="444"/>
      <c r="W390" s="444"/>
    </row>
    <row r="391" spans="1:23" ht="15.75">
      <c r="A391" s="463"/>
      <c r="B391" s="464"/>
      <c r="C391" s="464"/>
      <c r="D391" s="464"/>
      <c r="E391" s="464"/>
      <c r="F391" s="464"/>
      <c r="G391" s="464"/>
      <c r="H391" s="464"/>
      <c r="I391" s="464"/>
      <c r="J391" s="464"/>
      <c r="K391" s="464"/>
      <c r="L391" s="464"/>
      <c r="M391" s="465"/>
      <c r="N391" s="464"/>
      <c r="O391" s="464"/>
      <c r="P391" s="464"/>
      <c r="Q391" s="444"/>
      <c r="R391" s="444"/>
      <c r="S391" s="444"/>
      <c r="T391" s="444"/>
      <c r="U391" s="444"/>
      <c r="V391" s="444"/>
      <c r="W391" s="444"/>
    </row>
    <row r="392" spans="1:23" ht="15.75">
      <c r="A392" s="463"/>
      <c r="B392" s="464"/>
      <c r="C392" s="464"/>
      <c r="D392" s="464"/>
      <c r="E392" s="464"/>
      <c r="F392" s="464"/>
      <c r="G392" s="464"/>
      <c r="H392" s="464"/>
      <c r="I392" s="464"/>
      <c r="J392" s="464"/>
      <c r="K392" s="464"/>
      <c r="L392" s="464"/>
      <c r="M392" s="465"/>
      <c r="N392" s="464"/>
      <c r="O392" s="464"/>
      <c r="P392" s="464"/>
      <c r="Q392" s="444"/>
      <c r="R392" s="444"/>
      <c r="S392" s="444"/>
      <c r="T392" s="444"/>
      <c r="U392" s="444"/>
      <c r="V392" s="444"/>
      <c r="W392" s="444"/>
    </row>
    <row r="393" spans="1:23" ht="15.75">
      <c r="A393" s="463"/>
      <c r="B393" s="464"/>
      <c r="C393" s="464"/>
      <c r="D393" s="464"/>
      <c r="E393" s="464"/>
      <c r="F393" s="464"/>
      <c r="G393" s="464"/>
      <c r="H393" s="464"/>
      <c r="I393" s="464"/>
      <c r="J393" s="464"/>
      <c r="K393" s="464"/>
      <c r="L393" s="464"/>
      <c r="M393" s="465"/>
      <c r="N393" s="464"/>
      <c r="O393" s="464"/>
      <c r="P393" s="464"/>
      <c r="Q393" s="444"/>
      <c r="R393" s="444"/>
      <c r="S393" s="444"/>
      <c r="T393" s="444"/>
      <c r="U393" s="444"/>
      <c r="V393" s="444"/>
      <c r="W393" s="444"/>
    </row>
    <row r="394" spans="1:23" ht="15.75">
      <c r="A394" s="463"/>
      <c r="B394" s="464"/>
      <c r="C394" s="464"/>
      <c r="D394" s="464"/>
      <c r="E394" s="464"/>
      <c r="F394" s="464"/>
      <c r="G394" s="464"/>
      <c r="H394" s="464"/>
      <c r="I394" s="464"/>
      <c r="J394" s="464"/>
      <c r="K394" s="464"/>
      <c r="L394" s="464"/>
      <c r="M394" s="465"/>
      <c r="N394" s="464"/>
      <c r="O394" s="464"/>
      <c r="P394" s="464"/>
      <c r="Q394" s="444"/>
      <c r="R394" s="444"/>
      <c r="S394" s="444"/>
      <c r="T394" s="444"/>
      <c r="U394" s="444"/>
      <c r="V394" s="444"/>
      <c r="W394" s="444"/>
    </row>
    <row r="395" spans="1:23" ht="15.75">
      <c r="A395" s="463"/>
      <c r="B395" s="464"/>
      <c r="C395" s="464"/>
      <c r="D395" s="464"/>
      <c r="E395" s="464"/>
      <c r="F395" s="464"/>
      <c r="G395" s="464"/>
      <c r="H395" s="464"/>
      <c r="I395" s="464"/>
      <c r="J395" s="464"/>
      <c r="K395" s="464"/>
      <c r="L395" s="464"/>
      <c r="M395" s="465"/>
      <c r="N395" s="464"/>
      <c r="O395" s="464"/>
      <c r="P395" s="464"/>
      <c r="Q395" s="444"/>
      <c r="R395" s="444"/>
      <c r="S395" s="444"/>
      <c r="T395" s="444"/>
      <c r="U395" s="444"/>
      <c r="V395" s="444"/>
      <c r="W395" s="444"/>
    </row>
    <row r="396" spans="1:23" ht="15.75">
      <c r="A396" s="463"/>
      <c r="B396" s="464"/>
      <c r="C396" s="464"/>
      <c r="D396" s="464"/>
      <c r="E396" s="464"/>
      <c r="F396" s="464"/>
      <c r="G396" s="464"/>
      <c r="H396" s="464"/>
      <c r="I396" s="464"/>
      <c r="J396" s="464"/>
      <c r="K396" s="464"/>
      <c r="L396" s="464"/>
      <c r="M396" s="465"/>
      <c r="N396" s="464"/>
      <c r="O396" s="464"/>
      <c r="P396" s="464"/>
      <c r="Q396" s="444"/>
      <c r="R396" s="444"/>
      <c r="S396" s="444"/>
      <c r="T396" s="444"/>
      <c r="U396" s="444"/>
      <c r="V396" s="444"/>
      <c r="W396" s="444"/>
    </row>
    <row r="397" spans="1:23" ht="15.75">
      <c r="A397" s="463"/>
      <c r="B397" s="464"/>
      <c r="C397" s="464"/>
      <c r="D397" s="464"/>
      <c r="E397" s="464"/>
      <c r="F397" s="464"/>
      <c r="G397" s="464"/>
      <c r="H397" s="464"/>
      <c r="I397" s="464"/>
      <c r="J397" s="464"/>
      <c r="K397" s="464"/>
      <c r="L397" s="464"/>
      <c r="M397" s="465"/>
      <c r="N397" s="464"/>
      <c r="O397" s="464"/>
      <c r="P397" s="464"/>
      <c r="Q397" s="444"/>
      <c r="R397" s="444"/>
      <c r="S397" s="444"/>
      <c r="T397" s="444"/>
      <c r="U397" s="444"/>
      <c r="V397" s="444"/>
      <c r="W397" s="444"/>
    </row>
    <row r="398" spans="1:23" ht="15.75">
      <c r="A398" s="463"/>
      <c r="B398" s="464"/>
      <c r="C398" s="464"/>
      <c r="D398" s="464"/>
      <c r="E398" s="464"/>
      <c r="F398" s="464"/>
      <c r="G398" s="464"/>
      <c r="H398" s="464"/>
      <c r="I398" s="464"/>
      <c r="J398" s="464"/>
      <c r="K398" s="464"/>
      <c r="L398" s="464"/>
      <c r="M398" s="465"/>
      <c r="N398" s="464"/>
      <c r="O398" s="464"/>
      <c r="P398" s="464"/>
      <c r="Q398" s="444"/>
      <c r="R398" s="444"/>
      <c r="S398" s="444"/>
      <c r="T398" s="444"/>
      <c r="U398" s="444"/>
      <c r="V398" s="444"/>
      <c r="W398" s="444"/>
    </row>
    <row r="399" spans="1:23" ht="15.75">
      <c r="A399" s="463"/>
      <c r="B399" s="464"/>
      <c r="C399" s="464"/>
      <c r="D399" s="464"/>
      <c r="E399" s="464"/>
      <c r="F399" s="464"/>
      <c r="G399" s="464"/>
      <c r="H399" s="464"/>
      <c r="I399" s="464"/>
      <c r="J399" s="464"/>
      <c r="K399" s="464"/>
      <c r="L399" s="464"/>
      <c r="M399" s="465"/>
      <c r="N399" s="464"/>
      <c r="O399" s="464"/>
      <c r="P399" s="464"/>
      <c r="Q399" s="444"/>
      <c r="R399" s="444"/>
      <c r="S399" s="444"/>
      <c r="T399" s="444"/>
      <c r="U399" s="444"/>
      <c r="V399" s="444"/>
      <c r="W399" s="444"/>
    </row>
    <row r="400" spans="1:23" ht="15.75">
      <c r="A400" s="463"/>
      <c r="B400" s="464"/>
      <c r="C400" s="464"/>
      <c r="D400" s="464"/>
      <c r="E400" s="464"/>
      <c r="F400" s="464"/>
      <c r="G400" s="464"/>
      <c r="H400" s="464"/>
      <c r="I400" s="464"/>
      <c r="J400" s="464"/>
      <c r="K400" s="464"/>
      <c r="L400" s="464"/>
      <c r="M400" s="465"/>
      <c r="N400" s="464"/>
      <c r="O400" s="464"/>
      <c r="P400" s="464"/>
      <c r="Q400" s="444"/>
      <c r="R400" s="444"/>
      <c r="S400" s="444"/>
      <c r="T400" s="444"/>
      <c r="U400" s="444"/>
      <c r="V400" s="444"/>
      <c r="W400" s="444"/>
    </row>
    <row r="401" spans="1:23" ht="15.75">
      <c r="A401" s="463"/>
      <c r="B401" s="464"/>
      <c r="C401" s="464"/>
      <c r="D401" s="464"/>
      <c r="E401" s="464"/>
      <c r="F401" s="464"/>
      <c r="G401" s="464"/>
      <c r="H401" s="464"/>
      <c r="I401" s="464"/>
      <c r="J401" s="464"/>
      <c r="K401" s="464"/>
      <c r="L401" s="464"/>
      <c r="M401" s="465"/>
      <c r="N401" s="464"/>
      <c r="O401" s="464"/>
      <c r="P401" s="464"/>
      <c r="Q401" s="444"/>
      <c r="R401" s="444"/>
      <c r="S401" s="444"/>
      <c r="T401" s="444"/>
      <c r="U401" s="444"/>
      <c r="V401" s="444"/>
      <c r="W401" s="444"/>
    </row>
    <row r="402" spans="1:23" ht="15.75">
      <c r="A402" s="463"/>
      <c r="B402" s="464"/>
      <c r="C402" s="464"/>
      <c r="D402" s="464"/>
      <c r="E402" s="464"/>
      <c r="F402" s="464"/>
      <c r="G402" s="464"/>
      <c r="H402" s="464"/>
      <c r="I402" s="464"/>
      <c r="J402" s="464"/>
      <c r="K402" s="464"/>
      <c r="L402" s="464"/>
      <c r="M402" s="465"/>
      <c r="N402" s="464"/>
      <c r="O402" s="464"/>
      <c r="P402" s="464"/>
      <c r="Q402" s="444"/>
      <c r="R402" s="444"/>
      <c r="S402" s="444"/>
      <c r="T402" s="444"/>
      <c r="U402" s="444"/>
      <c r="V402" s="444"/>
      <c r="W402" s="444"/>
    </row>
    <row r="403" spans="1:23" ht="15.75">
      <c r="A403" s="463"/>
      <c r="B403" s="464"/>
      <c r="C403" s="464"/>
      <c r="D403" s="464"/>
      <c r="E403" s="464"/>
      <c r="F403" s="464"/>
      <c r="G403" s="464"/>
      <c r="H403" s="464"/>
      <c r="I403" s="464"/>
      <c r="J403" s="464"/>
      <c r="K403" s="464"/>
      <c r="L403" s="464"/>
      <c r="M403" s="465"/>
      <c r="N403" s="464"/>
      <c r="O403" s="464"/>
      <c r="P403" s="464"/>
      <c r="Q403" s="444"/>
      <c r="R403" s="444"/>
      <c r="S403" s="444"/>
      <c r="T403" s="444"/>
      <c r="U403" s="444"/>
      <c r="V403" s="444"/>
      <c r="W403" s="444"/>
    </row>
    <row r="404" spans="1:23" ht="15.75">
      <c r="A404" s="463"/>
      <c r="B404" s="464"/>
      <c r="C404" s="464"/>
      <c r="D404" s="464"/>
      <c r="E404" s="464"/>
      <c r="F404" s="464"/>
      <c r="G404" s="464"/>
      <c r="H404" s="464"/>
      <c r="I404" s="464"/>
      <c r="J404" s="464"/>
      <c r="K404" s="464"/>
      <c r="L404" s="464"/>
      <c r="M404" s="465"/>
      <c r="N404" s="464"/>
      <c r="O404" s="464"/>
      <c r="P404" s="464"/>
      <c r="Q404" s="444"/>
      <c r="R404" s="444"/>
      <c r="S404" s="444"/>
      <c r="T404" s="444"/>
      <c r="U404" s="444"/>
      <c r="V404" s="444"/>
      <c r="W404" s="444"/>
    </row>
    <row r="405" spans="1:23" ht="15.75">
      <c r="A405" s="463"/>
      <c r="B405" s="464"/>
      <c r="C405" s="464"/>
      <c r="D405" s="464"/>
      <c r="E405" s="464"/>
      <c r="F405" s="464"/>
      <c r="G405" s="464"/>
      <c r="H405" s="464"/>
      <c r="I405" s="464"/>
      <c r="J405" s="464"/>
      <c r="K405" s="464"/>
      <c r="L405" s="464"/>
      <c r="M405" s="465"/>
      <c r="N405" s="464"/>
      <c r="O405" s="464"/>
      <c r="P405" s="464"/>
      <c r="Q405" s="444"/>
      <c r="R405" s="444"/>
      <c r="S405" s="444"/>
      <c r="T405" s="444"/>
      <c r="U405" s="444"/>
      <c r="V405" s="444"/>
      <c r="W405" s="444"/>
    </row>
    <row r="406" spans="1:23" ht="15.75">
      <c r="A406" s="463"/>
      <c r="B406" s="464"/>
      <c r="C406" s="464"/>
      <c r="D406" s="464"/>
      <c r="E406" s="464"/>
      <c r="F406" s="464"/>
      <c r="G406" s="464"/>
      <c r="H406" s="464"/>
      <c r="I406" s="464"/>
      <c r="J406" s="464"/>
      <c r="K406" s="464"/>
      <c r="L406" s="464"/>
      <c r="M406" s="465"/>
      <c r="N406" s="464"/>
      <c r="O406" s="464"/>
      <c r="P406" s="464"/>
      <c r="Q406" s="444"/>
      <c r="R406" s="444"/>
      <c r="S406" s="444"/>
      <c r="T406" s="444"/>
      <c r="U406" s="444"/>
      <c r="V406" s="444"/>
      <c r="W406" s="444"/>
    </row>
    <row r="407" spans="1:23" ht="15.75">
      <c r="A407" s="463"/>
      <c r="B407" s="464"/>
      <c r="C407" s="464"/>
      <c r="D407" s="464"/>
      <c r="E407" s="464"/>
      <c r="F407" s="464"/>
      <c r="G407" s="464"/>
      <c r="H407" s="464"/>
      <c r="I407" s="464"/>
      <c r="J407" s="464"/>
      <c r="K407" s="464"/>
      <c r="L407" s="464"/>
      <c r="M407" s="465"/>
      <c r="N407" s="464"/>
      <c r="O407" s="464"/>
      <c r="P407" s="464"/>
      <c r="Q407" s="444"/>
      <c r="R407" s="444"/>
      <c r="S407" s="444"/>
      <c r="T407" s="444"/>
      <c r="U407" s="444"/>
      <c r="V407" s="444"/>
      <c r="W407" s="444"/>
    </row>
    <row r="408" spans="1:23" ht="15.75">
      <c r="A408" s="463"/>
      <c r="B408" s="464"/>
      <c r="C408" s="464"/>
      <c r="D408" s="464"/>
      <c r="E408" s="464"/>
      <c r="F408" s="464"/>
      <c r="G408" s="464"/>
      <c r="H408" s="464"/>
      <c r="I408" s="464"/>
      <c r="J408" s="464"/>
      <c r="K408" s="464"/>
      <c r="L408" s="464"/>
      <c r="M408" s="465"/>
      <c r="N408" s="464"/>
      <c r="O408" s="464"/>
      <c r="P408" s="464"/>
      <c r="Q408" s="444"/>
      <c r="R408" s="444"/>
      <c r="S408" s="444"/>
      <c r="T408" s="444"/>
      <c r="U408" s="444"/>
      <c r="V408" s="444"/>
      <c r="W408" s="444"/>
    </row>
    <row r="409" spans="1:23" ht="15.75">
      <c r="A409" s="463"/>
      <c r="B409" s="464"/>
      <c r="C409" s="464"/>
      <c r="D409" s="464"/>
      <c r="E409" s="464"/>
      <c r="F409" s="464"/>
      <c r="G409" s="464"/>
      <c r="H409" s="464"/>
      <c r="I409" s="464"/>
      <c r="J409" s="464"/>
      <c r="K409" s="464"/>
      <c r="L409" s="464"/>
      <c r="M409" s="465"/>
      <c r="N409" s="464"/>
      <c r="O409" s="464"/>
      <c r="P409" s="464"/>
      <c r="Q409" s="444"/>
      <c r="R409" s="444"/>
      <c r="S409" s="444"/>
      <c r="T409" s="444"/>
      <c r="U409" s="444"/>
      <c r="V409" s="444"/>
      <c r="W409" s="444"/>
    </row>
    <row r="410" spans="1:23" ht="15.75">
      <c r="A410" s="463"/>
      <c r="B410" s="464"/>
      <c r="C410" s="464"/>
      <c r="D410" s="464"/>
      <c r="E410" s="464"/>
      <c r="F410" s="464"/>
      <c r="G410" s="464"/>
      <c r="H410" s="464"/>
      <c r="I410" s="464"/>
      <c r="J410" s="464"/>
      <c r="K410" s="464"/>
      <c r="L410" s="464"/>
      <c r="M410" s="465"/>
      <c r="N410" s="464"/>
      <c r="O410" s="464"/>
      <c r="P410" s="464"/>
      <c r="Q410" s="444"/>
      <c r="R410" s="444"/>
      <c r="S410" s="444"/>
      <c r="T410" s="444"/>
      <c r="U410" s="444"/>
      <c r="V410" s="444"/>
      <c r="W410" s="444"/>
    </row>
    <row r="411" spans="1:23" ht="15.75">
      <c r="A411" s="463"/>
      <c r="B411" s="464"/>
      <c r="C411" s="464"/>
      <c r="D411" s="464"/>
      <c r="E411" s="464"/>
      <c r="F411" s="464"/>
      <c r="G411" s="464"/>
      <c r="H411" s="464"/>
      <c r="I411" s="464"/>
      <c r="J411" s="464"/>
      <c r="K411" s="464"/>
      <c r="L411" s="464"/>
      <c r="M411" s="465"/>
      <c r="N411" s="464"/>
      <c r="O411" s="464"/>
      <c r="P411" s="464"/>
      <c r="Q411" s="444"/>
      <c r="R411" s="444"/>
      <c r="S411" s="444"/>
      <c r="T411" s="444"/>
      <c r="U411" s="444"/>
      <c r="V411" s="444"/>
      <c r="W411" s="444"/>
    </row>
    <row r="412" spans="1:23" ht="15.75">
      <c r="A412" s="463"/>
      <c r="B412" s="464"/>
      <c r="C412" s="464"/>
      <c r="D412" s="464"/>
      <c r="E412" s="464"/>
      <c r="F412" s="464"/>
      <c r="G412" s="464"/>
      <c r="H412" s="464"/>
      <c r="I412" s="464"/>
      <c r="J412" s="464"/>
      <c r="K412" s="464"/>
      <c r="L412" s="464"/>
      <c r="M412" s="465"/>
      <c r="N412" s="464"/>
      <c r="O412" s="464"/>
      <c r="P412" s="464"/>
      <c r="Q412" s="444"/>
      <c r="R412" s="444"/>
      <c r="S412" s="444"/>
      <c r="T412" s="444"/>
      <c r="U412" s="444"/>
      <c r="V412" s="444"/>
      <c r="W412" s="444"/>
    </row>
    <row r="413" spans="1:23" ht="15.75">
      <c r="A413" s="463"/>
      <c r="B413" s="464"/>
      <c r="C413" s="464"/>
      <c r="D413" s="464"/>
      <c r="E413" s="464"/>
      <c r="F413" s="464"/>
      <c r="G413" s="464"/>
      <c r="H413" s="464"/>
      <c r="I413" s="464"/>
      <c r="J413" s="464"/>
      <c r="K413" s="464"/>
      <c r="L413" s="464"/>
      <c r="M413" s="465"/>
      <c r="N413" s="464"/>
      <c r="O413" s="464"/>
      <c r="P413" s="464"/>
      <c r="Q413" s="444"/>
      <c r="R413" s="444"/>
      <c r="S413" s="444"/>
      <c r="T413" s="444"/>
      <c r="U413" s="444"/>
      <c r="V413" s="444"/>
      <c r="W413" s="444"/>
    </row>
    <row r="414" spans="1:23" ht="15.75">
      <c r="A414" s="463"/>
      <c r="B414" s="464"/>
      <c r="C414" s="464"/>
      <c r="D414" s="464"/>
      <c r="E414" s="464"/>
      <c r="F414" s="464"/>
      <c r="G414" s="464"/>
      <c r="H414" s="464"/>
      <c r="I414" s="464"/>
      <c r="J414" s="464"/>
      <c r="K414" s="464"/>
      <c r="L414" s="464"/>
      <c r="M414" s="465"/>
      <c r="N414" s="464"/>
      <c r="O414" s="464"/>
      <c r="P414" s="464"/>
      <c r="Q414" s="444"/>
      <c r="R414" s="444"/>
      <c r="S414" s="444"/>
      <c r="T414" s="444"/>
      <c r="U414" s="444"/>
      <c r="V414" s="444"/>
      <c r="W414" s="444"/>
    </row>
    <row r="415" spans="1:23" ht="15.75">
      <c r="A415" s="463"/>
      <c r="B415" s="464"/>
      <c r="C415" s="464"/>
      <c r="D415" s="464"/>
      <c r="E415" s="464"/>
      <c r="F415" s="464"/>
      <c r="G415" s="464"/>
      <c r="H415" s="464"/>
      <c r="I415" s="464"/>
      <c r="J415" s="464"/>
      <c r="K415" s="464"/>
      <c r="L415" s="464"/>
      <c r="M415" s="465"/>
      <c r="N415" s="464"/>
      <c r="O415" s="464"/>
      <c r="P415" s="464"/>
      <c r="Q415" s="444"/>
      <c r="R415" s="444"/>
      <c r="S415" s="444"/>
      <c r="T415" s="444"/>
      <c r="U415" s="444"/>
      <c r="V415" s="444"/>
      <c r="W415" s="444"/>
    </row>
    <row r="416" spans="1:23" ht="15.75">
      <c r="A416" s="463"/>
      <c r="B416" s="464"/>
      <c r="C416" s="464"/>
      <c r="D416" s="464"/>
      <c r="E416" s="464"/>
      <c r="F416" s="464"/>
      <c r="G416" s="464"/>
      <c r="H416" s="464"/>
      <c r="I416" s="464"/>
      <c r="J416" s="464"/>
      <c r="K416" s="464"/>
      <c r="L416" s="464"/>
      <c r="M416" s="465"/>
      <c r="N416" s="464"/>
      <c r="O416" s="464"/>
      <c r="P416" s="464"/>
      <c r="Q416" s="444"/>
      <c r="R416" s="444"/>
      <c r="S416" s="444"/>
      <c r="T416" s="444"/>
      <c r="U416" s="444"/>
      <c r="V416" s="444"/>
      <c r="W416" s="444"/>
    </row>
    <row r="417" spans="1:23" ht="15.75">
      <c r="A417" s="463"/>
      <c r="B417" s="464"/>
      <c r="C417" s="464"/>
      <c r="D417" s="464"/>
      <c r="E417" s="464"/>
      <c r="F417" s="464"/>
      <c r="G417" s="464"/>
      <c r="H417" s="464"/>
      <c r="I417" s="464"/>
      <c r="J417" s="464"/>
      <c r="K417" s="464"/>
      <c r="L417" s="464"/>
      <c r="M417" s="465"/>
      <c r="N417" s="464"/>
      <c r="O417" s="464"/>
      <c r="P417" s="464"/>
      <c r="Q417" s="444"/>
      <c r="R417" s="444"/>
      <c r="S417" s="444"/>
      <c r="T417" s="444"/>
      <c r="U417" s="444"/>
      <c r="V417" s="444"/>
      <c r="W417" s="444"/>
    </row>
    <row r="418" spans="1:23" ht="15.75">
      <c r="A418" s="463"/>
      <c r="B418" s="464"/>
      <c r="C418" s="464"/>
      <c r="D418" s="464"/>
      <c r="E418" s="464"/>
      <c r="F418" s="464"/>
      <c r="G418" s="464"/>
      <c r="H418" s="464"/>
      <c r="I418" s="464"/>
      <c r="J418" s="464"/>
      <c r="K418" s="464"/>
      <c r="L418" s="464"/>
      <c r="M418" s="465"/>
      <c r="N418" s="464"/>
      <c r="O418" s="464"/>
      <c r="P418" s="464"/>
      <c r="Q418" s="444"/>
      <c r="R418" s="444"/>
      <c r="S418" s="444"/>
      <c r="T418" s="444"/>
      <c r="U418" s="444"/>
      <c r="V418" s="444"/>
      <c r="W418" s="444"/>
    </row>
    <row r="419" spans="1:23" ht="15.75">
      <c r="A419" s="463"/>
      <c r="B419" s="464"/>
      <c r="C419" s="464"/>
      <c r="D419" s="464"/>
      <c r="E419" s="464"/>
      <c r="F419" s="464"/>
      <c r="G419" s="464"/>
      <c r="H419" s="464"/>
      <c r="I419" s="464"/>
      <c r="J419" s="464"/>
      <c r="K419" s="464"/>
      <c r="L419" s="464"/>
      <c r="M419" s="465"/>
      <c r="N419" s="464"/>
      <c r="O419" s="464"/>
      <c r="P419" s="464"/>
      <c r="Q419" s="444"/>
      <c r="R419" s="444"/>
      <c r="S419" s="444"/>
      <c r="T419" s="444"/>
      <c r="U419" s="444"/>
      <c r="V419" s="444"/>
      <c r="W419" s="444"/>
    </row>
    <row r="420" spans="1:23" ht="15.75">
      <c r="A420" s="463"/>
      <c r="B420" s="464"/>
      <c r="C420" s="464"/>
      <c r="D420" s="464"/>
      <c r="E420" s="464"/>
      <c r="F420" s="464"/>
      <c r="G420" s="464"/>
      <c r="H420" s="464"/>
      <c r="I420" s="464"/>
      <c r="J420" s="464"/>
      <c r="K420" s="464"/>
      <c r="L420" s="464"/>
      <c r="M420" s="465"/>
      <c r="N420" s="464"/>
      <c r="O420" s="464"/>
      <c r="P420" s="464"/>
      <c r="Q420" s="444"/>
      <c r="R420" s="444"/>
      <c r="S420" s="444"/>
      <c r="T420" s="444"/>
      <c r="U420" s="444"/>
      <c r="V420" s="444"/>
      <c r="W420" s="444"/>
    </row>
    <row r="421" spans="1:23" ht="15.75">
      <c r="A421" s="463"/>
      <c r="B421" s="464"/>
      <c r="C421" s="464"/>
      <c r="D421" s="464"/>
      <c r="E421" s="464"/>
      <c r="F421" s="464"/>
      <c r="G421" s="464"/>
      <c r="H421" s="464"/>
      <c r="I421" s="464"/>
      <c r="J421" s="464"/>
      <c r="K421" s="464"/>
      <c r="L421" s="464"/>
      <c r="M421" s="465"/>
      <c r="N421" s="464"/>
      <c r="O421" s="464"/>
      <c r="P421" s="464"/>
      <c r="Q421" s="444"/>
      <c r="R421" s="444"/>
      <c r="S421" s="444"/>
      <c r="T421" s="444"/>
      <c r="U421" s="444"/>
      <c r="V421" s="444"/>
      <c r="W421" s="444"/>
    </row>
    <row r="422" spans="1:23" ht="15.75">
      <c r="A422" s="463"/>
      <c r="B422" s="464"/>
      <c r="C422" s="464"/>
      <c r="D422" s="464"/>
      <c r="E422" s="464"/>
      <c r="F422" s="464"/>
      <c r="G422" s="464"/>
      <c r="H422" s="464"/>
      <c r="I422" s="464"/>
      <c r="J422" s="464"/>
      <c r="K422" s="464"/>
      <c r="L422" s="464"/>
      <c r="M422" s="465"/>
      <c r="N422" s="464"/>
      <c r="O422" s="464"/>
      <c r="P422" s="464"/>
      <c r="Q422" s="444"/>
      <c r="R422" s="444"/>
      <c r="S422" s="444"/>
      <c r="T422" s="444"/>
      <c r="U422" s="444"/>
      <c r="V422" s="444"/>
      <c r="W422" s="444"/>
    </row>
    <row r="423" spans="1:23" ht="15.75">
      <c r="A423" s="463"/>
      <c r="B423" s="464"/>
      <c r="C423" s="464"/>
      <c r="D423" s="464"/>
      <c r="E423" s="464"/>
      <c r="F423" s="464"/>
      <c r="G423" s="464"/>
      <c r="H423" s="464"/>
      <c r="I423" s="464"/>
      <c r="J423" s="464"/>
      <c r="K423" s="464"/>
      <c r="L423" s="464"/>
      <c r="M423" s="465"/>
      <c r="N423" s="464"/>
      <c r="O423" s="464"/>
      <c r="P423" s="464"/>
      <c r="Q423" s="444"/>
      <c r="R423" s="444"/>
      <c r="S423" s="444"/>
      <c r="T423" s="444"/>
      <c r="U423" s="444"/>
      <c r="V423" s="444"/>
      <c r="W423" s="444"/>
    </row>
    <row r="424" spans="1:23" ht="15.75">
      <c r="A424" s="463"/>
      <c r="B424" s="464"/>
      <c r="C424" s="464"/>
      <c r="D424" s="464"/>
      <c r="E424" s="464"/>
      <c r="F424" s="464"/>
      <c r="G424" s="464"/>
      <c r="H424" s="464"/>
      <c r="I424" s="464"/>
      <c r="J424" s="464"/>
      <c r="K424" s="464"/>
      <c r="L424" s="464"/>
      <c r="M424" s="465"/>
      <c r="N424" s="464"/>
      <c r="O424" s="464"/>
      <c r="P424" s="464"/>
      <c r="Q424" s="444"/>
      <c r="R424" s="444"/>
      <c r="S424" s="444"/>
      <c r="T424" s="444"/>
      <c r="U424" s="444"/>
      <c r="V424" s="444"/>
      <c r="W424" s="444"/>
    </row>
    <row r="425" spans="1:23" ht="15.75">
      <c r="A425" s="463"/>
      <c r="B425" s="464"/>
      <c r="C425" s="464"/>
      <c r="D425" s="464"/>
      <c r="E425" s="464"/>
      <c r="F425" s="464"/>
      <c r="G425" s="464"/>
      <c r="H425" s="464"/>
      <c r="I425" s="464"/>
      <c r="J425" s="464"/>
      <c r="K425" s="464"/>
      <c r="L425" s="464"/>
      <c r="M425" s="465"/>
      <c r="N425" s="464"/>
      <c r="O425" s="464"/>
      <c r="P425" s="464"/>
      <c r="Q425" s="444"/>
      <c r="R425" s="444"/>
      <c r="S425" s="444"/>
      <c r="T425" s="444"/>
      <c r="U425" s="444"/>
      <c r="V425" s="444"/>
      <c r="W425" s="444"/>
    </row>
    <row r="426" spans="1:23" ht="15.75">
      <c r="A426" s="463"/>
      <c r="B426" s="464"/>
      <c r="C426" s="464"/>
      <c r="D426" s="464"/>
      <c r="E426" s="464"/>
      <c r="F426" s="464"/>
      <c r="G426" s="464"/>
      <c r="H426" s="464"/>
      <c r="I426" s="464"/>
      <c r="J426" s="464"/>
      <c r="K426" s="464"/>
      <c r="L426" s="464"/>
      <c r="M426" s="465"/>
      <c r="N426" s="464"/>
      <c r="O426" s="464"/>
      <c r="P426" s="464"/>
      <c r="Q426" s="444"/>
      <c r="R426" s="444"/>
      <c r="S426" s="444"/>
      <c r="T426" s="444"/>
      <c r="U426" s="444"/>
      <c r="V426" s="444"/>
      <c r="W426" s="444"/>
    </row>
    <row r="427" spans="1:23" ht="15.75">
      <c r="A427" s="463"/>
      <c r="B427" s="464"/>
      <c r="C427" s="464"/>
      <c r="D427" s="464"/>
      <c r="E427" s="464"/>
      <c r="F427" s="464"/>
      <c r="G427" s="464"/>
      <c r="H427" s="464"/>
      <c r="I427" s="464"/>
      <c r="J427" s="464"/>
      <c r="K427" s="464"/>
      <c r="L427" s="464"/>
      <c r="M427" s="465"/>
      <c r="N427" s="464"/>
      <c r="O427" s="464"/>
      <c r="P427" s="464"/>
      <c r="Q427" s="444"/>
      <c r="R427" s="444"/>
      <c r="S427" s="444"/>
      <c r="T427" s="444"/>
      <c r="U427" s="444"/>
      <c r="V427" s="444"/>
      <c r="W427" s="444"/>
    </row>
    <row r="428" spans="1:23" ht="15.75">
      <c r="A428" s="463"/>
      <c r="B428" s="464"/>
      <c r="C428" s="464"/>
      <c r="D428" s="464"/>
      <c r="E428" s="464"/>
      <c r="F428" s="464"/>
      <c r="G428" s="464"/>
      <c r="H428" s="464"/>
      <c r="I428" s="464"/>
      <c r="J428" s="464"/>
      <c r="K428" s="464"/>
      <c r="L428" s="464"/>
      <c r="M428" s="465"/>
      <c r="N428" s="464"/>
      <c r="O428" s="464"/>
      <c r="P428" s="464"/>
      <c r="Q428" s="444"/>
      <c r="R428" s="444"/>
      <c r="S428" s="444"/>
      <c r="T428" s="444"/>
      <c r="U428" s="444"/>
      <c r="V428" s="444"/>
      <c r="W428" s="444"/>
    </row>
    <row r="429" spans="1:23" ht="15.75">
      <c r="A429" s="463"/>
      <c r="B429" s="464"/>
      <c r="C429" s="464"/>
      <c r="D429" s="464"/>
      <c r="E429" s="464"/>
      <c r="F429" s="464"/>
      <c r="G429" s="464"/>
      <c r="H429" s="464"/>
      <c r="I429" s="464"/>
      <c r="J429" s="464"/>
      <c r="K429" s="464"/>
      <c r="L429" s="464"/>
      <c r="M429" s="465"/>
      <c r="N429" s="464"/>
      <c r="O429" s="464"/>
      <c r="P429" s="464"/>
      <c r="Q429" s="444"/>
      <c r="R429" s="444"/>
      <c r="S429" s="444"/>
      <c r="T429" s="444"/>
      <c r="U429" s="444"/>
      <c r="V429" s="444"/>
      <c r="W429" s="444"/>
    </row>
    <row r="430" spans="1:23" ht="15.75">
      <c r="A430" s="463"/>
      <c r="B430" s="464"/>
      <c r="C430" s="464"/>
      <c r="D430" s="464"/>
      <c r="E430" s="464"/>
      <c r="F430" s="464"/>
      <c r="G430" s="464"/>
      <c r="H430" s="464"/>
      <c r="I430" s="464"/>
      <c r="J430" s="464"/>
      <c r="K430" s="464"/>
      <c r="L430" s="464"/>
      <c r="M430" s="465"/>
      <c r="N430" s="464"/>
      <c r="O430" s="464"/>
      <c r="P430" s="464"/>
      <c r="Q430" s="444"/>
      <c r="R430" s="444"/>
      <c r="S430" s="444"/>
      <c r="T430" s="444"/>
      <c r="U430" s="444"/>
      <c r="V430" s="444"/>
      <c r="W430" s="444"/>
    </row>
    <row r="431" spans="1:23" ht="15.75">
      <c r="A431" s="463"/>
      <c r="B431" s="464"/>
      <c r="C431" s="464"/>
      <c r="D431" s="464"/>
      <c r="E431" s="464"/>
      <c r="F431" s="464"/>
      <c r="G431" s="464"/>
      <c r="H431" s="464"/>
      <c r="I431" s="464"/>
      <c r="J431" s="464"/>
      <c r="K431" s="464"/>
      <c r="L431" s="464"/>
      <c r="M431" s="465"/>
      <c r="N431" s="464"/>
      <c r="O431" s="464"/>
      <c r="P431" s="464"/>
      <c r="Q431" s="444"/>
      <c r="R431" s="444"/>
      <c r="S431" s="444"/>
      <c r="T431" s="444"/>
      <c r="U431" s="444"/>
      <c r="V431" s="444"/>
      <c r="W431" s="444"/>
    </row>
    <row r="432" spans="1:23" ht="15.75">
      <c r="A432" s="463"/>
      <c r="B432" s="464"/>
      <c r="C432" s="464"/>
      <c r="D432" s="464"/>
      <c r="E432" s="464"/>
      <c r="F432" s="464"/>
      <c r="G432" s="464"/>
      <c r="H432" s="464"/>
      <c r="I432" s="464"/>
      <c r="J432" s="464"/>
      <c r="K432" s="464"/>
      <c r="L432" s="464"/>
      <c r="M432" s="465"/>
      <c r="N432" s="464"/>
      <c r="O432" s="464"/>
      <c r="P432" s="464"/>
      <c r="Q432" s="444"/>
      <c r="R432" s="444"/>
      <c r="S432" s="444"/>
      <c r="T432" s="444"/>
      <c r="U432" s="444"/>
      <c r="V432" s="444"/>
      <c r="W432" s="444"/>
    </row>
    <row r="433" spans="1:23" ht="15.75">
      <c r="A433" s="463"/>
      <c r="B433" s="464"/>
      <c r="C433" s="464"/>
      <c r="D433" s="464"/>
      <c r="E433" s="464"/>
      <c r="F433" s="464"/>
      <c r="G433" s="464"/>
      <c r="H433" s="464"/>
      <c r="I433" s="464"/>
      <c r="J433" s="464"/>
      <c r="K433" s="464"/>
      <c r="L433" s="464"/>
      <c r="M433" s="465"/>
      <c r="N433" s="464"/>
      <c r="O433" s="464"/>
      <c r="P433" s="464"/>
      <c r="Q433" s="444"/>
      <c r="R433" s="444"/>
      <c r="S433" s="444"/>
      <c r="T433" s="444"/>
      <c r="U433" s="444"/>
      <c r="V433" s="444"/>
      <c r="W433" s="444"/>
    </row>
    <row r="434" spans="1:23" ht="15.75">
      <c r="A434" s="463"/>
      <c r="B434" s="464"/>
      <c r="C434" s="464"/>
      <c r="D434" s="464"/>
      <c r="E434" s="464"/>
      <c r="F434" s="464"/>
      <c r="G434" s="464"/>
      <c r="H434" s="464"/>
      <c r="I434" s="464"/>
      <c r="J434" s="464"/>
      <c r="K434" s="464"/>
      <c r="L434" s="464"/>
      <c r="M434" s="465"/>
      <c r="N434" s="464"/>
      <c r="O434" s="464"/>
      <c r="P434" s="464"/>
      <c r="Q434" s="444"/>
      <c r="R434" s="444"/>
      <c r="S434" s="444"/>
      <c r="T434" s="444"/>
      <c r="U434" s="444"/>
      <c r="V434" s="444"/>
      <c r="W434" s="444"/>
    </row>
    <row r="435" spans="1:23" ht="15.75">
      <c r="A435" s="463"/>
      <c r="B435" s="464"/>
      <c r="C435" s="464"/>
      <c r="D435" s="464"/>
      <c r="E435" s="464"/>
      <c r="F435" s="464"/>
      <c r="G435" s="464"/>
      <c r="H435" s="464"/>
      <c r="I435" s="464"/>
      <c r="J435" s="464"/>
      <c r="K435" s="464"/>
      <c r="L435" s="464"/>
      <c r="M435" s="465"/>
      <c r="N435" s="464"/>
      <c r="O435" s="464"/>
      <c r="P435" s="464"/>
      <c r="Q435" s="444"/>
      <c r="R435" s="444"/>
      <c r="S435" s="444"/>
      <c r="T435" s="444"/>
      <c r="U435" s="444"/>
      <c r="V435" s="444"/>
      <c r="W435" s="444"/>
    </row>
    <row r="436" spans="1:23" ht="15.75">
      <c r="A436" s="463"/>
      <c r="B436" s="464"/>
      <c r="C436" s="464"/>
      <c r="D436" s="464"/>
      <c r="E436" s="464"/>
      <c r="F436" s="464"/>
      <c r="G436" s="464"/>
      <c r="H436" s="464"/>
      <c r="I436" s="464"/>
      <c r="J436" s="464"/>
      <c r="K436" s="464"/>
      <c r="L436" s="464"/>
      <c r="M436" s="465"/>
      <c r="N436" s="464"/>
      <c r="O436" s="464"/>
      <c r="P436" s="464"/>
      <c r="Q436" s="444"/>
      <c r="R436" s="444"/>
      <c r="S436" s="444"/>
      <c r="T436" s="444"/>
      <c r="U436" s="444"/>
      <c r="V436" s="444"/>
      <c r="W436" s="444"/>
    </row>
    <row r="437" spans="1:23" ht="15.75">
      <c r="A437" s="463"/>
      <c r="B437" s="464"/>
      <c r="C437" s="464"/>
      <c r="D437" s="464"/>
      <c r="E437" s="464"/>
      <c r="F437" s="464"/>
      <c r="G437" s="464"/>
      <c r="H437" s="464"/>
      <c r="I437" s="464"/>
      <c r="J437" s="464"/>
      <c r="K437" s="464"/>
      <c r="L437" s="464"/>
      <c r="M437" s="465"/>
      <c r="N437" s="464"/>
      <c r="O437" s="464"/>
      <c r="P437" s="464"/>
      <c r="Q437" s="444"/>
      <c r="R437" s="444"/>
      <c r="S437" s="444"/>
      <c r="T437" s="444"/>
      <c r="U437" s="444"/>
      <c r="V437" s="444"/>
      <c r="W437" s="444"/>
    </row>
    <row r="438" spans="1:23" ht="15.75">
      <c r="A438" s="463"/>
      <c r="B438" s="464"/>
      <c r="C438" s="464"/>
      <c r="D438" s="464"/>
      <c r="E438" s="464"/>
      <c r="F438" s="464"/>
      <c r="G438" s="464"/>
      <c r="H438" s="464"/>
      <c r="I438" s="464"/>
      <c r="J438" s="464"/>
      <c r="K438" s="464"/>
      <c r="L438" s="464"/>
      <c r="M438" s="465"/>
      <c r="N438" s="464"/>
      <c r="O438" s="464"/>
      <c r="P438" s="464"/>
      <c r="Q438" s="444"/>
      <c r="R438" s="444"/>
      <c r="S438" s="444"/>
      <c r="T438" s="444"/>
      <c r="U438" s="444"/>
      <c r="V438" s="444"/>
      <c r="W438" s="444"/>
    </row>
    <row r="439" spans="1:23" ht="15.75">
      <c r="A439" s="463"/>
      <c r="B439" s="464"/>
      <c r="C439" s="464"/>
      <c r="D439" s="464"/>
      <c r="E439" s="464"/>
      <c r="F439" s="464"/>
      <c r="G439" s="464"/>
      <c r="H439" s="464"/>
      <c r="I439" s="464"/>
      <c r="J439" s="464"/>
      <c r="K439" s="464"/>
      <c r="L439" s="464"/>
      <c r="M439" s="465"/>
      <c r="N439" s="464"/>
      <c r="O439" s="464"/>
      <c r="P439" s="464"/>
      <c r="Q439" s="444"/>
      <c r="R439" s="444"/>
      <c r="S439" s="444"/>
      <c r="T439" s="444"/>
      <c r="U439" s="444"/>
      <c r="V439" s="444"/>
      <c r="W439" s="444"/>
    </row>
    <row r="440" spans="1:23" ht="15.75">
      <c r="A440" s="463"/>
      <c r="B440" s="464"/>
      <c r="C440" s="464"/>
      <c r="D440" s="464"/>
      <c r="E440" s="464"/>
      <c r="F440" s="464"/>
      <c r="G440" s="464"/>
      <c r="H440" s="464"/>
      <c r="I440" s="464"/>
      <c r="J440" s="464"/>
      <c r="K440" s="464"/>
      <c r="L440" s="464"/>
      <c r="M440" s="465"/>
      <c r="N440" s="464"/>
      <c r="O440" s="464"/>
      <c r="P440" s="464"/>
      <c r="Q440" s="444"/>
      <c r="R440" s="444"/>
      <c r="S440" s="444"/>
      <c r="T440" s="444"/>
      <c r="U440" s="444"/>
      <c r="V440" s="444"/>
      <c r="W440" s="444"/>
    </row>
    <row r="441" spans="1:23" ht="15.75">
      <c r="A441" s="463"/>
      <c r="B441" s="464"/>
      <c r="C441" s="464"/>
      <c r="D441" s="464"/>
      <c r="E441" s="464"/>
      <c r="F441" s="464"/>
      <c r="G441" s="464"/>
      <c r="H441" s="464"/>
      <c r="I441" s="464"/>
      <c r="J441" s="464"/>
      <c r="K441" s="464"/>
      <c r="L441" s="464"/>
      <c r="M441" s="465"/>
      <c r="N441" s="464"/>
      <c r="O441" s="464"/>
      <c r="P441" s="464"/>
      <c r="Q441" s="444"/>
      <c r="R441" s="444"/>
      <c r="S441" s="444"/>
      <c r="T441" s="444"/>
      <c r="U441" s="444"/>
      <c r="V441" s="444"/>
      <c r="W441" s="444"/>
    </row>
    <row r="442" spans="1:23" ht="15.75">
      <c r="A442" s="463"/>
      <c r="B442" s="464"/>
      <c r="C442" s="464"/>
      <c r="D442" s="464"/>
      <c r="E442" s="464"/>
      <c r="F442" s="464"/>
      <c r="G442" s="464"/>
      <c r="H442" s="464"/>
      <c r="I442" s="464"/>
      <c r="J442" s="464"/>
      <c r="K442" s="464"/>
      <c r="L442" s="464"/>
      <c r="M442" s="465"/>
      <c r="N442" s="464"/>
      <c r="O442" s="464"/>
      <c r="P442" s="464"/>
      <c r="Q442" s="444"/>
      <c r="R442" s="444"/>
      <c r="S442" s="444"/>
      <c r="T442" s="444"/>
      <c r="U442" s="444"/>
      <c r="V442" s="444"/>
      <c r="W442" s="444"/>
    </row>
    <row r="443" spans="1:23" ht="15.75">
      <c r="A443" s="463"/>
      <c r="B443" s="464"/>
      <c r="C443" s="464"/>
      <c r="D443" s="464"/>
      <c r="E443" s="464"/>
      <c r="F443" s="464"/>
      <c r="G443" s="464"/>
      <c r="H443" s="464"/>
      <c r="I443" s="464"/>
      <c r="J443" s="464"/>
      <c r="K443" s="464"/>
      <c r="L443" s="464"/>
      <c r="M443" s="465"/>
      <c r="N443" s="464"/>
      <c r="O443" s="464"/>
      <c r="P443" s="464"/>
      <c r="Q443" s="444"/>
      <c r="R443" s="444"/>
      <c r="S443" s="444"/>
      <c r="T443" s="444"/>
      <c r="U443" s="444"/>
      <c r="V443" s="444"/>
      <c r="W443" s="444"/>
    </row>
    <row r="444" spans="1:23" ht="15.75">
      <c r="A444" s="463"/>
      <c r="B444" s="464"/>
      <c r="C444" s="464"/>
      <c r="D444" s="464"/>
      <c r="E444" s="464"/>
      <c r="F444" s="464"/>
      <c r="G444" s="464"/>
      <c r="H444" s="464"/>
      <c r="I444" s="464"/>
      <c r="J444" s="464"/>
      <c r="K444" s="464"/>
      <c r="L444" s="464"/>
      <c r="M444" s="465"/>
      <c r="N444" s="464"/>
      <c r="O444" s="464"/>
      <c r="P444" s="464"/>
      <c r="Q444" s="444"/>
      <c r="R444" s="444"/>
      <c r="S444" s="444"/>
      <c r="T444" s="444"/>
      <c r="U444" s="444"/>
      <c r="V444" s="444"/>
      <c r="W444" s="444"/>
    </row>
    <row r="445" spans="1:23" ht="15.75">
      <c r="A445" s="463"/>
      <c r="B445" s="464"/>
      <c r="C445" s="464"/>
      <c r="D445" s="464"/>
      <c r="E445" s="464"/>
      <c r="F445" s="464"/>
      <c r="G445" s="464"/>
      <c r="H445" s="464"/>
      <c r="I445" s="464"/>
      <c r="J445" s="464"/>
      <c r="K445" s="464"/>
      <c r="L445" s="464"/>
      <c r="M445" s="465"/>
      <c r="N445" s="464"/>
      <c r="O445" s="464"/>
      <c r="P445" s="464"/>
      <c r="Q445" s="444"/>
      <c r="R445" s="444"/>
      <c r="S445" s="444"/>
      <c r="T445" s="444"/>
      <c r="U445" s="444"/>
      <c r="V445" s="444"/>
      <c r="W445" s="444"/>
    </row>
    <row r="446" spans="1:23" ht="15.75">
      <c r="A446" s="463"/>
      <c r="B446" s="464"/>
      <c r="C446" s="464"/>
      <c r="D446" s="464"/>
      <c r="E446" s="464"/>
      <c r="F446" s="464"/>
      <c r="G446" s="464"/>
      <c r="H446" s="464"/>
      <c r="I446" s="464"/>
      <c r="J446" s="464"/>
      <c r="K446" s="464"/>
      <c r="L446" s="464"/>
      <c r="M446" s="465"/>
      <c r="N446" s="464"/>
      <c r="O446" s="464"/>
      <c r="P446" s="464"/>
      <c r="Q446" s="444"/>
      <c r="R446" s="444"/>
      <c r="S446" s="444"/>
      <c r="T446" s="444"/>
      <c r="U446" s="444"/>
      <c r="V446" s="444"/>
      <c r="W446" s="444"/>
    </row>
    <row r="447" spans="1:23" ht="15.75">
      <c r="A447" s="463"/>
      <c r="B447" s="464"/>
      <c r="C447" s="464"/>
      <c r="D447" s="464"/>
      <c r="E447" s="464"/>
      <c r="F447" s="464"/>
      <c r="G447" s="464"/>
      <c r="H447" s="464"/>
      <c r="I447" s="464"/>
      <c r="J447" s="464"/>
      <c r="K447" s="464"/>
      <c r="L447" s="464"/>
      <c r="M447" s="465"/>
      <c r="N447" s="464"/>
      <c r="O447" s="464"/>
      <c r="P447" s="464"/>
      <c r="Q447" s="444"/>
      <c r="R447" s="444"/>
      <c r="S447" s="444"/>
      <c r="T447" s="444"/>
      <c r="U447" s="444"/>
      <c r="V447" s="444"/>
      <c r="W447" s="444"/>
    </row>
    <row r="448" spans="1:23" ht="15.75">
      <c r="A448" s="463"/>
      <c r="B448" s="464"/>
      <c r="C448" s="464"/>
      <c r="D448" s="464"/>
      <c r="E448" s="464"/>
      <c r="F448" s="464"/>
      <c r="G448" s="464"/>
      <c r="H448" s="464"/>
      <c r="I448" s="464"/>
      <c r="J448" s="464"/>
      <c r="K448" s="464"/>
      <c r="L448" s="464"/>
      <c r="M448" s="465"/>
      <c r="N448" s="464"/>
      <c r="O448" s="464"/>
      <c r="P448" s="464"/>
      <c r="Q448" s="444"/>
      <c r="R448" s="444"/>
      <c r="S448" s="444"/>
      <c r="T448" s="444"/>
      <c r="U448" s="444"/>
      <c r="V448" s="444"/>
      <c r="W448" s="444"/>
    </row>
    <row r="449" spans="1:23" ht="15.75">
      <c r="A449" s="463"/>
      <c r="B449" s="464"/>
      <c r="C449" s="464"/>
      <c r="D449" s="464"/>
      <c r="E449" s="464"/>
      <c r="F449" s="464"/>
      <c r="G449" s="464"/>
      <c r="H449" s="464"/>
      <c r="I449" s="464"/>
      <c r="J449" s="464"/>
      <c r="K449" s="464"/>
      <c r="L449" s="464"/>
      <c r="M449" s="465"/>
      <c r="N449" s="464"/>
      <c r="O449" s="464"/>
      <c r="P449" s="464"/>
      <c r="Q449" s="444"/>
      <c r="R449" s="444"/>
      <c r="S449" s="444"/>
      <c r="T449" s="444"/>
      <c r="U449" s="444"/>
      <c r="V449" s="444"/>
      <c r="W449" s="444"/>
    </row>
    <row r="450" spans="1:23" ht="15.75">
      <c r="A450" s="463"/>
      <c r="B450" s="464"/>
      <c r="C450" s="464"/>
      <c r="D450" s="464"/>
      <c r="E450" s="464"/>
      <c r="F450" s="464"/>
      <c r="G450" s="464"/>
      <c r="H450" s="464"/>
      <c r="I450" s="464"/>
      <c r="J450" s="464"/>
      <c r="K450" s="464"/>
      <c r="L450" s="464"/>
      <c r="M450" s="465"/>
      <c r="N450" s="464"/>
      <c r="O450" s="464"/>
      <c r="P450" s="464"/>
      <c r="Q450" s="444"/>
      <c r="R450" s="444"/>
      <c r="S450" s="444"/>
      <c r="T450" s="444"/>
      <c r="U450" s="444"/>
      <c r="V450" s="444"/>
      <c r="W450" s="444"/>
    </row>
    <row r="451" spans="1:23" ht="15.75">
      <c r="A451" s="463"/>
      <c r="B451" s="464"/>
      <c r="C451" s="464"/>
      <c r="D451" s="464"/>
      <c r="E451" s="464"/>
      <c r="F451" s="464"/>
      <c r="G451" s="464"/>
      <c r="H451" s="464"/>
      <c r="I451" s="464"/>
      <c r="J451" s="464"/>
      <c r="K451" s="464"/>
      <c r="L451" s="464"/>
      <c r="M451" s="465"/>
      <c r="N451" s="464"/>
      <c r="O451" s="464"/>
      <c r="P451" s="464"/>
      <c r="Q451" s="444"/>
      <c r="R451" s="444"/>
      <c r="S451" s="444"/>
      <c r="T451" s="444"/>
      <c r="U451" s="444"/>
      <c r="V451" s="444"/>
      <c r="W451" s="444"/>
    </row>
    <row r="452" spans="1:23" ht="15.75">
      <c r="A452" s="463"/>
      <c r="B452" s="464"/>
      <c r="C452" s="464"/>
      <c r="D452" s="464"/>
      <c r="E452" s="464"/>
      <c r="F452" s="464"/>
      <c r="G452" s="464"/>
      <c r="H452" s="464"/>
      <c r="I452" s="464"/>
      <c r="J452" s="464"/>
      <c r="K452" s="464"/>
      <c r="L452" s="464"/>
      <c r="M452" s="465"/>
      <c r="N452" s="464"/>
      <c r="O452" s="464"/>
      <c r="P452" s="464"/>
      <c r="Q452" s="444"/>
      <c r="R452" s="444"/>
      <c r="S452" s="444"/>
      <c r="T452" s="444"/>
      <c r="U452" s="444"/>
      <c r="V452" s="444"/>
      <c r="W452" s="444"/>
    </row>
    <row r="453" spans="1:23" ht="15.75">
      <c r="A453" s="463"/>
      <c r="B453" s="464"/>
      <c r="C453" s="464"/>
      <c r="D453" s="464"/>
      <c r="E453" s="464"/>
      <c r="F453" s="464"/>
      <c r="G453" s="464"/>
      <c r="H453" s="464"/>
      <c r="I453" s="464"/>
      <c r="J453" s="464"/>
      <c r="K453" s="464"/>
      <c r="L453" s="464"/>
      <c r="M453" s="465"/>
      <c r="N453" s="464"/>
      <c r="O453" s="464"/>
      <c r="P453" s="464"/>
      <c r="Q453" s="444"/>
      <c r="R453" s="444"/>
      <c r="S453" s="444"/>
      <c r="T453" s="444"/>
      <c r="U453" s="444"/>
      <c r="V453" s="444"/>
      <c r="W453" s="444"/>
    </row>
    <row r="454" spans="1:23" ht="15.75">
      <c r="A454" s="463"/>
      <c r="B454" s="464"/>
      <c r="C454" s="464"/>
      <c r="D454" s="464"/>
      <c r="E454" s="464"/>
      <c r="F454" s="464"/>
      <c r="G454" s="464"/>
      <c r="H454" s="464"/>
      <c r="I454" s="464"/>
      <c r="J454" s="464"/>
      <c r="K454" s="464"/>
      <c r="L454" s="464"/>
      <c r="M454" s="465"/>
      <c r="N454" s="464"/>
      <c r="O454" s="464"/>
      <c r="P454" s="464"/>
      <c r="Q454" s="444"/>
      <c r="R454" s="444"/>
      <c r="S454" s="444"/>
      <c r="T454" s="444"/>
      <c r="U454" s="444"/>
      <c r="V454" s="444"/>
      <c r="W454" s="444"/>
    </row>
    <row r="455" spans="1:23" ht="15.75">
      <c r="A455" s="463"/>
      <c r="B455" s="464"/>
      <c r="C455" s="464"/>
      <c r="D455" s="464"/>
      <c r="E455" s="464"/>
      <c r="F455" s="464"/>
      <c r="G455" s="464"/>
      <c r="H455" s="464"/>
      <c r="I455" s="464"/>
      <c r="J455" s="464"/>
      <c r="K455" s="464"/>
      <c r="L455" s="464"/>
      <c r="M455" s="465"/>
      <c r="N455" s="464"/>
      <c r="O455" s="464"/>
      <c r="P455" s="464"/>
      <c r="Q455" s="444"/>
      <c r="R455" s="444"/>
      <c r="S455" s="444"/>
      <c r="T455" s="444"/>
      <c r="U455" s="444"/>
      <c r="V455" s="444"/>
      <c r="W455" s="444"/>
    </row>
    <row r="456" spans="1:23" ht="15.75">
      <c r="A456" s="463"/>
      <c r="B456" s="464"/>
      <c r="C456" s="464"/>
      <c r="D456" s="464"/>
      <c r="E456" s="464"/>
      <c r="F456" s="464"/>
      <c r="G456" s="464"/>
      <c r="H456" s="464"/>
      <c r="I456" s="464"/>
      <c r="J456" s="464"/>
      <c r="K456" s="464"/>
      <c r="L456" s="464"/>
      <c r="M456" s="465"/>
      <c r="N456" s="464"/>
      <c r="O456" s="464"/>
      <c r="P456" s="464"/>
      <c r="Q456" s="444"/>
      <c r="R456" s="444"/>
      <c r="S456" s="444"/>
      <c r="T456" s="444"/>
      <c r="U456" s="444"/>
      <c r="V456" s="444"/>
      <c r="W456" s="444"/>
    </row>
    <row r="457" spans="1:23" ht="15.75">
      <c r="A457" s="463"/>
      <c r="B457" s="464"/>
      <c r="C457" s="464"/>
      <c r="D457" s="464"/>
      <c r="E457" s="464"/>
      <c r="F457" s="464"/>
      <c r="G457" s="464"/>
      <c r="H457" s="464"/>
      <c r="I457" s="464"/>
      <c r="J457" s="464"/>
      <c r="K457" s="464"/>
      <c r="L457" s="464"/>
      <c r="M457" s="465"/>
      <c r="N457" s="464"/>
      <c r="O457" s="464"/>
      <c r="P457" s="464"/>
      <c r="Q457" s="444"/>
      <c r="R457" s="444"/>
      <c r="S457" s="444"/>
      <c r="T457" s="444"/>
      <c r="U457" s="444"/>
      <c r="V457" s="444"/>
      <c r="W457" s="444"/>
    </row>
    <row r="458" spans="1:23" ht="15.75">
      <c r="A458" s="463"/>
      <c r="B458" s="464"/>
      <c r="C458" s="464"/>
      <c r="D458" s="464"/>
      <c r="E458" s="464"/>
      <c r="F458" s="464"/>
      <c r="G458" s="464"/>
      <c r="H458" s="464"/>
      <c r="I458" s="464"/>
      <c r="J458" s="464"/>
      <c r="K458" s="464"/>
      <c r="L458" s="464"/>
      <c r="M458" s="465"/>
      <c r="N458" s="464"/>
      <c r="O458" s="464"/>
      <c r="P458" s="464"/>
      <c r="Q458" s="444"/>
      <c r="R458" s="444"/>
      <c r="S458" s="444"/>
      <c r="T458" s="444"/>
      <c r="U458" s="444"/>
      <c r="V458" s="444"/>
      <c r="W458" s="444"/>
    </row>
    <row r="459" spans="1:23" ht="15.75">
      <c r="A459" s="463"/>
      <c r="B459" s="464"/>
      <c r="C459" s="464"/>
      <c r="D459" s="464"/>
      <c r="E459" s="464"/>
      <c r="F459" s="464"/>
      <c r="G459" s="464"/>
      <c r="H459" s="464"/>
      <c r="I459" s="464"/>
      <c r="J459" s="464"/>
      <c r="K459" s="464"/>
      <c r="L459" s="464"/>
      <c r="M459" s="465"/>
      <c r="N459" s="464"/>
      <c r="O459" s="464"/>
      <c r="P459" s="464"/>
      <c r="Q459" s="444"/>
      <c r="R459" s="444"/>
      <c r="S459" s="444"/>
      <c r="T459" s="444"/>
      <c r="U459" s="444"/>
      <c r="V459" s="444"/>
      <c r="W459" s="444"/>
    </row>
    <row r="460" spans="1:23" ht="15.75">
      <c r="A460" s="463"/>
      <c r="B460" s="464"/>
      <c r="C460" s="464"/>
      <c r="D460" s="464"/>
      <c r="E460" s="464"/>
      <c r="F460" s="464"/>
      <c r="G460" s="464"/>
      <c r="H460" s="464"/>
      <c r="I460" s="464"/>
      <c r="J460" s="464"/>
      <c r="K460" s="464"/>
      <c r="L460" s="464"/>
      <c r="M460" s="465"/>
      <c r="N460" s="464"/>
      <c r="O460" s="464"/>
      <c r="P460" s="464"/>
      <c r="Q460" s="444"/>
      <c r="R460" s="444"/>
      <c r="S460" s="444"/>
      <c r="T460" s="444"/>
      <c r="U460" s="444"/>
      <c r="V460" s="444"/>
      <c r="W460" s="444"/>
    </row>
    <row r="461" spans="1:23" ht="15.75">
      <c r="A461" s="463"/>
      <c r="B461" s="464"/>
      <c r="C461" s="464"/>
      <c r="D461" s="464"/>
      <c r="E461" s="464"/>
      <c r="F461" s="464"/>
      <c r="G461" s="464"/>
      <c r="H461" s="464"/>
      <c r="I461" s="464"/>
      <c r="J461" s="464"/>
      <c r="K461" s="464"/>
      <c r="L461" s="464"/>
      <c r="M461" s="465"/>
      <c r="N461" s="464"/>
      <c r="O461" s="464"/>
      <c r="P461" s="464"/>
      <c r="Q461" s="444"/>
      <c r="R461" s="444"/>
      <c r="S461" s="444"/>
      <c r="T461" s="444"/>
      <c r="U461" s="444"/>
      <c r="V461" s="444"/>
      <c r="W461" s="444"/>
    </row>
    <row r="462" spans="1:23" ht="15.75">
      <c r="A462" s="463"/>
      <c r="B462" s="464"/>
      <c r="C462" s="464"/>
      <c r="D462" s="464"/>
      <c r="E462" s="464"/>
      <c r="F462" s="464"/>
      <c r="G462" s="464"/>
      <c r="H462" s="464"/>
      <c r="I462" s="464"/>
      <c r="J462" s="464"/>
      <c r="K462" s="464"/>
      <c r="L462" s="464"/>
      <c r="M462" s="465"/>
      <c r="N462" s="464"/>
      <c r="O462" s="464"/>
      <c r="P462" s="464"/>
      <c r="Q462" s="444"/>
      <c r="R462" s="444"/>
      <c r="S462" s="444"/>
      <c r="T462" s="444"/>
      <c r="U462" s="444"/>
      <c r="V462" s="444"/>
      <c r="W462" s="444"/>
    </row>
    <row r="463" spans="1:23" ht="15.75">
      <c r="A463" s="463"/>
      <c r="B463" s="464"/>
      <c r="C463" s="464"/>
      <c r="D463" s="464"/>
      <c r="E463" s="464"/>
      <c r="F463" s="464"/>
      <c r="G463" s="464"/>
      <c r="H463" s="464"/>
      <c r="I463" s="464"/>
      <c r="J463" s="464"/>
      <c r="K463" s="464"/>
      <c r="L463" s="464"/>
      <c r="M463" s="465"/>
      <c r="N463" s="464"/>
      <c r="O463" s="464"/>
      <c r="P463" s="464"/>
      <c r="Q463" s="444"/>
      <c r="R463" s="444"/>
      <c r="S463" s="444"/>
      <c r="T463" s="444"/>
      <c r="U463" s="444"/>
      <c r="V463" s="444"/>
      <c r="W463" s="444"/>
    </row>
    <row r="464" spans="1:23" ht="15.75">
      <c r="A464" s="463"/>
      <c r="B464" s="464"/>
      <c r="C464" s="464"/>
      <c r="D464" s="464"/>
      <c r="E464" s="464"/>
      <c r="F464" s="464"/>
      <c r="G464" s="464"/>
      <c r="H464" s="464"/>
      <c r="I464" s="464"/>
      <c r="J464" s="464"/>
      <c r="K464" s="464"/>
      <c r="L464" s="464"/>
      <c r="M464" s="465"/>
      <c r="N464" s="464"/>
      <c r="O464" s="464"/>
      <c r="P464" s="464"/>
      <c r="Q464" s="444"/>
      <c r="R464" s="444"/>
      <c r="S464" s="444"/>
      <c r="T464" s="444"/>
      <c r="U464" s="444"/>
      <c r="V464" s="444"/>
      <c r="W464" s="444"/>
    </row>
    <row r="465" spans="1:23" ht="15.75">
      <c r="A465" s="463"/>
      <c r="B465" s="464"/>
      <c r="C465" s="464"/>
      <c r="D465" s="464"/>
      <c r="E465" s="464"/>
      <c r="F465" s="464"/>
      <c r="G465" s="464"/>
      <c r="H465" s="464"/>
      <c r="I465" s="464"/>
      <c r="J465" s="464"/>
      <c r="K465" s="464"/>
      <c r="L465" s="464"/>
      <c r="M465" s="465"/>
      <c r="N465" s="464"/>
      <c r="O465" s="464"/>
      <c r="P465" s="464"/>
      <c r="Q465" s="444"/>
      <c r="R465" s="444"/>
      <c r="S465" s="444"/>
      <c r="T465" s="444"/>
      <c r="U465" s="444"/>
      <c r="V465" s="444"/>
      <c r="W465" s="444"/>
    </row>
    <row r="466" spans="1:23" ht="15.75">
      <c r="A466" s="463"/>
      <c r="B466" s="464"/>
      <c r="C466" s="464"/>
      <c r="D466" s="464"/>
      <c r="E466" s="464"/>
      <c r="F466" s="464"/>
      <c r="G466" s="464"/>
      <c r="H466" s="464"/>
      <c r="I466" s="464"/>
      <c r="J466" s="464"/>
      <c r="K466" s="464"/>
      <c r="L466" s="464"/>
      <c r="M466" s="465"/>
      <c r="N466" s="464"/>
      <c r="O466" s="464"/>
      <c r="P466" s="464"/>
      <c r="Q466" s="444"/>
      <c r="R466" s="444"/>
      <c r="S466" s="444"/>
      <c r="T466" s="444"/>
      <c r="U466" s="444"/>
      <c r="V466" s="444"/>
      <c r="W466" s="444"/>
    </row>
    <row r="467" spans="1:23" ht="15.75">
      <c r="A467" s="463"/>
      <c r="B467" s="464"/>
      <c r="C467" s="464"/>
      <c r="D467" s="464"/>
      <c r="E467" s="464"/>
      <c r="F467" s="464"/>
      <c r="G467" s="464"/>
      <c r="H467" s="464"/>
      <c r="I467" s="464"/>
      <c r="J467" s="464"/>
      <c r="K467" s="464"/>
      <c r="L467" s="464"/>
      <c r="M467" s="465"/>
      <c r="N467" s="464"/>
      <c r="O467" s="464"/>
      <c r="P467" s="464"/>
      <c r="Q467" s="444"/>
      <c r="R467" s="444"/>
      <c r="S467" s="444"/>
      <c r="T467" s="444"/>
      <c r="U467" s="444"/>
      <c r="V467" s="444"/>
      <c r="W467" s="444"/>
    </row>
    <row r="468" spans="1:23" ht="15.75">
      <c r="A468" s="463"/>
      <c r="B468" s="464"/>
      <c r="C468" s="464"/>
      <c r="D468" s="464"/>
      <c r="E468" s="464"/>
      <c r="F468" s="464"/>
      <c r="G468" s="464"/>
      <c r="H468" s="464"/>
      <c r="I468" s="464"/>
      <c r="J468" s="464"/>
      <c r="K468" s="464"/>
      <c r="L468" s="464"/>
      <c r="M468" s="465"/>
      <c r="N468" s="464"/>
      <c r="O468" s="464"/>
      <c r="P468" s="464"/>
      <c r="Q468" s="444"/>
      <c r="R468" s="444"/>
      <c r="S468" s="444"/>
      <c r="T468" s="444"/>
      <c r="U468" s="444"/>
      <c r="V468" s="444"/>
      <c r="W468" s="444"/>
    </row>
    <row r="469" spans="1:23" ht="15.75">
      <c r="A469" s="463"/>
      <c r="B469" s="464"/>
      <c r="C469" s="464"/>
      <c r="D469" s="464"/>
      <c r="E469" s="464"/>
      <c r="F469" s="464"/>
      <c r="G469" s="464"/>
      <c r="H469" s="464"/>
      <c r="I469" s="464"/>
      <c r="J469" s="464"/>
      <c r="K469" s="464"/>
      <c r="L469" s="464"/>
      <c r="M469" s="465"/>
      <c r="N469" s="464"/>
      <c r="O469" s="464"/>
      <c r="P469" s="464"/>
      <c r="Q469" s="444"/>
      <c r="R469" s="444"/>
      <c r="S469" s="444"/>
      <c r="T469" s="444"/>
      <c r="U469" s="444"/>
      <c r="V469" s="444"/>
      <c r="W469" s="444"/>
    </row>
    <row r="470" spans="1:23" ht="15.75">
      <c r="A470" s="463"/>
      <c r="B470" s="464"/>
      <c r="C470" s="464"/>
      <c r="D470" s="464"/>
      <c r="E470" s="464"/>
      <c r="F470" s="464"/>
      <c r="G470" s="464"/>
      <c r="H470" s="464"/>
      <c r="I470" s="464"/>
      <c r="J470" s="464"/>
      <c r="K470" s="464"/>
      <c r="L470" s="464"/>
      <c r="M470" s="465"/>
      <c r="N470" s="464"/>
      <c r="O470" s="464"/>
      <c r="P470" s="464"/>
      <c r="Q470" s="444"/>
      <c r="R470" s="444"/>
      <c r="S470" s="444"/>
      <c r="T470" s="444"/>
      <c r="U470" s="444"/>
      <c r="V470" s="444"/>
      <c r="W470" s="444"/>
    </row>
    <row r="471" spans="1:23" ht="15.75">
      <c r="A471" s="463"/>
      <c r="B471" s="464"/>
      <c r="C471" s="464"/>
      <c r="D471" s="464"/>
      <c r="E471" s="464"/>
      <c r="F471" s="464"/>
      <c r="G471" s="464"/>
      <c r="H471" s="464"/>
      <c r="I471" s="464"/>
      <c r="J471" s="464"/>
      <c r="K471" s="464"/>
      <c r="L471" s="464"/>
      <c r="M471" s="465"/>
      <c r="N471" s="464"/>
      <c r="O471" s="464"/>
      <c r="P471" s="464"/>
      <c r="Q471" s="444"/>
      <c r="R471" s="444"/>
      <c r="S471" s="444"/>
      <c r="T471" s="444"/>
      <c r="U471" s="444"/>
      <c r="V471" s="444"/>
      <c r="W471" s="444"/>
    </row>
    <row r="472" spans="1:23" ht="15.75">
      <c r="A472" s="463"/>
      <c r="B472" s="464"/>
      <c r="C472" s="464"/>
      <c r="D472" s="464"/>
      <c r="E472" s="464"/>
      <c r="F472" s="464"/>
      <c r="G472" s="464"/>
      <c r="H472" s="464"/>
      <c r="I472" s="464"/>
      <c r="J472" s="464"/>
      <c r="K472" s="464"/>
      <c r="L472" s="464"/>
      <c r="M472" s="465"/>
      <c r="N472" s="464"/>
      <c r="O472" s="464"/>
      <c r="P472" s="464"/>
      <c r="Q472" s="444"/>
      <c r="R472" s="444"/>
      <c r="S472" s="444"/>
      <c r="T472" s="444"/>
      <c r="U472" s="444"/>
      <c r="V472" s="444"/>
      <c r="W472" s="444"/>
    </row>
    <row r="473" spans="1:23" ht="15.75">
      <c r="A473" s="463"/>
      <c r="B473" s="464"/>
      <c r="C473" s="464"/>
      <c r="D473" s="464"/>
      <c r="E473" s="464"/>
      <c r="F473" s="464"/>
      <c r="G473" s="464"/>
      <c r="H473" s="464"/>
      <c r="I473" s="464"/>
      <c r="J473" s="464"/>
      <c r="K473" s="464"/>
      <c r="L473" s="464"/>
      <c r="M473" s="465"/>
      <c r="N473" s="464"/>
      <c r="O473" s="464"/>
      <c r="P473" s="464"/>
      <c r="Q473" s="444"/>
      <c r="R473" s="444"/>
      <c r="S473" s="444"/>
      <c r="T473" s="444"/>
      <c r="U473" s="444"/>
      <c r="V473" s="444"/>
      <c r="W473" s="444"/>
    </row>
    <row r="474" spans="1:23" ht="15.75">
      <c r="A474" s="463"/>
      <c r="B474" s="464"/>
      <c r="C474" s="464"/>
      <c r="D474" s="464"/>
      <c r="E474" s="464"/>
      <c r="F474" s="464"/>
      <c r="G474" s="464"/>
      <c r="H474" s="464"/>
      <c r="I474" s="464"/>
      <c r="J474" s="464"/>
      <c r="K474" s="464"/>
      <c r="L474" s="464"/>
      <c r="M474" s="465"/>
      <c r="N474" s="464"/>
      <c r="O474" s="464"/>
      <c r="P474" s="464"/>
      <c r="Q474" s="444"/>
      <c r="R474" s="444"/>
      <c r="S474" s="444"/>
      <c r="T474" s="444"/>
      <c r="U474" s="444"/>
      <c r="V474" s="444"/>
      <c r="W474" s="444"/>
    </row>
    <row r="475" spans="1:23" ht="15.75">
      <c r="A475" s="463"/>
      <c r="B475" s="464"/>
      <c r="C475" s="464"/>
      <c r="D475" s="464"/>
      <c r="E475" s="464"/>
      <c r="F475" s="464"/>
      <c r="G475" s="464"/>
      <c r="H475" s="464"/>
      <c r="I475" s="464"/>
      <c r="J475" s="464"/>
      <c r="K475" s="464"/>
      <c r="L475" s="464"/>
      <c r="M475" s="465"/>
      <c r="N475" s="464"/>
      <c r="O475" s="464"/>
      <c r="P475" s="464"/>
      <c r="Q475" s="444"/>
      <c r="R475" s="444"/>
      <c r="S475" s="444"/>
      <c r="T475" s="444"/>
      <c r="U475" s="444"/>
      <c r="V475" s="444"/>
      <c r="W475" s="444"/>
    </row>
    <row r="476" spans="1:23" ht="15.75">
      <c r="A476" s="463"/>
      <c r="B476" s="464"/>
      <c r="C476" s="464"/>
      <c r="D476" s="464"/>
      <c r="E476" s="464"/>
      <c r="F476" s="464"/>
      <c r="G476" s="464"/>
      <c r="H476" s="464"/>
      <c r="I476" s="464"/>
      <c r="J476" s="464"/>
      <c r="K476" s="464"/>
      <c r="L476" s="464"/>
      <c r="M476" s="465"/>
      <c r="N476" s="464"/>
      <c r="O476" s="464"/>
      <c r="P476" s="464"/>
      <c r="Q476" s="444"/>
      <c r="R476" s="444"/>
      <c r="S476" s="444"/>
      <c r="T476" s="444"/>
      <c r="U476" s="444"/>
      <c r="V476" s="444"/>
      <c r="W476" s="444"/>
    </row>
    <row r="477" spans="1:23" ht="15.75">
      <c r="A477" s="463"/>
      <c r="B477" s="464"/>
      <c r="C477" s="464"/>
      <c r="D477" s="464"/>
      <c r="E477" s="464"/>
      <c r="F477" s="464"/>
      <c r="G477" s="464"/>
      <c r="H477" s="464"/>
      <c r="I477" s="464"/>
      <c r="J477" s="464"/>
      <c r="K477" s="464"/>
      <c r="L477" s="464"/>
      <c r="M477" s="465"/>
      <c r="N477" s="464"/>
      <c r="O477" s="464"/>
      <c r="P477" s="464"/>
      <c r="Q477" s="444"/>
      <c r="R477" s="444"/>
      <c r="S477" s="444"/>
      <c r="T477" s="444"/>
      <c r="U477" s="444"/>
      <c r="V477" s="444"/>
      <c r="W477" s="444"/>
    </row>
    <row r="478" spans="1:23" ht="15.75">
      <c r="A478" s="463"/>
      <c r="B478" s="464"/>
      <c r="C478" s="464"/>
      <c r="D478" s="464"/>
      <c r="E478" s="464"/>
      <c r="F478" s="464"/>
      <c r="G478" s="464"/>
      <c r="H478" s="464"/>
      <c r="I478" s="464"/>
      <c r="J478" s="464"/>
      <c r="K478" s="464"/>
      <c r="L478" s="464"/>
      <c r="M478" s="465"/>
      <c r="N478" s="464"/>
      <c r="O478" s="464"/>
      <c r="P478" s="464"/>
      <c r="Q478" s="444"/>
      <c r="R478" s="444"/>
      <c r="S478" s="444"/>
      <c r="T478" s="444"/>
      <c r="U478" s="444"/>
      <c r="V478" s="444"/>
      <c r="W478" s="444"/>
    </row>
    <row r="479" spans="1:23" ht="15.75">
      <c r="A479" s="463"/>
      <c r="B479" s="464"/>
      <c r="C479" s="464"/>
      <c r="D479" s="464"/>
      <c r="E479" s="464"/>
      <c r="F479" s="464"/>
      <c r="G479" s="464"/>
      <c r="H479" s="464"/>
      <c r="I479" s="464"/>
      <c r="J479" s="464"/>
      <c r="K479" s="464"/>
      <c r="L479" s="464"/>
      <c r="M479" s="465"/>
      <c r="N479" s="464"/>
      <c r="O479" s="464"/>
      <c r="P479" s="464"/>
      <c r="Q479" s="444"/>
      <c r="R479" s="444"/>
      <c r="S479" s="444"/>
      <c r="T479" s="444"/>
      <c r="U479" s="444"/>
      <c r="V479" s="444"/>
      <c r="W479" s="444"/>
    </row>
    <row r="480" spans="1:23" ht="15.75">
      <c r="A480" s="463"/>
      <c r="B480" s="464"/>
      <c r="C480" s="464"/>
      <c r="D480" s="464"/>
      <c r="E480" s="464"/>
      <c r="F480" s="464"/>
      <c r="G480" s="464"/>
      <c r="H480" s="464"/>
      <c r="I480" s="464"/>
      <c r="J480" s="464"/>
      <c r="K480" s="464"/>
      <c r="L480" s="464"/>
      <c r="M480" s="465"/>
      <c r="N480" s="464"/>
      <c r="O480" s="464"/>
      <c r="P480" s="464"/>
      <c r="Q480" s="444"/>
      <c r="R480" s="444"/>
      <c r="S480" s="444"/>
      <c r="T480" s="444"/>
      <c r="U480" s="444"/>
      <c r="V480" s="444"/>
      <c r="W480" s="444"/>
    </row>
    <row r="481" spans="1:23" ht="15.75">
      <c r="A481" s="463"/>
      <c r="B481" s="464"/>
      <c r="C481" s="464"/>
      <c r="D481" s="464"/>
      <c r="E481" s="464"/>
      <c r="F481" s="464"/>
      <c r="G481" s="464"/>
      <c r="H481" s="464"/>
      <c r="I481" s="464"/>
      <c r="J481" s="464"/>
      <c r="K481" s="464"/>
      <c r="L481" s="464"/>
      <c r="M481" s="465"/>
      <c r="N481" s="464"/>
      <c r="O481" s="464"/>
      <c r="P481" s="464"/>
      <c r="Q481" s="444"/>
      <c r="R481" s="444"/>
      <c r="S481" s="444"/>
      <c r="T481" s="444"/>
      <c r="U481" s="444"/>
      <c r="V481" s="444"/>
      <c r="W481" s="444"/>
    </row>
    <row r="482" spans="1:23" ht="15.75">
      <c r="A482" s="463"/>
      <c r="B482" s="464"/>
      <c r="C482" s="464"/>
      <c r="D482" s="464"/>
      <c r="E482" s="464"/>
      <c r="F482" s="464"/>
      <c r="G482" s="464"/>
      <c r="H482" s="464"/>
      <c r="I482" s="464"/>
      <c r="J482" s="464"/>
      <c r="K482" s="464"/>
      <c r="L482" s="464"/>
      <c r="M482" s="465"/>
      <c r="N482" s="464"/>
      <c r="O482" s="464"/>
      <c r="P482" s="464"/>
      <c r="Q482" s="444"/>
      <c r="R482" s="444"/>
      <c r="S482" s="444"/>
      <c r="T482" s="444"/>
      <c r="U482" s="444"/>
      <c r="V482" s="444"/>
      <c r="W482" s="444"/>
    </row>
    <row r="483" spans="1:23" ht="15.75">
      <c r="A483" s="463"/>
      <c r="B483" s="464"/>
      <c r="C483" s="464"/>
      <c r="D483" s="464"/>
      <c r="E483" s="464"/>
      <c r="F483" s="464"/>
      <c r="G483" s="464"/>
      <c r="H483" s="464"/>
      <c r="I483" s="464"/>
      <c r="J483" s="464"/>
      <c r="K483" s="464"/>
      <c r="L483" s="464"/>
      <c r="M483" s="465"/>
      <c r="N483" s="464"/>
      <c r="O483" s="464"/>
      <c r="P483" s="464"/>
      <c r="Q483" s="444"/>
      <c r="R483" s="444"/>
      <c r="S483" s="444"/>
      <c r="T483" s="444"/>
      <c r="U483" s="444"/>
      <c r="V483" s="444"/>
      <c r="W483" s="444"/>
    </row>
    <row r="484" spans="1:23" ht="15.75">
      <c r="A484" s="463"/>
      <c r="B484" s="464"/>
      <c r="C484" s="464"/>
      <c r="D484" s="464"/>
      <c r="E484" s="464"/>
      <c r="F484" s="464"/>
      <c r="G484" s="464"/>
      <c r="H484" s="464"/>
      <c r="I484" s="464"/>
      <c r="J484" s="464"/>
      <c r="K484" s="464"/>
      <c r="L484" s="464"/>
      <c r="M484" s="465"/>
      <c r="N484" s="464"/>
      <c r="O484" s="464"/>
      <c r="P484" s="464"/>
      <c r="Q484" s="444"/>
      <c r="R484" s="444"/>
      <c r="S484" s="444"/>
      <c r="T484" s="444"/>
      <c r="U484" s="444"/>
      <c r="V484" s="444"/>
      <c r="W484" s="444"/>
    </row>
    <row r="485" spans="1:23" ht="15.75">
      <c r="A485" s="463"/>
      <c r="B485" s="464"/>
      <c r="C485" s="464"/>
      <c r="D485" s="464"/>
      <c r="E485" s="464"/>
      <c r="F485" s="464"/>
      <c r="G485" s="464"/>
      <c r="H485" s="464"/>
      <c r="I485" s="464"/>
      <c r="J485" s="464"/>
      <c r="K485" s="464"/>
      <c r="L485" s="464"/>
      <c r="M485" s="465"/>
      <c r="N485" s="464"/>
      <c r="O485" s="464"/>
      <c r="P485" s="464"/>
      <c r="Q485" s="444"/>
      <c r="R485" s="444"/>
      <c r="S485" s="444"/>
      <c r="T485" s="444"/>
      <c r="U485" s="444"/>
      <c r="V485" s="444"/>
      <c r="W485" s="444"/>
    </row>
    <row r="486" spans="1:23" ht="15.75">
      <c r="A486" s="463"/>
      <c r="B486" s="464"/>
      <c r="C486" s="464"/>
      <c r="D486" s="464"/>
      <c r="E486" s="464"/>
      <c r="F486" s="464"/>
      <c r="G486" s="464"/>
      <c r="H486" s="464"/>
      <c r="I486" s="464"/>
      <c r="J486" s="464"/>
      <c r="K486" s="464"/>
      <c r="L486" s="464"/>
      <c r="M486" s="465"/>
      <c r="N486" s="464"/>
      <c r="O486" s="464"/>
      <c r="P486" s="464"/>
      <c r="Q486" s="444"/>
      <c r="R486" s="444"/>
      <c r="S486" s="444"/>
      <c r="T486" s="444"/>
      <c r="U486" s="444"/>
      <c r="V486" s="444"/>
      <c r="W486" s="444"/>
    </row>
    <row r="487" spans="1:23" ht="15.75">
      <c r="A487" s="463"/>
      <c r="B487" s="464"/>
      <c r="C487" s="464"/>
      <c r="D487" s="464"/>
      <c r="E487" s="464"/>
      <c r="F487" s="464"/>
      <c r="G487" s="464"/>
      <c r="H487" s="464"/>
      <c r="I487" s="464"/>
      <c r="J487" s="464"/>
      <c r="K487" s="464"/>
      <c r="L487" s="464"/>
      <c r="M487" s="465"/>
      <c r="N487" s="464"/>
      <c r="O487" s="464"/>
      <c r="P487" s="464"/>
      <c r="Q487" s="444"/>
      <c r="R487" s="444"/>
      <c r="S487" s="444"/>
      <c r="T487" s="444"/>
      <c r="U487" s="444"/>
      <c r="V487" s="444"/>
      <c r="W487" s="444"/>
    </row>
    <row r="488" spans="1:23" ht="15.75">
      <c r="A488" s="463"/>
      <c r="B488" s="464"/>
      <c r="C488" s="464"/>
      <c r="D488" s="464"/>
      <c r="E488" s="464"/>
      <c r="F488" s="464"/>
      <c r="G488" s="464"/>
      <c r="H488" s="464"/>
      <c r="I488" s="464"/>
      <c r="J488" s="464"/>
      <c r="K488" s="464"/>
      <c r="L488" s="464"/>
      <c r="M488" s="465"/>
      <c r="N488" s="464"/>
      <c r="O488" s="464"/>
      <c r="P488" s="464"/>
      <c r="Q488" s="444"/>
      <c r="R488" s="444"/>
      <c r="S488" s="444"/>
      <c r="T488" s="444"/>
      <c r="U488" s="444"/>
      <c r="V488" s="444"/>
      <c r="W488" s="444"/>
    </row>
    <row r="489" spans="1:23" ht="15.75">
      <c r="A489" s="463"/>
      <c r="B489" s="464"/>
      <c r="C489" s="464"/>
      <c r="D489" s="464"/>
      <c r="E489" s="464"/>
      <c r="F489" s="464"/>
      <c r="G489" s="464"/>
      <c r="H489" s="464"/>
      <c r="I489" s="464"/>
      <c r="J489" s="464"/>
      <c r="K489" s="464"/>
      <c r="L489" s="464"/>
      <c r="M489" s="465"/>
      <c r="N489" s="464"/>
      <c r="O489" s="464"/>
      <c r="P489" s="464"/>
      <c r="Q489" s="444"/>
      <c r="R489" s="444"/>
      <c r="S489" s="444"/>
      <c r="T489" s="444"/>
      <c r="U489" s="444"/>
      <c r="V489" s="444"/>
      <c r="W489" s="444"/>
    </row>
    <row r="490" spans="1:23" ht="15.75">
      <c r="A490" s="463"/>
      <c r="B490" s="464"/>
      <c r="C490" s="464"/>
      <c r="D490" s="464"/>
      <c r="E490" s="464"/>
      <c r="F490" s="464"/>
      <c r="G490" s="464"/>
      <c r="H490" s="464"/>
      <c r="I490" s="464"/>
      <c r="J490" s="464"/>
      <c r="K490" s="464"/>
      <c r="L490" s="464"/>
      <c r="M490" s="465"/>
      <c r="N490" s="464"/>
      <c r="O490" s="464"/>
      <c r="P490" s="464"/>
      <c r="Q490" s="444"/>
      <c r="R490" s="444"/>
      <c r="S490" s="444"/>
      <c r="T490" s="444"/>
      <c r="U490" s="444"/>
      <c r="V490" s="444"/>
      <c r="W490" s="444"/>
    </row>
    <row r="491" spans="1:23" ht="15.75">
      <c r="A491" s="463"/>
      <c r="B491" s="464"/>
      <c r="C491" s="464"/>
      <c r="D491" s="464"/>
      <c r="E491" s="464"/>
      <c r="F491" s="464"/>
      <c r="G491" s="464"/>
      <c r="H491" s="464"/>
      <c r="I491" s="464"/>
      <c r="J491" s="464"/>
      <c r="K491" s="464"/>
      <c r="L491" s="464"/>
      <c r="M491" s="465"/>
      <c r="N491" s="464"/>
      <c r="O491" s="464"/>
      <c r="P491" s="464"/>
      <c r="Q491" s="444"/>
      <c r="R491" s="444"/>
      <c r="S491" s="444"/>
      <c r="T491" s="444"/>
      <c r="U491" s="444"/>
      <c r="V491" s="444"/>
      <c r="W491" s="444"/>
    </row>
    <row r="492" spans="1:23" ht="15.75">
      <c r="A492" s="463"/>
      <c r="B492" s="464"/>
      <c r="C492" s="464"/>
      <c r="D492" s="464"/>
      <c r="E492" s="464"/>
      <c r="F492" s="464"/>
      <c r="G492" s="464"/>
      <c r="H492" s="464"/>
      <c r="I492" s="464"/>
      <c r="J492" s="464"/>
      <c r="K492" s="464"/>
      <c r="L492" s="464"/>
      <c r="M492" s="465"/>
      <c r="N492" s="464"/>
      <c r="O492" s="464"/>
      <c r="P492" s="464"/>
      <c r="Q492" s="444"/>
      <c r="R492" s="444"/>
      <c r="S492" s="444"/>
      <c r="T492" s="444"/>
      <c r="U492" s="444"/>
      <c r="V492" s="444"/>
      <c r="W492" s="444"/>
    </row>
    <row r="493" spans="1:23" ht="15.75">
      <c r="A493" s="463"/>
      <c r="B493" s="464"/>
      <c r="C493" s="464"/>
      <c r="D493" s="464"/>
      <c r="E493" s="464"/>
      <c r="F493" s="464"/>
      <c r="G493" s="464"/>
      <c r="H493" s="464"/>
      <c r="I493" s="464"/>
      <c r="J493" s="464"/>
      <c r="K493" s="464"/>
      <c r="L493" s="464"/>
      <c r="M493" s="465"/>
      <c r="N493" s="464"/>
      <c r="O493" s="464"/>
      <c r="P493" s="464"/>
      <c r="Q493" s="444"/>
      <c r="R493" s="444"/>
      <c r="S493" s="444"/>
      <c r="T493" s="444"/>
      <c r="U493" s="444"/>
      <c r="V493" s="444"/>
      <c r="W493" s="444"/>
    </row>
    <row r="494" spans="1:23" ht="15.75">
      <c r="A494" s="463"/>
      <c r="B494" s="464"/>
      <c r="C494" s="464"/>
      <c r="D494" s="464"/>
      <c r="E494" s="464"/>
      <c r="F494" s="464"/>
      <c r="G494" s="464"/>
      <c r="H494" s="464"/>
      <c r="I494" s="464"/>
      <c r="J494" s="464"/>
      <c r="K494" s="464"/>
      <c r="L494" s="464"/>
      <c r="M494" s="465"/>
      <c r="N494" s="464"/>
      <c r="O494" s="464"/>
      <c r="P494" s="464"/>
      <c r="Q494" s="444"/>
      <c r="R494" s="444"/>
      <c r="S494" s="444"/>
      <c r="T494" s="444"/>
      <c r="U494" s="444"/>
      <c r="V494" s="444"/>
      <c r="W494" s="444"/>
    </row>
    <row r="495" spans="1:23" ht="15.75">
      <c r="A495" s="463"/>
      <c r="B495" s="464"/>
      <c r="C495" s="464"/>
      <c r="D495" s="464"/>
      <c r="E495" s="464"/>
      <c r="F495" s="464"/>
      <c r="G495" s="464"/>
      <c r="H495" s="464"/>
      <c r="I495" s="464"/>
      <c r="J495" s="464"/>
      <c r="K495" s="464"/>
      <c r="L495" s="464"/>
      <c r="M495" s="465"/>
      <c r="N495" s="464"/>
      <c r="O495" s="464"/>
      <c r="P495" s="464"/>
      <c r="Q495" s="444"/>
      <c r="R495" s="444"/>
      <c r="S495" s="444"/>
      <c r="T495" s="444"/>
      <c r="U495" s="444"/>
      <c r="V495" s="444"/>
      <c r="W495" s="444"/>
    </row>
    <row r="496" spans="1:23" ht="15.75">
      <c r="A496" s="463"/>
      <c r="B496" s="464"/>
      <c r="C496" s="464"/>
      <c r="D496" s="464"/>
      <c r="E496" s="464"/>
      <c r="F496" s="464"/>
      <c r="G496" s="464"/>
      <c r="H496" s="464"/>
      <c r="I496" s="464"/>
      <c r="J496" s="464"/>
      <c r="K496" s="464"/>
      <c r="L496" s="464"/>
      <c r="M496" s="465"/>
      <c r="N496" s="464"/>
      <c r="O496" s="464"/>
      <c r="P496" s="464"/>
      <c r="Q496" s="444"/>
      <c r="R496" s="444"/>
      <c r="S496" s="444"/>
      <c r="T496" s="444"/>
      <c r="U496" s="444"/>
      <c r="V496" s="444"/>
      <c r="W496" s="444"/>
    </row>
    <row r="497" spans="1:23" ht="15.75">
      <c r="A497" s="463"/>
      <c r="B497" s="464"/>
      <c r="C497" s="464"/>
      <c r="D497" s="464"/>
      <c r="E497" s="464"/>
      <c r="F497" s="464"/>
      <c r="G497" s="464"/>
      <c r="H497" s="464"/>
      <c r="I497" s="464"/>
      <c r="J497" s="464"/>
      <c r="K497" s="464"/>
      <c r="L497" s="464"/>
      <c r="M497" s="465"/>
      <c r="N497" s="464"/>
      <c r="O497" s="464"/>
      <c r="P497" s="464"/>
      <c r="Q497" s="444"/>
      <c r="R497" s="444"/>
      <c r="S497" s="444"/>
      <c r="T497" s="444"/>
      <c r="U497" s="444"/>
      <c r="V497" s="444"/>
      <c r="W497" s="444"/>
    </row>
    <row r="498" spans="1:23" ht="15.75">
      <c r="A498" s="463"/>
      <c r="B498" s="464"/>
      <c r="C498" s="464"/>
      <c r="D498" s="464"/>
      <c r="E498" s="464"/>
      <c r="F498" s="464"/>
      <c r="G498" s="464"/>
      <c r="H498" s="464"/>
      <c r="I498" s="464"/>
      <c r="J498" s="464"/>
      <c r="K498" s="464"/>
      <c r="L498" s="464"/>
      <c r="M498" s="465"/>
      <c r="N498" s="464"/>
      <c r="O498" s="464"/>
      <c r="P498" s="464"/>
      <c r="Q498" s="444"/>
      <c r="R498" s="444"/>
      <c r="S498" s="444"/>
      <c r="T498" s="444"/>
      <c r="U498" s="444"/>
      <c r="V498" s="444"/>
      <c r="W498" s="444"/>
    </row>
    <row r="499" spans="1:23" ht="15.75">
      <c r="A499" s="463"/>
      <c r="B499" s="464"/>
      <c r="C499" s="464"/>
      <c r="D499" s="464"/>
      <c r="E499" s="464"/>
      <c r="F499" s="464"/>
      <c r="G499" s="464"/>
      <c r="H499" s="464"/>
      <c r="I499" s="464"/>
      <c r="J499" s="464"/>
      <c r="K499" s="464"/>
      <c r="L499" s="464"/>
      <c r="M499" s="465"/>
      <c r="N499" s="464"/>
      <c r="O499" s="464"/>
      <c r="P499" s="464"/>
      <c r="Q499" s="444"/>
      <c r="R499" s="444"/>
      <c r="S499" s="444"/>
      <c r="T499" s="444"/>
      <c r="U499" s="444"/>
      <c r="V499" s="444"/>
      <c r="W499" s="444"/>
    </row>
    <row r="500" spans="1:23" ht="15.75">
      <c r="A500" s="463"/>
      <c r="B500" s="464"/>
      <c r="C500" s="464"/>
      <c r="D500" s="464"/>
      <c r="E500" s="464"/>
      <c r="F500" s="464"/>
      <c r="G500" s="464"/>
      <c r="H500" s="464"/>
      <c r="I500" s="464"/>
      <c r="J500" s="464"/>
      <c r="K500" s="464"/>
      <c r="L500" s="464"/>
      <c r="M500" s="465"/>
      <c r="N500" s="464"/>
      <c r="O500" s="464"/>
      <c r="P500" s="464"/>
      <c r="Q500" s="444"/>
      <c r="R500" s="444"/>
      <c r="S500" s="444"/>
      <c r="T500" s="444"/>
      <c r="U500" s="444"/>
      <c r="V500" s="444"/>
      <c r="W500" s="444"/>
    </row>
    <row r="501" spans="1:23" ht="15.75">
      <c r="A501" s="463"/>
      <c r="B501" s="464"/>
      <c r="C501" s="464"/>
      <c r="D501" s="464"/>
      <c r="E501" s="464"/>
      <c r="F501" s="464"/>
      <c r="G501" s="464"/>
      <c r="H501" s="464"/>
      <c r="I501" s="464"/>
      <c r="J501" s="464"/>
      <c r="K501" s="464"/>
      <c r="L501" s="464"/>
      <c r="M501" s="465"/>
      <c r="N501" s="464"/>
      <c r="O501" s="464"/>
      <c r="P501" s="464"/>
      <c r="Q501" s="444"/>
      <c r="R501" s="444"/>
      <c r="S501" s="444"/>
      <c r="T501" s="444"/>
      <c r="U501" s="444"/>
      <c r="V501" s="444"/>
      <c r="W501" s="444"/>
    </row>
    <row r="502" spans="1:23" ht="15.75">
      <c r="A502" s="463"/>
      <c r="B502" s="464"/>
      <c r="C502" s="464"/>
      <c r="D502" s="464"/>
      <c r="E502" s="464"/>
      <c r="F502" s="464"/>
      <c r="G502" s="464"/>
      <c r="H502" s="464"/>
      <c r="I502" s="464"/>
      <c r="J502" s="464"/>
      <c r="K502" s="464"/>
      <c r="L502" s="464"/>
      <c r="M502" s="465"/>
      <c r="N502" s="464"/>
      <c r="O502" s="464"/>
      <c r="P502" s="464"/>
      <c r="Q502" s="444"/>
      <c r="R502" s="444"/>
      <c r="S502" s="444"/>
      <c r="T502" s="444"/>
      <c r="U502" s="444"/>
      <c r="V502" s="444"/>
      <c r="W502" s="444"/>
    </row>
    <row r="503" spans="1:23" ht="15.75">
      <c r="A503" s="463"/>
      <c r="B503" s="464"/>
      <c r="C503" s="464"/>
      <c r="D503" s="464"/>
      <c r="E503" s="464"/>
      <c r="F503" s="464"/>
      <c r="G503" s="464"/>
      <c r="H503" s="464"/>
      <c r="I503" s="464"/>
      <c r="J503" s="464"/>
      <c r="K503" s="464"/>
      <c r="L503" s="464"/>
      <c r="M503" s="465"/>
      <c r="N503" s="464"/>
      <c r="O503" s="464"/>
      <c r="P503" s="464"/>
      <c r="Q503" s="444"/>
      <c r="R503" s="444"/>
      <c r="S503" s="444"/>
      <c r="T503" s="444"/>
      <c r="U503" s="444"/>
      <c r="V503" s="444"/>
      <c r="W503" s="444"/>
    </row>
    <row r="504" spans="1:23" ht="15.75">
      <c r="A504" s="463"/>
      <c r="B504" s="464"/>
      <c r="C504" s="464"/>
      <c r="D504" s="464"/>
      <c r="E504" s="464"/>
      <c r="F504" s="464"/>
      <c r="G504" s="464"/>
      <c r="H504" s="464"/>
      <c r="I504" s="464"/>
      <c r="J504" s="464"/>
      <c r="K504" s="464"/>
      <c r="L504" s="464"/>
      <c r="M504" s="465"/>
      <c r="N504" s="464"/>
      <c r="O504" s="464"/>
      <c r="P504" s="464"/>
      <c r="Q504" s="444"/>
      <c r="R504" s="444"/>
      <c r="S504" s="444"/>
      <c r="T504" s="444"/>
      <c r="U504" s="444"/>
      <c r="V504" s="444"/>
      <c r="W504" s="444"/>
    </row>
    <row r="505" spans="1:23" ht="15.75">
      <c r="A505" s="463"/>
      <c r="B505" s="464"/>
      <c r="C505" s="464"/>
      <c r="D505" s="464"/>
      <c r="E505" s="464"/>
      <c r="F505" s="464"/>
      <c r="G505" s="464"/>
      <c r="H505" s="464"/>
      <c r="I505" s="464"/>
      <c r="J505" s="464"/>
      <c r="K505" s="464"/>
      <c r="L505" s="464"/>
      <c r="M505" s="465"/>
      <c r="N505" s="464"/>
      <c r="O505" s="464"/>
      <c r="P505" s="464"/>
      <c r="Q505" s="444"/>
      <c r="R505" s="444"/>
      <c r="S505" s="444"/>
      <c r="T505" s="444"/>
      <c r="U505" s="444"/>
      <c r="V505" s="444"/>
      <c r="W505" s="444"/>
    </row>
    <row r="506" spans="1:23" ht="15.75">
      <c r="A506" s="463"/>
      <c r="B506" s="464"/>
      <c r="C506" s="464"/>
      <c r="D506" s="464"/>
      <c r="E506" s="464"/>
      <c r="F506" s="464"/>
      <c r="G506" s="464"/>
      <c r="H506" s="464"/>
      <c r="I506" s="464"/>
      <c r="J506" s="464"/>
      <c r="K506" s="464"/>
      <c r="L506" s="464"/>
      <c r="M506" s="465"/>
      <c r="N506" s="464"/>
      <c r="O506" s="464"/>
      <c r="P506" s="464"/>
      <c r="Q506" s="444"/>
      <c r="R506" s="444"/>
      <c r="S506" s="444"/>
      <c r="T506" s="444"/>
      <c r="U506" s="444"/>
      <c r="V506" s="444"/>
      <c r="W506" s="444"/>
    </row>
    <row r="507" spans="1:23" ht="15.75">
      <c r="A507" s="463"/>
      <c r="B507" s="464"/>
      <c r="C507" s="464"/>
      <c r="D507" s="464"/>
      <c r="E507" s="464"/>
      <c r="F507" s="464"/>
      <c r="G507" s="464"/>
      <c r="H507" s="464"/>
      <c r="I507" s="464"/>
      <c r="J507" s="464"/>
      <c r="K507" s="464"/>
      <c r="L507" s="464"/>
      <c r="M507" s="465"/>
      <c r="N507" s="464"/>
      <c r="O507" s="464"/>
      <c r="P507" s="464"/>
      <c r="Q507" s="444"/>
      <c r="R507" s="444"/>
      <c r="S507" s="444"/>
      <c r="T507" s="444"/>
      <c r="U507" s="444"/>
      <c r="V507" s="444"/>
      <c r="W507" s="444"/>
    </row>
    <row r="508" spans="1:23" ht="15.75">
      <c r="A508" s="463"/>
      <c r="B508" s="464"/>
      <c r="C508" s="464"/>
      <c r="D508" s="464"/>
      <c r="E508" s="464"/>
      <c r="F508" s="464"/>
      <c r="G508" s="464"/>
      <c r="H508" s="464"/>
      <c r="I508" s="464"/>
      <c r="J508" s="464"/>
      <c r="K508" s="464"/>
      <c r="L508" s="464"/>
      <c r="M508" s="465"/>
      <c r="N508" s="464"/>
      <c r="O508" s="464"/>
      <c r="P508" s="464"/>
      <c r="Q508" s="444"/>
      <c r="R508" s="444"/>
      <c r="S508" s="444"/>
      <c r="T508" s="444"/>
      <c r="U508" s="444"/>
      <c r="V508" s="444"/>
      <c r="W508" s="444"/>
    </row>
    <row r="509" spans="1:23" ht="15.75">
      <c r="A509" s="463"/>
      <c r="B509" s="464"/>
      <c r="C509" s="464"/>
      <c r="D509" s="464"/>
      <c r="E509" s="464"/>
      <c r="F509" s="464"/>
      <c r="G509" s="464"/>
      <c r="H509" s="464"/>
      <c r="I509" s="464"/>
      <c r="J509" s="464"/>
      <c r="K509" s="464"/>
      <c r="L509" s="464"/>
      <c r="M509" s="465"/>
      <c r="N509" s="464"/>
      <c r="O509" s="464"/>
      <c r="P509" s="464"/>
      <c r="Q509" s="444"/>
      <c r="R509" s="444"/>
      <c r="S509" s="444"/>
      <c r="T509" s="444"/>
      <c r="U509" s="444"/>
      <c r="V509" s="444"/>
      <c r="W509" s="444"/>
    </row>
    <row r="510" spans="1:23" ht="15.75">
      <c r="A510" s="463"/>
      <c r="B510" s="464"/>
      <c r="C510" s="464"/>
      <c r="D510" s="464"/>
      <c r="E510" s="464"/>
      <c r="F510" s="464"/>
      <c r="G510" s="464"/>
      <c r="H510" s="464"/>
      <c r="I510" s="464"/>
      <c r="J510" s="464"/>
      <c r="K510" s="464"/>
      <c r="L510" s="464"/>
      <c r="M510" s="465"/>
      <c r="N510" s="464"/>
      <c r="O510" s="464"/>
      <c r="P510" s="464"/>
      <c r="Q510" s="444"/>
      <c r="R510" s="444"/>
      <c r="S510" s="444"/>
      <c r="T510" s="444"/>
      <c r="U510" s="444"/>
      <c r="V510" s="444"/>
      <c r="W510" s="444"/>
    </row>
    <row r="511" spans="1:23" ht="15.75">
      <c r="A511" s="463"/>
      <c r="B511" s="464"/>
      <c r="C511" s="464"/>
      <c r="D511" s="464"/>
      <c r="E511" s="464"/>
      <c r="F511" s="464"/>
      <c r="G511" s="464"/>
      <c r="H511" s="464"/>
      <c r="I511" s="464"/>
      <c r="J511" s="464"/>
      <c r="K511" s="464"/>
      <c r="L511" s="464"/>
      <c r="M511" s="465"/>
      <c r="N511" s="464"/>
      <c r="O511" s="464"/>
      <c r="P511" s="464"/>
      <c r="Q511" s="444"/>
      <c r="R511" s="444"/>
      <c r="S511" s="444"/>
      <c r="T511" s="444"/>
      <c r="U511" s="444"/>
      <c r="V511" s="444"/>
      <c r="W511" s="444"/>
    </row>
    <row r="512" spans="1:23" ht="15.75">
      <c r="A512" s="463"/>
      <c r="B512" s="464"/>
      <c r="C512" s="464"/>
      <c r="D512" s="464"/>
      <c r="E512" s="464"/>
      <c r="F512" s="464"/>
      <c r="G512" s="464"/>
      <c r="H512" s="464"/>
      <c r="I512" s="464"/>
      <c r="J512" s="464"/>
      <c r="K512" s="464"/>
      <c r="L512" s="464"/>
      <c r="M512" s="465"/>
      <c r="N512" s="464"/>
      <c r="O512" s="464"/>
      <c r="P512" s="464"/>
      <c r="Q512" s="444"/>
      <c r="R512" s="444"/>
      <c r="S512" s="444"/>
      <c r="T512" s="444"/>
      <c r="U512" s="444"/>
      <c r="V512" s="444"/>
      <c r="W512" s="444"/>
    </row>
    <row r="513" spans="1:23" ht="15.75">
      <c r="A513" s="463"/>
      <c r="B513" s="464"/>
      <c r="C513" s="464"/>
      <c r="D513" s="464"/>
      <c r="E513" s="464"/>
      <c r="F513" s="464"/>
      <c r="G513" s="464"/>
      <c r="H513" s="464"/>
      <c r="I513" s="464"/>
      <c r="J513" s="464"/>
      <c r="K513" s="464"/>
      <c r="L513" s="464"/>
      <c r="M513" s="465"/>
      <c r="N513" s="464"/>
      <c r="O513" s="464"/>
      <c r="P513" s="464"/>
      <c r="Q513" s="444"/>
      <c r="R513" s="444"/>
      <c r="S513" s="444"/>
      <c r="T513" s="444"/>
      <c r="U513" s="444"/>
      <c r="V513" s="444"/>
      <c r="W513" s="444"/>
    </row>
    <row r="514" spans="1:23" ht="15.75">
      <c r="A514" s="463"/>
      <c r="B514" s="464"/>
      <c r="C514" s="464"/>
      <c r="D514" s="464"/>
      <c r="E514" s="464"/>
      <c r="F514" s="464"/>
      <c r="G514" s="464"/>
      <c r="H514" s="464"/>
      <c r="I514" s="464"/>
      <c r="J514" s="464"/>
      <c r="K514" s="464"/>
      <c r="L514" s="464"/>
      <c r="M514" s="465"/>
      <c r="N514" s="464"/>
      <c r="O514" s="464"/>
      <c r="P514" s="464"/>
      <c r="Q514" s="444"/>
      <c r="R514" s="444"/>
      <c r="S514" s="444"/>
      <c r="T514" s="444"/>
      <c r="U514" s="444"/>
      <c r="V514" s="444"/>
      <c r="W514" s="444"/>
    </row>
    <row r="515" spans="1:23" ht="15.75">
      <c r="A515" s="463"/>
      <c r="B515" s="464"/>
      <c r="C515" s="464"/>
      <c r="D515" s="464"/>
      <c r="E515" s="464"/>
      <c r="F515" s="464"/>
      <c r="G515" s="464"/>
      <c r="H515" s="464"/>
      <c r="I515" s="464"/>
      <c r="J515" s="464"/>
      <c r="K515" s="464"/>
      <c r="L515" s="464"/>
      <c r="M515" s="465"/>
      <c r="N515" s="464"/>
      <c r="O515" s="464"/>
      <c r="P515" s="464"/>
      <c r="Q515" s="444"/>
      <c r="R515" s="444"/>
      <c r="S515" s="444"/>
      <c r="T515" s="444"/>
      <c r="U515" s="444"/>
      <c r="V515" s="444"/>
      <c r="W515" s="444"/>
    </row>
    <row r="516" spans="1:23" ht="15.75">
      <c r="A516" s="463"/>
      <c r="B516" s="464"/>
      <c r="C516" s="464"/>
      <c r="D516" s="464"/>
      <c r="E516" s="464"/>
      <c r="F516" s="464"/>
      <c r="G516" s="464"/>
      <c r="H516" s="464"/>
      <c r="I516" s="464"/>
      <c r="J516" s="464"/>
      <c r="K516" s="464"/>
      <c r="L516" s="464"/>
      <c r="M516" s="465"/>
      <c r="N516" s="464"/>
      <c r="O516" s="464"/>
      <c r="P516" s="464"/>
      <c r="Q516" s="444"/>
      <c r="R516" s="444"/>
      <c r="S516" s="444"/>
      <c r="T516" s="444"/>
      <c r="U516" s="444"/>
      <c r="V516" s="444"/>
      <c r="W516" s="444"/>
    </row>
    <row r="517" spans="1:23" ht="15.75">
      <c r="A517" s="463"/>
      <c r="B517" s="464"/>
      <c r="C517" s="464"/>
      <c r="D517" s="464"/>
      <c r="E517" s="464"/>
      <c r="F517" s="464"/>
      <c r="G517" s="464"/>
      <c r="H517" s="464"/>
      <c r="I517" s="464"/>
      <c r="J517" s="464"/>
      <c r="K517" s="464"/>
      <c r="L517" s="464"/>
      <c r="M517" s="465"/>
      <c r="N517" s="464"/>
      <c r="O517" s="464"/>
      <c r="P517" s="464"/>
      <c r="Q517" s="444"/>
      <c r="R517" s="444"/>
      <c r="S517" s="444"/>
      <c r="T517" s="444"/>
      <c r="U517" s="444"/>
      <c r="V517" s="444"/>
      <c r="W517" s="444"/>
    </row>
    <row r="518" spans="1:23" ht="15.75">
      <c r="A518" s="463"/>
      <c r="B518" s="464"/>
      <c r="C518" s="464"/>
      <c r="D518" s="464"/>
      <c r="E518" s="464"/>
      <c r="F518" s="464"/>
      <c r="G518" s="464"/>
      <c r="H518" s="464"/>
      <c r="I518" s="464"/>
      <c r="J518" s="464"/>
      <c r="K518" s="464"/>
      <c r="L518" s="464"/>
      <c r="M518" s="465"/>
      <c r="N518" s="464"/>
      <c r="O518" s="464"/>
      <c r="P518" s="464"/>
      <c r="Q518" s="444"/>
      <c r="R518" s="444"/>
      <c r="S518" s="444"/>
      <c r="T518" s="444"/>
      <c r="U518" s="444"/>
      <c r="V518" s="444"/>
      <c r="W518" s="444"/>
    </row>
    <row r="519" spans="1:23" ht="15.75">
      <c r="A519" s="463"/>
      <c r="B519" s="464"/>
      <c r="C519" s="464"/>
      <c r="D519" s="464"/>
      <c r="E519" s="464"/>
      <c r="F519" s="464"/>
      <c r="G519" s="464"/>
      <c r="H519" s="464"/>
      <c r="I519" s="464"/>
      <c r="J519" s="464"/>
      <c r="K519" s="464"/>
      <c r="L519" s="464"/>
      <c r="M519" s="465"/>
      <c r="N519" s="464"/>
      <c r="O519" s="464"/>
      <c r="P519" s="464"/>
      <c r="Q519" s="444"/>
      <c r="R519" s="444"/>
      <c r="S519" s="444"/>
      <c r="T519" s="444"/>
      <c r="U519" s="444"/>
      <c r="V519" s="444"/>
      <c r="W519" s="444"/>
    </row>
    <row r="520" spans="1:23" ht="15.75">
      <c r="A520" s="463"/>
      <c r="B520" s="464"/>
      <c r="C520" s="464"/>
      <c r="D520" s="464"/>
      <c r="E520" s="464"/>
      <c r="F520" s="464"/>
      <c r="G520" s="464"/>
      <c r="H520" s="464"/>
      <c r="I520" s="464"/>
      <c r="J520" s="464"/>
      <c r="K520" s="464"/>
      <c r="L520" s="464"/>
      <c r="M520" s="465"/>
      <c r="N520" s="464"/>
      <c r="O520" s="464"/>
      <c r="P520" s="464"/>
      <c r="Q520" s="444"/>
      <c r="R520" s="444"/>
      <c r="S520" s="444"/>
      <c r="T520" s="444"/>
      <c r="U520" s="444"/>
      <c r="V520" s="444"/>
      <c r="W520" s="444"/>
    </row>
    <row r="521" spans="1:23" ht="15.75">
      <c r="A521" s="463"/>
      <c r="B521" s="464"/>
      <c r="C521" s="464"/>
      <c r="D521" s="464"/>
      <c r="E521" s="464"/>
      <c r="F521" s="464"/>
      <c r="G521" s="464"/>
      <c r="H521" s="464"/>
      <c r="I521" s="464"/>
      <c r="J521" s="464"/>
      <c r="K521" s="464"/>
      <c r="L521" s="464"/>
      <c r="M521" s="465"/>
      <c r="N521" s="464"/>
      <c r="O521" s="464"/>
      <c r="P521" s="464"/>
      <c r="Q521" s="444"/>
      <c r="R521" s="444"/>
      <c r="S521" s="444"/>
      <c r="T521" s="444"/>
      <c r="U521" s="444"/>
      <c r="V521" s="444"/>
      <c r="W521" s="444"/>
    </row>
    <row r="522" spans="1:23" ht="15.75">
      <c r="A522" s="463"/>
      <c r="B522" s="464"/>
      <c r="C522" s="464"/>
      <c r="D522" s="464"/>
      <c r="E522" s="464"/>
      <c r="F522" s="464"/>
      <c r="G522" s="464"/>
      <c r="H522" s="464"/>
      <c r="I522" s="464"/>
      <c r="J522" s="464"/>
      <c r="K522" s="464"/>
      <c r="L522" s="464"/>
      <c r="M522" s="465"/>
      <c r="N522" s="464"/>
      <c r="O522" s="464"/>
      <c r="P522" s="464"/>
      <c r="Q522" s="444"/>
      <c r="R522" s="444"/>
      <c r="S522" s="444"/>
      <c r="T522" s="444"/>
      <c r="U522" s="444"/>
      <c r="V522" s="444"/>
      <c r="W522" s="444"/>
    </row>
    <row r="523" spans="1:23" ht="15.75">
      <c r="A523" s="463"/>
      <c r="B523" s="464"/>
      <c r="C523" s="464"/>
      <c r="D523" s="464"/>
      <c r="E523" s="464"/>
      <c r="F523" s="464"/>
      <c r="G523" s="464"/>
      <c r="H523" s="464"/>
      <c r="I523" s="464"/>
      <c r="J523" s="464"/>
      <c r="K523" s="464"/>
      <c r="L523" s="464"/>
      <c r="M523" s="465"/>
      <c r="N523" s="464"/>
      <c r="O523" s="464"/>
      <c r="P523" s="464"/>
      <c r="Q523" s="444"/>
      <c r="R523" s="444"/>
      <c r="S523" s="444"/>
      <c r="T523" s="444"/>
      <c r="U523" s="444"/>
      <c r="V523" s="444"/>
      <c r="W523" s="444"/>
    </row>
    <row r="524" spans="1:23" ht="15.75">
      <c r="A524" s="463"/>
      <c r="B524" s="464"/>
      <c r="C524" s="464"/>
      <c r="D524" s="464"/>
      <c r="E524" s="464"/>
      <c r="F524" s="464"/>
      <c r="G524" s="464"/>
      <c r="H524" s="464"/>
      <c r="I524" s="464"/>
      <c r="J524" s="464"/>
      <c r="K524" s="464"/>
      <c r="L524" s="464"/>
      <c r="M524" s="465"/>
      <c r="N524" s="464"/>
      <c r="O524" s="464"/>
      <c r="P524" s="464"/>
      <c r="Q524" s="444"/>
      <c r="R524" s="444"/>
      <c r="S524" s="444"/>
      <c r="T524" s="444"/>
      <c r="U524" s="444"/>
      <c r="V524" s="444"/>
      <c r="W524" s="444"/>
    </row>
    <row r="525" spans="1:23" ht="15.75">
      <c r="A525" s="463"/>
      <c r="B525" s="464"/>
      <c r="C525" s="464"/>
      <c r="D525" s="464"/>
      <c r="E525" s="464"/>
      <c r="F525" s="464"/>
      <c r="G525" s="464"/>
      <c r="H525" s="464"/>
      <c r="I525" s="464"/>
      <c r="J525" s="464"/>
      <c r="K525" s="464"/>
      <c r="L525" s="464"/>
      <c r="M525" s="465"/>
      <c r="N525" s="464"/>
      <c r="O525" s="464"/>
      <c r="P525" s="464"/>
      <c r="Q525" s="444"/>
      <c r="R525" s="444"/>
      <c r="S525" s="444"/>
      <c r="T525" s="444"/>
      <c r="U525" s="444"/>
      <c r="V525" s="444"/>
      <c r="W525" s="444"/>
    </row>
    <row r="526" spans="1:23" ht="15.75">
      <c r="A526" s="463"/>
      <c r="B526" s="464"/>
      <c r="C526" s="464"/>
      <c r="D526" s="464"/>
      <c r="E526" s="464"/>
      <c r="F526" s="464"/>
      <c r="G526" s="464"/>
      <c r="H526" s="464"/>
      <c r="I526" s="464"/>
      <c r="J526" s="464"/>
      <c r="K526" s="464"/>
      <c r="L526" s="464"/>
      <c r="M526" s="465"/>
      <c r="N526" s="464"/>
      <c r="O526" s="464"/>
      <c r="P526" s="464"/>
      <c r="Q526" s="444"/>
      <c r="R526" s="444"/>
      <c r="S526" s="444"/>
      <c r="T526" s="444"/>
      <c r="U526" s="444"/>
      <c r="V526" s="444"/>
      <c r="W526" s="444"/>
    </row>
    <row r="527" spans="1:23" ht="15.75">
      <c r="A527" s="463"/>
      <c r="B527" s="464"/>
      <c r="C527" s="464"/>
      <c r="D527" s="464"/>
      <c r="E527" s="464"/>
      <c r="F527" s="464"/>
      <c r="G527" s="464"/>
      <c r="H527" s="464"/>
      <c r="I527" s="464"/>
      <c r="J527" s="464"/>
      <c r="K527" s="464"/>
      <c r="L527" s="464"/>
      <c r="M527" s="465"/>
      <c r="N527" s="464"/>
      <c r="O527" s="464"/>
      <c r="P527" s="464"/>
      <c r="Q527" s="444"/>
      <c r="R527" s="444"/>
      <c r="S527" s="444"/>
      <c r="T527" s="444"/>
      <c r="U527" s="444"/>
      <c r="V527" s="444"/>
      <c r="W527" s="444"/>
    </row>
    <row r="528" spans="1:23" ht="15.75">
      <c r="A528" s="463"/>
      <c r="B528" s="464"/>
      <c r="C528" s="464"/>
      <c r="D528" s="464"/>
      <c r="E528" s="464"/>
      <c r="F528" s="464"/>
      <c r="G528" s="464"/>
      <c r="H528" s="464"/>
      <c r="I528" s="464"/>
      <c r="J528" s="464"/>
      <c r="K528" s="464"/>
      <c r="L528" s="464"/>
      <c r="M528" s="465"/>
      <c r="N528" s="464"/>
      <c r="O528" s="464"/>
      <c r="P528" s="464"/>
      <c r="Q528" s="444"/>
      <c r="R528" s="444"/>
      <c r="S528" s="444"/>
      <c r="T528" s="444"/>
      <c r="U528" s="444"/>
      <c r="V528" s="444"/>
      <c r="W528" s="444"/>
    </row>
    <row r="529" spans="1:23" ht="15.75">
      <c r="A529" s="463"/>
      <c r="B529" s="464"/>
      <c r="C529" s="464"/>
      <c r="D529" s="464"/>
      <c r="E529" s="464"/>
      <c r="F529" s="464"/>
      <c r="G529" s="464"/>
      <c r="H529" s="464"/>
      <c r="I529" s="464"/>
      <c r="J529" s="464"/>
      <c r="K529" s="464"/>
      <c r="L529" s="464"/>
      <c r="M529" s="465"/>
      <c r="N529" s="464"/>
      <c r="O529" s="464"/>
      <c r="P529" s="464"/>
      <c r="Q529" s="444"/>
      <c r="R529" s="444"/>
      <c r="S529" s="444"/>
      <c r="T529" s="444"/>
      <c r="U529" s="444"/>
      <c r="V529" s="444"/>
      <c r="W529" s="444"/>
    </row>
    <row r="530" spans="1:23" ht="15.75">
      <c r="A530" s="463"/>
      <c r="B530" s="464"/>
      <c r="C530" s="464"/>
      <c r="D530" s="464"/>
      <c r="E530" s="464"/>
      <c r="F530" s="464"/>
      <c r="G530" s="464"/>
      <c r="H530" s="464"/>
      <c r="I530" s="464"/>
      <c r="J530" s="464"/>
      <c r="K530" s="464"/>
      <c r="L530" s="464"/>
      <c r="M530" s="465"/>
      <c r="N530" s="464"/>
      <c r="O530" s="464"/>
      <c r="P530" s="464"/>
      <c r="Q530" s="444"/>
      <c r="R530" s="444"/>
      <c r="S530" s="444"/>
      <c r="T530" s="444"/>
      <c r="U530" s="444"/>
      <c r="V530" s="444"/>
      <c r="W530" s="444"/>
    </row>
    <row r="531" spans="1:23" ht="15.75">
      <c r="A531" s="463"/>
      <c r="B531" s="464"/>
      <c r="C531" s="464"/>
      <c r="D531" s="464"/>
      <c r="E531" s="464"/>
      <c r="F531" s="464"/>
      <c r="G531" s="464"/>
      <c r="H531" s="464"/>
      <c r="I531" s="464"/>
      <c r="J531" s="464"/>
      <c r="K531" s="464"/>
      <c r="L531" s="464"/>
      <c r="M531" s="465"/>
      <c r="N531" s="464"/>
      <c r="O531" s="464"/>
      <c r="P531" s="464"/>
      <c r="Q531" s="444"/>
      <c r="R531" s="444"/>
      <c r="S531" s="444"/>
      <c r="T531" s="444"/>
      <c r="U531" s="444"/>
      <c r="V531" s="444"/>
      <c r="W531" s="444"/>
    </row>
    <row r="532" spans="1:23" ht="15.75">
      <c r="A532" s="463"/>
      <c r="B532" s="464"/>
      <c r="C532" s="464"/>
      <c r="D532" s="464"/>
      <c r="E532" s="464"/>
      <c r="F532" s="464"/>
      <c r="G532" s="464"/>
      <c r="H532" s="464"/>
      <c r="I532" s="464"/>
      <c r="J532" s="464"/>
      <c r="K532" s="464"/>
      <c r="L532" s="464"/>
      <c r="M532" s="465"/>
      <c r="N532" s="464"/>
      <c r="O532" s="464"/>
      <c r="P532" s="464"/>
      <c r="Q532" s="444"/>
      <c r="R532" s="444"/>
      <c r="S532" s="444"/>
      <c r="T532" s="444"/>
      <c r="U532" s="444"/>
      <c r="V532" s="444"/>
      <c r="W532" s="444"/>
    </row>
    <row r="533" spans="1:23" ht="15.75">
      <c r="A533" s="463"/>
      <c r="B533" s="464"/>
      <c r="C533" s="464"/>
      <c r="D533" s="464"/>
      <c r="E533" s="464"/>
      <c r="F533" s="464"/>
      <c r="G533" s="464"/>
      <c r="H533" s="464"/>
      <c r="I533" s="464"/>
      <c r="J533" s="464"/>
      <c r="K533" s="464"/>
      <c r="L533" s="464"/>
      <c r="M533" s="465"/>
      <c r="N533" s="464"/>
      <c r="O533" s="464"/>
      <c r="P533" s="464"/>
      <c r="Q533" s="444"/>
      <c r="R533" s="444"/>
      <c r="S533" s="444"/>
      <c r="T533" s="444"/>
      <c r="U533" s="444"/>
      <c r="V533" s="444"/>
      <c r="W533" s="444"/>
    </row>
    <row r="534" spans="1:23" ht="15.75">
      <c r="A534" s="463"/>
      <c r="B534" s="464"/>
      <c r="C534" s="464"/>
      <c r="D534" s="464"/>
      <c r="E534" s="464"/>
      <c r="F534" s="464"/>
      <c r="G534" s="464"/>
      <c r="H534" s="464"/>
      <c r="I534" s="464"/>
      <c r="J534" s="464"/>
      <c r="K534" s="464"/>
      <c r="L534" s="464"/>
      <c r="M534" s="465"/>
      <c r="N534" s="464"/>
      <c r="O534" s="464"/>
      <c r="P534" s="464"/>
      <c r="Q534" s="444"/>
      <c r="R534" s="444"/>
      <c r="S534" s="444"/>
      <c r="T534" s="444"/>
      <c r="U534" s="444"/>
      <c r="V534" s="444"/>
      <c r="W534" s="444"/>
    </row>
    <row r="535" spans="1:23" ht="15.75">
      <c r="A535" s="463"/>
      <c r="B535" s="464"/>
      <c r="C535" s="464"/>
      <c r="D535" s="464"/>
      <c r="E535" s="464"/>
      <c r="F535" s="464"/>
      <c r="G535" s="464"/>
      <c r="H535" s="464"/>
      <c r="I535" s="464"/>
      <c r="J535" s="464"/>
      <c r="K535" s="464"/>
      <c r="L535" s="464"/>
      <c r="M535" s="465"/>
      <c r="N535" s="464"/>
      <c r="O535" s="464"/>
      <c r="P535" s="464"/>
      <c r="Q535" s="444"/>
      <c r="R535" s="444"/>
      <c r="S535" s="444"/>
      <c r="T535" s="444"/>
      <c r="U535" s="444"/>
      <c r="V535" s="444"/>
      <c r="W535" s="444"/>
    </row>
    <row r="536" spans="1:23" ht="15.75">
      <c r="A536" s="463"/>
      <c r="B536" s="464"/>
      <c r="C536" s="464"/>
      <c r="D536" s="464"/>
      <c r="E536" s="464"/>
      <c r="F536" s="464"/>
      <c r="G536" s="464"/>
      <c r="H536" s="464"/>
      <c r="I536" s="464"/>
      <c r="J536" s="464"/>
      <c r="K536" s="464"/>
      <c r="L536" s="464"/>
      <c r="M536" s="465"/>
      <c r="N536" s="464"/>
      <c r="O536" s="464"/>
      <c r="P536" s="464"/>
      <c r="Q536" s="444"/>
      <c r="R536" s="444"/>
      <c r="S536" s="444"/>
      <c r="T536" s="444"/>
      <c r="U536" s="444"/>
      <c r="V536" s="444"/>
      <c r="W536" s="444"/>
    </row>
    <row r="537" spans="1:23" ht="15.75">
      <c r="A537" s="463"/>
      <c r="B537" s="464"/>
      <c r="C537" s="464"/>
      <c r="D537" s="464"/>
      <c r="E537" s="464"/>
      <c r="F537" s="464"/>
      <c r="G537" s="464"/>
      <c r="H537" s="464"/>
      <c r="I537" s="464"/>
      <c r="J537" s="464"/>
      <c r="K537" s="464"/>
      <c r="L537" s="464"/>
      <c r="M537" s="465"/>
      <c r="N537" s="464"/>
      <c r="O537" s="464"/>
      <c r="P537" s="464"/>
      <c r="Q537" s="444"/>
      <c r="R537" s="444"/>
      <c r="S537" s="444"/>
      <c r="T537" s="444"/>
      <c r="U537" s="444"/>
      <c r="V537" s="444"/>
      <c r="W537" s="444"/>
    </row>
    <row r="538" spans="1:23" ht="15.75">
      <c r="A538" s="463"/>
      <c r="B538" s="464"/>
      <c r="C538" s="464"/>
      <c r="D538" s="464"/>
      <c r="E538" s="464"/>
      <c r="F538" s="464"/>
      <c r="G538" s="464"/>
      <c r="H538" s="464"/>
      <c r="I538" s="464"/>
      <c r="J538" s="464"/>
      <c r="K538" s="464"/>
      <c r="L538" s="464"/>
      <c r="M538" s="465"/>
      <c r="N538" s="464"/>
      <c r="O538" s="464"/>
      <c r="P538" s="464"/>
      <c r="Q538" s="444"/>
      <c r="R538" s="444"/>
      <c r="S538" s="444"/>
      <c r="T538" s="444"/>
      <c r="U538" s="444"/>
      <c r="V538" s="444"/>
      <c r="W538" s="444"/>
    </row>
    <row r="539" spans="1:23" ht="15.75">
      <c r="A539" s="463"/>
      <c r="B539" s="464"/>
      <c r="C539" s="464"/>
      <c r="D539" s="464"/>
      <c r="E539" s="464"/>
      <c r="F539" s="464"/>
      <c r="G539" s="464"/>
      <c r="H539" s="464"/>
      <c r="I539" s="464"/>
      <c r="J539" s="464"/>
      <c r="K539" s="464"/>
      <c r="L539" s="464"/>
      <c r="M539" s="465"/>
      <c r="N539" s="464"/>
      <c r="O539" s="464"/>
      <c r="P539" s="464"/>
      <c r="Q539" s="444"/>
      <c r="R539" s="444"/>
      <c r="S539" s="444"/>
      <c r="T539" s="444"/>
      <c r="U539" s="444"/>
      <c r="V539" s="444"/>
      <c r="W539" s="444"/>
    </row>
    <row r="540" spans="1:23" ht="15.75">
      <c r="A540" s="463"/>
      <c r="B540" s="464"/>
      <c r="C540" s="464"/>
      <c r="D540" s="464"/>
      <c r="E540" s="464"/>
      <c r="F540" s="464"/>
      <c r="G540" s="464"/>
      <c r="H540" s="464"/>
      <c r="I540" s="464"/>
      <c r="J540" s="464"/>
      <c r="K540" s="464"/>
      <c r="L540" s="464"/>
      <c r="M540" s="465"/>
      <c r="N540" s="464"/>
      <c r="O540" s="464"/>
      <c r="P540" s="464"/>
      <c r="Q540" s="444"/>
      <c r="R540" s="444"/>
      <c r="S540" s="444"/>
      <c r="T540" s="444"/>
      <c r="U540" s="444"/>
      <c r="V540" s="444"/>
      <c r="W540" s="444"/>
    </row>
    <row r="541" spans="1:23" ht="15.75">
      <c r="A541" s="463"/>
      <c r="B541" s="464"/>
      <c r="C541" s="464"/>
      <c r="D541" s="464"/>
      <c r="E541" s="464"/>
      <c r="F541" s="464"/>
      <c r="G541" s="464"/>
      <c r="H541" s="464"/>
      <c r="I541" s="464"/>
      <c r="J541" s="464"/>
      <c r="K541" s="464"/>
      <c r="L541" s="464"/>
      <c r="M541" s="465"/>
      <c r="N541" s="464"/>
      <c r="O541" s="464"/>
      <c r="P541" s="464"/>
      <c r="Q541" s="444"/>
      <c r="R541" s="444"/>
      <c r="S541" s="444"/>
      <c r="T541" s="444"/>
      <c r="U541" s="444"/>
      <c r="V541" s="444"/>
      <c r="W541" s="444"/>
    </row>
    <row r="542" spans="1:23" ht="15.75">
      <c r="A542" s="463"/>
      <c r="B542" s="464"/>
      <c r="C542" s="464"/>
      <c r="D542" s="464"/>
      <c r="E542" s="464"/>
      <c r="F542" s="464"/>
      <c r="G542" s="464"/>
      <c r="H542" s="464"/>
      <c r="I542" s="464"/>
      <c r="J542" s="464"/>
      <c r="K542" s="464"/>
      <c r="L542" s="464"/>
      <c r="M542" s="465"/>
      <c r="N542" s="464"/>
      <c r="O542" s="464"/>
      <c r="P542" s="464"/>
      <c r="Q542" s="444"/>
      <c r="R542" s="444"/>
      <c r="S542" s="444"/>
      <c r="T542" s="444"/>
      <c r="U542" s="444"/>
      <c r="V542" s="444"/>
      <c r="W542" s="444"/>
    </row>
    <row r="543" spans="1:23" ht="15.75">
      <c r="A543" s="463"/>
      <c r="B543" s="464"/>
      <c r="C543" s="464"/>
      <c r="D543" s="464"/>
      <c r="E543" s="464"/>
      <c r="F543" s="464"/>
      <c r="G543" s="464"/>
      <c r="H543" s="464"/>
      <c r="I543" s="464"/>
      <c r="J543" s="464"/>
      <c r="K543" s="464"/>
      <c r="L543" s="464"/>
      <c r="M543" s="465"/>
      <c r="N543" s="464"/>
      <c r="O543" s="464"/>
      <c r="P543" s="464"/>
      <c r="Q543" s="444"/>
      <c r="R543" s="444"/>
      <c r="S543" s="444"/>
      <c r="T543" s="444"/>
      <c r="U543" s="444"/>
      <c r="V543" s="444"/>
      <c r="W543" s="444"/>
    </row>
    <row r="544" spans="1:23" ht="15.75">
      <c r="A544" s="463"/>
      <c r="B544" s="464"/>
      <c r="C544" s="464"/>
      <c r="D544" s="464"/>
      <c r="E544" s="464"/>
      <c r="F544" s="464"/>
      <c r="G544" s="464"/>
      <c r="H544" s="464"/>
      <c r="I544" s="464"/>
      <c r="J544" s="464"/>
      <c r="K544" s="464"/>
      <c r="L544" s="464"/>
      <c r="M544" s="465"/>
      <c r="N544" s="464"/>
      <c r="O544" s="464"/>
      <c r="P544" s="464"/>
      <c r="Q544" s="444"/>
      <c r="R544" s="444"/>
      <c r="S544" s="444"/>
      <c r="T544" s="444"/>
      <c r="U544" s="444"/>
      <c r="V544" s="444"/>
      <c r="W544" s="444"/>
    </row>
    <row r="545" spans="1:23" ht="15.75">
      <c r="A545" s="463"/>
      <c r="B545" s="464"/>
      <c r="C545" s="464"/>
      <c r="D545" s="464"/>
      <c r="E545" s="464"/>
      <c r="F545" s="464"/>
      <c r="G545" s="464"/>
      <c r="H545" s="464"/>
      <c r="I545" s="464"/>
      <c r="J545" s="464"/>
      <c r="K545" s="464"/>
      <c r="L545" s="464"/>
      <c r="M545" s="465"/>
      <c r="N545" s="464"/>
      <c r="O545" s="464"/>
      <c r="P545" s="464"/>
      <c r="Q545" s="444"/>
      <c r="R545" s="444"/>
      <c r="S545" s="444"/>
      <c r="T545" s="444"/>
      <c r="U545" s="444"/>
      <c r="V545" s="444"/>
      <c r="W545" s="444"/>
    </row>
    <row r="546" spans="1:23" ht="15.75">
      <c r="A546" s="463"/>
      <c r="B546" s="464"/>
      <c r="C546" s="464"/>
      <c r="D546" s="464"/>
      <c r="E546" s="464"/>
      <c r="F546" s="464"/>
      <c r="G546" s="464"/>
      <c r="H546" s="464"/>
      <c r="I546" s="464"/>
      <c r="J546" s="464"/>
      <c r="K546" s="464"/>
      <c r="L546" s="464"/>
      <c r="M546" s="465"/>
      <c r="N546" s="464"/>
      <c r="O546" s="464"/>
      <c r="P546" s="464"/>
      <c r="Q546" s="444"/>
      <c r="R546" s="444"/>
      <c r="S546" s="444"/>
      <c r="T546" s="444"/>
      <c r="U546" s="444"/>
      <c r="V546" s="444"/>
      <c r="W546" s="444"/>
    </row>
    <row r="547" spans="1:23" ht="15.75">
      <c r="A547" s="463"/>
      <c r="B547" s="464"/>
      <c r="C547" s="464"/>
      <c r="D547" s="464"/>
      <c r="E547" s="464"/>
      <c r="F547" s="464"/>
      <c r="G547" s="464"/>
      <c r="H547" s="464"/>
      <c r="I547" s="464"/>
      <c r="J547" s="464"/>
      <c r="K547" s="464"/>
      <c r="L547" s="464"/>
      <c r="M547" s="465"/>
      <c r="N547" s="464"/>
      <c r="O547" s="464"/>
      <c r="P547" s="464"/>
      <c r="Q547" s="444"/>
      <c r="R547" s="444"/>
      <c r="S547" s="444"/>
      <c r="T547" s="444"/>
      <c r="U547" s="444"/>
      <c r="V547" s="444"/>
      <c r="W547" s="444"/>
    </row>
    <row r="548" spans="1:23" ht="15.75">
      <c r="A548" s="463"/>
      <c r="B548" s="464"/>
      <c r="C548" s="464"/>
      <c r="D548" s="464"/>
      <c r="E548" s="464"/>
      <c r="F548" s="464"/>
      <c r="G548" s="464"/>
      <c r="H548" s="464"/>
      <c r="I548" s="464"/>
      <c r="J548" s="464"/>
      <c r="K548" s="464"/>
      <c r="L548" s="464"/>
      <c r="M548" s="465"/>
      <c r="N548" s="464"/>
      <c r="O548" s="464"/>
      <c r="P548" s="464"/>
      <c r="Q548" s="444"/>
      <c r="R548" s="444"/>
      <c r="S548" s="444"/>
      <c r="T548" s="444"/>
      <c r="U548" s="444"/>
      <c r="V548" s="444"/>
      <c r="W548" s="444"/>
    </row>
    <row r="549" spans="1:23" ht="15.75">
      <c r="A549" s="463"/>
      <c r="B549" s="464"/>
      <c r="C549" s="464"/>
      <c r="D549" s="464"/>
      <c r="E549" s="464"/>
      <c r="F549" s="464"/>
      <c r="G549" s="464"/>
      <c r="H549" s="464"/>
      <c r="I549" s="464"/>
      <c r="J549" s="464"/>
      <c r="K549" s="464"/>
      <c r="L549" s="464"/>
      <c r="M549" s="465"/>
      <c r="N549" s="464"/>
      <c r="O549" s="464"/>
      <c r="P549" s="464"/>
      <c r="Q549" s="444"/>
      <c r="R549" s="444"/>
      <c r="S549" s="444"/>
      <c r="T549" s="444"/>
      <c r="U549" s="444"/>
      <c r="V549" s="444"/>
      <c r="W549" s="444"/>
    </row>
    <row r="550" spans="1:23" ht="15.75">
      <c r="A550" s="463"/>
      <c r="B550" s="464"/>
      <c r="C550" s="464"/>
      <c r="D550" s="464"/>
      <c r="E550" s="464"/>
      <c r="F550" s="464"/>
      <c r="G550" s="464"/>
      <c r="H550" s="464"/>
      <c r="I550" s="464"/>
      <c r="J550" s="464"/>
      <c r="K550" s="464"/>
      <c r="L550" s="464"/>
      <c r="M550" s="465"/>
      <c r="N550" s="464"/>
      <c r="O550" s="464"/>
      <c r="P550" s="464"/>
      <c r="Q550" s="444"/>
      <c r="R550" s="444"/>
      <c r="S550" s="444"/>
      <c r="T550" s="444"/>
      <c r="U550" s="444"/>
      <c r="V550" s="444"/>
      <c r="W550" s="444"/>
    </row>
    <row r="551" spans="1:23" ht="15.75">
      <c r="A551" s="463"/>
      <c r="B551" s="464"/>
      <c r="C551" s="464"/>
      <c r="D551" s="464"/>
      <c r="E551" s="464"/>
      <c r="F551" s="464"/>
      <c r="G551" s="464"/>
      <c r="H551" s="464"/>
      <c r="I551" s="464"/>
      <c r="J551" s="464"/>
      <c r="K551" s="464"/>
      <c r="L551" s="464"/>
      <c r="M551" s="465"/>
      <c r="N551" s="464"/>
      <c r="O551" s="464"/>
      <c r="P551" s="464"/>
      <c r="Q551" s="444"/>
      <c r="R551" s="444"/>
      <c r="S551" s="444"/>
      <c r="T551" s="444"/>
      <c r="U551" s="444"/>
      <c r="V551" s="444"/>
      <c r="W551" s="444"/>
    </row>
    <row r="552" spans="1:23" ht="15.75">
      <c r="A552" s="463"/>
      <c r="B552" s="464"/>
      <c r="C552" s="464"/>
      <c r="D552" s="464"/>
      <c r="E552" s="464"/>
      <c r="F552" s="464"/>
      <c r="G552" s="464"/>
      <c r="H552" s="464"/>
      <c r="I552" s="464"/>
      <c r="J552" s="464"/>
      <c r="K552" s="464"/>
      <c r="L552" s="464"/>
      <c r="M552" s="465"/>
      <c r="N552" s="464"/>
      <c r="O552" s="464"/>
      <c r="P552" s="464"/>
      <c r="Q552" s="444"/>
      <c r="R552" s="444"/>
      <c r="S552" s="444"/>
      <c r="T552" s="444"/>
      <c r="U552" s="444"/>
      <c r="V552" s="444"/>
      <c r="W552" s="444"/>
    </row>
    <row r="553" spans="1:23" ht="15.75">
      <c r="A553" s="463"/>
      <c r="B553" s="464"/>
      <c r="C553" s="464"/>
      <c r="D553" s="464"/>
      <c r="E553" s="464"/>
      <c r="F553" s="464"/>
      <c r="G553" s="464"/>
      <c r="H553" s="464"/>
      <c r="I553" s="464"/>
      <c r="J553" s="464"/>
      <c r="K553" s="464"/>
      <c r="L553" s="464"/>
      <c r="M553" s="465"/>
      <c r="N553" s="464"/>
      <c r="O553" s="464"/>
      <c r="P553" s="464"/>
      <c r="Q553" s="444"/>
      <c r="R553" s="444"/>
      <c r="S553" s="444"/>
      <c r="T553" s="444"/>
      <c r="U553" s="444"/>
      <c r="V553" s="444"/>
      <c r="W553" s="444"/>
    </row>
    <row r="554" spans="1:23" ht="15.75">
      <c r="A554" s="463"/>
      <c r="B554" s="464"/>
      <c r="C554" s="464"/>
      <c r="D554" s="464"/>
      <c r="E554" s="464"/>
      <c r="F554" s="464"/>
      <c r="G554" s="464"/>
      <c r="H554" s="464"/>
      <c r="I554" s="464"/>
      <c r="J554" s="464"/>
      <c r="K554" s="464"/>
      <c r="L554" s="464"/>
      <c r="M554" s="465"/>
      <c r="N554" s="464"/>
      <c r="O554" s="464"/>
      <c r="P554" s="464"/>
      <c r="Q554" s="444"/>
      <c r="R554" s="444"/>
      <c r="S554" s="444"/>
      <c r="T554" s="444"/>
      <c r="U554" s="444"/>
      <c r="V554" s="444"/>
      <c r="W554" s="444"/>
    </row>
    <row r="555" spans="1:23" ht="15.75">
      <c r="A555" s="463"/>
      <c r="B555" s="464"/>
      <c r="C555" s="464"/>
      <c r="D555" s="464"/>
      <c r="E555" s="464"/>
      <c r="F555" s="464"/>
      <c r="G555" s="464"/>
      <c r="H555" s="464"/>
      <c r="I555" s="464"/>
      <c r="J555" s="464"/>
      <c r="K555" s="464"/>
      <c r="L555" s="464"/>
      <c r="M555" s="465"/>
      <c r="N555" s="464"/>
      <c r="O555" s="464"/>
      <c r="P555" s="464"/>
      <c r="Q555" s="444"/>
      <c r="R555" s="444"/>
      <c r="S555" s="444"/>
      <c r="T555" s="444"/>
      <c r="U555" s="444"/>
      <c r="V555" s="444"/>
      <c r="W555" s="444"/>
    </row>
    <row r="556" spans="1:23" ht="15.75">
      <c r="A556" s="463"/>
      <c r="B556" s="464"/>
      <c r="C556" s="464"/>
      <c r="D556" s="464"/>
      <c r="E556" s="464"/>
      <c r="F556" s="464"/>
      <c r="G556" s="464"/>
      <c r="H556" s="464"/>
      <c r="I556" s="464"/>
      <c r="J556" s="464"/>
      <c r="K556" s="464"/>
      <c r="L556" s="464"/>
      <c r="M556" s="465"/>
      <c r="N556" s="464"/>
      <c r="O556" s="464"/>
      <c r="P556" s="464"/>
      <c r="Q556" s="444"/>
      <c r="R556" s="444"/>
      <c r="S556" s="444"/>
      <c r="T556" s="444"/>
      <c r="U556" s="444"/>
      <c r="V556" s="444"/>
      <c r="W556" s="444"/>
    </row>
    <row r="557" spans="1:23" ht="15.75">
      <c r="A557" s="463"/>
      <c r="B557" s="464"/>
      <c r="C557" s="464"/>
      <c r="D557" s="464"/>
      <c r="E557" s="464"/>
      <c r="F557" s="464"/>
      <c r="G557" s="464"/>
      <c r="H557" s="464"/>
      <c r="I557" s="464"/>
      <c r="J557" s="464"/>
      <c r="K557" s="464"/>
      <c r="L557" s="464"/>
      <c r="M557" s="465"/>
      <c r="N557" s="464"/>
      <c r="O557" s="464"/>
      <c r="P557" s="464"/>
      <c r="Q557" s="444"/>
      <c r="R557" s="444"/>
      <c r="S557" s="444"/>
      <c r="T557" s="444"/>
      <c r="U557" s="444"/>
      <c r="V557" s="444"/>
      <c r="W557" s="444"/>
    </row>
    <row r="558" spans="1:23" ht="15.75">
      <c r="A558" s="463"/>
      <c r="B558" s="464"/>
      <c r="C558" s="464"/>
      <c r="D558" s="464"/>
      <c r="E558" s="464"/>
      <c r="F558" s="464"/>
      <c r="G558" s="464"/>
      <c r="H558" s="464"/>
      <c r="I558" s="464"/>
      <c r="J558" s="464"/>
      <c r="K558" s="464"/>
      <c r="L558" s="464"/>
      <c r="M558" s="465"/>
      <c r="N558" s="464"/>
      <c r="O558" s="464"/>
      <c r="P558" s="464"/>
      <c r="Q558" s="444"/>
      <c r="R558" s="444"/>
      <c r="S558" s="444"/>
      <c r="T558" s="444"/>
      <c r="U558" s="444"/>
      <c r="V558" s="444"/>
      <c r="W558" s="444"/>
    </row>
    <row r="559" spans="1:23" ht="15.75">
      <c r="A559" s="463"/>
      <c r="B559" s="464"/>
      <c r="C559" s="464"/>
      <c r="D559" s="464"/>
      <c r="E559" s="464"/>
      <c r="F559" s="464"/>
      <c r="G559" s="464"/>
      <c r="H559" s="464"/>
      <c r="I559" s="464"/>
      <c r="J559" s="464"/>
      <c r="K559" s="464"/>
      <c r="L559" s="464"/>
      <c r="M559" s="465"/>
      <c r="N559" s="464"/>
      <c r="O559" s="464"/>
      <c r="P559" s="464"/>
      <c r="Q559" s="444"/>
      <c r="R559" s="444"/>
      <c r="S559" s="444"/>
      <c r="T559" s="444"/>
      <c r="U559" s="444"/>
      <c r="V559" s="444"/>
      <c r="W559" s="444"/>
    </row>
    <row r="560" spans="1:23" ht="15.75">
      <c r="A560" s="463"/>
      <c r="B560" s="464"/>
      <c r="C560" s="464"/>
      <c r="D560" s="464"/>
      <c r="E560" s="464"/>
      <c r="F560" s="464"/>
      <c r="G560" s="464"/>
      <c r="H560" s="464"/>
      <c r="I560" s="464"/>
      <c r="J560" s="464"/>
      <c r="K560" s="464"/>
      <c r="L560" s="464"/>
      <c r="M560" s="465"/>
      <c r="N560" s="464"/>
      <c r="O560" s="464"/>
      <c r="P560" s="464"/>
      <c r="Q560" s="444"/>
      <c r="R560" s="444"/>
      <c r="S560" s="444"/>
      <c r="T560" s="444"/>
      <c r="U560" s="444"/>
      <c r="V560" s="444"/>
      <c r="W560" s="444"/>
    </row>
    <row r="561" spans="1:23" ht="15.75">
      <c r="A561" s="463"/>
      <c r="B561" s="464"/>
      <c r="C561" s="464"/>
      <c r="D561" s="464"/>
      <c r="E561" s="464"/>
      <c r="F561" s="464"/>
      <c r="G561" s="464"/>
      <c r="H561" s="464"/>
      <c r="I561" s="464"/>
      <c r="J561" s="464"/>
      <c r="K561" s="464"/>
      <c r="L561" s="464"/>
      <c r="M561" s="465"/>
      <c r="N561" s="464"/>
      <c r="O561" s="464"/>
      <c r="P561" s="464"/>
      <c r="Q561" s="444"/>
      <c r="R561" s="444"/>
      <c r="S561" s="444"/>
      <c r="T561" s="444"/>
      <c r="U561" s="444"/>
      <c r="V561" s="444"/>
      <c r="W561" s="444"/>
    </row>
    <row r="562" spans="1:23" ht="15.75">
      <c r="A562" s="463"/>
      <c r="B562" s="464"/>
      <c r="C562" s="464"/>
      <c r="D562" s="464"/>
      <c r="E562" s="464"/>
      <c r="F562" s="464"/>
      <c r="G562" s="464"/>
      <c r="H562" s="464"/>
      <c r="I562" s="464"/>
      <c r="J562" s="464"/>
      <c r="K562" s="464"/>
      <c r="L562" s="464"/>
      <c r="M562" s="465"/>
      <c r="N562" s="464"/>
      <c r="O562" s="464"/>
      <c r="P562" s="464"/>
      <c r="Q562" s="444"/>
      <c r="R562" s="444"/>
      <c r="S562" s="444"/>
      <c r="T562" s="444"/>
      <c r="U562" s="444"/>
      <c r="V562" s="444"/>
      <c r="W562" s="444"/>
    </row>
    <row r="563" spans="1:23" ht="15.75">
      <c r="A563" s="463"/>
      <c r="B563" s="464"/>
      <c r="C563" s="464"/>
      <c r="D563" s="464"/>
      <c r="E563" s="464"/>
      <c r="F563" s="464"/>
      <c r="G563" s="464"/>
      <c r="H563" s="464"/>
      <c r="I563" s="464"/>
      <c r="J563" s="464"/>
      <c r="K563" s="464"/>
      <c r="L563" s="464"/>
      <c r="M563" s="465"/>
      <c r="N563" s="464"/>
      <c r="O563" s="464"/>
      <c r="P563" s="464"/>
      <c r="Q563" s="444"/>
      <c r="R563" s="444"/>
      <c r="S563" s="444"/>
      <c r="T563" s="444"/>
      <c r="U563" s="444"/>
      <c r="V563" s="444"/>
      <c r="W563" s="444"/>
    </row>
    <row r="564" spans="1:23" ht="15.75">
      <c r="A564" s="463"/>
      <c r="B564" s="464"/>
      <c r="C564" s="464"/>
      <c r="D564" s="464"/>
      <c r="E564" s="464"/>
      <c r="F564" s="464"/>
      <c r="G564" s="464"/>
      <c r="H564" s="464"/>
      <c r="I564" s="464"/>
      <c r="J564" s="464"/>
      <c r="K564" s="464"/>
      <c r="L564" s="464"/>
      <c r="M564" s="465"/>
      <c r="N564" s="464"/>
      <c r="O564" s="464"/>
      <c r="P564" s="464"/>
      <c r="Q564" s="444"/>
      <c r="R564" s="444"/>
      <c r="S564" s="444"/>
      <c r="T564" s="444"/>
      <c r="U564" s="444"/>
      <c r="V564" s="444"/>
      <c r="W564" s="444"/>
    </row>
    <row r="565" spans="1:23" ht="15.75">
      <c r="A565" s="463"/>
      <c r="B565" s="464"/>
      <c r="C565" s="464"/>
      <c r="D565" s="464"/>
      <c r="E565" s="464"/>
      <c r="F565" s="464"/>
      <c r="G565" s="464"/>
      <c r="H565" s="464"/>
      <c r="I565" s="464"/>
      <c r="J565" s="464"/>
      <c r="K565" s="464"/>
      <c r="L565" s="464"/>
      <c r="M565" s="465"/>
      <c r="N565" s="464"/>
      <c r="O565" s="464"/>
      <c r="P565" s="464"/>
      <c r="Q565" s="444"/>
      <c r="R565" s="444"/>
      <c r="S565" s="444"/>
      <c r="T565" s="444"/>
      <c r="U565" s="444"/>
      <c r="V565" s="444"/>
      <c r="W565" s="444"/>
    </row>
    <row r="566" spans="1:23" ht="15.75">
      <c r="A566" s="463"/>
      <c r="B566" s="464"/>
      <c r="C566" s="464"/>
      <c r="D566" s="464"/>
      <c r="E566" s="464"/>
      <c r="F566" s="464"/>
      <c r="G566" s="464"/>
      <c r="H566" s="464"/>
      <c r="I566" s="464"/>
      <c r="J566" s="464"/>
      <c r="K566" s="464"/>
      <c r="L566" s="464"/>
      <c r="M566" s="465"/>
      <c r="N566" s="464"/>
      <c r="O566" s="464"/>
      <c r="P566" s="464"/>
      <c r="Q566" s="444"/>
      <c r="R566" s="444"/>
      <c r="S566" s="444"/>
      <c r="T566" s="444"/>
      <c r="U566" s="444"/>
      <c r="V566" s="444"/>
      <c r="W566" s="444"/>
    </row>
    <row r="567" spans="1:23" ht="15.75">
      <c r="A567" s="463"/>
      <c r="B567" s="464"/>
      <c r="C567" s="464"/>
      <c r="D567" s="464"/>
      <c r="E567" s="464"/>
      <c r="F567" s="464"/>
      <c r="G567" s="464"/>
      <c r="H567" s="464"/>
      <c r="I567" s="464"/>
      <c r="J567" s="464"/>
      <c r="K567" s="464"/>
      <c r="L567" s="464"/>
      <c r="M567" s="465"/>
      <c r="N567" s="464"/>
      <c r="O567" s="464"/>
      <c r="P567" s="464"/>
      <c r="Q567" s="444"/>
      <c r="R567" s="444"/>
      <c r="S567" s="444"/>
      <c r="T567" s="444"/>
      <c r="U567" s="444"/>
      <c r="V567" s="444"/>
      <c r="W567" s="444"/>
    </row>
    <row r="568" spans="1:23" ht="15.75">
      <c r="A568" s="463"/>
      <c r="B568" s="464"/>
      <c r="C568" s="464"/>
      <c r="D568" s="464"/>
      <c r="E568" s="464"/>
      <c r="F568" s="464"/>
      <c r="G568" s="464"/>
      <c r="H568" s="464"/>
      <c r="I568" s="464"/>
      <c r="J568" s="464"/>
      <c r="K568" s="464"/>
      <c r="L568" s="464"/>
      <c r="M568" s="465"/>
      <c r="N568" s="464"/>
      <c r="O568" s="464"/>
      <c r="P568" s="464"/>
      <c r="Q568" s="444"/>
      <c r="R568" s="444"/>
      <c r="S568" s="444"/>
      <c r="T568" s="444"/>
      <c r="U568" s="444"/>
      <c r="V568" s="444"/>
      <c r="W568" s="444"/>
    </row>
    <row r="569" spans="1:23" ht="15.75">
      <c r="A569" s="463"/>
      <c r="B569" s="464"/>
      <c r="C569" s="464"/>
      <c r="D569" s="464"/>
      <c r="E569" s="464"/>
      <c r="F569" s="464"/>
      <c r="G569" s="464"/>
      <c r="H569" s="464"/>
      <c r="I569" s="464"/>
      <c r="J569" s="464"/>
      <c r="K569" s="464"/>
      <c r="L569" s="464"/>
      <c r="M569" s="465"/>
      <c r="N569" s="464"/>
      <c r="O569" s="464"/>
      <c r="P569" s="464"/>
      <c r="Q569" s="444"/>
      <c r="R569" s="444"/>
      <c r="S569" s="444"/>
      <c r="T569" s="444"/>
      <c r="U569" s="444"/>
      <c r="V569" s="444"/>
      <c r="W569" s="444"/>
    </row>
    <row r="570" spans="1:23" ht="15.75">
      <c r="A570" s="463"/>
      <c r="B570" s="464"/>
      <c r="C570" s="464"/>
      <c r="D570" s="464"/>
      <c r="E570" s="464"/>
      <c r="F570" s="464"/>
      <c r="G570" s="464"/>
      <c r="H570" s="464"/>
      <c r="I570" s="464"/>
      <c r="J570" s="464"/>
      <c r="K570" s="464"/>
      <c r="L570" s="464"/>
      <c r="M570" s="465"/>
      <c r="N570" s="464"/>
      <c r="O570" s="464"/>
      <c r="P570" s="464"/>
      <c r="Q570" s="444"/>
      <c r="R570" s="444"/>
      <c r="S570" s="444"/>
      <c r="T570" s="444"/>
      <c r="U570" s="444"/>
      <c r="V570" s="444"/>
      <c r="W570" s="444"/>
    </row>
    <row r="571" spans="1:23" ht="15.75">
      <c r="A571" s="463"/>
      <c r="B571" s="464"/>
      <c r="C571" s="464"/>
      <c r="D571" s="464"/>
      <c r="E571" s="464"/>
      <c r="F571" s="464"/>
      <c r="G571" s="464"/>
      <c r="H571" s="464"/>
      <c r="I571" s="464"/>
      <c r="J571" s="464"/>
      <c r="K571" s="464"/>
      <c r="L571" s="464"/>
      <c r="M571" s="465"/>
      <c r="N571" s="464"/>
      <c r="O571" s="464"/>
      <c r="P571" s="464"/>
      <c r="Q571" s="444"/>
      <c r="R571" s="444"/>
      <c r="S571" s="444"/>
      <c r="T571" s="444"/>
      <c r="U571" s="444"/>
      <c r="V571" s="444"/>
      <c r="W571" s="444"/>
    </row>
    <row r="572" spans="1:23" ht="15.75">
      <c r="A572" s="463"/>
      <c r="B572" s="464"/>
      <c r="C572" s="464"/>
      <c r="D572" s="464"/>
      <c r="E572" s="464"/>
      <c r="F572" s="464"/>
      <c r="G572" s="464"/>
      <c r="H572" s="464"/>
      <c r="I572" s="464"/>
      <c r="J572" s="464"/>
      <c r="K572" s="464"/>
      <c r="L572" s="464"/>
      <c r="M572" s="465"/>
      <c r="N572" s="464"/>
      <c r="O572" s="464"/>
      <c r="P572" s="464"/>
      <c r="Q572" s="444"/>
      <c r="R572" s="444"/>
      <c r="S572" s="444"/>
      <c r="T572" s="444"/>
      <c r="U572" s="444"/>
      <c r="V572" s="444"/>
      <c r="W572" s="444"/>
    </row>
    <row r="573" spans="1:23" ht="15.75">
      <c r="A573" s="463"/>
      <c r="B573" s="464"/>
      <c r="C573" s="464"/>
      <c r="D573" s="464"/>
      <c r="E573" s="464"/>
      <c r="F573" s="464"/>
      <c r="G573" s="464"/>
      <c r="H573" s="464"/>
      <c r="I573" s="464"/>
      <c r="J573" s="464"/>
      <c r="K573" s="464"/>
      <c r="L573" s="464"/>
      <c r="M573" s="465"/>
      <c r="N573" s="464"/>
      <c r="O573" s="464"/>
      <c r="P573" s="464"/>
      <c r="Q573" s="444"/>
      <c r="R573" s="444"/>
      <c r="S573" s="444"/>
      <c r="T573" s="444"/>
      <c r="U573" s="444"/>
      <c r="V573" s="444"/>
      <c r="W573" s="444"/>
    </row>
    <row r="574" spans="1:23" ht="15.75">
      <c r="A574" s="463"/>
      <c r="B574" s="464"/>
      <c r="C574" s="464"/>
      <c r="D574" s="464"/>
      <c r="E574" s="464"/>
      <c r="F574" s="464"/>
      <c r="G574" s="464"/>
      <c r="H574" s="464"/>
      <c r="I574" s="464"/>
      <c r="J574" s="464"/>
      <c r="K574" s="464"/>
      <c r="L574" s="464"/>
      <c r="M574" s="465"/>
      <c r="N574" s="464"/>
      <c r="O574" s="464"/>
      <c r="P574" s="464"/>
      <c r="Q574" s="444"/>
      <c r="R574" s="444"/>
      <c r="S574" s="444"/>
      <c r="T574" s="444"/>
      <c r="U574" s="444"/>
      <c r="V574" s="444"/>
      <c r="W574" s="444"/>
    </row>
    <row r="575" spans="1:23" ht="15.75">
      <c r="A575" s="463"/>
      <c r="B575" s="464"/>
      <c r="C575" s="464"/>
      <c r="D575" s="464"/>
      <c r="E575" s="464"/>
      <c r="F575" s="464"/>
      <c r="G575" s="464"/>
      <c r="H575" s="464"/>
      <c r="I575" s="464"/>
      <c r="J575" s="464"/>
      <c r="K575" s="464"/>
      <c r="L575" s="464"/>
      <c r="M575" s="465"/>
      <c r="N575" s="464"/>
      <c r="O575" s="464"/>
      <c r="P575" s="464"/>
      <c r="Q575" s="444"/>
      <c r="R575" s="444"/>
      <c r="S575" s="444"/>
      <c r="T575" s="444"/>
      <c r="U575" s="444"/>
      <c r="V575" s="444"/>
      <c r="W575" s="444"/>
    </row>
    <row r="576" spans="1:23" ht="15.75">
      <c r="A576" s="463"/>
      <c r="B576" s="464"/>
      <c r="C576" s="464"/>
      <c r="D576" s="464"/>
      <c r="E576" s="464"/>
      <c r="F576" s="464"/>
      <c r="G576" s="464"/>
      <c r="H576" s="464"/>
      <c r="I576" s="464"/>
      <c r="J576" s="464"/>
      <c r="K576" s="464"/>
      <c r="L576" s="464"/>
      <c r="M576" s="465"/>
      <c r="N576" s="464"/>
      <c r="O576" s="464"/>
      <c r="P576" s="464"/>
      <c r="Q576" s="444"/>
      <c r="R576" s="444"/>
      <c r="S576" s="444"/>
      <c r="T576" s="444"/>
      <c r="U576" s="444"/>
      <c r="V576" s="444"/>
      <c r="W576" s="444"/>
    </row>
    <row r="577" spans="1:23" ht="15.75">
      <c r="A577" s="463"/>
      <c r="B577" s="464"/>
      <c r="C577" s="464"/>
      <c r="D577" s="464"/>
      <c r="E577" s="464"/>
      <c r="F577" s="464"/>
      <c r="G577" s="464"/>
      <c r="H577" s="464"/>
      <c r="I577" s="464"/>
      <c r="J577" s="464"/>
      <c r="K577" s="464"/>
      <c r="L577" s="464"/>
      <c r="M577" s="465"/>
      <c r="N577" s="464"/>
      <c r="O577" s="464"/>
      <c r="P577" s="464"/>
      <c r="Q577" s="444"/>
      <c r="R577" s="444"/>
      <c r="S577" s="444"/>
      <c r="T577" s="444"/>
      <c r="U577" s="444"/>
      <c r="V577" s="444"/>
      <c r="W577" s="444"/>
    </row>
    <row r="578" spans="1:23" ht="15.75">
      <c r="A578" s="463"/>
      <c r="B578" s="464"/>
      <c r="C578" s="464"/>
      <c r="D578" s="464"/>
      <c r="E578" s="464"/>
      <c r="F578" s="464"/>
      <c r="G578" s="464"/>
      <c r="H578" s="464"/>
      <c r="I578" s="464"/>
      <c r="J578" s="464"/>
      <c r="K578" s="464"/>
      <c r="L578" s="464"/>
      <c r="M578" s="465"/>
      <c r="N578" s="464"/>
      <c r="O578" s="464"/>
      <c r="P578" s="464"/>
      <c r="Q578" s="444"/>
      <c r="R578" s="444"/>
      <c r="S578" s="444"/>
      <c r="T578" s="444"/>
      <c r="U578" s="444"/>
      <c r="V578" s="444"/>
      <c r="W578" s="444"/>
    </row>
    <row r="579" spans="1:23" ht="15.75">
      <c r="A579" s="463"/>
      <c r="B579" s="464"/>
      <c r="C579" s="464"/>
      <c r="D579" s="464"/>
      <c r="E579" s="464"/>
      <c r="F579" s="464"/>
      <c r="G579" s="464"/>
      <c r="H579" s="464"/>
      <c r="I579" s="464"/>
      <c r="J579" s="464"/>
      <c r="K579" s="464"/>
      <c r="L579" s="464"/>
      <c r="M579" s="465"/>
      <c r="N579" s="464"/>
      <c r="O579" s="464"/>
      <c r="P579" s="464"/>
      <c r="Q579" s="444"/>
      <c r="R579" s="444"/>
      <c r="S579" s="444"/>
      <c r="T579" s="444"/>
      <c r="U579" s="444"/>
      <c r="V579" s="444"/>
      <c r="W579" s="444"/>
    </row>
    <row r="580" spans="1:23" ht="15.75">
      <c r="A580" s="463"/>
      <c r="B580" s="464"/>
      <c r="C580" s="464"/>
      <c r="D580" s="464"/>
      <c r="E580" s="464"/>
      <c r="F580" s="464"/>
      <c r="G580" s="464"/>
      <c r="H580" s="464"/>
      <c r="I580" s="464"/>
      <c r="J580" s="464"/>
      <c r="K580" s="464"/>
      <c r="L580" s="464"/>
      <c r="M580" s="465"/>
      <c r="N580" s="464"/>
      <c r="O580" s="464"/>
      <c r="P580" s="464"/>
      <c r="Q580" s="444"/>
      <c r="R580" s="444"/>
      <c r="S580" s="444"/>
      <c r="T580" s="444"/>
      <c r="U580" s="444"/>
      <c r="V580" s="444"/>
      <c r="W580" s="444"/>
    </row>
    <row r="581" spans="1:23" ht="15.75">
      <c r="A581" s="463"/>
      <c r="B581" s="464"/>
      <c r="C581" s="464"/>
      <c r="D581" s="464"/>
      <c r="E581" s="464"/>
      <c r="F581" s="464"/>
      <c r="G581" s="464"/>
      <c r="H581" s="464"/>
      <c r="I581" s="464"/>
      <c r="J581" s="464"/>
      <c r="K581" s="464"/>
      <c r="L581" s="464"/>
      <c r="M581" s="465"/>
      <c r="N581" s="464"/>
      <c r="O581" s="464"/>
      <c r="P581" s="464"/>
      <c r="Q581" s="444"/>
      <c r="R581" s="444"/>
      <c r="S581" s="444"/>
      <c r="T581" s="444"/>
      <c r="U581" s="444"/>
      <c r="V581" s="444"/>
      <c r="W581" s="444"/>
    </row>
    <row r="582" spans="1:23" ht="15.75">
      <c r="A582" s="463"/>
      <c r="B582" s="464"/>
      <c r="C582" s="464"/>
      <c r="D582" s="464"/>
      <c r="E582" s="464"/>
      <c r="F582" s="464"/>
      <c r="G582" s="464"/>
      <c r="H582" s="464"/>
      <c r="I582" s="464"/>
      <c r="J582" s="464"/>
      <c r="K582" s="464"/>
      <c r="L582" s="464"/>
      <c r="M582" s="465"/>
      <c r="N582" s="464"/>
      <c r="O582" s="464"/>
      <c r="P582" s="464"/>
      <c r="Q582" s="444"/>
      <c r="R582" s="444"/>
      <c r="S582" s="444"/>
      <c r="T582" s="444"/>
      <c r="U582" s="444"/>
      <c r="V582" s="444"/>
      <c r="W582" s="444"/>
    </row>
    <row r="583" spans="1:23" ht="15.75">
      <c r="A583" s="463"/>
      <c r="B583" s="464"/>
      <c r="C583" s="464"/>
      <c r="D583" s="464"/>
      <c r="E583" s="464"/>
      <c r="F583" s="464"/>
      <c r="G583" s="464"/>
      <c r="H583" s="464"/>
      <c r="I583" s="464"/>
      <c r="J583" s="464"/>
      <c r="K583" s="464"/>
      <c r="L583" s="464"/>
      <c r="M583" s="465"/>
      <c r="N583" s="464"/>
      <c r="O583" s="464"/>
      <c r="P583" s="464"/>
      <c r="Q583" s="444"/>
      <c r="R583" s="444"/>
      <c r="S583" s="444"/>
      <c r="T583" s="444"/>
      <c r="U583" s="444"/>
      <c r="V583" s="444"/>
      <c r="W583" s="444"/>
    </row>
    <row r="584" spans="1:23" ht="15.75">
      <c r="A584" s="463"/>
      <c r="B584" s="464"/>
      <c r="C584" s="464"/>
      <c r="D584" s="464"/>
      <c r="E584" s="464"/>
      <c r="F584" s="464"/>
      <c r="G584" s="464"/>
      <c r="H584" s="464"/>
      <c r="I584" s="464"/>
      <c r="J584" s="464"/>
      <c r="K584" s="464"/>
      <c r="L584" s="464"/>
      <c r="M584" s="465"/>
      <c r="N584" s="464"/>
      <c r="O584" s="464"/>
      <c r="P584" s="464"/>
      <c r="Q584" s="444"/>
      <c r="R584" s="444"/>
      <c r="S584" s="444"/>
      <c r="T584" s="444"/>
      <c r="U584" s="444"/>
      <c r="V584" s="444"/>
      <c r="W584" s="444"/>
    </row>
    <row r="585" spans="1:23" ht="15.75">
      <c r="A585" s="463"/>
      <c r="B585" s="464"/>
      <c r="C585" s="464"/>
      <c r="D585" s="464"/>
      <c r="E585" s="464"/>
      <c r="F585" s="464"/>
      <c r="G585" s="464"/>
      <c r="H585" s="464"/>
      <c r="I585" s="464"/>
      <c r="J585" s="464"/>
      <c r="K585" s="464"/>
      <c r="L585" s="464"/>
      <c r="M585" s="465"/>
      <c r="N585" s="464"/>
      <c r="O585" s="464"/>
      <c r="P585" s="464"/>
      <c r="Q585" s="444"/>
      <c r="R585" s="444"/>
      <c r="S585" s="444"/>
      <c r="T585" s="444"/>
      <c r="U585" s="444"/>
      <c r="V585" s="444"/>
      <c r="W585" s="444"/>
    </row>
    <row r="586" spans="1:23" ht="15.75">
      <c r="A586" s="463"/>
      <c r="B586" s="464"/>
      <c r="C586" s="464"/>
      <c r="D586" s="464"/>
      <c r="E586" s="464"/>
      <c r="F586" s="464"/>
      <c r="G586" s="464"/>
      <c r="H586" s="464"/>
      <c r="I586" s="464"/>
      <c r="J586" s="464"/>
      <c r="K586" s="464"/>
      <c r="L586" s="464"/>
      <c r="M586" s="465"/>
      <c r="N586" s="464"/>
      <c r="O586" s="464"/>
      <c r="P586" s="464"/>
      <c r="Q586" s="444"/>
      <c r="R586" s="444"/>
      <c r="S586" s="444"/>
      <c r="T586" s="444"/>
      <c r="U586" s="444"/>
      <c r="V586" s="444"/>
      <c r="W586" s="444"/>
    </row>
    <row r="587" spans="1:23" ht="15.75">
      <c r="A587" s="463"/>
      <c r="B587" s="464"/>
      <c r="C587" s="464"/>
      <c r="D587" s="464"/>
      <c r="E587" s="464"/>
      <c r="F587" s="464"/>
      <c r="G587" s="464"/>
      <c r="H587" s="464"/>
      <c r="I587" s="464"/>
      <c r="J587" s="464"/>
      <c r="K587" s="464"/>
      <c r="L587" s="464"/>
      <c r="M587" s="465"/>
      <c r="N587" s="464"/>
      <c r="O587" s="464"/>
      <c r="P587" s="464"/>
      <c r="Q587" s="444"/>
      <c r="R587" s="444"/>
      <c r="S587" s="444"/>
      <c r="T587" s="444"/>
      <c r="U587" s="444"/>
      <c r="V587" s="444"/>
      <c r="W587" s="444"/>
    </row>
    <row r="588" spans="1:23" ht="15.75">
      <c r="A588" s="463"/>
      <c r="B588" s="464"/>
      <c r="C588" s="464"/>
      <c r="D588" s="464"/>
      <c r="E588" s="464"/>
      <c r="F588" s="464"/>
      <c r="G588" s="464"/>
      <c r="H588" s="464"/>
      <c r="I588" s="464"/>
      <c r="J588" s="464"/>
      <c r="K588" s="464"/>
      <c r="L588" s="464"/>
      <c r="M588" s="465"/>
      <c r="N588" s="464"/>
      <c r="O588" s="464"/>
      <c r="P588" s="464"/>
      <c r="Q588" s="444"/>
      <c r="R588" s="444"/>
      <c r="S588" s="444"/>
      <c r="T588" s="444"/>
      <c r="U588" s="444"/>
      <c r="V588" s="444"/>
      <c r="W588" s="444"/>
    </row>
    <row r="589" spans="1:23" ht="15.75">
      <c r="A589" s="463"/>
      <c r="B589" s="464"/>
      <c r="C589" s="464"/>
      <c r="D589" s="464"/>
      <c r="E589" s="464"/>
      <c r="F589" s="464"/>
      <c r="G589" s="464"/>
      <c r="H589" s="464"/>
      <c r="I589" s="464"/>
      <c r="J589" s="464"/>
      <c r="K589" s="464"/>
      <c r="L589" s="464"/>
      <c r="M589" s="465"/>
      <c r="N589" s="464"/>
      <c r="O589" s="464"/>
      <c r="P589" s="464"/>
      <c r="Q589" s="444"/>
      <c r="R589" s="444"/>
      <c r="S589" s="444"/>
      <c r="T589" s="444"/>
      <c r="U589" s="444"/>
      <c r="V589" s="444"/>
      <c r="W589" s="444"/>
    </row>
    <row r="590" spans="1:23" ht="15.75">
      <c r="A590" s="463"/>
      <c r="B590" s="464"/>
      <c r="C590" s="464"/>
      <c r="D590" s="464"/>
      <c r="E590" s="464"/>
      <c r="F590" s="464"/>
      <c r="G590" s="464"/>
      <c r="H590" s="464"/>
      <c r="I590" s="464"/>
      <c r="J590" s="464"/>
      <c r="K590" s="464"/>
      <c r="L590" s="464"/>
      <c r="M590" s="465"/>
      <c r="N590" s="464"/>
      <c r="O590" s="464"/>
      <c r="P590" s="464"/>
      <c r="Q590" s="444"/>
      <c r="R590" s="444"/>
      <c r="S590" s="444"/>
      <c r="T590" s="444"/>
      <c r="U590" s="444"/>
      <c r="V590" s="444"/>
      <c r="W590" s="444"/>
    </row>
    <row r="591" spans="1:23" ht="15.75">
      <c r="A591" s="463"/>
      <c r="B591" s="464"/>
      <c r="C591" s="464"/>
      <c r="D591" s="464"/>
      <c r="E591" s="464"/>
      <c r="F591" s="464"/>
      <c r="G591" s="464"/>
      <c r="H591" s="464"/>
      <c r="I591" s="464"/>
      <c r="J591" s="464"/>
      <c r="K591" s="464"/>
      <c r="L591" s="464"/>
      <c r="M591" s="465"/>
      <c r="N591" s="464"/>
      <c r="O591" s="464"/>
      <c r="P591" s="464"/>
      <c r="Q591" s="444"/>
      <c r="R591" s="444"/>
      <c r="S591" s="444"/>
      <c r="T591" s="444"/>
      <c r="U591" s="444"/>
      <c r="V591" s="444"/>
      <c r="W591" s="444"/>
    </row>
    <row r="592" spans="1:23" ht="15.75">
      <c r="A592" s="463"/>
      <c r="B592" s="464"/>
      <c r="C592" s="464"/>
      <c r="D592" s="464"/>
      <c r="E592" s="464"/>
      <c r="F592" s="464"/>
      <c r="G592" s="464"/>
      <c r="H592" s="464"/>
      <c r="I592" s="464"/>
      <c r="J592" s="464"/>
      <c r="K592" s="464"/>
      <c r="L592" s="464"/>
      <c r="M592" s="465"/>
      <c r="N592" s="464"/>
      <c r="O592" s="464"/>
      <c r="P592" s="464"/>
      <c r="Q592" s="444"/>
      <c r="R592" s="444"/>
      <c r="S592" s="444"/>
      <c r="T592" s="444"/>
      <c r="U592" s="444"/>
      <c r="V592" s="444"/>
      <c r="W592" s="444"/>
    </row>
    <row r="593" spans="1:23" ht="15.75">
      <c r="A593" s="463"/>
      <c r="B593" s="464"/>
      <c r="C593" s="464"/>
      <c r="D593" s="464"/>
      <c r="E593" s="464"/>
      <c r="F593" s="464"/>
      <c r="G593" s="464"/>
      <c r="H593" s="464"/>
      <c r="I593" s="464"/>
      <c r="J593" s="464"/>
      <c r="K593" s="464"/>
      <c r="L593" s="464"/>
      <c r="M593" s="465"/>
      <c r="N593" s="464"/>
      <c r="O593" s="464"/>
      <c r="P593" s="464"/>
      <c r="Q593" s="444"/>
      <c r="R593" s="444"/>
      <c r="S593" s="444"/>
      <c r="T593" s="444"/>
      <c r="U593" s="444"/>
      <c r="V593" s="444"/>
      <c r="W593" s="444"/>
    </row>
    <row r="594" spans="1:23" ht="15.75">
      <c r="A594" s="463"/>
      <c r="B594" s="464"/>
      <c r="C594" s="464"/>
      <c r="D594" s="464"/>
      <c r="E594" s="464"/>
      <c r="F594" s="464"/>
      <c r="G594" s="464"/>
      <c r="H594" s="464"/>
      <c r="I594" s="464"/>
      <c r="J594" s="464"/>
      <c r="K594" s="464"/>
      <c r="L594" s="464"/>
      <c r="M594" s="465"/>
      <c r="N594" s="464"/>
      <c r="O594" s="464"/>
      <c r="P594" s="464"/>
      <c r="Q594" s="444"/>
      <c r="R594" s="444"/>
      <c r="S594" s="444"/>
      <c r="T594" s="444"/>
      <c r="U594" s="444"/>
      <c r="V594" s="444"/>
      <c r="W594" s="444"/>
    </row>
    <row r="595" spans="1:23" ht="15.75">
      <c r="A595" s="463"/>
      <c r="B595" s="464"/>
      <c r="C595" s="464"/>
      <c r="D595" s="464"/>
      <c r="E595" s="464"/>
      <c r="F595" s="464"/>
      <c r="G595" s="464"/>
      <c r="H595" s="464"/>
      <c r="I595" s="464"/>
      <c r="J595" s="464"/>
      <c r="K595" s="464"/>
      <c r="L595" s="464"/>
      <c r="M595" s="465"/>
      <c r="N595" s="464"/>
      <c r="O595" s="464"/>
      <c r="P595" s="464"/>
      <c r="Q595" s="444"/>
      <c r="R595" s="444"/>
      <c r="S595" s="444"/>
      <c r="T595" s="444"/>
      <c r="U595" s="444"/>
      <c r="V595" s="444"/>
      <c r="W595" s="444"/>
    </row>
    <row r="596" spans="1:23" ht="15.75">
      <c r="A596" s="463"/>
      <c r="B596" s="464"/>
      <c r="C596" s="464"/>
      <c r="D596" s="464"/>
      <c r="E596" s="464"/>
      <c r="F596" s="464"/>
      <c r="G596" s="464"/>
      <c r="H596" s="464"/>
      <c r="I596" s="464"/>
      <c r="J596" s="464"/>
      <c r="K596" s="464"/>
      <c r="L596" s="464"/>
      <c r="M596" s="465"/>
      <c r="N596" s="464"/>
      <c r="O596" s="464"/>
      <c r="P596" s="464"/>
      <c r="Q596" s="444"/>
      <c r="R596" s="444"/>
      <c r="S596" s="444"/>
      <c r="T596" s="444"/>
      <c r="U596" s="444"/>
      <c r="V596" s="444"/>
      <c r="W596" s="444"/>
    </row>
    <row r="597" spans="1:23" ht="15.75">
      <c r="A597" s="463"/>
      <c r="B597" s="464"/>
      <c r="C597" s="464"/>
      <c r="D597" s="464"/>
      <c r="E597" s="464"/>
      <c r="F597" s="464"/>
      <c r="G597" s="464"/>
      <c r="H597" s="464"/>
      <c r="I597" s="464"/>
      <c r="J597" s="464"/>
      <c r="K597" s="464"/>
      <c r="L597" s="464"/>
      <c r="M597" s="465"/>
      <c r="N597" s="464"/>
      <c r="O597" s="464"/>
      <c r="P597" s="464"/>
      <c r="Q597" s="444"/>
      <c r="R597" s="444"/>
      <c r="S597" s="444"/>
      <c r="T597" s="444"/>
      <c r="U597" s="444"/>
      <c r="V597" s="444"/>
      <c r="W597" s="444"/>
    </row>
    <row r="598" spans="1:23" ht="15.75">
      <c r="A598" s="463"/>
      <c r="B598" s="464"/>
      <c r="C598" s="464"/>
      <c r="D598" s="464"/>
      <c r="E598" s="464"/>
      <c r="F598" s="464"/>
      <c r="G598" s="464"/>
      <c r="H598" s="464"/>
      <c r="I598" s="464"/>
      <c r="J598" s="464"/>
      <c r="K598" s="464"/>
      <c r="L598" s="464"/>
      <c r="M598" s="465"/>
      <c r="N598" s="464"/>
      <c r="O598" s="464"/>
      <c r="P598" s="464"/>
      <c r="Q598" s="444"/>
      <c r="R598" s="444"/>
      <c r="S598" s="444"/>
      <c r="T598" s="444"/>
      <c r="U598" s="444"/>
      <c r="V598" s="444"/>
      <c r="W598" s="444"/>
    </row>
    <row r="599" spans="1:23" ht="15.75">
      <c r="A599" s="463"/>
      <c r="B599" s="464"/>
      <c r="C599" s="464"/>
      <c r="D599" s="464"/>
      <c r="E599" s="464"/>
      <c r="F599" s="464"/>
      <c r="G599" s="464"/>
      <c r="H599" s="464"/>
      <c r="I599" s="464"/>
      <c r="J599" s="464"/>
      <c r="K599" s="464"/>
      <c r="L599" s="464"/>
      <c r="M599" s="465"/>
      <c r="N599" s="464"/>
      <c r="O599" s="464"/>
      <c r="P599" s="464"/>
      <c r="Q599" s="444"/>
      <c r="R599" s="444"/>
      <c r="S599" s="444"/>
      <c r="T599" s="444"/>
      <c r="U599" s="444"/>
      <c r="V599" s="444"/>
      <c r="W599" s="444"/>
    </row>
    <row r="600" spans="1:23" ht="15.75">
      <c r="A600" s="463"/>
      <c r="B600" s="464"/>
      <c r="C600" s="464"/>
      <c r="D600" s="464"/>
      <c r="E600" s="464"/>
      <c r="F600" s="464"/>
      <c r="G600" s="464"/>
      <c r="H600" s="464"/>
      <c r="I600" s="464"/>
      <c r="J600" s="464"/>
      <c r="K600" s="464"/>
      <c r="L600" s="464"/>
      <c r="M600" s="465"/>
      <c r="N600" s="464"/>
      <c r="O600" s="464"/>
      <c r="P600" s="464"/>
      <c r="Q600" s="444"/>
      <c r="R600" s="444"/>
      <c r="S600" s="444"/>
      <c r="T600" s="444"/>
      <c r="U600" s="444"/>
      <c r="V600" s="444"/>
      <c r="W600" s="444"/>
    </row>
    <row r="601" spans="1:23" ht="15.75">
      <c r="A601" s="463"/>
      <c r="B601" s="464"/>
      <c r="C601" s="464"/>
      <c r="D601" s="464"/>
      <c r="E601" s="464"/>
      <c r="F601" s="464"/>
      <c r="G601" s="464"/>
      <c r="H601" s="464"/>
      <c r="I601" s="464"/>
      <c r="J601" s="464"/>
      <c r="K601" s="464"/>
      <c r="L601" s="464"/>
      <c r="M601" s="465"/>
      <c r="N601" s="464"/>
      <c r="O601" s="464"/>
      <c r="P601" s="464"/>
      <c r="Q601" s="444"/>
      <c r="R601" s="444"/>
      <c r="S601" s="444"/>
      <c r="T601" s="444"/>
      <c r="U601" s="444"/>
      <c r="V601" s="444"/>
      <c r="W601" s="444"/>
    </row>
    <row r="602" spans="1:23" ht="15.75">
      <c r="A602" s="463"/>
      <c r="B602" s="464"/>
      <c r="C602" s="464"/>
      <c r="D602" s="464"/>
      <c r="E602" s="464"/>
      <c r="F602" s="464"/>
      <c r="G602" s="464"/>
      <c r="H602" s="464"/>
      <c r="I602" s="464"/>
      <c r="J602" s="464"/>
      <c r="K602" s="464"/>
      <c r="L602" s="464"/>
      <c r="M602" s="465"/>
      <c r="N602" s="464"/>
      <c r="O602" s="464"/>
      <c r="P602" s="464"/>
      <c r="Q602" s="444"/>
      <c r="R602" s="444"/>
      <c r="S602" s="444"/>
      <c r="T602" s="444"/>
      <c r="U602" s="444"/>
      <c r="V602" s="444"/>
      <c r="W602" s="444"/>
    </row>
    <row r="603" spans="1:23" ht="15.75">
      <c r="A603" s="463"/>
      <c r="B603" s="464"/>
      <c r="C603" s="464"/>
      <c r="D603" s="464"/>
      <c r="E603" s="464"/>
      <c r="F603" s="464"/>
      <c r="G603" s="464"/>
      <c r="H603" s="464"/>
      <c r="I603" s="464"/>
      <c r="J603" s="464"/>
      <c r="K603" s="464"/>
      <c r="L603" s="464"/>
      <c r="M603" s="465"/>
      <c r="N603" s="464"/>
      <c r="O603" s="464"/>
      <c r="P603" s="464"/>
      <c r="Q603" s="444"/>
      <c r="R603" s="444"/>
      <c r="S603" s="444"/>
      <c r="T603" s="444"/>
      <c r="U603" s="444"/>
      <c r="V603" s="444"/>
      <c r="W603" s="444"/>
    </row>
    <row r="604" spans="1:23" ht="15.75">
      <c r="A604" s="463"/>
      <c r="B604" s="464"/>
      <c r="C604" s="464"/>
      <c r="D604" s="464"/>
      <c r="E604" s="464"/>
      <c r="F604" s="464"/>
      <c r="G604" s="464"/>
      <c r="H604" s="464"/>
      <c r="I604" s="464"/>
      <c r="J604" s="464"/>
      <c r="K604" s="464"/>
      <c r="L604" s="464"/>
      <c r="M604" s="465"/>
      <c r="N604" s="464"/>
      <c r="O604" s="464"/>
      <c r="P604" s="464"/>
      <c r="Q604" s="444"/>
      <c r="R604" s="444"/>
      <c r="S604" s="444"/>
      <c r="T604" s="444"/>
      <c r="U604" s="444"/>
      <c r="V604" s="444"/>
      <c r="W604" s="444"/>
    </row>
    <row r="605" spans="1:23" ht="15.75">
      <c r="A605" s="463"/>
      <c r="B605" s="464"/>
      <c r="C605" s="464"/>
      <c r="D605" s="464"/>
      <c r="E605" s="464"/>
      <c r="F605" s="464"/>
      <c r="G605" s="464"/>
      <c r="H605" s="464"/>
      <c r="I605" s="464"/>
      <c r="J605" s="464"/>
      <c r="K605" s="464"/>
      <c r="L605" s="464"/>
      <c r="M605" s="465"/>
      <c r="N605" s="464"/>
      <c r="O605" s="464"/>
      <c r="P605" s="464"/>
      <c r="Q605" s="444"/>
      <c r="R605" s="444"/>
      <c r="S605" s="444"/>
      <c r="T605" s="444"/>
      <c r="U605" s="444"/>
      <c r="V605" s="444"/>
      <c r="W605" s="444"/>
    </row>
    <row r="606" spans="1:23" ht="15.75">
      <c r="A606" s="463"/>
      <c r="B606" s="464"/>
      <c r="C606" s="464"/>
      <c r="D606" s="464"/>
      <c r="E606" s="464"/>
      <c r="F606" s="464"/>
      <c r="G606" s="464"/>
      <c r="H606" s="464"/>
      <c r="I606" s="464"/>
      <c r="J606" s="464"/>
      <c r="K606" s="464"/>
      <c r="L606" s="464"/>
      <c r="M606" s="465"/>
      <c r="N606" s="464"/>
      <c r="O606" s="464"/>
      <c r="P606" s="464"/>
      <c r="Q606" s="444"/>
      <c r="R606" s="444"/>
      <c r="S606" s="444"/>
      <c r="T606" s="444"/>
      <c r="U606" s="444"/>
      <c r="V606" s="444"/>
      <c r="W606" s="444"/>
    </row>
    <row r="607" spans="1:23" ht="15.75">
      <c r="A607" s="463"/>
      <c r="B607" s="464"/>
      <c r="C607" s="464"/>
      <c r="D607" s="464"/>
      <c r="E607" s="464"/>
      <c r="F607" s="464"/>
      <c r="G607" s="464"/>
      <c r="H607" s="464"/>
      <c r="I607" s="464"/>
      <c r="J607" s="464"/>
      <c r="K607" s="464"/>
      <c r="L607" s="464"/>
      <c r="M607" s="465"/>
      <c r="N607" s="464"/>
      <c r="O607" s="464"/>
      <c r="P607" s="464"/>
      <c r="Q607" s="444"/>
      <c r="R607" s="444"/>
      <c r="S607" s="444"/>
      <c r="T607" s="444"/>
      <c r="U607" s="444"/>
      <c r="V607" s="444"/>
      <c r="W607" s="444"/>
    </row>
    <row r="608" spans="1:23" ht="15.75">
      <c r="A608" s="463"/>
      <c r="B608" s="464"/>
      <c r="C608" s="464"/>
      <c r="D608" s="464"/>
      <c r="E608" s="464"/>
      <c r="F608" s="464"/>
      <c r="G608" s="464"/>
      <c r="H608" s="464"/>
      <c r="I608" s="464"/>
      <c r="J608" s="464"/>
      <c r="K608" s="464"/>
      <c r="L608" s="464"/>
      <c r="M608" s="465"/>
      <c r="N608" s="464"/>
      <c r="O608" s="464"/>
      <c r="P608" s="464"/>
      <c r="Q608" s="444"/>
      <c r="R608" s="444"/>
      <c r="S608" s="444"/>
      <c r="T608" s="444"/>
      <c r="U608" s="444"/>
      <c r="V608" s="444"/>
      <c r="W608" s="444"/>
    </row>
    <row r="609" spans="1:23" ht="15.75">
      <c r="A609" s="463"/>
      <c r="B609" s="464"/>
      <c r="C609" s="464"/>
      <c r="D609" s="464"/>
      <c r="E609" s="464"/>
      <c r="F609" s="464"/>
      <c r="G609" s="464"/>
      <c r="H609" s="464"/>
      <c r="I609" s="464"/>
      <c r="J609" s="464"/>
      <c r="K609" s="464"/>
      <c r="L609" s="464"/>
      <c r="M609" s="465"/>
      <c r="N609" s="464"/>
      <c r="O609" s="464"/>
      <c r="P609" s="464"/>
      <c r="Q609" s="444"/>
      <c r="R609" s="444"/>
      <c r="S609" s="444"/>
      <c r="T609" s="444"/>
      <c r="U609" s="444"/>
      <c r="V609" s="444"/>
      <c r="W609" s="444"/>
    </row>
    <row r="610" spans="1:23" ht="15.75">
      <c r="A610" s="463"/>
      <c r="B610" s="464"/>
      <c r="C610" s="464"/>
      <c r="D610" s="464"/>
      <c r="E610" s="464"/>
      <c r="F610" s="464"/>
      <c r="G610" s="464"/>
      <c r="H610" s="464"/>
      <c r="I610" s="464"/>
      <c r="J610" s="464"/>
      <c r="K610" s="464"/>
      <c r="L610" s="464"/>
      <c r="M610" s="465"/>
      <c r="N610" s="464"/>
      <c r="O610" s="464"/>
      <c r="P610" s="464"/>
      <c r="Q610" s="444"/>
      <c r="R610" s="444"/>
      <c r="S610" s="444"/>
      <c r="T610" s="444"/>
      <c r="U610" s="444"/>
      <c r="V610" s="444"/>
      <c r="W610" s="444"/>
    </row>
    <row r="611" spans="1:23" ht="15.75">
      <c r="A611" s="463"/>
      <c r="B611" s="464"/>
      <c r="C611" s="464"/>
      <c r="D611" s="464"/>
      <c r="E611" s="464"/>
      <c r="F611" s="464"/>
      <c r="G611" s="464"/>
      <c r="H611" s="464"/>
      <c r="I611" s="464"/>
      <c r="J611" s="464"/>
      <c r="K611" s="464"/>
      <c r="L611" s="464"/>
      <c r="M611" s="465"/>
      <c r="N611" s="464"/>
      <c r="O611" s="464"/>
      <c r="P611" s="464"/>
      <c r="Q611" s="444"/>
      <c r="R611" s="444"/>
      <c r="S611" s="444"/>
      <c r="T611" s="444"/>
      <c r="U611" s="444"/>
      <c r="V611" s="444"/>
      <c r="W611" s="444"/>
    </row>
    <row r="612" spans="1:23" ht="15.75">
      <c r="A612" s="463"/>
      <c r="B612" s="464"/>
      <c r="C612" s="464"/>
      <c r="D612" s="464"/>
      <c r="E612" s="464"/>
      <c r="F612" s="464"/>
      <c r="G612" s="464"/>
      <c r="H612" s="464"/>
      <c r="I612" s="464"/>
      <c r="J612" s="464"/>
      <c r="K612" s="464"/>
      <c r="L612" s="464"/>
      <c r="M612" s="465"/>
      <c r="N612" s="464"/>
      <c r="O612" s="464"/>
      <c r="P612" s="464"/>
      <c r="Q612" s="444"/>
      <c r="R612" s="444"/>
      <c r="S612" s="444"/>
      <c r="T612" s="444"/>
      <c r="U612" s="444"/>
      <c r="V612" s="444"/>
      <c r="W612" s="444"/>
    </row>
    <row r="613" spans="1:23" ht="15.75">
      <c r="A613" s="463"/>
      <c r="B613" s="464"/>
      <c r="C613" s="464"/>
      <c r="D613" s="464"/>
      <c r="E613" s="464"/>
      <c r="F613" s="464"/>
      <c r="G613" s="464"/>
      <c r="H613" s="464"/>
      <c r="I613" s="464"/>
      <c r="J613" s="464"/>
      <c r="K613" s="464"/>
      <c r="L613" s="464"/>
      <c r="M613" s="465"/>
      <c r="N613" s="464"/>
      <c r="O613" s="464"/>
      <c r="P613" s="464"/>
      <c r="Q613" s="444"/>
      <c r="R613" s="444"/>
      <c r="S613" s="444"/>
      <c r="T613" s="444"/>
      <c r="U613" s="444"/>
      <c r="V613" s="444"/>
      <c r="W613" s="444"/>
    </row>
    <row r="614" spans="1:23" ht="15.75">
      <c r="A614" s="463"/>
      <c r="B614" s="464"/>
      <c r="C614" s="464"/>
      <c r="D614" s="464"/>
      <c r="E614" s="464"/>
      <c r="F614" s="464"/>
      <c r="G614" s="464"/>
      <c r="H614" s="464"/>
      <c r="I614" s="464"/>
      <c r="J614" s="464"/>
      <c r="K614" s="464"/>
      <c r="L614" s="464"/>
      <c r="M614" s="465"/>
      <c r="N614" s="464"/>
      <c r="O614" s="464"/>
      <c r="P614" s="464"/>
      <c r="Q614" s="444"/>
      <c r="R614" s="444"/>
      <c r="S614" s="444"/>
      <c r="T614" s="444"/>
      <c r="U614" s="444"/>
      <c r="V614" s="444"/>
      <c r="W614" s="444"/>
    </row>
    <row r="615" spans="1:23" ht="15.75">
      <c r="A615" s="463"/>
      <c r="B615" s="464"/>
      <c r="C615" s="464"/>
      <c r="D615" s="464"/>
      <c r="E615" s="464"/>
      <c r="F615" s="464"/>
      <c r="G615" s="464"/>
      <c r="H615" s="464"/>
      <c r="I615" s="464"/>
      <c r="J615" s="464"/>
      <c r="K615" s="464"/>
      <c r="L615" s="464"/>
      <c r="M615" s="465"/>
      <c r="N615" s="464"/>
      <c r="O615" s="464"/>
      <c r="P615" s="464"/>
      <c r="Q615" s="444"/>
      <c r="R615" s="444"/>
      <c r="S615" s="444"/>
      <c r="T615" s="444"/>
      <c r="U615" s="444"/>
      <c r="V615" s="444"/>
      <c r="W615" s="444"/>
    </row>
    <row r="616" spans="1:23" ht="15.75">
      <c r="A616" s="463"/>
      <c r="B616" s="464"/>
      <c r="C616" s="464"/>
      <c r="D616" s="464"/>
      <c r="E616" s="464"/>
      <c r="F616" s="464"/>
      <c r="G616" s="464"/>
      <c r="H616" s="464"/>
      <c r="I616" s="464"/>
      <c r="J616" s="464"/>
      <c r="K616" s="464"/>
      <c r="L616" s="464"/>
      <c r="M616" s="465"/>
      <c r="N616" s="464"/>
      <c r="O616" s="464"/>
      <c r="P616" s="464"/>
      <c r="Q616" s="444"/>
      <c r="R616" s="444"/>
      <c r="S616" s="444"/>
      <c r="T616" s="444"/>
      <c r="U616" s="444"/>
      <c r="V616" s="444"/>
      <c r="W616" s="444"/>
    </row>
    <row r="617" spans="1:23" ht="15.75">
      <c r="A617" s="463"/>
      <c r="B617" s="464"/>
      <c r="C617" s="464"/>
      <c r="D617" s="464"/>
      <c r="E617" s="464"/>
      <c r="F617" s="464"/>
      <c r="G617" s="464"/>
      <c r="H617" s="464"/>
      <c r="I617" s="464"/>
      <c r="J617" s="464"/>
      <c r="K617" s="464"/>
      <c r="L617" s="464"/>
      <c r="M617" s="465"/>
      <c r="N617" s="464"/>
      <c r="O617" s="464"/>
      <c r="P617" s="464"/>
      <c r="Q617" s="444"/>
      <c r="R617" s="444"/>
      <c r="S617" s="444"/>
      <c r="T617" s="444"/>
      <c r="U617" s="444"/>
      <c r="V617" s="444"/>
      <c r="W617" s="444"/>
    </row>
    <row r="618" spans="1:23" ht="15.75">
      <c r="A618" s="463"/>
      <c r="B618" s="464"/>
      <c r="C618" s="464"/>
      <c r="D618" s="464"/>
      <c r="E618" s="464"/>
      <c r="F618" s="464"/>
      <c r="G618" s="464"/>
      <c r="H618" s="464"/>
      <c r="I618" s="464"/>
      <c r="J618" s="464"/>
      <c r="K618" s="464"/>
      <c r="L618" s="464"/>
      <c r="M618" s="465"/>
      <c r="N618" s="464"/>
      <c r="O618" s="464"/>
      <c r="P618" s="464"/>
      <c r="Q618" s="444"/>
      <c r="R618" s="444"/>
      <c r="S618" s="444"/>
      <c r="T618" s="444"/>
      <c r="U618" s="444"/>
      <c r="V618" s="444"/>
      <c r="W618" s="444"/>
    </row>
    <row r="619" spans="1:23" ht="15.75">
      <c r="A619" s="463"/>
      <c r="B619" s="464"/>
      <c r="C619" s="464"/>
      <c r="D619" s="464"/>
      <c r="E619" s="464"/>
      <c r="F619" s="464"/>
      <c r="G619" s="464"/>
      <c r="H619" s="464"/>
      <c r="I619" s="464"/>
      <c r="J619" s="464"/>
      <c r="K619" s="464"/>
      <c r="L619" s="464"/>
      <c r="M619" s="465"/>
      <c r="N619" s="464"/>
      <c r="O619" s="464"/>
      <c r="P619" s="464"/>
      <c r="Q619" s="444"/>
      <c r="R619" s="444"/>
      <c r="S619" s="444"/>
      <c r="T619" s="444"/>
      <c r="U619" s="444"/>
      <c r="V619" s="444"/>
      <c r="W619" s="444"/>
    </row>
    <row r="620" spans="1:23" ht="15.75">
      <c r="A620" s="463"/>
      <c r="B620" s="464"/>
      <c r="C620" s="464"/>
      <c r="D620" s="464"/>
      <c r="E620" s="464"/>
      <c r="F620" s="464"/>
      <c r="G620" s="464"/>
      <c r="H620" s="464"/>
      <c r="I620" s="464"/>
      <c r="J620" s="464"/>
      <c r="K620" s="464"/>
      <c r="L620" s="464"/>
      <c r="M620" s="465"/>
      <c r="N620" s="464"/>
      <c r="O620" s="464"/>
      <c r="P620" s="464"/>
      <c r="Q620" s="444"/>
      <c r="R620" s="444"/>
      <c r="S620" s="444"/>
      <c r="T620" s="444"/>
      <c r="U620" s="444"/>
      <c r="V620" s="444"/>
      <c r="W620" s="444"/>
    </row>
    <row r="621" spans="1:23" ht="15.75">
      <c r="A621" s="463"/>
      <c r="B621" s="464"/>
      <c r="C621" s="464"/>
      <c r="D621" s="464"/>
      <c r="E621" s="464"/>
      <c r="F621" s="464"/>
      <c r="G621" s="464"/>
      <c r="H621" s="464"/>
      <c r="I621" s="464"/>
      <c r="J621" s="464"/>
      <c r="K621" s="464"/>
      <c r="L621" s="464"/>
      <c r="M621" s="465"/>
      <c r="N621" s="464"/>
      <c r="O621" s="464"/>
      <c r="P621" s="464"/>
      <c r="Q621" s="444"/>
      <c r="R621" s="444"/>
      <c r="S621" s="444"/>
      <c r="T621" s="444"/>
      <c r="U621" s="444"/>
      <c r="V621" s="444"/>
      <c r="W621" s="444"/>
    </row>
    <row r="622" spans="1:23" ht="15.75">
      <c r="A622" s="463"/>
      <c r="B622" s="464"/>
      <c r="C622" s="464"/>
      <c r="D622" s="464"/>
      <c r="E622" s="464"/>
      <c r="F622" s="464"/>
      <c r="G622" s="464"/>
      <c r="H622" s="464"/>
      <c r="I622" s="464"/>
      <c r="J622" s="464"/>
      <c r="K622" s="464"/>
      <c r="L622" s="464"/>
      <c r="M622" s="465"/>
      <c r="N622" s="464"/>
      <c r="O622" s="464"/>
      <c r="P622" s="464"/>
      <c r="Q622" s="444"/>
      <c r="R622" s="444"/>
      <c r="S622" s="444"/>
      <c r="T622" s="444"/>
      <c r="U622" s="444"/>
      <c r="V622" s="444"/>
      <c r="W622" s="444"/>
    </row>
    <row r="623" spans="1:23" ht="15.75">
      <c r="A623" s="463"/>
      <c r="B623" s="464"/>
      <c r="C623" s="464"/>
      <c r="D623" s="464"/>
      <c r="E623" s="464"/>
      <c r="F623" s="464"/>
      <c r="G623" s="464"/>
      <c r="H623" s="464"/>
      <c r="I623" s="464"/>
      <c r="J623" s="464"/>
      <c r="K623" s="464"/>
      <c r="L623" s="464"/>
      <c r="M623" s="465"/>
      <c r="N623" s="464"/>
      <c r="O623" s="464"/>
      <c r="P623" s="464"/>
      <c r="Q623" s="444"/>
      <c r="R623" s="444"/>
      <c r="S623" s="444"/>
      <c r="T623" s="444"/>
      <c r="U623" s="444"/>
      <c r="V623" s="444"/>
      <c r="W623" s="444"/>
    </row>
    <row r="624" spans="1:23" ht="15.75">
      <c r="A624" s="463"/>
      <c r="B624" s="464"/>
      <c r="C624" s="464"/>
      <c r="D624" s="464"/>
      <c r="E624" s="464"/>
      <c r="F624" s="464"/>
      <c r="G624" s="464"/>
      <c r="H624" s="464"/>
      <c r="I624" s="464"/>
      <c r="J624" s="464"/>
      <c r="K624" s="464"/>
      <c r="L624" s="464"/>
      <c r="M624" s="465"/>
      <c r="N624" s="464"/>
      <c r="O624" s="464"/>
      <c r="P624" s="464"/>
      <c r="Q624" s="444"/>
      <c r="R624" s="444"/>
      <c r="S624" s="444"/>
      <c r="T624" s="444"/>
      <c r="U624" s="444"/>
      <c r="V624" s="444"/>
      <c r="W624" s="444"/>
    </row>
    <row r="625" spans="1:23" ht="15.75">
      <c r="A625" s="463"/>
      <c r="B625" s="464"/>
      <c r="C625" s="464"/>
      <c r="D625" s="464"/>
      <c r="E625" s="464"/>
      <c r="F625" s="464"/>
      <c r="G625" s="464"/>
      <c r="H625" s="464"/>
      <c r="I625" s="464"/>
      <c r="J625" s="464"/>
      <c r="K625" s="464"/>
      <c r="L625" s="464"/>
      <c r="M625" s="465"/>
      <c r="N625" s="464"/>
      <c r="O625" s="464"/>
      <c r="P625" s="464"/>
      <c r="Q625" s="444"/>
      <c r="R625" s="444"/>
      <c r="S625" s="444"/>
      <c r="T625" s="444"/>
      <c r="U625" s="444"/>
      <c r="V625" s="444"/>
      <c r="W625" s="444"/>
    </row>
    <row r="626" spans="1:23" ht="15.75">
      <c r="A626" s="463"/>
      <c r="B626" s="464"/>
      <c r="C626" s="464"/>
      <c r="D626" s="464"/>
      <c r="E626" s="464"/>
      <c r="F626" s="464"/>
      <c r="G626" s="464"/>
      <c r="H626" s="464"/>
      <c r="I626" s="464"/>
      <c r="J626" s="464"/>
      <c r="K626" s="464"/>
      <c r="L626" s="464"/>
      <c r="M626" s="465"/>
      <c r="N626" s="464"/>
      <c r="O626" s="464"/>
      <c r="P626" s="464"/>
      <c r="Q626" s="444"/>
      <c r="R626" s="444"/>
      <c r="S626" s="444"/>
      <c r="T626" s="444"/>
      <c r="U626" s="444"/>
      <c r="V626" s="444"/>
      <c r="W626" s="444"/>
    </row>
    <row r="627" spans="1:23" ht="15.75">
      <c r="A627" s="463"/>
      <c r="B627" s="464"/>
      <c r="C627" s="464"/>
      <c r="D627" s="464"/>
      <c r="E627" s="464"/>
      <c r="F627" s="464"/>
      <c r="G627" s="464"/>
      <c r="H627" s="464"/>
      <c r="I627" s="464"/>
      <c r="J627" s="464"/>
      <c r="K627" s="464"/>
      <c r="L627" s="464"/>
      <c r="M627" s="465"/>
      <c r="N627" s="464"/>
      <c r="O627" s="464"/>
      <c r="P627" s="464"/>
      <c r="Q627" s="444"/>
      <c r="R627" s="444"/>
      <c r="S627" s="444"/>
      <c r="T627" s="444"/>
      <c r="U627" s="444"/>
      <c r="V627" s="444"/>
      <c r="W627" s="444"/>
    </row>
    <row r="628" spans="1:23" ht="15.75">
      <c r="A628" s="463"/>
      <c r="B628" s="464"/>
      <c r="C628" s="464"/>
      <c r="D628" s="464"/>
      <c r="E628" s="464"/>
      <c r="F628" s="464"/>
      <c r="G628" s="464"/>
      <c r="H628" s="464"/>
      <c r="I628" s="464"/>
      <c r="J628" s="464"/>
      <c r="K628" s="464"/>
      <c r="L628" s="464"/>
      <c r="M628" s="465"/>
      <c r="N628" s="464"/>
      <c r="O628" s="464"/>
      <c r="P628" s="464"/>
      <c r="Q628" s="444"/>
      <c r="R628" s="444"/>
      <c r="S628" s="444"/>
      <c r="T628" s="444"/>
      <c r="U628" s="444"/>
      <c r="V628" s="444"/>
      <c r="W628" s="444"/>
    </row>
    <row r="629" spans="1:23" ht="15.75">
      <c r="A629" s="463"/>
      <c r="B629" s="464"/>
      <c r="C629" s="464"/>
      <c r="D629" s="464"/>
      <c r="E629" s="464"/>
      <c r="F629" s="464"/>
      <c r="G629" s="464"/>
      <c r="H629" s="464"/>
      <c r="I629" s="464"/>
      <c r="J629" s="464"/>
      <c r="K629" s="464"/>
      <c r="L629" s="464"/>
      <c r="M629" s="465"/>
      <c r="N629" s="464"/>
      <c r="O629" s="464"/>
      <c r="P629" s="464"/>
      <c r="Q629" s="444"/>
      <c r="R629" s="444"/>
      <c r="S629" s="444"/>
      <c r="T629" s="444"/>
      <c r="U629" s="444"/>
      <c r="V629" s="444"/>
      <c r="W629" s="444"/>
    </row>
    <row r="630" spans="1:23" ht="15.75">
      <c r="A630" s="463"/>
      <c r="B630" s="464"/>
      <c r="C630" s="464"/>
      <c r="D630" s="464"/>
      <c r="E630" s="464"/>
      <c r="F630" s="464"/>
      <c r="G630" s="464"/>
      <c r="H630" s="464"/>
      <c r="I630" s="464"/>
      <c r="J630" s="464"/>
      <c r="K630" s="464"/>
      <c r="L630" s="464"/>
      <c r="M630" s="465"/>
      <c r="N630" s="464"/>
      <c r="O630" s="464"/>
      <c r="P630" s="464"/>
      <c r="Q630" s="444"/>
      <c r="R630" s="444"/>
      <c r="S630" s="444"/>
      <c r="T630" s="444"/>
      <c r="U630" s="444"/>
      <c r="V630" s="444"/>
      <c r="W630" s="444"/>
    </row>
    <row r="631" spans="1:23" ht="15.75">
      <c r="A631" s="463"/>
      <c r="B631" s="464"/>
      <c r="C631" s="464"/>
      <c r="D631" s="464"/>
      <c r="E631" s="464"/>
      <c r="F631" s="464"/>
      <c r="G631" s="464"/>
      <c r="H631" s="464"/>
      <c r="I631" s="464"/>
      <c r="J631" s="464"/>
      <c r="K631" s="464"/>
      <c r="L631" s="464"/>
      <c r="M631" s="465"/>
      <c r="N631" s="464"/>
      <c r="O631" s="464"/>
      <c r="P631" s="464"/>
      <c r="Q631" s="444"/>
      <c r="R631" s="444"/>
      <c r="S631" s="444"/>
      <c r="T631" s="444"/>
      <c r="U631" s="444"/>
      <c r="V631" s="444"/>
      <c r="W631" s="444"/>
    </row>
    <row r="632" spans="1:23" ht="15.75">
      <c r="A632" s="463"/>
      <c r="B632" s="464"/>
      <c r="C632" s="464"/>
      <c r="D632" s="464"/>
      <c r="E632" s="464"/>
      <c r="F632" s="464"/>
      <c r="G632" s="464"/>
      <c r="H632" s="464"/>
      <c r="I632" s="464"/>
      <c r="J632" s="464"/>
      <c r="K632" s="464"/>
      <c r="L632" s="464"/>
      <c r="M632" s="465"/>
      <c r="N632" s="464"/>
      <c r="O632" s="464"/>
      <c r="P632" s="464"/>
      <c r="Q632" s="444"/>
      <c r="R632" s="444"/>
      <c r="S632" s="444"/>
      <c r="T632" s="444"/>
      <c r="U632" s="444"/>
      <c r="V632" s="444"/>
      <c r="W632" s="444"/>
    </row>
    <row r="633" spans="1:23" ht="15.75">
      <c r="A633" s="463"/>
      <c r="B633" s="464"/>
      <c r="C633" s="464"/>
      <c r="D633" s="464"/>
      <c r="E633" s="464"/>
      <c r="F633" s="464"/>
      <c r="G633" s="464"/>
      <c r="H633" s="464"/>
      <c r="I633" s="464"/>
      <c r="J633" s="464"/>
      <c r="K633" s="464"/>
      <c r="L633" s="464"/>
      <c r="M633" s="465"/>
      <c r="N633" s="464"/>
      <c r="O633" s="464"/>
      <c r="P633" s="464"/>
      <c r="Q633" s="444"/>
      <c r="R633" s="444"/>
      <c r="S633" s="444"/>
      <c r="T633" s="444"/>
      <c r="U633" s="444"/>
      <c r="V633" s="444"/>
      <c r="W633" s="444"/>
    </row>
    <row r="634" spans="1:23" ht="15.75">
      <c r="A634" s="463"/>
      <c r="B634" s="464"/>
      <c r="C634" s="464"/>
      <c r="D634" s="464"/>
      <c r="E634" s="464"/>
      <c r="F634" s="464"/>
      <c r="G634" s="464"/>
      <c r="H634" s="464"/>
      <c r="I634" s="464"/>
      <c r="J634" s="464"/>
      <c r="K634" s="464"/>
      <c r="L634" s="464"/>
      <c r="M634" s="465"/>
      <c r="N634" s="464"/>
      <c r="O634" s="464"/>
      <c r="P634" s="464"/>
      <c r="Q634" s="444"/>
      <c r="R634" s="444"/>
      <c r="S634" s="444"/>
      <c r="T634" s="444"/>
      <c r="U634" s="444"/>
      <c r="V634" s="444"/>
      <c r="W634" s="444"/>
    </row>
    <row r="635" spans="1:23" ht="15.75">
      <c r="A635" s="463"/>
      <c r="B635" s="464"/>
      <c r="C635" s="464"/>
      <c r="D635" s="464"/>
      <c r="E635" s="464"/>
      <c r="F635" s="464"/>
      <c r="G635" s="464"/>
      <c r="H635" s="464"/>
      <c r="I635" s="464"/>
      <c r="J635" s="464"/>
      <c r="K635" s="464"/>
      <c r="L635" s="464"/>
      <c r="M635" s="465"/>
      <c r="N635" s="464"/>
      <c r="O635" s="464"/>
      <c r="P635" s="464"/>
      <c r="Q635" s="444"/>
      <c r="R635" s="444"/>
      <c r="S635" s="444"/>
      <c r="T635" s="444"/>
      <c r="U635" s="444"/>
      <c r="V635" s="444"/>
      <c r="W635" s="444"/>
    </row>
    <row r="636" spans="1:23" ht="15.75">
      <c r="A636" s="463"/>
      <c r="B636" s="464"/>
      <c r="C636" s="464"/>
      <c r="D636" s="464"/>
      <c r="E636" s="464"/>
      <c r="F636" s="464"/>
      <c r="G636" s="464"/>
      <c r="H636" s="464"/>
      <c r="I636" s="464"/>
      <c r="J636" s="464"/>
      <c r="K636" s="464"/>
      <c r="L636" s="464"/>
      <c r="M636" s="465"/>
      <c r="N636" s="464"/>
      <c r="O636" s="464"/>
      <c r="P636" s="464"/>
      <c r="Q636" s="444"/>
      <c r="R636" s="444"/>
      <c r="S636" s="444"/>
      <c r="T636" s="444"/>
      <c r="U636" s="444"/>
      <c r="V636" s="444"/>
      <c r="W636" s="444"/>
    </row>
    <row r="637" spans="1:23" ht="15.75">
      <c r="A637" s="463"/>
      <c r="B637" s="464"/>
      <c r="C637" s="464"/>
      <c r="D637" s="464"/>
      <c r="E637" s="464"/>
      <c r="F637" s="464"/>
      <c r="G637" s="464"/>
      <c r="H637" s="464"/>
      <c r="I637" s="464"/>
      <c r="J637" s="464"/>
      <c r="K637" s="464"/>
      <c r="L637" s="464"/>
      <c r="M637" s="465"/>
      <c r="N637" s="464"/>
      <c r="O637" s="464"/>
      <c r="P637" s="464"/>
      <c r="Q637" s="444"/>
      <c r="R637" s="444"/>
      <c r="S637" s="444"/>
      <c r="T637" s="444"/>
      <c r="U637" s="444"/>
      <c r="V637" s="444"/>
      <c r="W637" s="444"/>
    </row>
    <row r="638" spans="1:23" ht="15.75">
      <c r="A638" s="463"/>
      <c r="B638" s="464"/>
      <c r="C638" s="464"/>
      <c r="D638" s="464"/>
      <c r="E638" s="464"/>
      <c r="F638" s="464"/>
      <c r="G638" s="464"/>
      <c r="H638" s="464"/>
      <c r="I638" s="464"/>
      <c r="J638" s="464"/>
      <c r="K638" s="464"/>
      <c r="L638" s="464"/>
      <c r="M638" s="465"/>
      <c r="N638" s="464"/>
      <c r="O638" s="464"/>
      <c r="P638" s="464"/>
      <c r="Q638" s="444"/>
      <c r="R638" s="444"/>
      <c r="S638" s="444"/>
      <c r="T638" s="444"/>
      <c r="U638" s="444"/>
      <c r="V638" s="444"/>
      <c r="W638" s="444"/>
    </row>
    <row r="639" spans="1:23" ht="15.75">
      <c r="A639" s="463"/>
      <c r="B639" s="464"/>
      <c r="C639" s="464"/>
      <c r="D639" s="464"/>
      <c r="E639" s="464"/>
      <c r="F639" s="464"/>
      <c r="G639" s="464"/>
      <c r="H639" s="464"/>
      <c r="I639" s="464"/>
      <c r="J639" s="464"/>
      <c r="K639" s="464"/>
      <c r="L639" s="464"/>
      <c r="M639" s="465"/>
      <c r="N639" s="464"/>
      <c r="O639" s="464"/>
      <c r="P639" s="464"/>
      <c r="Q639" s="444"/>
      <c r="R639" s="444"/>
      <c r="S639" s="444"/>
      <c r="T639" s="444"/>
      <c r="U639" s="444"/>
      <c r="V639" s="444"/>
      <c r="W639" s="444"/>
    </row>
    <row r="640" spans="1:23" ht="15.75">
      <c r="A640" s="463"/>
      <c r="B640" s="464"/>
      <c r="C640" s="464"/>
      <c r="D640" s="464"/>
      <c r="E640" s="464"/>
      <c r="F640" s="464"/>
      <c r="G640" s="464"/>
      <c r="H640" s="464"/>
      <c r="I640" s="464"/>
      <c r="J640" s="464"/>
      <c r="K640" s="464"/>
      <c r="L640" s="464"/>
      <c r="M640" s="465"/>
      <c r="N640" s="464"/>
      <c r="O640" s="464"/>
      <c r="P640" s="464"/>
      <c r="Q640" s="444"/>
      <c r="R640" s="444"/>
      <c r="S640" s="444"/>
      <c r="T640" s="444"/>
      <c r="U640" s="444"/>
      <c r="V640" s="444"/>
      <c r="W640" s="444"/>
    </row>
    <row r="641" spans="1:23" ht="15.75">
      <c r="A641" s="463"/>
      <c r="B641" s="464"/>
      <c r="C641" s="464"/>
      <c r="D641" s="464"/>
      <c r="E641" s="464"/>
      <c r="F641" s="464"/>
      <c r="G641" s="464"/>
      <c r="H641" s="464"/>
      <c r="I641" s="464"/>
      <c r="J641" s="464"/>
      <c r="K641" s="464"/>
      <c r="L641" s="464"/>
      <c r="M641" s="465"/>
      <c r="N641" s="464"/>
      <c r="O641" s="464"/>
      <c r="P641" s="464"/>
      <c r="Q641" s="444"/>
      <c r="R641" s="444"/>
      <c r="S641" s="444"/>
      <c r="T641" s="444"/>
      <c r="U641" s="444"/>
      <c r="V641" s="444"/>
      <c r="W641" s="444"/>
    </row>
    <row r="642" spans="1:23" ht="15.75">
      <c r="A642" s="463"/>
      <c r="B642" s="464"/>
      <c r="C642" s="464"/>
      <c r="D642" s="464"/>
      <c r="E642" s="464"/>
      <c r="F642" s="464"/>
      <c r="G642" s="464"/>
      <c r="H642" s="464"/>
      <c r="I642" s="464"/>
      <c r="J642" s="464"/>
      <c r="K642" s="464"/>
      <c r="L642" s="464"/>
      <c r="M642" s="465"/>
      <c r="N642" s="464"/>
      <c r="O642" s="464"/>
      <c r="P642" s="464"/>
      <c r="Q642" s="444"/>
      <c r="R642" s="444"/>
      <c r="S642" s="444"/>
      <c r="T642" s="444"/>
      <c r="U642" s="444"/>
      <c r="V642" s="444"/>
      <c r="W642" s="444"/>
    </row>
    <row r="643" spans="1:23" ht="15.75">
      <c r="A643" s="463"/>
      <c r="B643" s="464"/>
      <c r="C643" s="464"/>
      <c r="D643" s="464"/>
      <c r="E643" s="464"/>
      <c r="F643" s="464"/>
      <c r="G643" s="464"/>
      <c r="H643" s="464"/>
      <c r="I643" s="464"/>
      <c r="J643" s="464"/>
      <c r="K643" s="464"/>
      <c r="L643" s="464"/>
      <c r="M643" s="465"/>
      <c r="N643" s="464"/>
      <c r="O643" s="464"/>
      <c r="P643" s="464"/>
      <c r="Q643" s="444"/>
      <c r="R643" s="444"/>
      <c r="S643" s="444"/>
      <c r="T643" s="444"/>
      <c r="U643" s="444"/>
      <c r="V643" s="444"/>
      <c r="W643" s="444"/>
    </row>
    <row r="644" spans="1:23" ht="15.75">
      <c r="A644" s="463"/>
      <c r="B644" s="464"/>
      <c r="C644" s="464"/>
      <c r="D644" s="464"/>
      <c r="E644" s="464"/>
      <c r="F644" s="464"/>
      <c r="G644" s="464"/>
      <c r="H644" s="464"/>
      <c r="I644" s="464"/>
      <c r="J644" s="464"/>
      <c r="K644" s="464"/>
      <c r="L644" s="464"/>
      <c r="M644" s="465"/>
      <c r="N644" s="464"/>
      <c r="O644" s="464"/>
      <c r="P644" s="464"/>
      <c r="Q644" s="444"/>
      <c r="R644" s="444"/>
      <c r="S644" s="444"/>
      <c r="T644" s="444"/>
      <c r="U644" s="444"/>
      <c r="V644" s="444"/>
      <c r="W644" s="444"/>
    </row>
    <row r="645" spans="1:23" ht="15.75">
      <c r="A645" s="463"/>
      <c r="B645" s="464"/>
      <c r="C645" s="464"/>
      <c r="D645" s="464"/>
      <c r="E645" s="464"/>
      <c r="F645" s="464"/>
      <c r="G645" s="464"/>
      <c r="H645" s="464"/>
      <c r="I645" s="464"/>
      <c r="J645" s="464"/>
      <c r="K645" s="464"/>
      <c r="L645" s="464"/>
      <c r="M645" s="465"/>
      <c r="N645" s="464"/>
      <c r="O645" s="464"/>
      <c r="P645" s="464"/>
      <c r="Q645" s="444"/>
      <c r="R645" s="444"/>
      <c r="S645" s="444"/>
      <c r="T645" s="444"/>
      <c r="U645" s="444"/>
      <c r="V645" s="444"/>
      <c r="W645" s="444"/>
    </row>
    <row r="646" spans="1:23" ht="15.75">
      <c r="A646" s="463"/>
      <c r="B646" s="464"/>
      <c r="C646" s="464"/>
      <c r="D646" s="464"/>
      <c r="E646" s="464"/>
      <c r="F646" s="464"/>
      <c r="G646" s="464"/>
      <c r="H646" s="464"/>
      <c r="I646" s="464"/>
      <c r="J646" s="464"/>
      <c r="K646" s="464"/>
      <c r="L646" s="464"/>
      <c r="M646" s="465"/>
      <c r="N646" s="464"/>
      <c r="O646" s="464"/>
      <c r="P646" s="464"/>
      <c r="Q646" s="444"/>
      <c r="R646" s="444"/>
      <c r="S646" s="444"/>
      <c r="T646" s="444"/>
      <c r="U646" s="444"/>
      <c r="V646" s="444"/>
      <c r="W646" s="444"/>
    </row>
    <row r="647" spans="1:23" ht="15.75">
      <c r="A647" s="463"/>
      <c r="B647" s="464"/>
      <c r="C647" s="464"/>
      <c r="D647" s="464"/>
      <c r="E647" s="464"/>
      <c r="F647" s="464"/>
      <c r="G647" s="464"/>
      <c r="H647" s="464"/>
      <c r="I647" s="464"/>
      <c r="J647" s="464"/>
      <c r="K647" s="464"/>
      <c r="L647" s="464"/>
      <c r="M647" s="465"/>
      <c r="N647" s="464"/>
      <c r="O647" s="464"/>
      <c r="P647" s="464"/>
      <c r="Q647" s="444"/>
      <c r="R647" s="444"/>
      <c r="S647" s="444"/>
      <c r="T647" s="444"/>
      <c r="U647" s="444"/>
      <c r="V647" s="444"/>
      <c r="W647" s="444"/>
    </row>
    <row r="648" spans="1:23" ht="15.75">
      <c r="A648" s="463"/>
      <c r="B648" s="464"/>
      <c r="C648" s="464"/>
      <c r="D648" s="464"/>
      <c r="E648" s="464"/>
      <c r="F648" s="464"/>
      <c r="G648" s="464"/>
      <c r="H648" s="464"/>
      <c r="I648" s="464"/>
      <c r="J648" s="464"/>
      <c r="K648" s="464"/>
      <c r="L648" s="464"/>
      <c r="M648" s="465"/>
      <c r="N648" s="464"/>
      <c r="O648" s="464"/>
      <c r="P648" s="464"/>
      <c r="Q648" s="444"/>
      <c r="R648" s="444"/>
      <c r="S648" s="444"/>
      <c r="T648" s="444"/>
      <c r="U648" s="444"/>
      <c r="V648" s="444"/>
      <c r="W648" s="444"/>
    </row>
    <row r="649" spans="1:23" ht="15.75">
      <c r="A649" s="463"/>
      <c r="B649" s="464"/>
      <c r="C649" s="464"/>
      <c r="D649" s="464"/>
      <c r="E649" s="464"/>
      <c r="F649" s="464"/>
      <c r="G649" s="464"/>
      <c r="H649" s="464"/>
      <c r="I649" s="464"/>
      <c r="J649" s="464"/>
      <c r="K649" s="464"/>
      <c r="L649" s="464"/>
      <c r="M649" s="465"/>
      <c r="N649" s="464"/>
      <c r="O649" s="464"/>
      <c r="P649" s="464"/>
      <c r="Q649" s="444"/>
      <c r="R649" s="444"/>
      <c r="S649" s="444"/>
      <c r="T649" s="444"/>
      <c r="U649" s="444"/>
      <c r="V649" s="444"/>
      <c r="W649" s="444"/>
    </row>
    <row r="650" spans="1:23" ht="15.75">
      <c r="A650" s="463"/>
      <c r="B650" s="464"/>
      <c r="C650" s="464"/>
      <c r="D650" s="464"/>
      <c r="E650" s="464"/>
      <c r="F650" s="464"/>
      <c r="G650" s="464"/>
      <c r="H650" s="464"/>
      <c r="I650" s="464"/>
      <c r="J650" s="464"/>
      <c r="K650" s="464"/>
      <c r="L650" s="464"/>
      <c r="M650" s="465"/>
      <c r="N650" s="464"/>
      <c r="O650" s="464"/>
      <c r="P650" s="464"/>
      <c r="Q650" s="444"/>
      <c r="R650" s="444"/>
      <c r="S650" s="444"/>
      <c r="T650" s="444"/>
      <c r="U650" s="444"/>
      <c r="V650" s="444"/>
      <c r="W650" s="444"/>
    </row>
    <row r="651" spans="1:23" ht="15.75">
      <c r="A651" s="463"/>
      <c r="B651" s="464"/>
      <c r="C651" s="464"/>
      <c r="D651" s="464"/>
      <c r="E651" s="464"/>
      <c r="F651" s="464"/>
      <c r="G651" s="464"/>
      <c r="H651" s="464"/>
      <c r="I651" s="464"/>
      <c r="J651" s="464"/>
      <c r="K651" s="464"/>
      <c r="L651" s="464"/>
      <c r="M651" s="465"/>
      <c r="N651" s="464"/>
      <c r="O651" s="464"/>
      <c r="P651" s="464"/>
      <c r="Q651" s="444"/>
      <c r="R651" s="444"/>
      <c r="S651" s="444"/>
      <c r="T651" s="444"/>
      <c r="U651" s="444"/>
      <c r="V651" s="444"/>
      <c r="W651" s="444"/>
    </row>
    <row r="652" spans="1:23" ht="15.75">
      <c r="A652" s="463"/>
      <c r="B652" s="464"/>
      <c r="C652" s="464"/>
      <c r="D652" s="464"/>
      <c r="E652" s="464"/>
      <c r="F652" s="464"/>
      <c r="G652" s="464"/>
      <c r="H652" s="464"/>
      <c r="I652" s="464"/>
      <c r="J652" s="464"/>
      <c r="K652" s="464"/>
      <c r="L652" s="464"/>
      <c r="M652" s="465"/>
      <c r="N652" s="464"/>
      <c r="O652" s="464"/>
      <c r="P652" s="464"/>
      <c r="Q652" s="444"/>
      <c r="R652" s="444"/>
      <c r="S652" s="444"/>
      <c r="T652" s="444"/>
      <c r="U652" s="444"/>
      <c r="V652" s="444"/>
      <c r="W652" s="444"/>
    </row>
    <row r="653" spans="1:23" ht="15.75">
      <c r="A653" s="463"/>
      <c r="B653" s="464"/>
      <c r="C653" s="464"/>
      <c r="D653" s="464"/>
      <c r="E653" s="464"/>
      <c r="F653" s="464"/>
      <c r="G653" s="464"/>
      <c r="H653" s="464"/>
      <c r="I653" s="464"/>
      <c r="J653" s="464"/>
      <c r="K653" s="464"/>
      <c r="L653" s="464"/>
      <c r="M653" s="465"/>
      <c r="N653" s="464"/>
      <c r="O653" s="464"/>
      <c r="P653" s="464"/>
      <c r="Q653" s="444"/>
      <c r="R653" s="444"/>
      <c r="S653" s="444"/>
      <c r="T653" s="444"/>
      <c r="U653" s="444"/>
      <c r="V653" s="444"/>
      <c r="W653" s="444"/>
    </row>
    <row r="654" spans="1:23" ht="15.75">
      <c r="A654" s="463"/>
      <c r="B654" s="464"/>
      <c r="C654" s="464"/>
      <c r="D654" s="464"/>
      <c r="E654" s="464"/>
      <c r="F654" s="464"/>
      <c r="G654" s="464"/>
      <c r="H654" s="464"/>
      <c r="I654" s="464"/>
      <c r="J654" s="464"/>
      <c r="K654" s="464"/>
      <c r="L654" s="464"/>
      <c r="M654" s="465"/>
      <c r="N654" s="464"/>
      <c r="O654" s="464"/>
      <c r="P654" s="464"/>
      <c r="Q654" s="444"/>
      <c r="R654" s="444"/>
      <c r="S654" s="444"/>
      <c r="T654" s="444"/>
      <c r="U654" s="444"/>
      <c r="V654" s="444"/>
      <c r="W654" s="444"/>
    </row>
    <row r="655" spans="1:23" ht="15.75">
      <c r="A655" s="463"/>
      <c r="B655" s="464"/>
      <c r="C655" s="464"/>
      <c r="D655" s="464"/>
      <c r="E655" s="464"/>
      <c r="F655" s="464"/>
      <c r="G655" s="464"/>
      <c r="H655" s="464"/>
      <c r="I655" s="464"/>
      <c r="J655" s="464"/>
      <c r="K655" s="464"/>
      <c r="L655" s="464"/>
      <c r="M655" s="465"/>
      <c r="N655" s="464"/>
      <c r="O655" s="464"/>
      <c r="P655" s="464"/>
      <c r="Q655" s="444"/>
      <c r="R655" s="444"/>
      <c r="S655" s="444"/>
      <c r="T655" s="444"/>
      <c r="U655" s="444"/>
      <c r="V655" s="444"/>
      <c r="W655" s="444"/>
    </row>
    <row r="656" spans="1:23" ht="15.75">
      <c r="A656" s="463"/>
      <c r="B656" s="464"/>
      <c r="C656" s="464"/>
      <c r="D656" s="464"/>
      <c r="E656" s="464"/>
      <c r="F656" s="464"/>
      <c r="G656" s="464"/>
      <c r="H656" s="464"/>
      <c r="I656" s="464"/>
      <c r="J656" s="464"/>
      <c r="K656" s="464"/>
      <c r="L656" s="464"/>
      <c r="M656" s="465"/>
      <c r="N656" s="464"/>
      <c r="O656" s="464"/>
      <c r="P656" s="464"/>
      <c r="Q656" s="444"/>
      <c r="R656" s="444"/>
      <c r="S656" s="444"/>
      <c r="T656" s="444"/>
      <c r="U656" s="444"/>
      <c r="V656" s="444"/>
      <c r="W656" s="444"/>
    </row>
    <row r="657" spans="1:23" ht="15.75">
      <c r="A657" s="463"/>
      <c r="B657" s="464"/>
      <c r="C657" s="464"/>
      <c r="D657" s="464"/>
      <c r="E657" s="464"/>
      <c r="F657" s="464"/>
      <c r="G657" s="464"/>
      <c r="H657" s="464"/>
      <c r="I657" s="464"/>
      <c r="J657" s="464"/>
      <c r="K657" s="464"/>
      <c r="L657" s="464"/>
      <c r="M657" s="465"/>
      <c r="N657" s="464"/>
      <c r="O657" s="464"/>
      <c r="P657" s="464"/>
      <c r="Q657" s="444"/>
      <c r="R657" s="444"/>
      <c r="S657" s="444"/>
      <c r="T657" s="444"/>
      <c r="U657" s="444"/>
      <c r="V657" s="444"/>
      <c r="W657" s="444"/>
    </row>
    <row r="658" spans="1:23" ht="15.75">
      <c r="A658" s="463"/>
      <c r="B658" s="464"/>
      <c r="C658" s="464"/>
      <c r="D658" s="464"/>
      <c r="E658" s="464"/>
      <c r="F658" s="464"/>
      <c r="G658" s="464"/>
      <c r="H658" s="464"/>
      <c r="I658" s="464"/>
      <c r="J658" s="464"/>
      <c r="K658" s="464"/>
      <c r="L658" s="464"/>
      <c r="M658" s="465"/>
      <c r="N658" s="464"/>
      <c r="O658" s="464"/>
      <c r="P658" s="464"/>
      <c r="Q658" s="444"/>
      <c r="R658" s="444"/>
      <c r="S658" s="444"/>
      <c r="T658" s="444"/>
      <c r="U658" s="444"/>
      <c r="V658" s="444"/>
      <c r="W658" s="444"/>
    </row>
    <row r="659" spans="1:23" ht="15.75">
      <c r="A659" s="463"/>
      <c r="B659" s="464"/>
      <c r="C659" s="464"/>
      <c r="D659" s="464"/>
      <c r="E659" s="464"/>
      <c r="F659" s="464"/>
      <c r="G659" s="464"/>
      <c r="H659" s="464"/>
      <c r="I659" s="464"/>
      <c r="J659" s="464"/>
      <c r="K659" s="464"/>
      <c r="L659" s="464"/>
      <c r="M659" s="465"/>
      <c r="N659" s="464"/>
      <c r="O659" s="464"/>
      <c r="P659" s="464"/>
      <c r="Q659" s="444"/>
      <c r="R659" s="444"/>
      <c r="S659" s="444"/>
      <c r="T659" s="444"/>
      <c r="U659" s="444"/>
      <c r="V659" s="444"/>
      <c r="W659" s="444"/>
    </row>
    <row r="660" spans="1:23" ht="15.75">
      <c r="A660" s="463"/>
      <c r="B660" s="464"/>
      <c r="C660" s="464"/>
      <c r="D660" s="464"/>
      <c r="E660" s="464"/>
      <c r="F660" s="464"/>
      <c r="G660" s="464"/>
      <c r="H660" s="464"/>
      <c r="I660" s="464"/>
      <c r="J660" s="464"/>
      <c r="K660" s="464"/>
      <c r="L660" s="464"/>
      <c r="M660" s="465"/>
      <c r="N660" s="464"/>
      <c r="O660" s="464"/>
      <c r="P660" s="464"/>
      <c r="Q660" s="444"/>
      <c r="R660" s="444"/>
      <c r="S660" s="444"/>
      <c r="T660" s="444"/>
      <c r="U660" s="444"/>
      <c r="V660" s="444"/>
      <c r="W660" s="444"/>
    </row>
    <row r="661" spans="1:23" ht="15.75">
      <c r="A661" s="463"/>
      <c r="B661" s="464"/>
      <c r="C661" s="464"/>
      <c r="D661" s="464"/>
      <c r="E661" s="464"/>
      <c r="F661" s="464"/>
      <c r="G661" s="464"/>
      <c r="H661" s="464"/>
      <c r="I661" s="464"/>
      <c r="J661" s="464"/>
      <c r="K661" s="464"/>
      <c r="L661" s="464"/>
      <c r="M661" s="465"/>
      <c r="N661" s="464"/>
      <c r="O661" s="464"/>
      <c r="P661" s="464"/>
      <c r="Q661" s="444"/>
      <c r="R661" s="444"/>
      <c r="S661" s="444"/>
      <c r="T661" s="444"/>
      <c r="U661" s="444"/>
      <c r="V661" s="444"/>
      <c r="W661" s="444"/>
    </row>
    <row r="662" spans="1:23" ht="15.75">
      <c r="A662" s="463"/>
      <c r="B662" s="464"/>
      <c r="C662" s="464"/>
      <c r="D662" s="464"/>
      <c r="E662" s="464"/>
      <c r="F662" s="464"/>
      <c r="G662" s="464"/>
      <c r="H662" s="464"/>
      <c r="I662" s="464"/>
      <c r="J662" s="464"/>
      <c r="K662" s="464"/>
      <c r="L662" s="464"/>
      <c r="M662" s="465"/>
      <c r="N662" s="464"/>
      <c r="O662" s="464"/>
      <c r="P662" s="464"/>
      <c r="Q662" s="444"/>
      <c r="R662" s="444"/>
      <c r="S662" s="444"/>
      <c r="T662" s="444"/>
      <c r="U662" s="444"/>
      <c r="V662" s="444"/>
      <c r="W662" s="444"/>
    </row>
    <row r="663" spans="1:23" ht="15.75">
      <c r="A663" s="463"/>
      <c r="B663" s="464"/>
      <c r="C663" s="464"/>
      <c r="D663" s="464"/>
      <c r="E663" s="464"/>
      <c r="F663" s="464"/>
      <c r="G663" s="464"/>
      <c r="H663" s="464"/>
      <c r="I663" s="464"/>
      <c r="J663" s="464"/>
      <c r="K663" s="464"/>
      <c r="L663" s="464"/>
      <c r="M663" s="465"/>
      <c r="N663" s="464"/>
      <c r="O663" s="464"/>
      <c r="P663" s="464"/>
      <c r="Q663" s="444"/>
      <c r="R663" s="444"/>
      <c r="S663" s="444"/>
      <c r="T663" s="444"/>
      <c r="U663" s="444"/>
      <c r="V663" s="444"/>
      <c r="W663" s="444"/>
    </row>
    <row r="664" spans="1:23" ht="15.75">
      <c r="A664" s="463"/>
      <c r="B664" s="464"/>
      <c r="C664" s="464"/>
      <c r="D664" s="464"/>
      <c r="E664" s="464"/>
      <c r="F664" s="464"/>
      <c r="G664" s="464"/>
      <c r="H664" s="464"/>
      <c r="I664" s="464"/>
      <c r="J664" s="464"/>
      <c r="K664" s="464"/>
      <c r="L664" s="464"/>
      <c r="M664" s="465"/>
      <c r="N664" s="464"/>
      <c r="O664" s="464"/>
      <c r="P664" s="464"/>
      <c r="Q664" s="444"/>
      <c r="R664" s="444"/>
      <c r="S664" s="444"/>
      <c r="T664" s="444"/>
      <c r="U664" s="444"/>
      <c r="V664" s="444"/>
      <c r="W664" s="444"/>
    </row>
    <row r="665" spans="1:23" ht="15.75">
      <c r="A665" s="463"/>
      <c r="B665" s="464"/>
      <c r="C665" s="464"/>
      <c r="D665" s="464"/>
      <c r="E665" s="464"/>
      <c r="F665" s="464"/>
      <c r="G665" s="464"/>
      <c r="H665" s="464"/>
      <c r="I665" s="464"/>
      <c r="J665" s="464"/>
      <c r="K665" s="464"/>
      <c r="L665" s="464"/>
      <c r="M665" s="465"/>
      <c r="N665" s="464"/>
      <c r="O665" s="464"/>
      <c r="P665" s="464"/>
      <c r="Q665" s="444"/>
      <c r="R665" s="444"/>
      <c r="S665" s="444"/>
      <c r="T665" s="444"/>
      <c r="U665" s="444"/>
      <c r="V665" s="444"/>
      <c r="W665" s="444"/>
    </row>
    <row r="666" spans="1:23" ht="15.75">
      <c r="A666" s="463"/>
      <c r="B666" s="464"/>
      <c r="C666" s="464"/>
      <c r="D666" s="464"/>
      <c r="E666" s="464"/>
      <c r="F666" s="464"/>
      <c r="G666" s="464"/>
      <c r="H666" s="464"/>
      <c r="I666" s="464"/>
      <c r="J666" s="464"/>
      <c r="K666" s="464"/>
      <c r="L666" s="464"/>
      <c r="M666" s="465"/>
      <c r="N666" s="464"/>
      <c r="O666" s="464"/>
      <c r="P666" s="464"/>
      <c r="Q666" s="444"/>
      <c r="R666" s="444"/>
      <c r="S666" s="444"/>
      <c r="T666" s="444"/>
      <c r="U666" s="444"/>
      <c r="V666" s="444"/>
      <c r="W666" s="444"/>
    </row>
    <row r="667" spans="1:23" ht="15.75">
      <c r="A667" s="463"/>
      <c r="B667" s="464"/>
      <c r="C667" s="464"/>
      <c r="D667" s="464"/>
      <c r="E667" s="464"/>
      <c r="F667" s="464"/>
      <c r="G667" s="464"/>
      <c r="H667" s="464"/>
      <c r="I667" s="464"/>
      <c r="J667" s="464"/>
      <c r="K667" s="464"/>
      <c r="L667" s="464"/>
      <c r="M667" s="465"/>
      <c r="N667" s="464"/>
      <c r="O667" s="464"/>
      <c r="P667" s="464"/>
      <c r="Q667" s="444"/>
      <c r="R667" s="444"/>
      <c r="S667" s="444"/>
      <c r="T667" s="444"/>
      <c r="U667" s="444"/>
      <c r="V667" s="444"/>
      <c r="W667" s="444"/>
    </row>
    <row r="668" spans="1:23" ht="15.75">
      <c r="A668" s="463"/>
      <c r="B668" s="464"/>
      <c r="C668" s="464"/>
      <c r="D668" s="464"/>
      <c r="E668" s="464"/>
      <c r="F668" s="464"/>
      <c r="G668" s="464"/>
      <c r="H668" s="464"/>
      <c r="I668" s="464"/>
      <c r="J668" s="464"/>
      <c r="K668" s="464"/>
      <c r="L668" s="464"/>
      <c r="M668" s="465"/>
      <c r="N668" s="464"/>
      <c r="O668" s="464"/>
      <c r="P668" s="464"/>
      <c r="Q668" s="444"/>
      <c r="R668" s="444"/>
      <c r="S668" s="444"/>
      <c r="T668" s="444"/>
      <c r="U668" s="444"/>
      <c r="V668" s="444"/>
      <c r="W668" s="444"/>
    </row>
    <row r="669" spans="1:23" ht="15.75">
      <c r="A669" s="463"/>
      <c r="B669" s="464"/>
      <c r="C669" s="464"/>
      <c r="D669" s="464"/>
      <c r="E669" s="464"/>
      <c r="F669" s="464"/>
      <c r="G669" s="464"/>
      <c r="H669" s="464"/>
      <c r="I669" s="464"/>
      <c r="J669" s="464"/>
      <c r="K669" s="464"/>
      <c r="L669" s="464"/>
      <c r="M669" s="465"/>
      <c r="N669" s="464"/>
      <c r="O669" s="464"/>
      <c r="P669" s="464"/>
      <c r="Q669" s="444"/>
      <c r="R669" s="444"/>
      <c r="S669" s="444"/>
      <c r="T669" s="444"/>
      <c r="U669" s="444"/>
      <c r="V669" s="444"/>
      <c r="W669" s="444"/>
    </row>
    <row r="670" spans="1:23" ht="15.75">
      <c r="A670" s="463"/>
      <c r="B670" s="464"/>
      <c r="C670" s="464"/>
      <c r="D670" s="464"/>
      <c r="E670" s="464"/>
      <c r="F670" s="464"/>
      <c r="G670" s="464"/>
      <c r="H670" s="464"/>
      <c r="I670" s="464"/>
      <c r="J670" s="464"/>
      <c r="K670" s="464"/>
      <c r="L670" s="464"/>
      <c r="M670" s="465"/>
      <c r="N670" s="464"/>
      <c r="O670" s="464"/>
      <c r="P670" s="464"/>
      <c r="Q670" s="444"/>
      <c r="R670" s="444"/>
      <c r="S670" s="444"/>
      <c r="T670" s="444"/>
      <c r="U670" s="444"/>
      <c r="V670" s="444"/>
      <c r="W670" s="444"/>
    </row>
    <row r="671" spans="1:23" ht="15.75">
      <c r="A671" s="463"/>
      <c r="B671" s="464"/>
      <c r="C671" s="464"/>
      <c r="D671" s="464"/>
      <c r="E671" s="464"/>
      <c r="F671" s="464"/>
      <c r="G671" s="464"/>
      <c r="H671" s="464"/>
      <c r="I671" s="464"/>
      <c r="J671" s="464"/>
      <c r="K671" s="464"/>
      <c r="L671" s="464"/>
      <c r="M671" s="465"/>
      <c r="N671" s="464"/>
      <c r="O671" s="464"/>
      <c r="P671" s="464"/>
      <c r="Q671" s="444"/>
      <c r="R671" s="444"/>
      <c r="S671" s="444"/>
      <c r="T671" s="444"/>
      <c r="U671" s="444"/>
      <c r="V671" s="444"/>
      <c r="W671" s="444"/>
    </row>
    <row r="672" spans="1:23" ht="15.75">
      <c r="A672" s="463"/>
      <c r="B672" s="464"/>
      <c r="C672" s="464"/>
      <c r="D672" s="464"/>
      <c r="E672" s="464"/>
      <c r="F672" s="464"/>
      <c r="G672" s="464"/>
      <c r="H672" s="464"/>
      <c r="I672" s="464"/>
      <c r="J672" s="464"/>
      <c r="K672" s="464"/>
      <c r="L672" s="464"/>
      <c r="M672" s="465"/>
      <c r="N672" s="464"/>
      <c r="O672" s="464"/>
      <c r="P672" s="464"/>
      <c r="Q672" s="444"/>
      <c r="R672" s="444"/>
      <c r="S672" s="444"/>
      <c r="T672" s="444"/>
      <c r="U672" s="444"/>
      <c r="V672" s="444"/>
      <c r="W672" s="444"/>
    </row>
    <row r="673" spans="1:23" ht="15.75">
      <c r="A673" s="463"/>
      <c r="B673" s="464"/>
      <c r="C673" s="464"/>
      <c r="D673" s="464"/>
      <c r="E673" s="464"/>
      <c r="F673" s="464"/>
      <c r="G673" s="464"/>
      <c r="H673" s="464"/>
      <c r="I673" s="464"/>
      <c r="J673" s="464"/>
      <c r="K673" s="464"/>
      <c r="L673" s="464"/>
      <c r="M673" s="465"/>
      <c r="N673" s="464"/>
      <c r="O673" s="464"/>
      <c r="P673" s="464"/>
      <c r="Q673" s="444"/>
      <c r="R673" s="444"/>
      <c r="S673" s="444"/>
      <c r="T673" s="444"/>
      <c r="U673" s="444"/>
      <c r="V673" s="444"/>
      <c r="W673" s="444"/>
    </row>
    <row r="674" spans="1:23" ht="15.75">
      <c r="A674" s="463"/>
      <c r="B674" s="464"/>
      <c r="C674" s="464"/>
      <c r="D674" s="464"/>
      <c r="E674" s="464"/>
      <c r="F674" s="464"/>
      <c r="G674" s="464"/>
      <c r="H674" s="464"/>
      <c r="I674" s="464"/>
      <c r="J674" s="464"/>
      <c r="K674" s="464"/>
      <c r="L674" s="464"/>
      <c r="M674" s="465"/>
      <c r="N674" s="464"/>
      <c r="O674" s="464"/>
      <c r="P674" s="464"/>
      <c r="Q674" s="444"/>
      <c r="R674" s="444"/>
      <c r="S674" s="444"/>
      <c r="T674" s="444"/>
      <c r="U674" s="444"/>
      <c r="V674" s="444"/>
      <c r="W674" s="444"/>
    </row>
    <row r="675" spans="1:23" ht="15.75">
      <c r="A675" s="463"/>
      <c r="B675" s="464"/>
      <c r="C675" s="464"/>
      <c r="D675" s="464"/>
      <c r="E675" s="464"/>
      <c r="F675" s="464"/>
      <c r="G675" s="464"/>
      <c r="H675" s="464"/>
      <c r="I675" s="464"/>
      <c r="J675" s="464"/>
      <c r="K675" s="464"/>
      <c r="L675" s="464"/>
      <c r="M675" s="465"/>
      <c r="N675" s="464"/>
      <c r="O675" s="464"/>
      <c r="P675" s="464"/>
      <c r="Q675" s="444"/>
      <c r="R675" s="444"/>
      <c r="S675" s="444"/>
      <c r="T675" s="444"/>
      <c r="U675" s="444"/>
      <c r="V675" s="444"/>
      <c r="W675" s="444"/>
    </row>
    <row r="676" spans="1:23" ht="15.75">
      <c r="A676" s="463"/>
      <c r="B676" s="464"/>
      <c r="C676" s="464"/>
      <c r="D676" s="464"/>
      <c r="E676" s="464"/>
      <c r="F676" s="464"/>
      <c r="G676" s="464"/>
      <c r="H676" s="464"/>
      <c r="I676" s="464"/>
      <c r="J676" s="464"/>
      <c r="K676" s="464"/>
      <c r="L676" s="464"/>
      <c r="M676" s="465"/>
      <c r="N676" s="464"/>
      <c r="O676" s="464"/>
      <c r="P676" s="464"/>
      <c r="Q676" s="444"/>
      <c r="R676" s="444"/>
      <c r="S676" s="444"/>
      <c r="T676" s="444"/>
      <c r="U676" s="444"/>
      <c r="V676" s="444"/>
      <c r="W676" s="444"/>
    </row>
    <row r="677" spans="1:23" ht="15.75">
      <c r="A677" s="463"/>
      <c r="B677" s="464"/>
      <c r="C677" s="464"/>
      <c r="D677" s="464"/>
      <c r="E677" s="464"/>
      <c r="F677" s="464"/>
      <c r="G677" s="464"/>
      <c r="H677" s="464"/>
      <c r="I677" s="464"/>
      <c r="J677" s="464"/>
      <c r="K677" s="464"/>
      <c r="L677" s="464"/>
      <c r="M677" s="465"/>
      <c r="N677" s="464"/>
      <c r="O677" s="464"/>
      <c r="P677" s="464"/>
      <c r="Q677" s="444"/>
      <c r="R677" s="444"/>
      <c r="S677" s="444"/>
      <c r="T677" s="444"/>
      <c r="U677" s="444"/>
      <c r="V677" s="444"/>
      <c r="W677" s="444"/>
    </row>
    <row r="678" spans="1:23" ht="15.75">
      <c r="A678" s="463"/>
      <c r="B678" s="464"/>
      <c r="C678" s="464"/>
      <c r="D678" s="464"/>
      <c r="E678" s="464"/>
      <c r="F678" s="464"/>
      <c r="G678" s="464"/>
      <c r="H678" s="464"/>
      <c r="I678" s="464"/>
      <c r="J678" s="464"/>
      <c r="K678" s="464"/>
      <c r="L678" s="464"/>
      <c r="M678" s="465"/>
      <c r="N678" s="464"/>
      <c r="O678" s="464"/>
      <c r="P678" s="464"/>
      <c r="Q678" s="444"/>
      <c r="R678" s="444"/>
      <c r="S678" s="444"/>
      <c r="T678" s="444"/>
      <c r="U678" s="444"/>
      <c r="V678" s="444"/>
      <c r="W678" s="444"/>
    </row>
    <row r="679" spans="1:23" ht="15.75">
      <c r="A679" s="463"/>
      <c r="B679" s="464"/>
      <c r="C679" s="464"/>
      <c r="D679" s="464"/>
      <c r="E679" s="464"/>
      <c r="F679" s="464"/>
      <c r="G679" s="464"/>
      <c r="H679" s="464"/>
      <c r="I679" s="464"/>
      <c r="J679" s="464"/>
      <c r="K679" s="464"/>
      <c r="L679" s="464"/>
      <c r="M679" s="465"/>
      <c r="N679" s="464"/>
      <c r="O679" s="464"/>
      <c r="P679" s="464"/>
      <c r="Q679" s="444"/>
      <c r="R679" s="444"/>
      <c r="S679" s="444"/>
      <c r="T679" s="444"/>
      <c r="U679" s="444"/>
      <c r="V679" s="444"/>
      <c r="W679" s="444"/>
    </row>
    <row r="680" spans="1:23" ht="15.75">
      <c r="A680" s="463"/>
      <c r="B680" s="464"/>
      <c r="C680" s="464"/>
      <c r="D680" s="464"/>
      <c r="E680" s="464"/>
      <c r="F680" s="464"/>
      <c r="G680" s="464"/>
      <c r="H680" s="464"/>
      <c r="I680" s="464"/>
      <c r="J680" s="464"/>
      <c r="K680" s="464"/>
      <c r="L680" s="464"/>
      <c r="M680" s="465"/>
      <c r="N680" s="464"/>
      <c r="O680" s="464"/>
      <c r="P680" s="464"/>
      <c r="Q680" s="444"/>
      <c r="R680" s="444"/>
      <c r="S680" s="444"/>
      <c r="T680" s="444"/>
      <c r="U680" s="444"/>
      <c r="V680" s="444"/>
      <c r="W680" s="444"/>
    </row>
    <row r="681" spans="1:23" ht="15.75">
      <c r="A681" s="463"/>
      <c r="B681" s="464"/>
      <c r="C681" s="464"/>
      <c r="D681" s="464"/>
      <c r="E681" s="464"/>
      <c r="F681" s="464"/>
      <c r="G681" s="464"/>
      <c r="H681" s="464"/>
      <c r="I681" s="464"/>
      <c r="J681" s="464"/>
      <c r="K681" s="464"/>
      <c r="L681" s="464"/>
      <c r="M681" s="465"/>
      <c r="N681" s="464"/>
      <c r="O681" s="464"/>
      <c r="P681" s="464"/>
      <c r="Q681" s="444"/>
      <c r="R681" s="444"/>
      <c r="S681" s="444"/>
      <c r="T681" s="444"/>
      <c r="U681" s="444"/>
      <c r="V681" s="444"/>
      <c r="W681" s="444"/>
    </row>
    <row r="682" spans="1:23" ht="15.75">
      <c r="A682" s="463"/>
      <c r="B682" s="464"/>
      <c r="C682" s="464"/>
      <c r="D682" s="464"/>
      <c r="E682" s="464"/>
      <c r="F682" s="464"/>
      <c r="G682" s="464"/>
      <c r="H682" s="464"/>
      <c r="I682" s="464"/>
      <c r="J682" s="464"/>
      <c r="K682" s="464"/>
      <c r="L682" s="464"/>
      <c r="M682" s="465"/>
      <c r="N682" s="464"/>
      <c r="O682" s="464"/>
      <c r="P682" s="464"/>
      <c r="Q682" s="444"/>
      <c r="R682" s="444"/>
      <c r="S682" s="444"/>
      <c r="T682" s="444"/>
      <c r="U682" s="444"/>
      <c r="V682" s="444"/>
      <c r="W682" s="444"/>
    </row>
    <row r="683" spans="1:23" ht="15.75">
      <c r="A683" s="463"/>
      <c r="B683" s="464"/>
      <c r="C683" s="464"/>
      <c r="D683" s="464"/>
      <c r="E683" s="464"/>
      <c r="F683" s="464"/>
      <c r="G683" s="464"/>
      <c r="H683" s="464"/>
      <c r="I683" s="464"/>
      <c r="J683" s="464"/>
      <c r="K683" s="464"/>
      <c r="L683" s="464"/>
      <c r="M683" s="465"/>
      <c r="N683" s="464"/>
      <c r="O683" s="464"/>
      <c r="P683" s="464"/>
      <c r="Q683" s="444"/>
      <c r="R683" s="444"/>
      <c r="S683" s="444"/>
      <c r="T683" s="444"/>
      <c r="U683" s="444"/>
      <c r="V683" s="444"/>
      <c r="W683" s="444"/>
    </row>
    <row r="684" spans="1:23" ht="15.75">
      <c r="A684" s="463"/>
      <c r="B684" s="464"/>
      <c r="C684" s="464"/>
      <c r="D684" s="464"/>
      <c r="E684" s="464"/>
      <c r="F684" s="464"/>
      <c r="G684" s="464"/>
      <c r="H684" s="464"/>
      <c r="I684" s="464"/>
      <c r="J684" s="464"/>
      <c r="K684" s="464"/>
      <c r="L684" s="464"/>
      <c r="M684" s="465"/>
      <c r="N684" s="464"/>
      <c r="O684" s="464"/>
      <c r="P684" s="464"/>
      <c r="Q684" s="444"/>
      <c r="R684" s="444"/>
      <c r="S684" s="444"/>
      <c r="T684" s="444"/>
      <c r="U684" s="444"/>
      <c r="V684" s="444"/>
      <c r="W684" s="444"/>
    </row>
    <row r="685" spans="1:23" ht="15.75">
      <c r="A685" s="463"/>
      <c r="B685" s="464"/>
      <c r="C685" s="464"/>
      <c r="D685" s="464"/>
      <c r="E685" s="464"/>
      <c r="F685" s="464"/>
      <c r="G685" s="464"/>
      <c r="H685" s="464"/>
      <c r="I685" s="464"/>
      <c r="J685" s="464"/>
      <c r="K685" s="464"/>
      <c r="L685" s="464"/>
      <c r="M685" s="465"/>
      <c r="N685" s="464"/>
      <c r="O685" s="464"/>
      <c r="P685" s="464"/>
      <c r="Q685" s="444"/>
      <c r="R685" s="444"/>
      <c r="S685" s="444"/>
      <c r="T685" s="444"/>
      <c r="U685" s="444"/>
      <c r="V685" s="444"/>
      <c r="W685" s="444"/>
    </row>
    <row r="686" spans="1:23" ht="15.75">
      <c r="A686" s="463"/>
      <c r="B686" s="464"/>
      <c r="C686" s="464"/>
      <c r="D686" s="464"/>
      <c r="E686" s="464"/>
      <c r="F686" s="464"/>
      <c r="G686" s="464"/>
      <c r="H686" s="464"/>
      <c r="I686" s="464"/>
      <c r="J686" s="464"/>
      <c r="K686" s="464"/>
      <c r="L686" s="464"/>
      <c r="M686" s="465"/>
      <c r="N686" s="464"/>
      <c r="O686" s="464"/>
      <c r="P686" s="464"/>
      <c r="Q686" s="444"/>
      <c r="R686" s="444"/>
      <c r="S686" s="444"/>
      <c r="T686" s="444"/>
      <c r="U686" s="444"/>
      <c r="V686" s="444"/>
      <c r="W686" s="444"/>
    </row>
    <row r="687" spans="1:23" ht="15.75">
      <c r="A687" s="463"/>
      <c r="B687" s="464"/>
      <c r="C687" s="464"/>
      <c r="D687" s="464"/>
      <c r="E687" s="464"/>
      <c r="F687" s="464"/>
      <c r="G687" s="464"/>
      <c r="H687" s="464"/>
      <c r="I687" s="464"/>
      <c r="J687" s="464"/>
      <c r="K687" s="464"/>
      <c r="L687" s="464"/>
      <c r="M687" s="465"/>
      <c r="N687" s="464"/>
      <c r="O687" s="464"/>
      <c r="P687" s="464"/>
      <c r="Q687" s="444"/>
      <c r="R687" s="444"/>
      <c r="S687" s="444"/>
      <c r="T687" s="444"/>
      <c r="U687" s="444"/>
      <c r="V687" s="444"/>
      <c r="W687" s="444"/>
    </row>
    <row r="688" spans="1:23" ht="15.75">
      <c r="A688" s="463"/>
      <c r="B688" s="464"/>
      <c r="C688" s="464"/>
      <c r="D688" s="464"/>
      <c r="E688" s="464"/>
      <c r="F688" s="464"/>
      <c r="G688" s="464"/>
      <c r="H688" s="464"/>
      <c r="I688" s="464"/>
      <c r="J688" s="464"/>
      <c r="K688" s="464"/>
      <c r="L688" s="464"/>
      <c r="M688" s="465"/>
      <c r="N688" s="464"/>
      <c r="O688" s="464"/>
      <c r="P688" s="464"/>
      <c r="Q688" s="444"/>
      <c r="R688" s="444"/>
      <c r="S688" s="444"/>
      <c r="T688" s="444"/>
      <c r="U688" s="444"/>
      <c r="V688" s="444"/>
      <c r="W688" s="444"/>
    </row>
    <row r="689" spans="1:23" ht="15.75">
      <c r="A689" s="463"/>
      <c r="B689" s="464"/>
      <c r="C689" s="464"/>
      <c r="D689" s="464"/>
      <c r="E689" s="464"/>
      <c r="F689" s="464"/>
      <c r="G689" s="464"/>
      <c r="H689" s="464"/>
      <c r="I689" s="464"/>
      <c r="J689" s="464"/>
      <c r="K689" s="464"/>
      <c r="L689" s="464"/>
      <c r="M689" s="465"/>
      <c r="N689" s="464"/>
      <c r="O689" s="464"/>
      <c r="P689" s="464"/>
      <c r="Q689" s="444"/>
      <c r="R689" s="444"/>
      <c r="S689" s="444"/>
      <c r="T689" s="444"/>
      <c r="U689" s="444"/>
      <c r="V689" s="444"/>
      <c r="W689" s="444"/>
    </row>
    <row r="690" spans="1:23" ht="15.75">
      <c r="A690" s="463"/>
      <c r="B690" s="464"/>
      <c r="C690" s="464"/>
      <c r="D690" s="464"/>
      <c r="E690" s="464"/>
      <c r="F690" s="464"/>
      <c r="G690" s="464"/>
      <c r="H690" s="464"/>
      <c r="I690" s="464"/>
      <c r="J690" s="464"/>
      <c r="K690" s="464"/>
      <c r="L690" s="464"/>
      <c r="M690" s="465"/>
      <c r="N690" s="464"/>
      <c r="O690" s="464"/>
      <c r="P690" s="464"/>
      <c r="Q690" s="444"/>
      <c r="R690" s="444"/>
      <c r="S690" s="444"/>
      <c r="T690" s="444"/>
      <c r="U690" s="444"/>
      <c r="V690" s="444"/>
      <c r="W690" s="444"/>
    </row>
    <row r="691" spans="1:23" ht="15.75">
      <c r="A691" s="463"/>
      <c r="B691" s="464"/>
      <c r="C691" s="464"/>
      <c r="D691" s="464"/>
      <c r="E691" s="464"/>
      <c r="F691" s="464"/>
      <c r="G691" s="464"/>
      <c r="H691" s="464"/>
      <c r="I691" s="464"/>
      <c r="J691" s="464"/>
      <c r="K691" s="464"/>
      <c r="L691" s="464"/>
      <c r="M691" s="465"/>
      <c r="N691" s="464"/>
      <c r="O691" s="464"/>
      <c r="P691" s="464"/>
      <c r="Q691" s="444"/>
      <c r="R691" s="444"/>
      <c r="S691" s="444"/>
      <c r="T691" s="444"/>
      <c r="U691" s="444"/>
      <c r="V691" s="444"/>
      <c r="W691" s="444"/>
    </row>
    <row r="692" spans="1:23" ht="15.75">
      <c r="A692" s="463"/>
      <c r="B692" s="464"/>
      <c r="C692" s="464"/>
      <c r="D692" s="464"/>
      <c r="E692" s="464"/>
      <c r="F692" s="464"/>
      <c r="G692" s="464"/>
      <c r="H692" s="464"/>
      <c r="I692" s="464"/>
      <c r="J692" s="464"/>
      <c r="K692" s="464"/>
      <c r="L692" s="464"/>
      <c r="M692" s="465"/>
      <c r="N692" s="464"/>
      <c r="O692" s="464"/>
      <c r="P692" s="464"/>
      <c r="Q692" s="444"/>
      <c r="R692" s="444"/>
      <c r="S692" s="444"/>
      <c r="T692" s="444"/>
      <c r="U692" s="444"/>
      <c r="V692" s="444"/>
      <c r="W692" s="444"/>
    </row>
    <row r="693" spans="1:23" ht="15.75">
      <c r="A693" s="463"/>
      <c r="B693" s="464"/>
      <c r="C693" s="464"/>
      <c r="D693" s="464"/>
      <c r="E693" s="464"/>
      <c r="F693" s="464"/>
      <c r="G693" s="464"/>
      <c r="H693" s="464"/>
      <c r="I693" s="464"/>
      <c r="J693" s="464"/>
      <c r="K693" s="464"/>
      <c r="L693" s="464"/>
      <c r="M693" s="465"/>
      <c r="N693" s="464"/>
      <c r="O693" s="464"/>
      <c r="P693" s="464"/>
      <c r="Q693" s="444"/>
      <c r="R693" s="444"/>
      <c r="S693" s="444"/>
      <c r="T693" s="444"/>
      <c r="U693" s="444"/>
      <c r="V693" s="444"/>
      <c r="W693" s="444"/>
    </row>
    <row r="694" spans="1:23" ht="15.75">
      <c r="A694" s="463"/>
      <c r="B694" s="464"/>
      <c r="C694" s="464"/>
      <c r="D694" s="464"/>
      <c r="E694" s="464"/>
      <c r="F694" s="464"/>
      <c r="G694" s="464"/>
      <c r="H694" s="464"/>
      <c r="I694" s="464"/>
      <c r="J694" s="464"/>
      <c r="K694" s="464"/>
      <c r="L694" s="464"/>
      <c r="M694" s="465"/>
      <c r="N694" s="464"/>
      <c r="O694" s="464"/>
      <c r="P694" s="464"/>
      <c r="Q694" s="444"/>
      <c r="R694" s="444"/>
      <c r="S694" s="444"/>
      <c r="T694" s="444"/>
      <c r="U694" s="444"/>
      <c r="V694" s="444"/>
      <c r="W694" s="444"/>
    </row>
    <row r="695" spans="1:23" ht="15.75">
      <c r="A695" s="463"/>
      <c r="B695" s="464"/>
      <c r="C695" s="464"/>
      <c r="D695" s="464"/>
      <c r="E695" s="464"/>
      <c r="F695" s="464"/>
      <c r="G695" s="464"/>
      <c r="H695" s="464"/>
      <c r="I695" s="464"/>
      <c r="J695" s="464"/>
      <c r="K695" s="464"/>
      <c r="L695" s="464"/>
      <c r="M695" s="465"/>
      <c r="N695" s="464"/>
      <c r="O695" s="464"/>
      <c r="P695" s="464"/>
      <c r="Q695" s="444"/>
      <c r="R695" s="444"/>
      <c r="S695" s="444"/>
      <c r="T695" s="444"/>
      <c r="U695" s="444"/>
      <c r="V695" s="444"/>
      <c r="W695" s="444"/>
    </row>
    <row r="696" spans="1:23" ht="15.75">
      <c r="A696" s="463"/>
      <c r="B696" s="464"/>
      <c r="C696" s="464"/>
      <c r="D696" s="464"/>
      <c r="E696" s="464"/>
      <c r="F696" s="464"/>
      <c r="G696" s="464"/>
      <c r="H696" s="464"/>
      <c r="I696" s="464"/>
      <c r="J696" s="464"/>
      <c r="K696" s="464"/>
      <c r="L696" s="464"/>
      <c r="M696" s="465"/>
      <c r="N696" s="464"/>
      <c r="O696" s="464"/>
      <c r="P696" s="464"/>
      <c r="Q696" s="444"/>
      <c r="R696" s="444"/>
      <c r="S696" s="444"/>
      <c r="T696" s="444"/>
      <c r="U696" s="444"/>
      <c r="V696" s="444"/>
      <c r="W696" s="444"/>
    </row>
    <row r="697" spans="1:23" ht="15.75">
      <c r="A697" s="463"/>
      <c r="B697" s="464"/>
      <c r="C697" s="464"/>
      <c r="D697" s="464"/>
      <c r="E697" s="464"/>
      <c r="F697" s="464"/>
      <c r="G697" s="464"/>
      <c r="H697" s="464"/>
      <c r="I697" s="464"/>
      <c r="J697" s="464"/>
      <c r="K697" s="464"/>
      <c r="L697" s="464"/>
      <c r="M697" s="465"/>
      <c r="N697" s="464"/>
      <c r="O697" s="464"/>
      <c r="P697" s="464"/>
      <c r="Q697" s="444"/>
      <c r="R697" s="444"/>
      <c r="S697" s="444"/>
      <c r="T697" s="444"/>
      <c r="U697" s="444"/>
      <c r="V697" s="444"/>
      <c r="W697" s="444"/>
    </row>
    <row r="698" spans="1:23" ht="15.75">
      <c r="A698" s="463"/>
      <c r="B698" s="464"/>
      <c r="C698" s="464"/>
      <c r="D698" s="464"/>
      <c r="E698" s="464"/>
      <c r="F698" s="464"/>
      <c r="G698" s="464"/>
      <c r="H698" s="464"/>
      <c r="I698" s="464"/>
      <c r="J698" s="464"/>
      <c r="K698" s="464"/>
      <c r="L698" s="464"/>
      <c r="M698" s="465"/>
      <c r="N698" s="464"/>
      <c r="O698" s="464"/>
      <c r="P698" s="464"/>
      <c r="Q698" s="444"/>
      <c r="R698" s="444"/>
      <c r="S698" s="444"/>
      <c r="T698" s="444"/>
      <c r="U698" s="444"/>
      <c r="V698" s="444"/>
      <c r="W698" s="444"/>
    </row>
    <row r="699" spans="1:23" ht="15.75">
      <c r="A699" s="463"/>
      <c r="B699" s="464"/>
      <c r="C699" s="464"/>
      <c r="D699" s="464"/>
      <c r="E699" s="464"/>
      <c r="F699" s="464"/>
      <c r="G699" s="464"/>
      <c r="H699" s="464"/>
      <c r="I699" s="464"/>
      <c r="J699" s="464"/>
      <c r="K699" s="464"/>
      <c r="L699" s="464"/>
      <c r="M699" s="465"/>
      <c r="N699" s="464"/>
      <c r="O699" s="464"/>
      <c r="P699" s="464"/>
      <c r="Q699" s="444"/>
      <c r="R699" s="444"/>
      <c r="S699" s="444"/>
      <c r="T699" s="444"/>
      <c r="U699" s="444"/>
      <c r="V699" s="444"/>
      <c r="W699" s="444"/>
    </row>
    <row r="700" spans="1:23" ht="15.75">
      <c r="A700" s="463"/>
      <c r="B700" s="464"/>
      <c r="C700" s="464"/>
      <c r="D700" s="464"/>
      <c r="E700" s="464"/>
      <c r="F700" s="464"/>
      <c r="G700" s="464"/>
      <c r="H700" s="464"/>
      <c r="I700" s="464"/>
      <c r="J700" s="464"/>
      <c r="K700" s="464"/>
      <c r="L700" s="464"/>
      <c r="M700" s="465"/>
      <c r="N700" s="464"/>
      <c r="O700" s="464"/>
      <c r="P700" s="464"/>
      <c r="Q700" s="444"/>
      <c r="R700" s="444"/>
      <c r="S700" s="444"/>
      <c r="T700" s="444"/>
      <c r="U700" s="444"/>
      <c r="V700" s="444"/>
      <c r="W700" s="444"/>
    </row>
    <row r="701" spans="1:23" ht="15.75">
      <c r="A701" s="463"/>
      <c r="B701" s="464"/>
      <c r="C701" s="464"/>
      <c r="D701" s="464"/>
      <c r="E701" s="464"/>
      <c r="F701" s="464"/>
      <c r="G701" s="464"/>
      <c r="H701" s="464"/>
      <c r="I701" s="464"/>
      <c r="J701" s="464"/>
      <c r="K701" s="464"/>
      <c r="L701" s="464"/>
      <c r="M701" s="465"/>
      <c r="N701" s="464"/>
      <c r="O701" s="464"/>
      <c r="P701" s="464"/>
      <c r="Q701" s="444"/>
      <c r="R701" s="444"/>
      <c r="S701" s="444"/>
      <c r="T701" s="444"/>
      <c r="U701" s="444"/>
      <c r="V701" s="444"/>
      <c r="W701" s="444"/>
    </row>
    <row r="702" spans="1:23" ht="15.75">
      <c r="A702" s="463"/>
      <c r="B702" s="464"/>
      <c r="C702" s="464"/>
      <c r="D702" s="464"/>
      <c r="E702" s="464"/>
      <c r="F702" s="464"/>
      <c r="G702" s="464"/>
      <c r="H702" s="464"/>
      <c r="I702" s="464"/>
      <c r="J702" s="464"/>
      <c r="K702" s="464"/>
      <c r="L702" s="464"/>
      <c r="M702" s="465"/>
      <c r="N702" s="464"/>
      <c r="O702" s="464"/>
      <c r="P702" s="464"/>
      <c r="Q702" s="444"/>
      <c r="R702" s="444"/>
      <c r="S702" s="444"/>
      <c r="T702" s="444"/>
      <c r="U702" s="444"/>
      <c r="V702" s="444"/>
      <c r="W702" s="444"/>
    </row>
    <row r="703" spans="1:23" ht="15.75">
      <c r="A703" s="463"/>
      <c r="B703" s="464"/>
      <c r="C703" s="464"/>
      <c r="D703" s="464"/>
      <c r="E703" s="464"/>
      <c r="F703" s="464"/>
      <c r="G703" s="464"/>
      <c r="H703" s="464"/>
      <c r="I703" s="464"/>
      <c r="J703" s="464"/>
      <c r="K703" s="464"/>
      <c r="L703" s="464"/>
      <c r="M703" s="465"/>
      <c r="N703" s="464"/>
      <c r="O703" s="464"/>
      <c r="P703" s="464"/>
      <c r="Q703" s="444"/>
      <c r="R703" s="444"/>
      <c r="S703" s="444"/>
      <c r="T703" s="444"/>
      <c r="U703" s="444"/>
      <c r="V703" s="444"/>
      <c r="W703" s="444"/>
    </row>
    <row r="704" spans="1:23" ht="15.75">
      <c r="A704" s="463"/>
      <c r="B704" s="464"/>
      <c r="C704" s="464"/>
      <c r="D704" s="464"/>
      <c r="E704" s="464"/>
      <c r="F704" s="464"/>
      <c r="G704" s="464"/>
      <c r="H704" s="464"/>
      <c r="I704" s="464"/>
      <c r="J704" s="464"/>
      <c r="K704" s="464"/>
      <c r="L704" s="464"/>
      <c r="M704" s="465"/>
      <c r="N704" s="464"/>
      <c r="O704" s="464"/>
      <c r="P704" s="464"/>
      <c r="Q704" s="444"/>
      <c r="R704" s="444"/>
      <c r="S704" s="444"/>
      <c r="T704" s="444"/>
      <c r="U704" s="444"/>
      <c r="V704" s="444"/>
      <c r="W704" s="444"/>
    </row>
    <row r="705" spans="1:23" ht="15.75">
      <c r="A705" s="463"/>
      <c r="B705" s="464"/>
      <c r="C705" s="464"/>
      <c r="D705" s="464"/>
      <c r="E705" s="464"/>
      <c r="F705" s="464"/>
      <c r="G705" s="464"/>
      <c r="H705" s="464"/>
      <c r="I705" s="464"/>
      <c r="J705" s="464"/>
      <c r="K705" s="464"/>
      <c r="L705" s="464"/>
      <c r="M705" s="465"/>
      <c r="N705" s="464"/>
      <c r="O705" s="464"/>
      <c r="P705" s="464"/>
      <c r="Q705" s="444"/>
      <c r="R705" s="444"/>
      <c r="S705" s="444"/>
      <c r="T705" s="444"/>
      <c r="U705" s="444"/>
      <c r="V705" s="444"/>
      <c r="W705" s="444"/>
    </row>
    <row r="706" spans="1:23" ht="15.75">
      <c r="A706" s="463"/>
      <c r="B706" s="464"/>
      <c r="C706" s="464"/>
      <c r="D706" s="464"/>
      <c r="E706" s="464"/>
      <c r="F706" s="464"/>
      <c r="G706" s="464"/>
      <c r="H706" s="464"/>
      <c r="I706" s="464"/>
      <c r="J706" s="464"/>
      <c r="K706" s="464"/>
      <c r="L706" s="464"/>
      <c r="M706" s="465"/>
      <c r="N706" s="464"/>
      <c r="O706" s="464"/>
      <c r="P706" s="464"/>
      <c r="Q706" s="444"/>
      <c r="R706" s="444"/>
      <c r="S706" s="444"/>
      <c r="T706" s="444"/>
      <c r="U706" s="444"/>
      <c r="V706" s="444"/>
      <c r="W706" s="444"/>
    </row>
    <row r="707" spans="1:23" ht="15.75">
      <c r="A707" s="463"/>
      <c r="B707" s="464"/>
      <c r="C707" s="464"/>
      <c r="D707" s="464"/>
      <c r="E707" s="464"/>
      <c r="F707" s="464"/>
      <c r="G707" s="464"/>
      <c r="H707" s="464"/>
      <c r="I707" s="464"/>
      <c r="J707" s="464"/>
      <c r="K707" s="464"/>
      <c r="L707" s="464"/>
      <c r="M707" s="465"/>
      <c r="N707" s="464"/>
      <c r="O707" s="464"/>
      <c r="P707" s="464"/>
      <c r="Q707" s="444"/>
      <c r="R707" s="444"/>
      <c r="S707" s="444"/>
      <c r="T707" s="444"/>
      <c r="U707" s="444"/>
      <c r="V707" s="444"/>
      <c r="W707" s="444"/>
    </row>
    <row r="708" spans="1:23" ht="15.75">
      <c r="A708" s="463"/>
      <c r="B708" s="464"/>
      <c r="C708" s="464"/>
      <c r="D708" s="464"/>
      <c r="E708" s="464"/>
      <c r="F708" s="464"/>
      <c r="G708" s="464"/>
      <c r="H708" s="464"/>
      <c r="I708" s="464"/>
      <c r="J708" s="464"/>
      <c r="K708" s="464"/>
      <c r="L708" s="464"/>
      <c r="M708" s="465"/>
      <c r="N708" s="464"/>
      <c r="O708" s="464"/>
      <c r="P708" s="464"/>
      <c r="Q708" s="444"/>
      <c r="R708" s="444"/>
      <c r="S708" s="444"/>
      <c r="T708" s="444"/>
      <c r="U708" s="444"/>
      <c r="V708" s="444"/>
      <c r="W708" s="444"/>
    </row>
    <row r="709" spans="1:23" ht="15.75">
      <c r="A709" s="463"/>
      <c r="B709" s="464"/>
      <c r="C709" s="464"/>
      <c r="D709" s="464"/>
      <c r="E709" s="464"/>
      <c r="F709" s="464"/>
      <c r="G709" s="464"/>
      <c r="H709" s="464"/>
      <c r="I709" s="464"/>
      <c r="J709" s="464"/>
      <c r="K709" s="464"/>
      <c r="L709" s="464"/>
      <c r="M709" s="465"/>
      <c r="N709" s="464"/>
      <c r="O709" s="464"/>
      <c r="P709" s="464"/>
      <c r="Q709" s="444"/>
      <c r="R709" s="444"/>
      <c r="S709" s="444"/>
      <c r="T709" s="444"/>
      <c r="U709" s="444"/>
      <c r="V709" s="444"/>
      <c r="W709" s="444"/>
    </row>
    <row r="710" spans="1:23" ht="15.75">
      <c r="A710" s="463"/>
      <c r="B710" s="464"/>
      <c r="C710" s="464"/>
      <c r="D710" s="464"/>
      <c r="E710" s="464"/>
      <c r="F710" s="464"/>
      <c r="G710" s="464"/>
      <c r="H710" s="464"/>
      <c r="I710" s="464"/>
      <c r="J710" s="464"/>
      <c r="K710" s="464"/>
      <c r="L710" s="464"/>
      <c r="M710" s="465"/>
      <c r="N710" s="464"/>
      <c r="O710" s="464"/>
      <c r="P710" s="464"/>
      <c r="Q710" s="444"/>
      <c r="R710" s="444"/>
      <c r="S710" s="444"/>
      <c r="T710" s="444"/>
      <c r="U710" s="444"/>
      <c r="V710" s="444"/>
      <c r="W710" s="444"/>
    </row>
    <row r="711" spans="1:23" ht="15.75">
      <c r="A711" s="463"/>
      <c r="B711" s="464"/>
      <c r="C711" s="464"/>
      <c r="D711" s="464"/>
      <c r="E711" s="464"/>
      <c r="F711" s="464"/>
      <c r="G711" s="464"/>
      <c r="H711" s="464"/>
      <c r="I711" s="464"/>
      <c r="J711" s="464"/>
      <c r="K711" s="464"/>
      <c r="L711" s="464"/>
      <c r="M711" s="465"/>
      <c r="N711" s="464"/>
      <c r="O711" s="464"/>
      <c r="P711" s="464"/>
      <c r="Q711" s="444"/>
      <c r="R711" s="444"/>
      <c r="S711" s="444"/>
      <c r="T711" s="444"/>
      <c r="U711" s="444"/>
      <c r="V711" s="444"/>
      <c r="W711" s="444"/>
    </row>
    <row r="712" spans="1:23" ht="15.75">
      <c r="A712" s="463"/>
      <c r="B712" s="464"/>
      <c r="C712" s="464"/>
      <c r="D712" s="464"/>
      <c r="E712" s="464"/>
      <c r="F712" s="464"/>
      <c r="G712" s="464"/>
      <c r="H712" s="464"/>
      <c r="I712" s="464"/>
      <c r="J712" s="464"/>
      <c r="K712" s="464"/>
      <c r="L712" s="464"/>
      <c r="M712" s="465"/>
      <c r="N712" s="464"/>
      <c r="O712" s="464"/>
      <c r="P712" s="464"/>
      <c r="Q712" s="444"/>
      <c r="R712" s="444"/>
      <c r="S712" s="444"/>
      <c r="T712" s="444"/>
      <c r="U712" s="444"/>
      <c r="V712" s="444"/>
      <c r="W712" s="444"/>
    </row>
    <row r="713" spans="1:23" ht="15.75">
      <c r="A713" s="463"/>
      <c r="B713" s="464"/>
      <c r="C713" s="464"/>
      <c r="D713" s="464"/>
      <c r="E713" s="464"/>
      <c r="F713" s="464"/>
      <c r="G713" s="464"/>
      <c r="H713" s="464"/>
      <c r="I713" s="464"/>
      <c r="J713" s="464"/>
      <c r="K713" s="464"/>
      <c r="L713" s="464"/>
      <c r="M713" s="465"/>
      <c r="N713" s="464"/>
      <c r="O713" s="464"/>
      <c r="P713" s="464"/>
      <c r="Q713" s="444"/>
      <c r="R713" s="444"/>
      <c r="S713" s="444"/>
      <c r="T713" s="444"/>
      <c r="U713" s="444"/>
      <c r="V713" s="444"/>
      <c r="W713" s="444"/>
    </row>
    <row r="714" spans="1:23" ht="15.75">
      <c r="A714" s="463"/>
      <c r="B714" s="464"/>
      <c r="C714" s="464"/>
      <c r="D714" s="464"/>
      <c r="E714" s="464"/>
      <c r="F714" s="464"/>
      <c r="G714" s="464"/>
      <c r="H714" s="464"/>
      <c r="I714" s="464"/>
      <c r="J714" s="464"/>
      <c r="K714" s="464"/>
      <c r="L714" s="464"/>
      <c r="M714" s="465"/>
      <c r="N714" s="464"/>
      <c r="O714" s="464"/>
      <c r="P714" s="464"/>
      <c r="Q714" s="444"/>
      <c r="R714" s="444"/>
      <c r="S714" s="444"/>
      <c r="T714" s="444"/>
      <c r="U714" s="444"/>
      <c r="V714" s="444"/>
      <c r="W714" s="444"/>
    </row>
    <row r="715" spans="1:23" ht="15.75">
      <c r="A715" s="463"/>
      <c r="B715" s="464"/>
      <c r="C715" s="464"/>
      <c r="D715" s="464"/>
      <c r="E715" s="464"/>
      <c r="F715" s="464"/>
      <c r="G715" s="464"/>
      <c r="H715" s="464"/>
      <c r="I715" s="464"/>
      <c r="J715" s="464"/>
      <c r="K715" s="464"/>
      <c r="L715" s="464"/>
      <c r="M715" s="465"/>
      <c r="N715" s="464"/>
      <c r="O715" s="464"/>
      <c r="P715" s="464"/>
      <c r="Q715" s="444"/>
      <c r="R715" s="444"/>
      <c r="S715" s="444"/>
      <c r="T715" s="444"/>
      <c r="U715" s="444"/>
      <c r="V715" s="444"/>
      <c r="W715" s="444"/>
    </row>
    <row r="716" spans="1:23" ht="15.75">
      <c r="A716" s="463"/>
      <c r="B716" s="464"/>
      <c r="C716" s="464"/>
      <c r="D716" s="464"/>
      <c r="E716" s="464"/>
      <c r="F716" s="464"/>
      <c r="G716" s="464"/>
      <c r="H716" s="464"/>
      <c r="I716" s="464"/>
      <c r="J716" s="464"/>
      <c r="K716" s="464"/>
      <c r="L716" s="464"/>
      <c r="M716" s="465"/>
      <c r="N716" s="464"/>
      <c r="O716" s="464"/>
      <c r="P716" s="464"/>
      <c r="Q716" s="444"/>
      <c r="R716" s="444"/>
      <c r="S716" s="444"/>
      <c r="T716" s="444"/>
      <c r="U716" s="444"/>
      <c r="V716" s="444"/>
      <c r="W716" s="444"/>
    </row>
    <row r="717" spans="1:23" ht="15.75">
      <c r="A717" s="463"/>
      <c r="B717" s="464"/>
      <c r="C717" s="464"/>
      <c r="D717" s="464"/>
      <c r="E717" s="464"/>
      <c r="F717" s="464"/>
      <c r="G717" s="464"/>
      <c r="H717" s="464"/>
      <c r="I717" s="464"/>
      <c r="J717" s="464"/>
      <c r="K717" s="464"/>
      <c r="L717" s="464"/>
      <c r="M717" s="465"/>
      <c r="N717" s="464"/>
      <c r="O717" s="464"/>
      <c r="P717" s="464"/>
      <c r="Q717" s="444"/>
      <c r="R717" s="444"/>
      <c r="S717" s="444"/>
      <c r="T717" s="444"/>
      <c r="U717" s="444"/>
      <c r="V717" s="444"/>
      <c r="W717" s="444"/>
    </row>
    <row r="718" spans="1:23" ht="15.75">
      <c r="A718" s="463"/>
      <c r="B718" s="464"/>
      <c r="C718" s="464"/>
      <c r="D718" s="464"/>
      <c r="E718" s="464"/>
      <c r="F718" s="464"/>
      <c r="G718" s="464"/>
      <c r="H718" s="464"/>
      <c r="I718" s="464"/>
      <c r="J718" s="464"/>
      <c r="K718" s="464"/>
      <c r="L718" s="464"/>
      <c r="M718" s="465"/>
      <c r="N718" s="464"/>
      <c r="O718" s="464"/>
      <c r="P718" s="464"/>
      <c r="Q718" s="444"/>
      <c r="R718" s="444"/>
      <c r="S718" s="444"/>
      <c r="T718" s="444"/>
      <c r="U718" s="444"/>
      <c r="V718" s="444"/>
      <c r="W718" s="444"/>
    </row>
    <row r="719" spans="1:23" ht="15.75">
      <c r="A719" s="463"/>
      <c r="B719" s="464"/>
      <c r="C719" s="464"/>
      <c r="D719" s="464"/>
      <c r="E719" s="464"/>
      <c r="F719" s="464"/>
      <c r="G719" s="464"/>
      <c r="H719" s="464"/>
      <c r="I719" s="464"/>
      <c r="J719" s="464"/>
      <c r="K719" s="464"/>
      <c r="L719" s="464"/>
      <c r="M719" s="465"/>
      <c r="N719" s="464"/>
      <c r="O719" s="464"/>
      <c r="P719" s="464"/>
      <c r="Q719" s="444"/>
      <c r="R719" s="444"/>
      <c r="S719" s="444"/>
      <c r="T719" s="444"/>
      <c r="U719" s="444"/>
      <c r="V719" s="444"/>
      <c r="W719" s="444"/>
    </row>
    <row r="720" spans="1:23" ht="15.75">
      <c r="A720" s="463"/>
      <c r="B720" s="464"/>
      <c r="C720" s="464"/>
      <c r="D720" s="464"/>
      <c r="E720" s="464"/>
      <c r="F720" s="464"/>
      <c r="G720" s="464"/>
      <c r="H720" s="464"/>
      <c r="I720" s="464"/>
      <c r="J720" s="464"/>
      <c r="K720" s="464"/>
      <c r="L720" s="464"/>
      <c r="M720" s="465"/>
      <c r="N720" s="464"/>
      <c r="O720" s="464"/>
      <c r="P720" s="464"/>
      <c r="Q720" s="444"/>
      <c r="R720" s="444"/>
      <c r="S720" s="444"/>
      <c r="T720" s="444"/>
      <c r="U720" s="444"/>
      <c r="V720" s="444"/>
      <c r="W720" s="444"/>
    </row>
    <row r="721" spans="1:23" ht="15.75">
      <c r="A721" s="463"/>
      <c r="B721" s="464"/>
      <c r="C721" s="464"/>
      <c r="D721" s="464"/>
      <c r="E721" s="464"/>
      <c r="F721" s="464"/>
      <c r="G721" s="464"/>
      <c r="H721" s="464"/>
      <c r="I721" s="464"/>
      <c r="J721" s="464"/>
      <c r="K721" s="464"/>
      <c r="L721" s="464"/>
      <c r="M721" s="465"/>
      <c r="N721" s="464"/>
      <c r="O721" s="464"/>
      <c r="P721" s="464"/>
      <c r="Q721" s="444"/>
      <c r="R721" s="444"/>
      <c r="S721" s="444"/>
      <c r="T721" s="444"/>
      <c r="U721" s="444"/>
      <c r="V721" s="444"/>
      <c r="W721" s="444"/>
    </row>
    <row r="722" spans="1:23" ht="15.75">
      <c r="A722" s="463"/>
      <c r="B722" s="464"/>
      <c r="C722" s="464"/>
      <c r="D722" s="464"/>
      <c r="E722" s="464"/>
      <c r="F722" s="464"/>
      <c r="G722" s="464"/>
      <c r="H722" s="464"/>
      <c r="I722" s="464"/>
      <c r="J722" s="464"/>
      <c r="K722" s="464"/>
      <c r="L722" s="464"/>
      <c r="M722" s="465"/>
      <c r="N722" s="464"/>
      <c r="O722" s="464"/>
      <c r="P722" s="464"/>
      <c r="Q722" s="444"/>
      <c r="R722" s="444"/>
      <c r="S722" s="444"/>
      <c r="T722" s="444"/>
      <c r="U722" s="444"/>
      <c r="V722" s="444"/>
      <c r="W722" s="444"/>
    </row>
    <row r="723" spans="1:23" ht="15.75">
      <c r="A723" s="463"/>
      <c r="B723" s="464"/>
      <c r="C723" s="464"/>
      <c r="D723" s="464"/>
      <c r="E723" s="464"/>
      <c r="F723" s="464"/>
      <c r="G723" s="464"/>
      <c r="H723" s="464"/>
      <c r="I723" s="464"/>
      <c r="J723" s="464"/>
      <c r="K723" s="464"/>
      <c r="L723" s="464"/>
      <c r="M723" s="465"/>
      <c r="N723" s="464"/>
      <c r="O723" s="464"/>
      <c r="P723" s="464"/>
      <c r="Q723" s="444"/>
      <c r="R723" s="444"/>
      <c r="S723" s="444"/>
      <c r="T723" s="444"/>
      <c r="U723" s="444"/>
      <c r="V723" s="444"/>
      <c r="W723" s="444"/>
    </row>
    <row r="724" spans="1:23" ht="15.75">
      <c r="A724" s="463"/>
      <c r="B724" s="464"/>
      <c r="C724" s="464"/>
      <c r="D724" s="464"/>
      <c r="E724" s="464"/>
      <c r="F724" s="464"/>
      <c r="G724" s="464"/>
      <c r="H724" s="464"/>
      <c r="I724" s="464"/>
      <c r="J724" s="464"/>
      <c r="K724" s="464"/>
      <c r="L724" s="464"/>
      <c r="M724" s="465"/>
      <c r="N724" s="464"/>
      <c r="O724" s="464"/>
      <c r="P724" s="464"/>
      <c r="Q724" s="444"/>
      <c r="R724" s="444"/>
      <c r="S724" s="444"/>
      <c r="T724" s="444"/>
      <c r="U724" s="444"/>
      <c r="V724" s="444"/>
      <c r="W724" s="444"/>
    </row>
    <row r="725" spans="1:23" ht="15.75">
      <c r="A725" s="463"/>
      <c r="B725" s="464"/>
      <c r="C725" s="464"/>
      <c r="D725" s="464"/>
      <c r="E725" s="464"/>
      <c r="F725" s="464"/>
      <c r="G725" s="464"/>
      <c r="H725" s="464"/>
      <c r="I725" s="464"/>
      <c r="J725" s="464"/>
      <c r="K725" s="464"/>
      <c r="L725" s="464"/>
      <c r="M725" s="465"/>
      <c r="N725" s="464"/>
      <c r="O725" s="464"/>
      <c r="P725" s="464"/>
      <c r="Q725" s="444"/>
      <c r="R725" s="444"/>
      <c r="S725" s="444"/>
      <c r="T725" s="444"/>
      <c r="U725" s="444"/>
      <c r="V725" s="444"/>
      <c r="W725" s="444"/>
    </row>
    <row r="726" spans="1:23" ht="15.75">
      <c r="A726" s="463"/>
      <c r="B726" s="464"/>
      <c r="C726" s="464"/>
      <c r="D726" s="464"/>
      <c r="E726" s="464"/>
      <c r="F726" s="464"/>
      <c r="G726" s="464"/>
      <c r="H726" s="464"/>
      <c r="I726" s="464"/>
      <c r="J726" s="464"/>
      <c r="K726" s="464"/>
      <c r="L726" s="464"/>
      <c r="M726" s="465"/>
      <c r="N726" s="464"/>
      <c r="O726" s="464"/>
      <c r="P726" s="464"/>
      <c r="Q726" s="444"/>
      <c r="R726" s="444"/>
      <c r="S726" s="444"/>
      <c r="T726" s="444"/>
      <c r="U726" s="444"/>
      <c r="V726" s="444"/>
      <c r="W726" s="444"/>
    </row>
    <row r="727" spans="1:23" ht="15.75">
      <c r="A727" s="463"/>
      <c r="B727" s="464"/>
      <c r="C727" s="464"/>
      <c r="D727" s="464"/>
      <c r="E727" s="464"/>
      <c r="F727" s="464"/>
      <c r="G727" s="464"/>
      <c r="H727" s="464"/>
      <c r="I727" s="464"/>
      <c r="J727" s="464"/>
      <c r="K727" s="464"/>
      <c r="L727" s="464"/>
      <c r="M727" s="465"/>
      <c r="N727" s="464"/>
      <c r="O727" s="464"/>
      <c r="P727" s="464"/>
      <c r="Q727" s="444"/>
      <c r="R727" s="444"/>
      <c r="S727" s="444"/>
      <c r="T727" s="444"/>
      <c r="U727" s="444"/>
      <c r="V727" s="444"/>
      <c r="W727" s="444"/>
    </row>
    <row r="728" spans="1:23" ht="15.75">
      <c r="A728" s="463"/>
      <c r="B728" s="464"/>
      <c r="C728" s="464"/>
      <c r="D728" s="464"/>
      <c r="E728" s="464"/>
      <c r="F728" s="464"/>
      <c r="G728" s="464"/>
      <c r="H728" s="464"/>
      <c r="I728" s="464"/>
      <c r="J728" s="464"/>
      <c r="K728" s="464"/>
      <c r="L728" s="464"/>
      <c r="M728" s="465"/>
      <c r="N728" s="464"/>
      <c r="O728" s="464"/>
      <c r="P728" s="464"/>
      <c r="Q728" s="444"/>
      <c r="R728" s="444"/>
      <c r="S728" s="444"/>
      <c r="T728" s="444"/>
      <c r="U728" s="444"/>
      <c r="V728" s="444"/>
      <c r="W728" s="444"/>
    </row>
    <row r="729" spans="1:23" ht="15.75">
      <c r="A729" s="463"/>
      <c r="B729" s="464"/>
      <c r="C729" s="464"/>
      <c r="D729" s="464"/>
      <c r="E729" s="464"/>
      <c r="F729" s="464"/>
      <c r="G729" s="464"/>
      <c r="H729" s="464"/>
      <c r="I729" s="464"/>
      <c r="J729" s="464"/>
      <c r="K729" s="464"/>
      <c r="L729" s="464"/>
      <c r="M729" s="465"/>
      <c r="N729" s="464"/>
      <c r="O729" s="464"/>
      <c r="P729" s="464"/>
      <c r="Q729" s="444"/>
      <c r="R729" s="444"/>
      <c r="S729" s="444"/>
      <c r="T729" s="444"/>
      <c r="U729" s="444"/>
      <c r="V729" s="444"/>
      <c r="W729" s="444"/>
    </row>
    <row r="730" spans="1:23" ht="15.75">
      <c r="A730" s="463"/>
      <c r="B730" s="464"/>
      <c r="C730" s="464"/>
      <c r="D730" s="464"/>
      <c r="E730" s="464"/>
      <c r="F730" s="464"/>
      <c r="G730" s="464"/>
      <c r="H730" s="464"/>
      <c r="I730" s="464"/>
      <c r="J730" s="464"/>
      <c r="K730" s="464"/>
      <c r="L730" s="464"/>
      <c r="M730" s="465"/>
      <c r="N730" s="464"/>
      <c r="O730" s="464"/>
      <c r="P730" s="464"/>
      <c r="Q730" s="444"/>
      <c r="R730" s="444"/>
      <c r="S730" s="444"/>
      <c r="T730" s="444"/>
      <c r="U730" s="444"/>
      <c r="V730" s="444"/>
      <c r="W730" s="444"/>
    </row>
    <row r="731" spans="1:23" ht="15.75">
      <c r="A731" s="463"/>
      <c r="B731" s="464"/>
      <c r="C731" s="464"/>
      <c r="D731" s="464"/>
      <c r="E731" s="464"/>
      <c r="F731" s="464"/>
      <c r="G731" s="464"/>
      <c r="H731" s="464"/>
      <c r="I731" s="464"/>
      <c r="J731" s="464"/>
      <c r="K731" s="464"/>
      <c r="L731" s="464"/>
      <c r="M731" s="465"/>
      <c r="N731" s="464"/>
      <c r="O731" s="464"/>
      <c r="P731" s="464"/>
      <c r="Q731" s="444"/>
      <c r="R731" s="444"/>
      <c r="S731" s="444"/>
      <c r="T731" s="444"/>
      <c r="U731" s="444"/>
      <c r="V731" s="444"/>
      <c r="W731" s="444"/>
    </row>
    <row r="732" spans="1:23" ht="15.75">
      <c r="A732" s="463"/>
      <c r="B732" s="464"/>
      <c r="C732" s="464"/>
      <c r="D732" s="464"/>
      <c r="E732" s="464"/>
      <c r="F732" s="464"/>
      <c r="G732" s="464"/>
      <c r="H732" s="464"/>
      <c r="I732" s="464"/>
      <c r="J732" s="464"/>
      <c r="K732" s="464"/>
      <c r="L732" s="464"/>
      <c r="M732" s="465"/>
      <c r="N732" s="464"/>
      <c r="O732" s="464"/>
      <c r="P732" s="464"/>
      <c r="Q732" s="444"/>
      <c r="R732" s="444"/>
      <c r="S732" s="444"/>
      <c r="T732" s="444"/>
      <c r="U732" s="444"/>
      <c r="V732" s="444"/>
      <c r="W732" s="444"/>
    </row>
    <row r="733" spans="1:23" ht="15.75">
      <c r="A733" s="463"/>
      <c r="B733" s="464"/>
      <c r="C733" s="464"/>
      <c r="D733" s="464"/>
      <c r="E733" s="464"/>
      <c r="F733" s="464"/>
      <c r="G733" s="464"/>
      <c r="H733" s="464"/>
      <c r="I733" s="464"/>
      <c r="J733" s="464"/>
      <c r="K733" s="464"/>
      <c r="L733" s="464"/>
      <c r="M733" s="465"/>
      <c r="N733" s="464"/>
      <c r="O733" s="464"/>
      <c r="P733" s="464"/>
      <c r="Q733" s="444"/>
      <c r="R733" s="444"/>
      <c r="S733" s="444"/>
      <c r="T733" s="444"/>
      <c r="U733" s="444"/>
      <c r="V733" s="444"/>
      <c r="W733" s="444"/>
    </row>
    <row r="734" spans="1:23" ht="15.75">
      <c r="A734" s="463"/>
      <c r="B734" s="464"/>
      <c r="C734" s="464"/>
      <c r="D734" s="464"/>
      <c r="E734" s="464"/>
      <c r="F734" s="464"/>
      <c r="G734" s="464"/>
      <c r="H734" s="464"/>
      <c r="I734" s="464"/>
      <c r="J734" s="464"/>
      <c r="K734" s="464"/>
      <c r="L734" s="464"/>
      <c r="M734" s="465"/>
      <c r="N734" s="464"/>
      <c r="O734" s="464"/>
      <c r="P734" s="464"/>
      <c r="Q734" s="444"/>
      <c r="R734" s="444"/>
      <c r="S734" s="444"/>
      <c r="T734" s="444"/>
      <c r="U734" s="444"/>
      <c r="V734" s="444"/>
      <c r="W734" s="444"/>
    </row>
    <row r="735" spans="1:23" ht="15.75">
      <c r="A735" s="463"/>
      <c r="B735" s="464"/>
      <c r="C735" s="464"/>
      <c r="D735" s="464"/>
      <c r="E735" s="464"/>
      <c r="F735" s="464"/>
      <c r="G735" s="464"/>
      <c r="H735" s="464"/>
      <c r="I735" s="464"/>
      <c r="J735" s="464"/>
      <c r="K735" s="464"/>
      <c r="L735" s="464"/>
      <c r="M735" s="465"/>
      <c r="N735" s="464"/>
      <c r="O735" s="464"/>
      <c r="P735" s="464"/>
      <c r="Q735" s="444"/>
      <c r="R735" s="444"/>
      <c r="S735" s="444"/>
      <c r="T735" s="444"/>
      <c r="U735" s="444"/>
      <c r="V735" s="444"/>
      <c r="W735" s="444"/>
    </row>
    <row r="736" spans="1:23" ht="15.75">
      <c r="A736" s="463"/>
      <c r="B736" s="464"/>
      <c r="C736" s="464"/>
      <c r="D736" s="464"/>
      <c r="E736" s="464"/>
      <c r="F736" s="464"/>
      <c r="G736" s="464"/>
      <c r="H736" s="464"/>
      <c r="I736" s="464"/>
      <c r="J736" s="464"/>
      <c r="K736" s="464"/>
      <c r="L736" s="464"/>
      <c r="M736" s="465"/>
      <c r="N736" s="464"/>
      <c r="O736" s="464"/>
      <c r="P736" s="464"/>
      <c r="Q736" s="444"/>
      <c r="R736" s="444"/>
      <c r="S736" s="444"/>
      <c r="T736" s="444"/>
      <c r="U736" s="444"/>
      <c r="V736" s="444"/>
      <c r="W736" s="444"/>
    </row>
    <row r="737" spans="1:23" ht="15.75">
      <c r="A737" s="463"/>
      <c r="B737" s="464"/>
      <c r="C737" s="464"/>
      <c r="D737" s="464"/>
      <c r="E737" s="464"/>
      <c r="F737" s="464"/>
      <c r="G737" s="464"/>
      <c r="H737" s="464"/>
      <c r="I737" s="464"/>
      <c r="J737" s="464"/>
      <c r="K737" s="464"/>
      <c r="L737" s="464"/>
      <c r="M737" s="465"/>
      <c r="N737" s="464"/>
      <c r="O737" s="464"/>
      <c r="P737" s="464"/>
      <c r="Q737" s="444"/>
      <c r="R737" s="444"/>
      <c r="S737" s="444"/>
      <c r="T737" s="444"/>
      <c r="U737" s="444"/>
      <c r="V737" s="444"/>
      <c r="W737" s="444"/>
    </row>
    <row r="738" spans="1:23" ht="15.75">
      <c r="A738" s="463"/>
      <c r="B738" s="464"/>
      <c r="C738" s="464"/>
      <c r="D738" s="464"/>
      <c r="E738" s="464"/>
      <c r="F738" s="464"/>
      <c r="G738" s="464"/>
      <c r="H738" s="464"/>
      <c r="I738" s="464"/>
      <c r="J738" s="464"/>
      <c r="K738" s="464"/>
      <c r="L738" s="464"/>
      <c r="M738" s="465"/>
      <c r="N738" s="464"/>
      <c r="O738" s="464"/>
      <c r="P738" s="464"/>
      <c r="Q738" s="444"/>
      <c r="R738" s="444"/>
      <c r="S738" s="444"/>
      <c r="T738" s="444"/>
      <c r="U738" s="444"/>
      <c r="V738" s="444"/>
      <c r="W738" s="444"/>
    </row>
    <row r="739" spans="1:23" ht="15.75">
      <c r="A739" s="463"/>
      <c r="B739" s="464"/>
      <c r="C739" s="464"/>
      <c r="D739" s="464"/>
      <c r="E739" s="464"/>
      <c r="F739" s="464"/>
      <c r="G739" s="464"/>
      <c r="H739" s="464"/>
      <c r="I739" s="464"/>
      <c r="J739" s="464"/>
      <c r="K739" s="464"/>
      <c r="L739" s="464"/>
      <c r="M739" s="465"/>
      <c r="N739" s="464"/>
      <c r="O739" s="464"/>
      <c r="P739" s="464"/>
      <c r="Q739" s="444"/>
      <c r="R739" s="444"/>
      <c r="S739" s="444"/>
      <c r="T739" s="444"/>
      <c r="U739" s="444"/>
      <c r="V739" s="444"/>
      <c r="W739" s="444"/>
    </row>
    <row r="740" spans="1:23" ht="15.75">
      <c r="A740" s="463"/>
      <c r="B740" s="464"/>
      <c r="C740" s="464"/>
      <c r="D740" s="464"/>
      <c r="E740" s="464"/>
      <c r="F740" s="464"/>
      <c r="G740" s="464"/>
      <c r="H740" s="464"/>
      <c r="I740" s="464"/>
      <c r="J740" s="464"/>
      <c r="K740" s="464"/>
      <c r="L740" s="464"/>
      <c r="M740" s="465"/>
      <c r="N740" s="464"/>
      <c r="O740" s="464"/>
      <c r="P740" s="464"/>
      <c r="Q740" s="444"/>
      <c r="R740" s="444"/>
      <c r="S740" s="444"/>
      <c r="T740" s="444"/>
      <c r="U740" s="444"/>
      <c r="V740" s="444"/>
      <c r="W740" s="444"/>
    </row>
    <row r="741" spans="1:23" ht="15.75">
      <c r="A741" s="463"/>
      <c r="B741" s="464"/>
      <c r="C741" s="464"/>
      <c r="D741" s="464"/>
      <c r="E741" s="464"/>
      <c r="F741" s="464"/>
      <c r="G741" s="464"/>
      <c r="H741" s="464"/>
      <c r="I741" s="464"/>
      <c r="J741" s="464"/>
      <c r="K741" s="464"/>
      <c r="L741" s="464"/>
      <c r="M741" s="465"/>
      <c r="N741" s="464"/>
      <c r="O741" s="464"/>
      <c r="P741" s="464"/>
      <c r="Q741" s="444"/>
      <c r="R741" s="444"/>
      <c r="S741" s="444"/>
      <c r="T741" s="444"/>
      <c r="U741" s="444"/>
      <c r="V741" s="444"/>
      <c r="W741" s="444"/>
    </row>
    <row r="742" spans="1:23" ht="15.75">
      <c r="A742" s="463"/>
      <c r="B742" s="464"/>
      <c r="C742" s="464"/>
      <c r="D742" s="464"/>
      <c r="E742" s="464"/>
      <c r="F742" s="464"/>
      <c r="G742" s="464"/>
      <c r="H742" s="464"/>
      <c r="I742" s="464"/>
      <c r="J742" s="464"/>
      <c r="K742" s="464"/>
      <c r="L742" s="464"/>
      <c r="M742" s="465"/>
      <c r="N742" s="464"/>
      <c r="O742" s="464"/>
      <c r="P742" s="464"/>
      <c r="Q742" s="444"/>
      <c r="R742" s="444"/>
      <c r="S742" s="444"/>
      <c r="T742" s="444"/>
      <c r="U742" s="444"/>
      <c r="V742" s="444"/>
      <c r="W742" s="444"/>
    </row>
    <row r="743" spans="1:23" ht="15.75">
      <c r="A743" s="463"/>
      <c r="B743" s="464"/>
      <c r="C743" s="464"/>
      <c r="D743" s="464"/>
      <c r="E743" s="464"/>
      <c r="F743" s="464"/>
      <c r="G743" s="464"/>
      <c r="H743" s="464"/>
      <c r="I743" s="464"/>
      <c r="J743" s="464"/>
      <c r="K743" s="464"/>
      <c r="L743" s="464"/>
      <c r="M743" s="465"/>
      <c r="N743" s="464"/>
      <c r="O743" s="464"/>
      <c r="P743" s="464"/>
      <c r="Q743" s="444"/>
      <c r="R743" s="444"/>
      <c r="S743" s="444"/>
      <c r="T743" s="444"/>
      <c r="U743" s="444"/>
      <c r="V743" s="444"/>
      <c r="W743" s="444"/>
    </row>
    <row r="744" spans="1:23" ht="15.75">
      <c r="A744" s="463"/>
      <c r="B744" s="464"/>
      <c r="C744" s="464"/>
      <c r="D744" s="464"/>
      <c r="E744" s="464"/>
      <c r="F744" s="464"/>
      <c r="G744" s="464"/>
      <c r="H744" s="464"/>
      <c r="I744" s="464"/>
      <c r="J744" s="464"/>
      <c r="K744" s="464"/>
      <c r="L744" s="464"/>
      <c r="M744" s="465"/>
      <c r="N744" s="464"/>
      <c r="O744" s="464"/>
      <c r="P744" s="464"/>
      <c r="Q744" s="444"/>
      <c r="R744" s="444"/>
      <c r="S744" s="444"/>
      <c r="T744" s="444"/>
      <c r="U744" s="444"/>
      <c r="V744" s="444"/>
      <c r="W744" s="444"/>
    </row>
    <row r="745" spans="1:23" ht="15.75">
      <c r="A745" s="463"/>
      <c r="B745" s="464"/>
      <c r="C745" s="464"/>
      <c r="D745" s="464"/>
      <c r="E745" s="464"/>
      <c r="F745" s="464"/>
      <c r="G745" s="464"/>
      <c r="H745" s="464"/>
      <c r="I745" s="464"/>
      <c r="J745" s="464"/>
      <c r="K745" s="464"/>
      <c r="L745" s="464"/>
      <c r="M745" s="465"/>
      <c r="N745" s="464"/>
      <c r="O745" s="464"/>
      <c r="P745" s="464"/>
      <c r="Q745" s="444"/>
      <c r="R745" s="444"/>
      <c r="S745" s="444"/>
      <c r="T745" s="444"/>
      <c r="U745" s="444"/>
      <c r="V745" s="444"/>
      <c r="W745" s="444"/>
    </row>
    <row r="746" spans="1:23" ht="15.75">
      <c r="A746" s="463"/>
      <c r="B746" s="464"/>
      <c r="C746" s="464"/>
      <c r="D746" s="464"/>
      <c r="E746" s="464"/>
      <c r="F746" s="464"/>
      <c r="G746" s="464"/>
      <c r="H746" s="464"/>
      <c r="I746" s="464"/>
      <c r="J746" s="464"/>
      <c r="K746" s="464"/>
      <c r="L746" s="464"/>
      <c r="M746" s="465"/>
      <c r="N746" s="464"/>
      <c r="O746" s="464"/>
      <c r="P746" s="464"/>
      <c r="Q746" s="444"/>
      <c r="R746" s="444"/>
      <c r="S746" s="444"/>
      <c r="T746" s="444"/>
      <c r="U746" s="444"/>
      <c r="V746" s="444"/>
      <c r="W746" s="444"/>
    </row>
    <row r="747" spans="1:23" ht="15.75">
      <c r="A747" s="463"/>
      <c r="B747" s="464"/>
      <c r="C747" s="464"/>
      <c r="D747" s="464"/>
      <c r="E747" s="464"/>
      <c r="F747" s="464"/>
      <c r="G747" s="464"/>
      <c r="H747" s="464"/>
      <c r="I747" s="464"/>
      <c r="J747" s="464"/>
      <c r="K747" s="464"/>
      <c r="L747" s="464"/>
      <c r="M747" s="465"/>
      <c r="N747" s="464"/>
      <c r="O747" s="464"/>
      <c r="P747" s="464"/>
      <c r="Q747" s="444"/>
      <c r="R747" s="444"/>
      <c r="S747" s="444"/>
      <c r="T747" s="444"/>
      <c r="U747" s="444"/>
      <c r="V747" s="444"/>
      <c r="W747" s="444"/>
    </row>
    <row r="748" spans="1:23" ht="15.75">
      <c r="A748" s="463"/>
      <c r="B748" s="464"/>
      <c r="C748" s="464"/>
      <c r="D748" s="464"/>
      <c r="E748" s="464"/>
      <c r="F748" s="464"/>
      <c r="G748" s="464"/>
      <c r="H748" s="464"/>
      <c r="I748" s="464"/>
      <c r="J748" s="464"/>
      <c r="K748" s="464"/>
      <c r="L748" s="464"/>
      <c r="M748" s="465"/>
      <c r="N748" s="464"/>
      <c r="O748" s="464"/>
      <c r="P748" s="464"/>
      <c r="Q748" s="444"/>
      <c r="R748" s="444"/>
      <c r="S748" s="444"/>
      <c r="T748" s="444"/>
      <c r="U748" s="444"/>
      <c r="V748" s="444"/>
      <c r="W748" s="444"/>
    </row>
    <row r="749" spans="1:23" ht="15.75">
      <c r="A749" s="463"/>
      <c r="B749" s="464"/>
      <c r="C749" s="464"/>
      <c r="D749" s="464"/>
      <c r="E749" s="464"/>
      <c r="F749" s="464"/>
      <c r="G749" s="464"/>
      <c r="H749" s="464"/>
      <c r="I749" s="464"/>
      <c r="J749" s="464"/>
      <c r="K749" s="464"/>
      <c r="L749" s="464"/>
      <c r="M749" s="465"/>
      <c r="N749" s="464"/>
      <c r="O749" s="464"/>
      <c r="P749" s="464"/>
      <c r="Q749" s="444"/>
      <c r="R749" s="444"/>
      <c r="S749" s="444"/>
      <c r="T749" s="444"/>
      <c r="U749" s="444"/>
      <c r="V749" s="444"/>
      <c r="W749" s="444"/>
    </row>
    <row r="750" spans="1:23" ht="15.75">
      <c r="A750" s="463"/>
      <c r="B750" s="464"/>
      <c r="C750" s="464"/>
      <c r="D750" s="464"/>
      <c r="E750" s="464"/>
      <c r="F750" s="464"/>
      <c r="G750" s="464"/>
      <c r="H750" s="464"/>
      <c r="I750" s="464"/>
      <c r="J750" s="464"/>
      <c r="K750" s="464"/>
      <c r="L750" s="464"/>
      <c r="M750" s="465"/>
      <c r="N750" s="464"/>
      <c r="O750" s="464"/>
      <c r="P750" s="464"/>
      <c r="Q750" s="444"/>
      <c r="R750" s="444"/>
      <c r="S750" s="444"/>
      <c r="T750" s="444"/>
      <c r="U750" s="444"/>
      <c r="V750" s="444"/>
      <c r="W750" s="444"/>
    </row>
    <row r="751" spans="1:23" ht="15.75">
      <c r="A751" s="463"/>
      <c r="B751" s="464"/>
      <c r="C751" s="464"/>
      <c r="D751" s="464"/>
      <c r="E751" s="464"/>
      <c r="F751" s="464"/>
      <c r="G751" s="464"/>
      <c r="H751" s="464"/>
      <c r="I751" s="464"/>
      <c r="J751" s="464"/>
      <c r="K751" s="464"/>
      <c r="L751" s="464"/>
      <c r="M751" s="465"/>
      <c r="N751" s="464"/>
      <c r="O751" s="464"/>
      <c r="P751" s="464"/>
      <c r="Q751" s="444"/>
      <c r="R751" s="444"/>
      <c r="S751" s="444"/>
      <c r="T751" s="444"/>
      <c r="U751" s="444"/>
      <c r="V751" s="444"/>
      <c r="W751" s="444"/>
    </row>
    <row r="752" spans="1:23" ht="15.75">
      <c r="A752" s="463"/>
      <c r="B752" s="464"/>
      <c r="C752" s="464"/>
      <c r="D752" s="464"/>
      <c r="E752" s="464"/>
      <c r="F752" s="464"/>
      <c r="G752" s="464"/>
      <c r="H752" s="464"/>
      <c r="I752" s="464"/>
      <c r="J752" s="464"/>
      <c r="K752" s="464"/>
      <c r="L752" s="464"/>
      <c r="M752" s="465"/>
      <c r="N752" s="464"/>
      <c r="O752" s="464"/>
      <c r="P752" s="464"/>
      <c r="Q752" s="444"/>
      <c r="R752" s="444"/>
      <c r="S752" s="444"/>
      <c r="T752" s="444"/>
      <c r="U752" s="444"/>
      <c r="V752" s="444"/>
      <c r="W752" s="444"/>
    </row>
    <row r="753" spans="1:23" ht="15.75">
      <c r="A753" s="463"/>
      <c r="B753" s="464"/>
      <c r="C753" s="464"/>
      <c r="D753" s="464"/>
      <c r="E753" s="464"/>
      <c r="F753" s="464"/>
      <c r="G753" s="464"/>
      <c r="H753" s="464"/>
      <c r="I753" s="464"/>
      <c r="J753" s="464"/>
      <c r="K753" s="464"/>
      <c r="L753" s="464"/>
      <c r="M753" s="465"/>
      <c r="N753" s="464"/>
      <c r="O753" s="464"/>
      <c r="P753" s="464"/>
      <c r="Q753" s="444"/>
      <c r="R753" s="444"/>
      <c r="S753" s="444"/>
      <c r="T753" s="444"/>
      <c r="U753" s="444"/>
      <c r="V753" s="444"/>
      <c r="W753" s="444"/>
    </row>
    <row r="754" spans="1:23" ht="15.75">
      <c r="A754" s="463"/>
      <c r="B754" s="464"/>
      <c r="C754" s="464"/>
      <c r="D754" s="464"/>
      <c r="E754" s="464"/>
      <c r="F754" s="464"/>
      <c r="G754" s="464"/>
      <c r="H754" s="464"/>
      <c r="I754" s="464"/>
      <c r="J754" s="464"/>
      <c r="K754" s="464"/>
      <c r="L754" s="464"/>
      <c r="M754" s="465"/>
      <c r="N754" s="464"/>
      <c r="O754" s="464"/>
      <c r="P754" s="464"/>
      <c r="Q754" s="444"/>
      <c r="R754" s="444"/>
      <c r="S754" s="444"/>
      <c r="T754" s="444"/>
      <c r="U754" s="444"/>
      <c r="V754" s="444"/>
      <c r="W754" s="444"/>
    </row>
    <row r="755" spans="1:23" ht="15.75">
      <c r="A755" s="463"/>
      <c r="B755" s="464"/>
      <c r="C755" s="464"/>
      <c r="D755" s="464"/>
      <c r="E755" s="464"/>
      <c r="F755" s="464"/>
      <c r="G755" s="464"/>
      <c r="H755" s="464"/>
      <c r="I755" s="464"/>
      <c r="J755" s="464"/>
      <c r="K755" s="464"/>
      <c r="L755" s="464"/>
      <c r="M755" s="465"/>
      <c r="N755" s="464"/>
      <c r="O755" s="464"/>
      <c r="P755" s="464"/>
      <c r="Q755" s="444"/>
      <c r="R755" s="444"/>
      <c r="S755" s="444"/>
      <c r="T755" s="444"/>
      <c r="U755" s="444"/>
      <c r="V755" s="444"/>
      <c r="W755" s="444"/>
    </row>
    <row r="756" spans="1:23" ht="15.75">
      <c r="A756" s="463"/>
      <c r="B756" s="464"/>
      <c r="C756" s="464"/>
      <c r="D756" s="464"/>
      <c r="E756" s="464"/>
      <c r="F756" s="464"/>
      <c r="G756" s="464"/>
      <c r="H756" s="464"/>
      <c r="I756" s="464"/>
      <c r="J756" s="464"/>
      <c r="K756" s="464"/>
      <c r="L756" s="464"/>
      <c r="M756" s="465"/>
      <c r="N756" s="464"/>
      <c r="O756" s="464"/>
      <c r="P756" s="464"/>
      <c r="Q756" s="444"/>
      <c r="R756" s="444"/>
      <c r="S756" s="444"/>
      <c r="T756" s="444"/>
      <c r="U756" s="444"/>
      <c r="V756" s="444"/>
      <c r="W756" s="444"/>
    </row>
    <row r="757" spans="1:23" ht="15.75">
      <c r="A757" s="463"/>
      <c r="B757" s="464"/>
      <c r="C757" s="464"/>
      <c r="D757" s="464"/>
      <c r="E757" s="464"/>
      <c r="F757" s="464"/>
      <c r="G757" s="464"/>
      <c r="H757" s="464"/>
      <c r="I757" s="464"/>
      <c r="J757" s="464"/>
      <c r="K757" s="464"/>
      <c r="L757" s="464"/>
      <c r="M757" s="465"/>
      <c r="N757" s="464"/>
      <c r="O757" s="464"/>
      <c r="P757" s="464"/>
      <c r="Q757" s="444"/>
      <c r="R757" s="444"/>
      <c r="S757" s="444"/>
      <c r="T757" s="444"/>
      <c r="U757" s="444"/>
      <c r="V757" s="444"/>
      <c r="W757" s="444"/>
    </row>
    <row r="758" spans="1:23" ht="15.75">
      <c r="A758" s="463"/>
      <c r="B758" s="464"/>
      <c r="C758" s="464"/>
      <c r="D758" s="464"/>
      <c r="E758" s="464"/>
      <c r="F758" s="464"/>
      <c r="G758" s="464"/>
      <c r="H758" s="464"/>
      <c r="I758" s="464"/>
      <c r="J758" s="464"/>
      <c r="K758" s="464"/>
      <c r="L758" s="464"/>
      <c r="M758" s="465"/>
      <c r="N758" s="464"/>
      <c r="O758" s="464"/>
      <c r="P758" s="464"/>
      <c r="Q758" s="444"/>
      <c r="R758" s="444"/>
      <c r="S758" s="444"/>
      <c r="T758" s="444"/>
      <c r="U758" s="444"/>
      <c r="V758" s="444"/>
      <c r="W758" s="444"/>
    </row>
    <row r="759" spans="1:23" ht="15.75">
      <c r="A759" s="463"/>
      <c r="B759" s="464"/>
      <c r="C759" s="464"/>
      <c r="D759" s="464"/>
      <c r="E759" s="464"/>
      <c r="F759" s="464"/>
      <c r="G759" s="464"/>
      <c r="H759" s="464"/>
      <c r="I759" s="464"/>
      <c r="J759" s="464"/>
      <c r="K759" s="464"/>
      <c r="L759" s="464"/>
      <c r="M759" s="465"/>
      <c r="N759" s="464"/>
      <c r="O759" s="464"/>
      <c r="P759" s="464"/>
      <c r="Q759" s="444"/>
      <c r="R759" s="444"/>
      <c r="S759" s="444"/>
      <c r="T759" s="444"/>
      <c r="U759" s="444"/>
      <c r="V759" s="444"/>
      <c r="W759" s="444"/>
    </row>
    <row r="760" spans="1:23" ht="15.75">
      <c r="A760" s="463"/>
      <c r="B760" s="464"/>
      <c r="C760" s="464"/>
      <c r="D760" s="464"/>
      <c r="E760" s="464"/>
      <c r="F760" s="464"/>
      <c r="G760" s="464"/>
      <c r="H760" s="464"/>
      <c r="I760" s="464"/>
      <c r="J760" s="464"/>
      <c r="K760" s="464"/>
      <c r="L760" s="464"/>
      <c r="M760" s="465"/>
      <c r="N760" s="464"/>
      <c r="O760" s="464"/>
      <c r="P760" s="464"/>
      <c r="Q760" s="444"/>
      <c r="R760" s="444"/>
      <c r="S760" s="444"/>
      <c r="T760" s="444"/>
      <c r="U760" s="444"/>
      <c r="V760" s="444"/>
      <c r="W760" s="444"/>
    </row>
    <row r="761" spans="1:23" ht="15.75">
      <c r="A761" s="463"/>
      <c r="B761" s="464"/>
      <c r="C761" s="464"/>
      <c r="D761" s="464"/>
      <c r="E761" s="464"/>
      <c r="F761" s="464"/>
      <c r="G761" s="464"/>
      <c r="H761" s="464"/>
      <c r="I761" s="464"/>
      <c r="J761" s="464"/>
      <c r="K761" s="464"/>
      <c r="L761" s="464"/>
      <c r="M761" s="465"/>
      <c r="N761" s="464"/>
      <c r="O761" s="464"/>
      <c r="P761" s="464"/>
      <c r="Q761" s="444"/>
      <c r="R761" s="444"/>
      <c r="S761" s="444"/>
      <c r="T761" s="444"/>
      <c r="U761" s="444"/>
      <c r="V761" s="444"/>
      <c r="W761" s="444"/>
    </row>
    <row r="762" spans="1:23" ht="15.75">
      <c r="A762" s="463"/>
      <c r="B762" s="464"/>
      <c r="C762" s="464"/>
      <c r="D762" s="464"/>
      <c r="E762" s="464"/>
      <c r="F762" s="464"/>
      <c r="G762" s="464"/>
      <c r="H762" s="464"/>
      <c r="I762" s="464"/>
      <c r="J762" s="464"/>
      <c r="K762" s="464"/>
      <c r="L762" s="464"/>
      <c r="M762" s="465"/>
      <c r="N762" s="464"/>
      <c r="O762" s="464"/>
      <c r="P762" s="464"/>
      <c r="Q762" s="444"/>
      <c r="R762" s="444"/>
      <c r="S762" s="444"/>
      <c r="T762" s="444"/>
      <c r="U762" s="444"/>
      <c r="V762" s="444"/>
      <c r="W762" s="444"/>
    </row>
    <row r="763" spans="1:23" ht="15.75">
      <c r="A763" s="463"/>
      <c r="B763" s="464"/>
      <c r="C763" s="464"/>
      <c r="D763" s="464"/>
      <c r="E763" s="464"/>
      <c r="F763" s="464"/>
      <c r="G763" s="464"/>
      <c r="H763" s="464"/>
      <c r="I763" s="464"/>
      <c r="J763" s="464"/>
      <c r="K763" s="464"/>
      <c r="L763" s="464"/>
      <c r="M763" s="465"/>
      <c r="N763" s="464"/>
      <c r="O763" s="464"/>
      <c r="P763" s="464"/>
      <c r="Q763" s="444"/>
      <c r="R763" s="444"/>
      <c r="S763" s="444"/>
      <c r="T763" s="444"/>
      <c r="U763" s="444"/>
      <c r="V763" s="444"/>
      <c r="W763" s="444"/>
    </row>
    <row r="764" spans="1:23" ht="15.75">
      <c r="A764" s="463"/>
      <c r="B764" s="464"/>
      <c r="C764" s="464"/>
      <c r="D764" s="464"/>
      <c r="E764" s="464"/>
      <c r="F764" s="464"/>
      <c r="G764" s="464"/>
      <c r="H764" s="464"/>
      <c r="I764" s="464"/>
      <c r="J764" s="464"/>
      <c r="K764" s="464"/>
      <c r="L764" s="464"/>
      <c r="M764" s="465"/>
      <c r="N764" s="464"/>
      <c r="O764" s="464"/>
      <c r="P764" s="464"/>
      <c r="Q764" s="444"/>
      <c r="R764" s="444"/>
      <c r="S764" s="444"/>
      <c r="T764" s="444"/>
      <c r="U764" s="444"/>
      <c r="V764" s="444"/>
      <c r="W764" s="444"/>
    </row>
    <row r="765" spans="1:23" ht="15.75">
      <c r="A765" s="463"/>
      <c r="B765" s="464"/>
      <c r="C765" s="464"/>
      <c r="D765" s="464"/>
      <c r="E765" s="464"/>
      <c r="F765" s="464"/>
      <c r="G765" s="464"/>
      <c r="H765" s="464"/>
      <c r="I765" s="464"/>
      <c r="J765" s="464"/>
      <c r="K765" s="464"/>
      <c r="L765" s="464"/>
      <c r="M765" s="465"/>
      <c r="N765" s="464"/>
      <c r="O765" s="464"/>
      <c r="P765" s="464"/>
      <c r="Q765" s="444"/>
      <c r="R765" s="444"/>
      <c r="S765" s="444"/>
      <c r="T765" s="444"/>
      <c r="U765" s="444"/>
      <c r="V765" s="444"/>
      <c r="W765" s="444"/>
    </row>
    <row r="766" spans="1:23" ht="15.75">
      <c r="A766" s="463"/>
      <c r="B766" s="464"/>
      <c r="C766" s="464"/>
      <c r="D766" s="464"/>
      <c r="E766" s="464"/>
      <c r="F766" s="464"/>
      <c r="G766" s="464"/>
      <c r="H766" s="464"/>
      <c r="I766" s="464"/>
      <c r="J766" s="464"/>
      <c r="K766" s="464"/>
      <c r="L766" s="464"/>
      <c r="M766" s="465"/>
      <c r="N766" s="464"/>
      <c r="O766" s="464"/>
      <c r="P766" s="464"/>
      <c r="Q766" s="444"/>
      <c r="R766" s="444"/>
      <c r="S766" s="444"/>
      <c r="T766" s="444"/>
      <c r="U766" s="444"/>
      <c r="V766" s="444"/>
      <c r="W766" s="444"/>
    </row>
    <row r="767" spans="1:23" ht="15.75">
      <c r="A767" s="463"/>
      <c r="B767" s="464"/>
      <c r="C767" s="464"/>
      <c r="D767" s="464"/>
      <c r="E767" s="464"/>
      <c r="F767" s="464"/>
      <c r="G767" s="464"/>
      <c r="H767" s="464"/>
      <c r="I767" s="464"/>
      <c r="J767" s="464"/>
      <c r="K767" s="464"/>
      <c r="L767" s="464"/>
      <c r="M767" s="465"/>
      <c r="N767" s="464"/>
      <c r="O767" s="464"/>
      <c r="P767" s="464"/>
      <c r="Q767" s="444"/>
      <c r="R767" s="444"/>
      <c r="S767" s="444"/>
      <c r="T767" s="444"/>
      <c r="U767" s="444"/>
      <c r="V767" s="444"/>
      <c r="W767" s="444"/>
    </row>
    <row r="768" spans="1:23" ht="15.75">
      <c r="A768" s="463"/>
      <c r="B768" s="464"/>
      <c r="C768" s="464"/>
      <c r="D768" s="464"/>
      <c r="E768" s="464"/>
      <c r="F768" s="464"/>
      <c r="G768" s="464"/>
      <c r="H768" s="464"/>
      <c r="I768" s="464"/>
      <c r="J768" s="464"/>
      <c r="K768" s="464"/>
      <c r="L768" s="464"/>
      <c r="M768" s="465"/>
      <c r="N768" s="464"/>
      <c r="O768" s="464"/>
      <c r="P768" s="464"/>
      <c r="Q768" s="444"/>
      <c r="R768" s="444"/>
      <c r="S768" s="444"/>
      <c r="T768" s="444"/>
      <c r="U768" s="444"/>
      <c r="V768" s="444"/>
      <c r="W768" s="444"/>
    </row>
    <row r="769" spans="1:23" ht="15.75">
      <c r="A769" s="463"/>
      <c r="B769" s="464"/>
      <c r="C769" s="464"/>
      <c r="D769" s="464"/>
      <c r="E769" s="464"/>
      <c r="F769" s="464"/>
      <c r="G769" s="464"/>
      <c r="H769" s="464"/>
      <c r="I769" s="464"/>
      <c r="J769" s="464"/>
      <c r="K769" s="464"/>
      <c r="L769" s="464"/>
      <c r="M769" s="465"/>
      <c r="N769" s="464"/>
      <c r="O769" s="464"/>
      <c r="P769" s="464"/>
      <c r="Q769" s="444"/>
      <c r="R769" s="444"/>
      <c r="S769" s="444"/>
      <c r="T769" s="444"/>
      <c r="U769" s="444"/>
      <c r="V769" s="444"/>
      <c r="W769" s="444"/>
    </row>
    <row r="770" spans="1:23" ht="15.75">
      <c r="A770" s="463"/>
      <c r="B770" s="464"/>
      <c r="C770" s="464"/>
      <c r="D770" s="464"/>
      <c r="E770" s="464"/>
      <c r="F770" s="464"/>
      <c r="G770" s="464"/>
      <c r="H770" s="464"/>
      <c r="I770" s="464"/>
      <c r="J770" s="464"/>
      <c r="K770" s="464"/>
      <c r="L770" s="464"/>
      <c r="M770" s="465"/>
      <c r="N770" s="464"/>
      <c r="O770" s="464"/>
      <c r="P770" s="464"/>
      <c r="Q770" s="444"/>
      <c r="R770" s="444"/>
      <c r="S770" s="444"/>
      <c r="T770" s="444"/>
      <c r="U770" s="444"/>
      <c r="V770" s="444"/>
      <c r="W770" s="444"/>
    </row>
    <row r="771" spans="1:23" ht="15.75">
      <c r="A771" s="463"/>
      <c r="B771" s="464"/>
      <c r="C771" s="464"/>
      <c r="D771" s="464"/>
      <c r="E771" s="464"/>
      <c r="F771" s="464"/>
      <c r="G771" s="464"/>
      <c r="H771" s="464"/>
      <c r="I771" s="464"/>
      <c r="J771" s="464"/>
      <c r="K771" s="464"/>
      <c r="L771" s="464"/>
      <c r="M771" s="465"/>
      <c r="N771" s="464"/>
      <c r="O771" s="464"/>
      <c r="P771" s="464"/>
      <c r="Q771" s="444"/>
      <c r="R771" s="444"/>
      <c r="S771" s="444"/>
      <c r="T771" s="444"/>
      <c r="U771" s="444"/>
      <c r="V771" s="444"/>
      <c r="W771" s="444"/>
    </row>
    <row r="772" spans="1:23" ht="15.75">
      <c r="A772" s="463"/>
      <c r="B772" s="464"/>
      <c r="C772" s="464"/>
      <c r="D772" s="464"/>
      <c r="E772" s="464"/>
      <c r="F772" s="464"/>
      <c r="G772" s="464"/>
      <c r="H772" s="464"/>
      <c r="I772" s="464"/>
      <c r="J772" s="464"/>
      <c r="K772" s="464"/>
      <c r="L772" s="464"/>
      <c r="M772" s="465"/>
      <c r="N772" s="464"/>
      <c r="O772" s="464"/>
      <c r="P772" s="464"/>
      <c r="Q772" s="444"/>
      <c r="R772" s="444"/>
      <c r="S772" s="444"/>
      <c r="T772" s="444"/>
      <c r="U772" s="444"/>
      <c r="V772" s="444"/>
      <c r="W772" s="444"/>
    </row>
    <row r="773" spans="1:23" ht="15.75">
      <c r="A773" s="463"/>
      <c r="B773" s="464"/>
      <c r="C773" s="464"/>
      <c r="D773" s="464"/>
      <c r="E773" s="464"/>
      <c r="F773" s="464"/>
      <c r="G773" s="464"/>
      <c r="H773" s="464"/>
      <c r="I773" s="464"/>
      <c r="J773" s="464"/>
      <c r="K773" s="464"/>
      <c r="L773" s="464"/>
      <c r="M773" s="465"/>
      <c r="N773" s="464"/>
      <c r="O773" s="464"/>
      <c r="P773" s="464"/>
      <c r="Q773" s="444"/>
      <c r="R773" s="444"/>
      <c r="S773" s="444"/>
      <c r="T773" s="444"/>
      <c r="U773" s="444"/>
      <c r="V773" s="444"/>
      <c r="W773" s="444"/>
    </row>
    <row r="774" spans="1:23" ht="15.75">
      <c r="A774" s="463"/>
      <c r="B774" s="464"/>
      <c r="C774" s="464"/>
      <c r="D774" s="464"/>
      <c r="E774" s="464"/>
      <c r="F774" s="464"/>
      <c r="G774" s="464"/>
      <c r="H774" s="464"/>
      <c r="I774" s="464"/>
      <c r="J774" s="464"/>
      <c r="K774" s="464"/>
      <c r="L774" s="464"/>
      <c r="M774" s="465"/>
      <c r="N774" s="464"/>
      <c r="O774" s="464"/>
      <c r="P774" s="464"/>
      <c r="Q774" s="444"/>
      <c r="R774" s="444"/>
      <c r="S774" s="444"/>
      <c r="T774" s="444"/>
      <c r="U774" s="444"/>
      <c r="V774" s="444"/>
      <c r="W774" s="444"/>
    </row>
    <row r="775" spans="1:23" ht="15.75">
      <c r="A775" s="463"/>
      <c r="B775" s="464"/>
      <c r="C775" s="464"/>
      <c r="D775" s="464"/>
      <c r="E775" s="464"/>
      <c r="F775" s="464"/>
      <c r="G775" s="464"/>
      <c r="H775" s="464"/>
      <c r="I775" s="464"/>
      <c r="J775" s="464"/>
      <c r="K775" s="464"/>
      <c r="L775" s="464"/>
      <c r="M775" s="465"/>
      <c r="N775" s="464"/>
      <c r="O775" s="464"/>
      <c r="P775" s="464"/>
      <c r="Q775" s="444"/>
      <c r="R775" s="444"/>
      <c r="S775" s="444"/>
      <c r="T775" s="444"/>
      <c r="U775" s="444"/>
      <c r="V775" s="444"/>
      <c r="W775" s="444"/>
    </row>
    <row r="776" spans="1:23" ht="15.75">
      <c r="A776" s="463"/>
      <c r="B776" s="464"/>
      <c r="C776" s="464"/>
      <c r="D776" s="464"/>
      <c r="E776" s="464"/>
      <c r="F776" s="464"/>
      <c r="G776" s="464"/>
      <c r="H776" s="464"/>
      <c r="I776" s="464"/>
      <c r="J776" s="464"/>
      <c r="K776" s="464"/>
      <c r="L776" s="464"/>
      <c r="M776" s="465"/>
      <c r="N776" s="464"/>
      <c r="O776" s="464"/>
      <c r="P776" s="464"/>
      <c r="Q776" s="444"/>
      <c r="R776" s="444"/>
      <c r="S776" s="444"/>
      <c r="T776" s="444"/>
      <c r="U776" s="444"/>
      <c r="V776" s="444"/>
      <c r="W776" s="444"/>
    </row>
    <row r="777" spans="1:23" ht="15.75">
      <c r="A777" s="463"/>
      <c r="B777" s="464"/>
      <c r="C777" s="464"/>
      <c r="D777" s="464"/>
      <c r="E777" s="464"/>
      <c r="F777" s="464"/>
      <c r="G777" s="464"/>
      <c r="H777" s="464"/>
      <c r="I777" s="464"/>
      <c r="J777" s="464"/>
      <c r="K777" s="464"/>
      <c r="L777" s="464"/>
      <c r="M777" s="465"/>
      <c r="N777" s="464"/>
      <c r="O777" s="464"/>
      <c r="P777" s="464"/>
      <c r="Q777" s="444"/>
      <c r="R777" s="444"/>
      <c r="S777" s="444"/>
      <c r="T777" s="444"/>
      <c r="U777" s="444"/>
      <c r="V777" s="444"/>
      <c r="W777" s="444"/>
    </row>
    <row r="778" spans="1:23" ht="15.75">
      <c r="A778" s="463"/>
      <c r="B778" s="464"/>
      <c r="C778" s="464"/>
      <c r="D778" s="464"/>
      <c r="E778" s="464"/>
      <c r="F778" s="464"/>
      <c r="G778" s="464"/>
      <c r="H778" s="464"/>
      <c r="I778" s="464"/>
      <c r="J778" s="464"/>
      <c r="K778" s="464"/>
      <c r="L778" s="464"/>
      <c r="M778" s="465"/>
      <c r="N778" s="464"/>
      <c r="O778" s="464"/>
      <c r="P778" s="464"/>
      <c r="Q778" s="444"/>
      <c r="R778" s="444"/>
      <c r="S778" s="444"/>
      <c r="T778" s="444"/>
      <c r="U778" s="444"/>
      <c r="V778" s="444"/>
      <c r="W778" s="444"/>
    </row>
    <row r="779" spans="1:23" ht="15.75">
      <c r="A779" s="463"/>
      <c r="B779" s="464"/>
      <c r="C779" s="464"/>
      <c r="D779" s="464"/>
      <c r="E779" s="464"/>
      <c r="F779" s="464"/>
      <c r="G779" s="464"/>
      <c r="H779" s="464"/>
      <c r="I779" s="464"/>
      <c r="J779" s="464"/>
      <c r="K779" s="464"/>
      <c r="L779" s="464"/>
      <c r="M779" s="465"/>
      <c r="N779" s="464"/>
      <c r="O779" s="464"/>
      <c r="P779" s="464"/>
      <c r="Q779" s="444"/>
      <c r="R779" s="444"/>
      <c r="S779" s="444"/>
      <c r="T779" s="444"/>
      <c r="U779" s="444"/>
      <c r="V779" s="444"/>
      <c r="W779" s="444"/>
    </row>
    <row r="780" spans="1:23" ht="15.75">
      <c r="A780" s="463"/>
      <c r="B780" s="464"/>
      <c r="C780" s="464"/>
      <c r="D780" s="464"/>
      <c r="E780" s="464"/>
      <c r="F780" s="464"/>
      <c r="G780" s="464"/>
      <c r="H780" s="464"/>
      <c r="I780" s="464"/>
      <c r="J780" s="464"/>
      <c r="K780" s="464"/>
      <c r="L780" s="464"/>
      <c r="M780" s="465"/>
      <c r="N780" s="464"/>
      <c r="O780" s="464"/>
      <c r="P780" s="464"/>
      <c r="Q780" s="444"/>
      <c r="R780" s="444"/>
      <c r="S780" s="444"/>
      <c r="T780" s="444"/>
      <c r="U780" s="444"/>
      <c r="V780" s="444"/>
      <c r="W780" s="444"/>
    </row>
    <row r="781" spans="1:23" ht="15.75">
      <c r="A781" s="463"/>
      <c r="B781" s="464"/>
      <c r="C781" s="464"/>
      <c r="D781" s="464"/>
      <c r="E781" s="464"/>
      <c r="F781" s="464"/>
      <c r="G781" s="464"/>
      <c r="H781" s="464"/>
      <c r="I781" s="464"/>
      <c r="J781" s="464"/>
      <c r="K781" s="464"/>
      <c r="L781" s="464"/>
      <c r="M781" s="465"/>
      <c r="N781" s="464"/>
      <c r="O781" s="464"/>
      <c r="P781" s="464"/>
      <c r="Q781" s="444"/>
      <c r="R781" s="444"/>
      <c r="S781" s="444"/>
      <c r="T781" s="444"/>
      <c r="U781" s="444"/>
      <c r="V781" s="444"/>
      <c r="W781" s="444"/>
    </row>
    <row r="782" spans="1:23" ht="15.75">
      <c r="A782" s="463"/>
      <c r="B782" s="464"/>
      <c r="C782" s="464"/>
      <c r="D782" s="464"/>
      <c r="E782" s="464"/>
      <c r="F782" s="464"/>
      <c r="G782" s="464"/>
      <c r="H782" s="464"/>
      <c r="I782" s="464"/>
      <c r="J782" s="464"/>
      <c r="K782" s="464"/>
      <c r="L782" s="464"/>
      <c r="M782" s="465"/>
      <c r="N782" s="464"/>
      <c r="O782" s="464"/>
      <c r="P782" s="464"/>
      <c r="Q782" s="444"/>
      <c r="R782" s="444"/>
      <c r="S782" s="444"/>
      <c r="T782" s="444"/>
      <c r="U782" s="444"/>
      <c r="V782" s="444"/>
      <c r="W782" s="444"/>
    </row>
    <row r="783" spans="1:23" ht="15.75">
      <c r="A783" s="463"/>
      <c r="B783" s="464"/>
      <c r="C783" s="464"/>
      <c r="D783" s="464"/>
      <c r="E783" s="464"/>
      <c r="F783" s="464"/>
      <c r="G783" s="464"/>
      <c r="H783" s="464"/>
      <c r="I783" s="464"/>
      <c r="J783" s="464"/>
      <c r="K783" s="464"/>
      <c r="L783" s="464"/>
      <c r="M783" s="465"/>
      <c r="N783" s="464"/>
      <c r="O783" s="464"/>
      <c r="P783" s="464"/>
      <c r="Q783" s="444"/>
      <c r="R783" s="444"/>
      <c r="S783" s="444"/>
      <c r="T783" s="444"/>
      <c r="U783" s="444"/>
      <c r="V783" s="444"/>
      <c r="W783" s="444"/>
    </row>
    <row r="784" spans="1:23" ht="15.75">
      <c r="A784" s="463"/>
      <c r="B784" s="464"/>
      <c r="C784" s="464"/>
      <c r="D784" s="464"/>
      <c r="E784" s="464"/>
      <c r="F784" s="464"/>
      <c r="G784" s="464"/>
      <c r="H784" s="464"/>
      <c r="I784" s="464"/>
      <c r="J784" s="464"/>
      <c r="K784" s="464"/>
      <c r="L784" s="464"/>
      <c r="M784" s="465"/>
      <c r="N784" s="464"/>
      <c r="O784" s="464"/>
      <c r="P784" s="464"/>
      <c r="Q784" s="444"/>
      <c r="R784" s="444"/>
      <c r="S784" s="444"/>
      <c r="T784" s="444"/>
      <c r="U784" s="444"/>
      <c r="V784" s="444"/>
      <c r="W784" s="444"/>
    </row>
    <row r="785" spans="1:23" ht="15.75">
      <c r="A785" s="463"/>
      <c r="B785" s="464"/>
      <c r="C785" s="464"/>
      <c r="D785" s="464"/>
      <c r="E785" s="464"/>
      <c r="F785" s="464"/>
      <c r="G785" s="464"/>
      <c r="H785" s="464"/>
      <c r="I785" s="464"/>
      <c r="J785" s="464"/>
      <c r="K785" s="464"/>
      <c r="L785" s="464"/>
      <c r="M785" s="465"/>
      <c r="N785" s="464"/>
      <c r="O785" s="464"/>
      <c r="P785" s="464"/>
      <c r="Q785" s="444"/>
      <c r="R785" s="444"/>
      <c r="S785" s="444"/>
      <c r="T785" s="444"/>
      <c r="U785" s="444"/>
      <c r="V785" s="444"/>
      <c r="W785" s="444"/>
    </row>
    <row r="786" spans="1:23" ht="15.75">
      <c r="A786" s="463"/>
      <c r="B786" s="464"/>
      <c r="C786" s="464"/>
      <c r="D786" s="464"/>
      <c r="E786" s="464"/>
      <c r="F786" s="464"/>
      <c r="G786" s="464"/>
      <c r="H786" s="464"/>
      <c r="I786" s="464"/>
      <c r="J786" s="464"/>
      <c r="K786" s="464"/>
      <c r="L786" s="464"/>
      <c r="M786" s="465"/>
      <c r="N786" s="464"/>
      <c r="O786" s="464"/>
      <c r="P786" s="464"/>
      <c r="Q786" s="444"/>
      <c r="R786" s="444"/>
      <c r="S786" s="444"/>
      <c r="T786" s="444"/>
      <c r="U786" s="444"/>
      <c r="V786" s="444"/>
      <c r="W786" s="444"/>
    </row>
    <row r="787" spans="1:23" ht="15.75">
      <c r="A787" s="463"/>
      <c r="B787" s="464"/>
      <c r="C787" s="464"/>
      <c r="D787" s="464"/>
      <c r="E787" s="464"/>
      <c r="F787" s="464"/>
      <c r="G787" s="464"/>
      <c r="H787" s="464"/>
      <c r="I787" s="464"/>
      <c r="J787" s="464"/>
      <c r="K787" s="464"/>
      <c r="L787" s="464"/>
      <c r="M787" s="465"/>
      <c r="N787" s="464"/>
      <c r="O787" s="464"/>
      <c r="P787" s="464"/>
      <c r="Q787" s="444"/>
      <c r="R787" s="444"/>
      <c r="S787" s="444"/>
      <c r="T787" s="444"/>
      <c r="U787" s="444"/>
      <c r="V787" s="444"/>
      <c r="W787" s="444"/>
    </row>
    <row r="788" spans="1:23" ht="15.75">
      <c r="A788" s="463"/>
      <c r="B788" s="464"/>
      <c r="C788" s="464"/>
      <c r="D788" s="464"/>
      <c r="E788" s="464"/>
      <c r="F788" s="464"/>
      <c r="G788" s="464"/>
      <c r="H788" s="464"/>
      <c r="I788" s="464"/>
      <c r="J788" s="464"/>
      <c r="K788" s="464"/>
      <c r="L788" s="464"/>
      <c r="M788" s="465"/>
      <c r="N788" s="464"/>
      <c r="O788" s="464"/>
      <c r="P788" s="464"/>
      <c r="Q788" s="444"/>
      <c r="R788" s="444"/>
      <c r="S788" s="444"/>
      <c r="T788" s="444"/>
      <c r="U788" s="444"/>
      <c r="V788" s="444"/>
      <c r="W788" s="444"/>
    </row>
    <row r="789" spans="1:23" ht="15.75">
      <c r="A789" s="463"/>
      <c r="B789" s="464"/>
      <c r="C789" s="464"/>
      <c r="D789" s="464"/>
      <c r="E789" s="464"/>
      <c r="F789" s="464"/>
      <c r="G789" s="464"/>
      <c r="H789" s="464"/>
      <c r="I789" s="464"/>
      <c r="J789" s="464"/>
      <c r="K789" s="464"/>
      <c r="L789" s="464"/>
      <c r="M789" s="465"/>
      <c r="N789" s="464"/>
      <c r="O789" s="464"/>
      <c r="P789" s="464"/>
      <c r="Q789" s="444"/>
      <c r="R789" s="444"/>
      <c r="S789" s="444"/>
      <c r="T789" s="444"/>
      <c r="U789" s="444"/>
      <c r="V789" s="444"/>
      <c r="W789" s="444"/>
    </row>
    <row r="790" spans="1:23" ht="15.75">
      <c r="A790" s="463"/>
      <c r="B790" s="464"/>
      <c r="C790" s="464"/>
      <c r="D790" s="464"/>
      <c r="E790" s="464"/>
      <c r="F790" s="464"/>
      <c r="G790" s="464"/>
      <c r="H790" s="464"/>
      <c r="I790" s="464"/>
      <c r="J790" s="464"/>
      <c r="K790" s="464"/>
      <c r="L790" s="464"/>
      <c r="M790" s="465"/>
      <c r="N790" s="464"/>
      <c r="O790" s="464"/>
      <c r="P790" s="464"/>
      <c r="Q790" s="444"/>
      <c r="R790" s="444"/>
      <c r="S790" s="444"/>
      <c r="T790" s="444"/>
      <c r="U790" s="444"/>
      <c r="V790" s="444"/>
      <c r="W790" s="444"/>
    </row>
    <row r="791" spans="1:23" ht="15.75">
      <c r="A791" s="463"/>
      <c r="B791" s="464"/>
      <c r="C791" s="464"/>
      <c r="D791" s="464"/>
      <c r="E791" s="464"/>
      <c r="F791" s="464"/>
      <c r="G791" s="464"/>
      <c r="H791" s="464"/>
      <c r="I791" s="464"/>
      <c r="J791" s="464"/>
      <c r="K791" s="464"/>
      <c r="L791" s="464"/>
      <c r="M791" s="465"/>
      <c r="N791" s="464"/>
      <c r="O791" s="464"/>
      <c r="P791" s="464"/>
      <c r="Q791" s="444"/>
      <c r="R791" s="444"/>
      <c r="S791" s="444"/>
      <c r="T791" s="444"/>
      <c r="U791" s="444"/>
      <c r="V791" s="444"/>
      <c r="W791" s="444"/>
    </row>
    <row r="792" spans="1:23" ht="15.75">
      <c r="A792" s="463"/>
      <c r="B792" s="464"/>
      <c r="C792" s="464"/>
      <c r="D792" s="464"/>
      <c r="E792" s="464"/>
      <c r="F792" s="464"/>
      <c r="G792" s="464"/>
      <c r="H792" s="464"/>
      <c r="I792" s="464"/>
      <c r="J792" s="464"/>
      <c r="K792" s="464"/>
      <c r="L792" s="464"/>
      <c r="M792" s="465"/>
      <c r="N792" s="464"/>
      <c r="O792" s="464"/>
      <c r="P792" s="464"/>
      <c r="Q792" s="444"/>
      <c r="R792" s="444"/>
      <c r="S792" s="444"/>
      <c r="T792" s="444"/>
      <c r="U792" s="444"/>
      <c r="V792" s="444"/>
      <c r="W792" s="444"/>
    </row>
    <row r="793" spans="1:23" ht="15.75">
      <c r="A793" s="463"/>
      <c r="B793" s="464"/>
      <c r="C793" s="464"/>
      <c r="D793" s="464"/>
      <c r="E793" s="464"/>
      <c r="F793" s="464"/>
      <c r="G793" s="464"/>
      <c r="H793" s="464"/>
      <c r="I793" s="464"/>
      <c r="J793" s="464"/>
      <c r="K793" s="464"/>
      <c r="L793" s="464"/>
      <c r="M793" s="465"/>
      <c r="N793" s="464"/>
      <c r="O793" s="464"/>
      <c r="P793" s="464"/>
      <c r="Q793" s="444"/>
      <c r="R793" s="444"/>
      <c r="S793" s="444"/>
      <c r="T793" s="444"/>
      <c r="U793" s="444"/>
      <c r="V793" s="444"/>
      <c r="W793" s="444"/>
    </row>
    <row r="794" spans="1:23" ht="15.75">
      <c r="A794" s="463"/>
      <c r="B794" s="464"/>
      <c r="C794" s="464"/>
      <c r="D794" s="464"/>
      <c r="E794" s="464"/>
      <c r="F794" s="464"/>
      <c r="G794" s="464"/>
      <c r="H794" s="464"/>
      <c r="I794" s="464"/>
      <c r="J794" s="464"/>
      <c r="K794" s="464"/>
      <c r="L794" s="464"/>
      <c r="M794" s="465"/>
      <c r="N794" s="464"/>
      <c r="O794" s="464"/>
      <c r="P794" s="464"/>
      <c r="Q794" s="444"/>
      <c r="R794" s="444"/>
      <c r="S794" s="444"/>
      <c r="T794" s="444"/>
      <c r="U794" s="444"/>
      <c r="V794" s="444"/>
      <c r="W794" s="444"/>
    </row>
    <row r="795" spans="1:23" ht="15.75">
      <c r="A795" s="463"/>
      <c r="B795" s="464"/>
      <c r="C795" s="464"/>
      <c r="D795" s="464"/>
      <c r="E795" s="464"/>
      <c r="F795" s="464"/>
      <c r="G795" s="464"/>
      <c r="H795" s="464"/>
      <c r="I795" s="464"/>
      <c r="J795" s="464"/>
      <c r="K795" s="464"/>
      <c r="L795" s="464"/>
      <c r="M795" s="465"/>
      <c r="N795" s="464"/>
      <c r="O795" s="464"/>
      <c r="P795" s="464"/>
      <c r="Q795" s="444"/>
      <c r="R795" s="444"/>
      <c r="S795" s="444"/>
      <c r="T795" s="444"/>
      <c r="U795" s="444"/>
      <c r="V795" s="444"/>
      <c r="W795" s="444"/>
    </row>
    <row r="796" spans="1:23" ht="15.75">
      <c r="A796" s="463"/>
      <c r="B796" s="464"/>
      <c r="C796" s="464"/>
      <c r="D796" s="464"/>
      <c r="E796" s="464"/>
      <c r="F796" s="464"/>
      <c r="G796" s="464"/>
      <c r="H796" s="464"/>
      <c r="I796" s="464"/>
      <c r="J796" s="464"/>
      <c r="K796" s="464"/>
      <c r="L796" s="464"/>
      <c r="M796" s="465"/>
      <c r="N796" s="464"/>
      <c r="O796" s="464"/>
      <c r="P796" s="464"/>
      <c r="Q796" s="444"/>
      <c r="R796" s="444"/>
      <c r="S796" s="444"/>
      <c r="T796" s="444"/>
      <c r="U796" s="444"/>
      <c r="V796" s="444"/>
      <c r="W796" s="444"/>
    </row>
    <row r="797" spans="1:23" ht="15.75">
      <c r="A797" s="463"/>
      <c r="B797" s="464"/>
      <c r="C797" s="464"/>
      <c r="D797" s="464"/>
      <c r="E797" s="464"/>
      <c r="F797" s="464"/>
      <c r="G797" s="464"/>
      <c r="H797" s="464"/>
      <c r="I797" s="464"/>
      <c r="J797" s="464"/>
      <c r="K797" s="464"/>
      <c r="L797" s="464"/>
      <c r="M797" s="465"/>
      <c r="N797" s="464"/>
      <c r="O797" s="464"/>
      <c r="P797" s="464"/>
      <c r="Q797" s="444"/>
      <c r="R797" s="444"/>
      <c r="S797" s="444"/>
      <c r="T797" s="444"/>
      <c r="U797" s="444"/>
      <c r="V797" s="444"/>
      <c r="W797" s="444"/>
    </row>
    <row r="798" spans="1:23" ht="15.75">
      <c r="A798" s="463"/>
      <c r="B798" s="464"/>
      <c r="C798" s="464"/>
      <c r="D798" s="464"/>
      <c r="E798" s="464"/>
      <c r="F798" s="464"/>
      <c r="G798" s="464"/>
      <c r="H798" s="464"/>
      <c r="I798" s="464"/>
      <c r="J798" s="464"/>
      <c r="K798" s="464"/>
      <c r="L798" s="464"/>
      <c r="M798" s="465"/>
      <c r="N798" s="464"/>
      <c r="O798" s="464"/>
      <c r="P798" s="464"/>
      <c r="Q798" s="444"/>
      <c r="R798" s="444"/>
      <c r="S798" s="444"/>
      <c r="T798" s="444"/>
      <c r="U798" s="444"/>
      <c r="V798" s="444"/>
      <c r="W798" s="444"/>
    </row>
    <row r="799" spans="1:23" ht="15.75">
      <c r="A799" s="463"/>
      <c r="B799" s="464"/>
      <c r="C799" s="464"/>
      <c r="D799" s="464"/>
      <c r="E799" s="464"/>
      <c r="F799" s="464"/>
      <c r="G799" s="464"/>
      <c r="H799" s="464"/>
      <c r="I799" s="464"/>
      <c r="J799" s="464"/>
      <c r="K799" s="464"/>
      <c r="L799" s="464"/>
      <c r="M799" s="465"/>
      <c r="N799" s="464"/>
      <c r="O799" s="464"/>
      <c r="P799" s="464"/>
      <c r="Q799" s="444"/>
      <c r="R799" s="444"/>
      <c r="S799" s="444"/>
      <c r="T799" s="444"/>
      <c r="U799" s="444"/>
      <c r="V799" s="444"/>
      <c r="W799" s="444"/>
    </row>
    <row r="800" spans="1:23" ht="15.75">
      <c r="A800" s="463"/>
      <c r="B800" s="464"/>
      <c r="C800" s="464"/>
      <c r="D800" s="464"/>
      <c r="E800" s="464"/>
      <c r="F800" s="464"/>
      <c r="G800" s="464"/>
      <c r="H800" s="464"/>
      <c r="I800" s="464"/>
      <c r="J800" s="464"/>
      <c r="K800" s="464"/>
      <c r="L800" s="464"/>
      <c r="M800" s="465"/>
      <c r="N800" s="464"/>
      <c r="O800" s="464"/>
      <c r="P800" s="464"/>
      <c r="Q800" s="444"/>
      <c r="R800" s="444"/>
      <c r="S800" s="444"/>
      <c r="T800" s="444"/>
      <c r="U800" s="444"/>
      <c r="V800" s="444"/>
      <c r="W800" s="444"/>
    </row>
    <row r="801" spans="1:23" ht="15.75">
      <c r="A801" s="463"/>
      <c r="B801" s="464"/>
      <c r="C801" s="464"/>
      <c r="D801" s="464"/>
      <c r="E801" s="464"/>
      <c r="F801" s="464"/>
      <c r="G801" s="464"/>
      <c r="H801" s="464"/>
      <c r="I801" s="464"/>
      <c r="J801" s="464"/>
      <c r="K801" s="464"/>
      <c r="L801" s="464"/>
      <c r="M801" s="465"/>
      <c r="N801" s="464"/>
      <c r="O801" s="464"/>
      <c r="P801" s="464"/>
      <c r="Q801" s="444"/>
      <c r="R801" s="444"/>
      <c r="S801" s="444"/>
      <c r="T801" s="444"/>
      <c r="U801" s="444"/>
      <c r="V801" s="444"/>
      <c r="W801" s="444"/>
    </row>
    <row r="802" spans="1:23" ht="15.75">
      <c r="A802" s="463"/>
      <c r="B802" s="464"/>
      <c r="C802" s="464"/>
      <c r="D802" s="464"/>
      <c r="E802" s="464"/>
      <c r="F802" s="464"/>
      <c r="G802" s="464"/>
      <c r="H802" s="464"/>
      <c r="I802" s="464"/>
      <c r="J802" s="464"/>
      <c r="K802" s="464"/>
      <c r="L802" s="464"/>
      <c r="M802" s="465"/>
      <c r="N802" s="464"/>
      <c r="O802" s="464"/>
      <c r="P802" s="464"/>
      <c r="Q802" s="444"/>
      <c r="R802" s="444"/>
      <c r="S802" s="444"/>
      <c r="T802" s="444"/>
      <c r="U802" s="444"/>
      <c r="V802" s="444"/>
      <c r="W802" s="444"/>
    </row>
    <row r="803" spans="1:23" ht="15.75">
      <c r="A803" s="463"/>
      <c r="B803" s="464"/>
      <c r="C803" s="464"/>
      <c r="D803" s="464"/>
      <c r="E803" s="464"/>
      <c r="F803" s="464"/>
      <c r="G803" s="464"/>
      <c r="H803" s="464"/>
      <c r="I803" s="464"/>
      <c r="J803" s="464"/>
      <c r="K803" s="464"/>
      <c r="L803" s="464"/>
      <c r="M803" s="465"/>
      <c r="N803" s="464"/>
      <c r="O803" s="464"/>
      <c r="P803" s="464"/>
      <c r="Q803" s="444"/>
      <c r="R803" s="444"/>
      <c r="S803" s="444"/>
      <c r="T803" s="444"/>
      <c r="U803" s="444"/>
      <c r="V803" s="444"/>
      <c r="W803" s="444"/>
    </row>
    <row r="804" spans="1:23" ht="15.75">
      <c r="A804" s="463"/>
      <c r="B804" s="464"/>
      <c r="C804" s="464"/>
      <c r="D804" s="464"/>
      <c r="E804" s="464"/>
      <c r="F804" s="464"/>
      <c r="G804" s="464"/>
      <c r="H804" s="464"/>
      <c r="I804" s="464"/>
      <c r="J804" s="464"/>
      <c r="K804" s="464"/>
      <c r="L804" s="464"/>
      <c r="M804" s="465"/>
      <c r="N804" s="464"/>
      <c r="O804" s="464"/>
      <c r="P804" s="464"/>
      <c r="Q804" s="444"/>
      <c r="R804" s="444"/>
      <c r="S804" s="444"/>
      <c r="T804" s="444"/>
      <c r="U804" s="444"/>
      <c r="V804" s="444"/>
      <c r="W804" s="444"/>
    </row>
    <row r="805" spans="1:23" ht="15.75">
      <c r="A805" s="463"/>
      <c r="B805" s="464"/>
      <c r="C805" s="464"/>
      <c r="D805" s="464"/>
      <c r="E805" s="464"/>
      <c r="F805" s="464"/>
      <c r="G805" s="464"/>
      <c r="H805" s="464"/>
      <c r="I805" s="464"/>
      <c r="J805" s="464"/>
      <c r="K805" s="464"/>
      <c r="L805" s="464"/>
      <c r="M805" s="465"/>
      <c r="N805" s="464"/>
      <c r="O805" s="464"/>
      <c r="P805" s="464"/>
      <c r="Q805" s="444"/>
      <c r="R805" s="444"/>
      <c r="S805" s="444"/>
      <c r="T805" s="444"/>
      <c r="U805" s="444"/>
      <c r="V805" s="444"/>
      <c r="W805" s="444"/>
    </row>
    <row r="806" spans="1:23" ht="15.75">
      <c r="A806" s="463"/>
      <c r="B806" s="464"/>
      <c r="C806" s="464"/>
      <c r="D806" s="464"/>
      <c r="E806" s="464"/>
      <c r="F806" s="464"/>
      <c r="G806" s="464"/>
      <c r="H806" s="464"/>
      <c r="I806" s="464"/>
      <c r="J806" s="464"/>
      <c r="K806" s="464"/>
      <c r="L806" s="464"/>
      <c r="M806" s="465"/>
      <c r="N806" s="464"/>
      <c r="O806" s="464"/>
      <c r="P806" s="464"/>
      <c r="Q806" s="444"/>
      <c r="R806" s="444"/>
      <c r="S806" s="444"/>
      <c r="T806" s="444"/>
      <c r="U806" s="444"/>
      <c r="V806" s="444"/>
      <c r="W806" s="444"/>
    </row>
    <row r="807" spans="1:23" ht="15.75">
      <c r="A807" s="463"/>
      <c r="B807" s="464"/>
      <c r="C807" s="464"/>
      <c r="D807" s="464"/>
      <c r="E807" s="464"/>
      <c r="F807" s="464"/>
      <c r="G807" s="464"/>
      <c r="H807" s="464"/>
      <c r="I807" s="464"/>
      <c r="J807" s="464"/>
      <c r="K807" s="464"/>
      <c r="L807" s="464"/>
      <c r="M807" s="465"/>
      <c r="N807" s="464"/>
      <c r="O807" s="464"/>
      <c r="P807" s="464"/>
      <c r="Q807" s="444"/>
      <c r="R807" s="444"/>
      <c r="S807" s="444"/>
      <c r="T807" s="444"/>
      <c r="U807" s="444"/>
      <c r="V807" s="444"/>
      <c r="W807" s="444"/>
    </row>
    <row r="808" spans="1:23" ht="15.75">
      <c r="A808" s="463"/>
      <c r="B808" s="464"/>
      <c r="C808" s="464"/>
      <c r="D808" s="464"/>
      <c r="E808" s="464"/>
      <c r="F808" s="464"/>
      <c r="G808" s="464"/>
      <c r="H808" s="464"/>
      <c r="I808" s="464"/>
      <c r="J808" s="464"/>
      <c r="K808" s="464"/>
      <c r="L808" s="464"/>
      <c r="M808" s="465"/>
      <c r="N808" s="464"/>
      <c r="O808" s="464"/>
      <c r="P808" s="464"/>
      <c r="Q808" s="444"/>
      <c r="R808" s="444"/>
      <c r="S808" s="444"/>
      <c r="T808" s="444"/>
      <c r="U808" s="444"/>
      <c r="V808" s="444"/>
      <c r="W808" s="444"/>
    </row>
    <row r="809" spans="1:23" ht="15.75">
      <c r="A809" s="463"/>
      <c r="B809" s="464"/>
      <c r="C809" s="464"/>
      <c r="D809" s="464"/>
      <c r="E809" s="464"/>
      <c r="F809" s="464"/>
      <c r="G809" s="464"/>
      <c r="H809" s="464"/>
      <c r="I809" s="464"/>
      <c r="J809" s="464"/>
      <c r="K809" s="464"/>
      <c r="L809" s="464"/>
      <c r="M809" s="465"/>
      <c r="N809" s="464"/>
      <c r="O809" s="464"/>
      <c r="P809" s="464"/>
      <c r="Q809" s="444"/>
      <c r="R809" s="444"/>
      <c r="S809" s="444"/>
      <c r="T809" s="444"/>
      <c r="U809" s="444"/>
      <c r="V809" s="444"/>
      <c r="W809" s="444"/>
    </row>
    <row r="810" spans="1:23" ht="15.75">
      <c r="A810" s="463"/>
      <c r="B810" s="464"/>
      <c r="C810" s="464"/>
      <c r="D810" s="464"/>
      <c r="E810" s="464"/>
      <c r="F810" s="464"/>
      <c r="G810" s="464"/>
      <c r="H810" s="464"/>
      <c r="I810" s="464"/>
      <c r="J810" s="464"/>
      <c r="K810" s="464"/>
      <c r="L810" s="464"/>
      <c r="M810" s="465"/>
      <c r="N810" s="464"/>
      <c r="O810" s="464"/>
      <c r="P810" s="464"/>
      <c r="Q810" s="444"/>
      <c r="R810" s="444"/>
      <c r="S810" s="444"/>
      <c r="T810" s="444"/>
      <c r="U810" s="444"/>
      <c r="V810" s="444"/>
      <c r="W810" s="444"/>
    </row>
    <row r="811" spans="1:23" ht="15.75">
      <c r="A811" s="463"/>
      <c r="B811" s="464"/>
      <c r="C811" s="464"/>
      <c r="D811" s="464"/>
      <c r="E811" s="464"/>
      <c r="F811" s="464"/>
      <c r="G811" s="464"/>
      <c r="H811" s="464"/>
      <c r="I811" s="464"/>
      <c r="J811" s="464"/>
      <c r="K811" s="464"/>
      <c r="L811" s="464"/>
      <c r="M811" s="465"/>
      <c r="N811" s="464"/>
      <c r="O811" s="464"/>
      <c r="P811" s="464"/>
      <c r="Q811" s="444"/>
      <c r="R811" s="444"/>
      <c r="S811" s="444"/>
      <c r="T811" s="444"/>
      <c r="U811" s="444"/>
      <c r="V811" s="444"/>
      <c r="W811" s="444"/>
    </row>
    <row r="812" spans="1:23" ht="15.75">
      <c r="A812" s="463"/>
      <c r="B812" s="464"/>
      <c r="C812" s="464"/>
      <c r="D812" s="464"/>
      <c r="E812" s="464"/>
      <c r="F812" s="464"/>
      <c r="G812" s="464"/>
      <c r="H812" s="464"/>
      <c r="I812" s="464"/>
      <c r="J812" s="464"/>
      <c r="K812" s="464"/>
      <c r="L812" s="464"/>
      <c r="M812" s="465"/>
      <c r="N812" s="464"/>
      <c r="O812" s="464"/>
      <c r="P812" s="464"/>
      <c r="Q812" s="444"/>
      <c r="R812" s="444"/>
      <c r="S812" s="444"/>
      <c r="T812" s="444"/>
      <c r="U812" s="444"/>
      <c r="V812" s="444"/>
      <c r="W812" s="444"/>
    </row>
    <row r="813" spans="1:23" ht="15.75">
      <c r="A813" s="463"/>
      <c r="B813" s="464"/>
      <c r="C813" s="464"/>
      <c r="D813" s="464"/>
      <c r="E813" s="464"/>
      <c r="F813" s="464"/>
      <c r="G813" s="464"/>
      <c r="H813" s="464"/>
      <c r="I813" s="464"/>
      <c r="J813" s="464"/>
      <c r="K813" s="464"/>
      <c r="L813" s="464"/>
      <c r="M813" s="465"/>
      <c r="N813" s="464"/>
      <c r="O813" s="464"/>
      <c r="P813" s="464"/>
      <c r="Q813" s="444"/>
      <c r="R813" s="444"/>
      <c r="S813" s="444"/>
      <c r="T813" s="444"/>
      <c r="U813" s="444"/>
      <c r="V813" s="444"/>
      <c r="W813" s="444"/>
    </row>
    <row r="814" spans="1:23" ht="15.75">
      <c r="A814" s="463"/>
      <c r="B814" s="464"/>
      <c r="C814" s="464"/>
      <c r="D814" s="464"/>
      <c r="E814" s="464"/>
      <c r="F814" s="464"/>
      <c r="G814" s="464"/>
      <c r="H814" s="464"/>
      <c r="I814" s="464"/>
      <c r="J814" s="464"/>
      <c r="K814" s="464"/>
      <c r="L814" s="464"/>
      <c r="M814" s="465"/>
      <c r="N814" s="464"/>
      <c r="O814" s="464"/>
      <c r="P814" s="464"/>
      <c r="Q814" s="444"/>
      <c r="R814" s="444"/>
      <c r="S814" s="444"/>
      <c r="T814" s="444"/>
      <c r="U814" s="444"/>
      <c r="V814" s="444"/>
      <c r="W814" s="444"/>
    </row>
    <row r="815" spans="1:23" ht="15.75">
      <c r="A815" s="463"/>
      <c r="B815" s="464"/>
      <c r="C815" s="464"/>
      <c r="D815" s="464"/>
      <c r="E815" s="464"/>
      <c r="F815" s="464"/>
      <c r="G815" s="464"/>
      <c r="H815" s="464"/>
      <c r="I815" s="464"/>
      <c r="J815" s="464"/>
      <c r="K815" s="464"/>
      <c r="L815" s="464"/>
      <c r="M815" s="465"/>
      <c r="N815" s="464"/>
      <c r="O815" s="464"/>
      <c r="P815" s="464"/>
      <c r="Q815" s="444"/>
      <c r="R815" s="444"/>
      <c r="S815" s="444"/>
      <c r="T815" s="444"/>
      <c r="U815" s="444"/>
      <c r="V815" s="444"/>
      <c r="W815" s="444"/>
    </row>
    <row r="816" spans="1:23" ht="15.75">
      <c r="A816" s="463"/>
      <c r="B816" s="464"/>
      <c r="C816" s="464"/>
      <c r="D816" s="464"/>
      <c r="E816" s="464"/>
      <c r="F816" s="464"/>
      <c r="G816" s="464"/>
      <c r="H816" s="464"/>
      <c r="I816" s="464"/>
      <c r="J816" s="464"/>
      <c r="K816" s="464"/>
      <c r="L816" s="464"/>
      <c r="M816" s="465"/>
      <c r="N816" s="464"/>
      <c r="O816" s="464"/>
      <c r="P816" s="464"/>
      <c r="Q816" s="444"/>
      <c r="R816" s="444"/>
      <c r="S816" s="444"/>
      <c r="T816" s="444"/>
      <c r="U816" s="444"/>
      <c r="V816" s="444"/>
      <c r="W816" s="444"/>
    </row>
    <row r="817" spans="1:23" ht="15.75">
      <c r="A817" s="463"/>
      <c r="B817" s="464"/>
      <c r="C817" s="464"/>
      <c r="D817" s="464"/>
      <c r="E817" s="464"/>
      <c r="F817" s="464"/>
      <c r="G817" s="464"/>
      <c r="H817" s="464"/>
      <c r="I817" s="464"/>
      <c r="J817" s="464"/>
      <c r="K817" s="464"/>
      <c r="L817" s="464"/>
      <c r="M817" s="465"/>
      <c r="N817" s="464"/>
      <c r="O817" s="464"/>
      <c r="P817" s="464"/>
      <c r="Q817" s="444"/>
      <c r="R817" s="444"/>
      <c r="S817" s="444"/>
      <c r="T817" s="444"/>
      <c r="U817" s="444"/>
      <c r="V817" s="444"/>
      <c r="W817" s="444"/>
    </row>
    <row r="818" spans="1:23" ht="15.75">
      <c r="A818" s="463"/>
      <c r="B818" s="464"/>
      <c r="C818" s="464"/>
      <c r="D818" s="464"/>
      <c r="E818" s="464"/>
      <c r="F818" s="464"/>
      <c r="G818" s="464"/>
      <c r="H818" s="464"/>
      <c r="I818" s="464"/>
      <c r="J818" s="464"/>
      <c r="K818" s="464"/>
      <c r="L818" s="464"/>
      <c r="M818" s="465"/>
      <c r="N818" s="464"/>
      <c r="O818" s="464"/>
      <c r="P818" s="464"/>
      <c r="Q818" s="444"/>
      <c r="R818" s="444"/>
      <c r="S818" s="444"/>
      <c r="T818" s="444"/>
      <c r="U818" s="444"/>
      <c r="V818" s="444"/>
      <c r="W818" s="444"/>
    </row>
    <row r="819" spans="1:23" ht="15.75">
      <c r="A819" s="463"/>
      <c r="B819" s="464"/>
      <c r="C819" s="464"/>
      <c r="D819" s="464"/>
      <c r="E819" s="464"/>
      <c r="F819" s="464"/>
      <c r="G819" s="464"/>
      <c r="H819" s="464"/>
      <c r="I819" s="464"/>
      <c r="J819" s="464"/>
      <c r="K819" s="464"/>
      <c r="L819" s="464"/>
      <c r="M819" s="465"/>
      <c r="N819" s="464"/>
      <c r="O819" s="464"/>
      <c r="P819" s="464"/>
      <c r="Q819" s="444"/>
      <c r="R819" s="444"/>
      <c r="S819" s="444"/>
      <c r="T819" s="444"/>
      <c r="U819" s="444"/>
      <c r="V819" s="444"/>
      <c r="W819" s="444"/>
    </row>
    <row r="820" spans="1:23" ht="15.75">
      <c r="A820" s="463"/>
      <c r="B820" s="464"/>
      <c r="C820" s="464"/>
      <c r="D820" s="464"/>
      <c r="E820" s="464"/>
      <c r="F820" s="464"/>
      <c r="G820" s="464"/>
      <c r="H820" s="464"/>
      <c r="I820" s="464"/>
      <c r="J820" s="464"/>
      <c r="K820" s="464"/>
      <c r="L820" s="464"/>
      <c r="M820" s="465"/>
      <c r="N820" s="464"/>
      <c r="O820" s="464"/>
      <c r="P820" s="464"/>
      <c r="Q820" s="444"/>
      <c r="R820" s="444"/>
      <c r="S820" s="444"/>
      <c r="T820" s="444"/>
      <c r="U820" s="444"/>
      <c r="V820" s="444"/>
      <c r="W820" s="444"/>
    </row>
  </sheetData>
  <mergeCells count="23">
    <mergeCell ref="Q272:R272"/>
    <mergeCell ref="Q228:R228"/>
    <mergeCell ref="Q238:R238"/>
    <mergeCell ref="Q239:R239"/>
    <mergeCell ref="Q240:R240"/>
    <mergeCell ref="Q241:R241"/>
    <mergeCell ref="Q269:R269"/>
    <mergeCell ref="Q270:R270"/>
    <mergeCell ref="Q221:R221"/>
    <mergeCell ref="Q222:R222"/>
    <mergeCell ref="Q226:R226"/>
    <mergeCell ref="Q227:R227"/>
    <mergeCell ref="Q271:R271"/>
    <mergeCell ref="Q129:R129"/>
    <mergeCell ref="Q130:R130"/>
    <mergeCell ref="Q203:R203"/>
    <mergeCell ref="Q219:R219"/>
    <mergeCell ref="Q220:R220"/>
    <mergeCell ref="Q124:R124"/>
    <mergeCell ref="Q125:R125"/>
    <mergeCell ref="Q126:R126"/>
    <mergeCell ref="Q127:R127"/>
    <mergeCell ref="Q128:R128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M1000"/>
  <sheetViews>
    <sheetView workbookViewId="0">
      <selection activeCell="L1" sqref="L1:M1"/>
    </sheetView>
  </sheetViews>
  <sheetFormatPr defaultColWidth="11.25" defaultRowHeight="15" customHeight="1"/>
  <cols>
    <col min="1" max="1" width="11.625" customWidth="1"/>
  </cols>
  <sheetData>
    <row r="1" spans="1:13">
      <c r="A1" s="466" t="s">
        <v>0</v>
      </c>
      <c r="B1" s="467" t="s">
        <v>910</v>
      </c>
      <c r="C1" s="467" t="s">
        <v>911</v>
      </c>
      <c r="D1" s="467" t="s">
        <v>912</v>
      </c>
      <c r="E1" s="467" t="s">
        <v>913</v>
      </c>
      <c r="F1" s="468"/>
      <c r="G1" s="468"/>
      <c r="H1" s="467" t="s">
        <v>914</v>
      </c>
      <c r="I1" s="469" t="s">
        <v>915</v>
      </c>
      <c r="J1" s="469" t="s">
        <v>916</v>
      </c>
      <c r="K1" s="467" t="s">
        <v>917</v>
      </c>
      <c r="L1" s="468" t="s">
        <v>918</v>
      </c>
      <c r="M1" s="468" t="s">
        <v>919</v>
      </c>
    </row>
    <row r="2" spans="1:13">
      <c r="A2" s="468" t="s">
        <v>920</v>
      </c>
      <c r="B2" s="467">
        <v>1</v>
      </c>
      <c r="C2" s="467">
        <v>921</v>
      </c>
      <c r="D2" s="468" t="s">
        <v>921</v>
      </c>
      <c r="E2" s="467">
        <v>0</v>
      </c>
      <c r="F2" s="467">
        <v>0</v>
      </c>
      <c r="G2" s="467">
        <v>0</v>
      </c>
      <c r="H2" s="470">
        <v>45356.781527777777</v>
      </c>
      <c r="I2" s="467">
        <v>0.2</v>
      </c>
      <c r="J2" s="467">
        <v>0.19800000000000001</v>
      </c>
      <c r="K2" s="467">
        <v>1</v>
      </c>
      <c r="L2" s="467">
        <v>0.2</v>
      </c>
      <c r="M2" s="467">
        <v>0.19800000000000001</v>
      </c>
    </row>
    <row r="3" spans="1:13">
      <c r="A3" s="468" t="s">
        <v>922</v>
      </c>
      <c r="B3" s="467">
        <v>2</v>
      </c>
      <c r="C3" s="467">
        <v>921</v>
      </c>
      <c r="D3" s="468" t="s">
        <v>923</v>
      </c>
      <c r="E3" s="467">
        <v>0</v>
      </c>
      <c r="F3" s="467">
        <v>0</v>
      </c>
      <c r="G3" s="467">
        <v>0</v>
      </c>
      <c r="H3" s="470">
        <v>45356.782337962963</v>
      </c>
      <c r="I3" s="467">
        <v>0.19900000000000001</v>
      </c>
      <c r="J3" s="467">
        <v>0.19900000000000001</v>
      </c>
      <c r="K3" s="467">
        <v>1</v>
      </c>
      <c r="L3" s="467">
        <v>0.19900000000000001</v>
      </c>
      <c r="M3" s="467">
        <v>0.19900000000000001</v>
      </c>
    </row>
    <row r="4" spans="1:13">
      <c r="A4" s="468">
        <v>0.2</v>
      </c>
      <c r="B4" s="467">
        <v>3</v>
      </c>
      <c r="C4" s="467">
        <v>921</v>
      </c>
      <c r="D4" s="468" t="s">
        <v>924</v>
      </c>
      <c r="E4" s="467">
        <v>0</v>
      </c>
      <c r="F4" s="467">
        <v>0</v>
      </c>
      <c r="G4" s="467">
        <v>0</v>
      </c>
      <c r="H4" s="470">
        <v>45356.783148148148</v>
      </c>
      <c r="I4" s="467">
        <v>0.2</v>
      </c>
      <c r="J4" s="467">
        <v>0.19900000000000001</v>
      </c>
      <c r="K4" s="467">
        <v>1</v>
      </c>
      <c r="L4" s="467">
        <v>0.2</v>
      </c>
      <c r="M4" s="467">
        <v>0.19900000000000001</v>
      </c>
    </row>
    <row r="5" spans="1:13">
      <c r="A5" s="468">
        <v>0.1</v>
      </c>
      <c r="B5" s="467">
        <v>4</v>
      </c>
      <c r="C5" s="467">
        <v>901</v>
      </c>
      <c r="D5" s="468" t="s">
        <v>924</v>
      </c>
      <c r="E5" s="467">
        <v>0</v>
      </c>
      <c r="F5" s="467">
        <v>0</v>
      </c>
      <c r="G5" s="467">
        <v>0</v>
      </c>
      <c r="H5" s="470">
        <v>45356.783958333333</v>
      </c>
      <c r="I5" s="467">
        <v>0.1</v>
      </c>
      <c r="J5" s="467">
        <v>0.10100000000000001</v>
      </c>
      <c r="K5" s="467">
        <v>1</v>
      </c>
      <c r="L5" s="467">
        <v>0.1</v>
      </c>
      <c r="M5" s="467">
        <v>0.10100000000000001</v>
      </c>
    </row>
    <row r="6" spans="1:13">
      <c r="A6" s="468" t="s">
        <v>925</v>
      </c>
      <c r="B6" s="467">
        <v>5</v>
      </c>
      <c r="C6" s="467">
        <v>0</v>
      </c>
      <c r="D6" s="468" t="s">
        <v>924</v>
      </c>
      <c r="E6" s="467">
        <v>0</v>
      </c>
      <c r="F6" s="467">
        <v>0</v>
      </c>
      <c r="G6" s="467">
        <v>0</v>
      </c>
      <c r="H6" s="470">
        <v>45356.784768518519</v>
      </c>
      <c r="I6" s="467">
        <v>9.6000000000000002E-2</v>
      </c>
      <c r="J6" s="467">
        <v>5.0999999999999997E-2</v>
      </c>
      <c r="K6" s="467">
        <v>1</v>
      </c>
      <c r="L6" s="467">
        <v>9.6000000000000002E-2</v>
      </c>
      <c r="M6" s="467">
        <v>5.0999999999999997E-2</v>
      </c>
    </row>
    <row r="7" spans="1:13">
      <c r="A7" s="468">
        <v>2.5000000000000001E-2</v>
      </c>
      <c r="B7" s="467">
        <v>6</v>
      </c>
      <c r="C7" s="467">
        <v>903</v>
      </c>
      <c r="D7" s="468" t="s">
        <v>924</v>
      </c>
      <c r="E7" s="467">
        <v>0</v>
      </c>
      <c r="F7" s="467">
        <v>0</v>
      </c>
      <c r="G7" s="467">
        <v>0</v>
      </c>
      <c r="H7" s="470">
        <v>45356.785578703704</v>
      </c>
      <c r="I7" s="467">
        <v>2.5000000000000001E-2</v>
      </c>
      <c r="J7" s="467">
        <v>2.7E-2</v>
      </c>
      <c r="K7" s="467">
        <v>1</v>
      </c>
      <c r="L7" s="467">
        <v>2.5000000000000001E-2</v>
      </c>
      <c r="M7" s="467">
        <v>2.7E-2</v>
      </c>
    </row>
    <row r="8" spans="1:13">
      <c r="A8" s="468">
        <v>0.01</v>
      </c>
      <c r="B8" s="467">
        <v>7</v>
      </c>
      <c r="C8" s="467">
        <v>904</v>
      </c>
      <c r="D8" s="468" t="s">
        <v>924</v>
      </c>
      <c r="E8" s="467">
        <v>0</v>
      </c>
      <c r="F8" s="467">
        <v>0</v>
      </c>
      <c r="G8" s="467">
        <v>0</v>
      </c>
      <c r="H8" s="470">
        <v>45356.78638888889</v>
      </c>
      <c r="I8" s="467">
        <v>1.0999999999999999E-2</v>
      </c>
      <c r="J8" s="467">
        <v>8.9999999999999993E-3</v>
      </c>
      <c r="K8" s="467">
        <v>1</v>
      </c>
      <c r="L8" s="467">
        <v>1.0999999999999999E-2</v>
      </c>
      <c r="M8" s="467">
        <v>8.9999999999999993E-3</v>
      </c>
    </row>
    <row r="9" spans="1:13">
      <c r="A9" s="468">
        <v>5.0000000000000001E-3</v>
      </c>
      <c r="B9" s="467">
        <v>8</v>
      </c>
      <c r="C9" s="467">
        <v>905</v>
      </c>
      <c r="D9" s="468" t="s">
        <v>924</v>
      </c>
      <c r="E9" s="467">
        <v>0</v>
      </c>
      <c r="F9" s="467">
        <v>0</v>
      </c>
      <c r="G9" s="467">
        <v>0</v>
      </c>
      <c r="H9" s="470">
        <v>45356.787199074075</v>
      </c>
      <c r="I9" s="467">
        <v>6.0000000000000001E-3</v>
      </c>
      <c r="J9" s="471">
        <v>4.0000000000000001E-3</v>
      </c>
      <c r="K9" s="467">
        <v>1</v>
      </c>
      <c r="L9" s="467">
        <v>6.0000000000000001E-3</v>
      </c>
      <c r="M9" s="468" t="s">
        <v>926</v>
      </c>
    </row>
    <row r="10" spans="1:13">
      <c r="A10" s="468" t="s">
        <v>16</v>
      </c>
      <c r="B10" s="467">
        <v>9</v>
      </c>
      <c r="C10" s="467">
        <v>906</v>
      </c>
      <c r="D10" s="468" t="s">
        <v>924</v>
      </c>
      <c r="E10" s="467">
        <v>0</v>
      </c>
      <c r="F10" s="467">
        <v>0</v>
      </c>
      <c r="G10" s="467">
        <v>0</v>
      </c>
      <c r="H10" s="470">
        <v>45356.78800925926</v>
      </c>
      <c r="I10" s="471">
        <v>-2E-3</v>
      </c>
      <c r="J10" s="471">
        <v>-1E-3</v>
      </c>
      <c r="K10" s="467">
        <v>1</v>
      </c>
      <c r="L10" s="468" t="s">
        <v>927</v>
      </c>
      <c r="M10" s="468" t="s">
        <v>926</v>
      </c>
    </row>
    <row r="11" spans="1:13">
      <c r="A11" s="468" t="s">
        <v>928</v>
      </c>
      <c r="B11" s="467">
        <v>10</v>
      </c>
      <c r="C11" s="467">
        <v>0</v>
      </c>
      <c r="D11" s="468" t="s">
        <v>929</v>
      </c>
      <c r="E11" s="467">
        <v>0</v>
      </c>
      <c r="F11" s="467">
        <v>0</v>
      </c>
      <c r="G11" s="467">
        <v>0</v>
      </c>
      <c r="H11" s="470">
        <v>45356.788819444446</v>
      </c>
      <c r="I11" s="471">
        <v>-2E-3</v>
      </c>
      <c r="J11" s="471">
        <v>5.0000000000000001E-3</v>
      </c>
      <c r="K11" s="467">
        <v>1</v>
      </c>
      <c r="L11" s="468" t="s">
        <v>927</v>
      </c>
      <c r="M11" s="468" t="s">
        <v>926</v>
      </c>
    </row>
    <row r="12" spans="1:13">
      <c r="A12" s="468" t="s">
        <v>930</v>
      </c>
      <c r="B12" s="467">
        <v>11</v>
      </c>
      <c r="C12" s="467">
        <v>921</v>
      </c>
      <c r="D12" s="468" t="s">
        <v>931</v>
      </c>
      <c r="E12" s="467">
        <v>0</v>
      </c>
      <c r="F12" s="467">
        <v>1</v>
      </c>
      <c r="G12" s="467">
        <v>1</v>
      </c>
      <c r="H12" s="470">
        <v>45356.791250000002</v>
      </c>
      <c r="I12" s="467">
        <v>0.2</v>
      </c>
      <c r="J12" s="467">
        <v>0.19800000000000001</v>
      </c>
      <c r="K12" s="467">
        <v>1</v>
      </c>
      <c r="L12" s="467">
        <v>0.2</v>
      </c>
      <c r="M12" s="467">
        <v>0.19800000000000001</v>
      </c>
    </row>
    <row r="13" spans="1:13">
      <c r="A13" s="468" t="s">
        <v>932</v>
      </c>
      <c r="B13" s="467">
        <v>12</v>
      </c>
      <c r="C13" s="467">
        <v>905</v>
      </c>
      <c r="D13" s="468" t="s">
        <v>933</v>
      </c>
      <c r="E13" s="467">
        <v>0</v>
      </c>
      <c r="F13" s="467">
        <v>1</v>
      </c>
      <c r="G13" s="467">
        <v>2</v>
      </c>
      <c r="H13" s="470">
        <v>45356.792060185187</v>
      </c>
      <c r="I13" s="467">
        <v>6.0000000000000001E-3</v>
      </c>
      <c r="J13" s="471">
        <v>4.0000000000000001E-3</v>
      </c>
      <c r="K13" s="467">
        <v>1</v>
      </c>
      <c r="L13" s="467">
        <v>6.0000000000000001E-3</v>
      </c>
      <c r="M13" s="468" t="s">
        <v>926</v>
      </c>
    </row>
    <row r="14" spans="1:13">
      <c r="A14" s="468" t="s">
        <v>932</v>
      </c>
      <c r="B14" s="467">
        <v>13</v>
      </c>
      <c r="C14" s="467">
        <v>905</v>
      </c>
      <c r="D14" s="468" t="s">
        <v>933</v>
      </c>
      <c r="E14" s="467">
        <v>0</v>
      </c>
      <c r="F14" s="467">
        <v>1</v>
      </c>
      <c r="G14" s="467">
        <v>3</v>
      </c>
      <c r="H14" s="470">
        <v>45356.792870370373</v>
      </c>
      <c r="I14" s="467">
        <v>6.0000000000000001E-3</v>
      </c>
      <c r="J14" s="471">
        <v>4.0000000000000001E-3</v>
      </c>
      <c r="K14" s="467">
        <v>1</v>
      </c>
      <c r="L14" s="467">
        <v>6.0000000000000001E-3</v>
      </c>
      <c r="M14" s="468" t="s">
        <v>926</v>
      </c>
    </row>
    <row r="15" spans="1:13">
      <c r="A15" s="468" t="s">
        <v>16</v>
      </c>
      <c r="B15" s="467">
        <v>14</v>
      </c>
      <c r="C15" s="467">
        <v>906</v>
      </c>
      <c r="D15" s="468" t="s">
        <v>934</v>
      </c>
      <c r="E15" s="467">
        <v>0</v>
      </c>
      <c r="F15" s="467">
        <v>0</v>
      </c>
      <c r="G15" s="467">
        <v>0</v>
      </c>
      <c r="H15" s="470">
        <v>45356.793680555558</v>
      </c>
      <c r="I15" s="471">
        <v>-1E-3</v>
      </c>
      <c r="J15" s="471">
        <v>-1E-3</v>
      </c>
      <c r="K15" s="467">
        <v>1</v>
      </c>
      <c r="L15" s="468" t="s">
        <v>927</v>
      </c>
      <c r="M15" s="468" t="s">
        <v>926</v>
      </c>
    </row>
    <row r="16" spans="1:13">
      <c r="A16" s="468" t="s">
        <v>935</v>
      </c>
      <c r="B16" s="467">
        <v>15</v>
      </c>
      <c r="C16" s="467">
        <v>907</v>
      </c>
      <c r="D16" s="468" t="s">
        <v>936</v>
      </c>
      <c r="E16" s="467">
        <v>0</v>
      </c>
      <c r="F16" s="467">
        <v>0</v>
      </c>
      <c r="G16" s="467">
        <v>1</v>
      </c>
      <c r="H16" s="470">
        <v>45356.794490740744</v>
      </c>
      <c r="I16" s="467">
        <v>0.14399999999999999</v>
      </c>
      <c r="J16" s="467">
        <v>0.14399999999999999</v>
      </c>
      <c r="K16" s="467">
        <v>1</v>
      </c>
      <c r="L16" s="467">
        <v>0.14399999999999999</v>
      </c>
      <c r="M16" s="467">
        <v>0.14399999999999999</v>
      </c>
    </row>
    <row r="17" spans="1:13">
      <c r="A17" s="468" t="s">
        <v>937</v>
      </c>
      <c r="B17" s="467">
        <v>16</v>
      </c>
      <c r="C17" s="467">
        <v>908</v>
      </c>
      <c r="D17" s="468" t="s">
        <v>938</v>
      </c>
      <c r="E17" s="467">
        <v>0</v>
      </c>
      <c r="F17" s="467">
        <v>0</v>
      </c>
      <c r="G17" s="467">
        <v>0</v>
      </c>
      <c r="H17" s="470">
        <v>45356.795300925929</v>
      </c>
      <c r="I17" s="467">
        <v>0.13300000000000001</v>
      </c>
      <c r="J17" s="467">
        <v>2.9000000000000001E-2</v>
      </c>
      <c r="K17" s="467">
        <v>1</v>
      </c>
      <c r="L17" s="467">
        <v>0.13300000000000001</v>
      </c>
      <c r="M17" s="467">
        <v>2.9000000000000001E-2</v>
      </c>
    </row>
    <row r="18" spans="1:13">
      <c r="A18" s="468" t="s">
        <v>939</v>
      </c>
      <c r="B18" s="467">
        <v>17</v>
      </c>
      <c r="C18" s="467">
        <v>909</v>
      </c>
      <c r="D18" s="468" t="s">
        <v>938</v>
      </c>
      <c r="E18" s="467">
        <v>0</v>
      </c>
      <c r="F18" s="467">
        <v>0</v>
      </c>
      <c r="G18" s="467">
        <v>0</v>
      </c>
      <c r="H18" s="470">
        <v>45356.796111111114</v>
      </c>
      <c r="I18" s="467">
        <v>3.5999999999999997E-2</v>
      </c>
      <c r="J18" s="467">
        <v>8.0000000000000002E-3</v>
      </c>
      <c r="K18" s="467">
        <v>1</v>
      </c>
      <c r="L18" s="467">
        <v>3.5999999999999997E-2</v>
      </c>
      <c r="M18" s="467">
        <v>8.0000000000000002E-3</v>
      </c>
    </row>
    <row r="19" spans="1:13">
      <c r="A19" s="468">
        <v>31</v>
      </c>
      <c r="B19" s="467">
        <v>18</v>
      </c>
      <c r="C19" s="467">
        <v>1</v>
      </c>
      <c r="D19" s="468" t="s">
        <v>934</v>
      </c>
      <c r="E19" s="467">
        <v>0</v>
      </c>
      <c r="F19" s="467">
        <v>0</v>
      </c>
      <c r="G19" s="467">
        <v>0</v>
      </c>
      <c r="H19" s="470">
        <v>45356.7969212963</v>
      </c>
      <c r="I19" s="471">
        <v>-3.0000000000000001E-3</v>
      </c>
      <c r="J19" s="471">
        <v>5.0000000000000001E-3</v>
      </c>
      <c r="K19" s="467">
        <v>1</v>
      </c>
      <c r="L19" s="468" t="s">
        <v>927</v>
      </c>
      <c r="M19" s="468" t="s">
        <v>926</v>
      </c>
    </row>
    <row r="20" spans="1:13">
      <c r="A20" s="468">
        <v>42</v>
      </c>
      <c r="B20" s="467">
        <v>19</v>
      </c>
      <c r="C20" s="467">
        <v>2</v>
      </c>
      <c r="D20" s="468" t="s">
        <v>934</v>
      </c>
      <c r="E20" s="467">
        <v>0</v>
      </c>
      <c r="F20" s="467">
        <v>0</v>
      </c>
      <c r="G20" s="467">
        <v>0</v>
      </c>
      <c r="H20" s="470">
        <v>45356.797731481478</v>
      </c>
      <c r="I20" s="467">
        <v>7.0000000000000001E-3</v>
      </c>
      <c r="J20" s="471">
        <v>1E-3</v>
      </c>
      <c r="K20" s="467">
        <v>1</v>
      </c>
      <c r="L20" s="467">
        <v>7.0000000000000001E-3</v>
      </c>
      <c r="M20" s="468" t="s">
        <v>926</v>
      </c>
    </row>
    <row r="21" spans="1:13">
      <c r="A21" s="468">
        <v>75</v>
      </c>
      <c r="B21" s="467">
        <v>20</v>
      </c>
      <c r="C21" s="467">
        <v>3</v>
      </c>
      <c r="D21" s="468" t="s">
        <v>934</v>
      </c>
      <c r="E21" s="467">
        <v>0</v>
      </c>
      <c r="F21" s="467">
        <v>0</v>
      </c>
      <c r="G21" s="467">
        <v>0</v>
      </c>
      <c r="H21" s="470">
        <v>45356.798541666663</v>
      </c>
      <c r="I21" s="467">
        <v>1.4E-2</v>
      </c>
      <c r="J21" s="471">
        <v>1E-3</v>
      </c>
      <c r="K21" s="467">
        <v>1</v>
      </c>
      <c r="L21" s="467">
        <v>1.4E-2</v>
      </c>
      <c r="M21" s="468" t="s">
        <v>926</v>
      </c>
    </row>
    <row r="22" spans="1:13">
      <c r="A22" s="468">
        <v>282</v>
      </c>
      <c r="B22" s="467">
        <v>21</v>
      </c>
      <c r="C22" s="467">
        <v>4</v>
      </c>
      <c r="D22" s="468" t="s">
        <v>934</v>
      </c>
      <c r="E22" s="467">
        <v>0</v>
      </c>
      <c r="F22" s="467">
        <v>0</v>
      </c>
      <c r="G22" s="467">
        <v>0</v>
      </c>
      <c r="H22" s="470">
        <v>45356.799351851849</v>
      </c>
      <c r="I22" s="467">
        <v>4.0000000000000001E-3</v>
      </c>
      <c r="J22" s="471">
        <v>3.0000000000000001E-3</v>
      </c>
      <c r="K22" s="467">
        <v>1</v>
      </c>
      <c r="L22" s="467">
        <v>4.0000000000000001E-3</v>
      </c>
      <c r="M22" s="468" t="s">
        <v>926</v>
      </c>
    </row>
    <row r="23" spans="1:13">
      <c r="A23" s="468">
        <v>64</v>
      </c>
      <c r="B23" s="467">
        <v>22</v>
      </c>
      <c r="C23" s="467">
        <v>5</v>
      </c>
      <c r="D23" s="468" t="s">
        <v>934</v>
      </c>
      <c r="E23" s="467">
        <v>0</v>
      </c>
      <c r="F23" s="467">
        <v>0</v>
      </c>
      <c r="G23" s="467">
        <v>0</v>
      </c>
      <c r="H23" s="470">
        <v>45356.800162037034</v>
      </c>
      <c r="I23" s="471">
        <v>-2E-3</v>
      </c>
      <c r="J23" s="471">
        <v>1E-3</v>
      </c>
      <c r="K23" s="467">
        <v>1</v>
      </c>
      <c r="L23" s="468" t="s">
        <v>927</v>
      </c>
      <c r="M23" s="468" t="s">
        <v>926</v>
      </c>
    </row>
    <row r="24" spans="1:13">
      <c r="A24" s="468">
        <v>20</v>
      </c>
      <c r="B24" s="467">
        <v>23</v>
      </c>
      <c r="C24" s="467">
        <v>6</v>
      </c>
      <c r="D24" s="468" t="s">
        <v>934</v>
      </c>
      <c r="E24" s="467">
        <v>0</v>
      </c>
      <c r="F24" s="467">
        <v>0</v>
      </c>
      <c r="G24" s="467">
        <v>0</v>
      </c>
      <c r="H24" s="470">
        <v>45356.80097222222</v>
      </c>
      <c r="I24" s="467">
        <v>4.0000000000000001E-3</v>
      </c>
      <c r="J24" s="471">
        <v>1E-3</v>
      </c>
      <c r="K24" s="467">
        <v>1</v>
      </c>
      <c r="L24" s="467">
        <v>4.0000000000000001E-3</v>
      </c>
      <c r="M24" s="468" t="s">
        <v>926</v>
      </c>
    </row>
    <row r="25" spans="1:13">
      <c r="A25" s="468">
        <v>9</v>
      </c>
      <c r="B25" s="467">
        <v>24</v>
      </c>
      <c r="C25" s="467">
        <v>7</v>
      </c>
      <c r="D25" s="468" t="s">
        <v>934</v>
      </c>
      <c r="E25" s="467">
        <v>0</v>
      </c>
      <c r="F25" s="467">
        <v>0</v>
      </c>
      <c r="G25" s="467">
        <v>0</v>
      </c>
      <c r="H25" s="470">
        <v>45356.801782407405</v>
      </c>
      <c r="I25" s="467">
        <v>5.0000000000000001E-3</v>
      </c>
      <c r="J25" s="471">
        <v>1E-3</v>
      </c>
      <c r="K25" s="467">
        <v>1</v>
      </c>
      <c r="L25" s="467">
        <v>5.0000000000000001E-3</v>
      </c>
      <c r="M25" s="468" t="s">
        <v>926</v>
      </c>
    </row>
    <row r="26" spans="1:13">
      <c r="A26" s="468">
        <v>53</v>
      </c>
      <c r="B26" s="467">
        <v>25</v>
      </c>
      <c r="C26" s="467">
        <v>8</v>
      </c>
      <c r="D26" s="468" t="s">
        <v>934</v>
      </c>
      <c r="E26" s="467">
        <v>0</v>
      </c>
      <c r="F26" s="467">
        <v>0</v>
      </c>
      <c r="G26" s="467">
        <v>0</v>
      </c>
      <c r="H26" s="470">
        <v>45356.80259259259</v>
      </c>
      <c r="I26" s="471">
        <v>-1E-3</v>
      </c>
      <c r="J26" s="471">
        <v>1E-3</v>
      </c>
      <c r="K26" s="467">
        <v>1</v>
      </c>
      <c r="L26" s="468" t="s">
        <v>927</v>
      </c>
      <c r="M26" s="468" t="s">
        <v>926</v>
      </c>
    </row>
    <row r="27" spans="1:13">
      <c r="A27" s="468">
        <v>152</v>
      </c>
      <c r="B27" s="467">
        <v>26</v>
      </c>
      <c r="C27" s="467">
        <v>9</v>
      </c>
      <c r="D27" s="468" t="s">
        <v>934</v>
      </c>
      <c r="E27" s="467">
        <v>0</v>
      </c>
      <c r="F27" s="467">
        <v>0</v>
      </c>
      <c r="G27" s="467">
        <v>0</v>
      </c>
      <c r="H27" s="470">
        <v>45356.803402777776</v>
      </c>
      <c r="I27" s="471">
        <v>2E-3</v>
      </c>
      <c r="J27" s="471">
        <v>1E-3</v>
      </c>
      <c r="K27" s="467">
        <v>1</v>
      </c>
      <c r="L27" s="468" t="s">
        <v>927</v>
      </c>
      <c r="M27" s="468" t="s">
        <v>926</v>
      </c>
    </row>
    <row r="28" spans="1:13">
      <c r="A28" s="468">
        <v>97</v>
      </c>
      <c r="B28" s="467">
        <v>27</v>
      </c>
      <c r="C28" s="467">
        <v>10</v>
      </c>
      <c r="D28" s="468" t="s">
        <v>934</v>
      </c>
      <c r="E28" s="467">
        <v>0</v>
      </c>
      <c r="F28" s="467">
        <v>0</v>
      </c>
      <c r="G28" s="467">
        <v>0</v>
      </c>
      <c r="H28" s="470">
        <v>45356.804212962961</v>
      </c>
      <c r="I28" s="471">
        <v>-2E-3</v>
      </c>
      <c r="J28" s="471">
        <v>1E-3</v>
      </c>
      <c r="K28" s="467">
        <v>1</v>
      </c>
      <c r="L28" s="468" t="s">
        <v>927</v>
      </c>
      <c r="M28" s="468" t="s">
        <v>926</v>
      </c>
    </row>
    <row r="29" spans="1:13">
      <c r="A29" s="468" t="s">
        <v>940</v>
      </c>
      <c r="B29" s="467">
        <v>28</v>
      </c>
      <c r="C29" s="467">
        <v>11</v>
      </c>
      <c r="D29" s="468" t="s">
        <v>936</v>
      </c>
      <c r="E29" s="467">
        <v>0</v>
      </c>
      <c r="F29" s="467">
        <v>0</v>
      </c>
      <c r="G29" s="467">
        <v>1</v>
      </c>
      <c r="H29" s="470">
        <v>45356.805023148147</v>
      </c>
      <c r="I29" s="467">
        <v>4.3999999999999997E-2</v>
      </c>
      <c r="J29" s="467">
        <v>0.15</v>
      </c>
      <c r="K29" s="467">
        <v>1</v>
      </c>
      <c r="L29" s="467">
        <v>4.3999999999999997E-2</v>
      </c>
      <c r="M29" s="467">
        <v>0.15</v>
      </c>
    </row>
    <row r="30" spans="1:13">
      <c r="A30" s="468" t="s">
        <v>937</v>
      </c>
      <c r="B30" s="467">
        <v>29</v>
      </c>
      <c r="C30" s="467">
        <v>908</v>
      </c>
      <c r="D30" s="468" t="s">
        <v>938</v>
      </c>
      <c r="E30" s="467">
        <v>0</v>
      </c>
      <c r="F30" s="467">
        <v>0</v>
      </c>
      <c r="G30" s="467">
        <v>0</v>
      </c>
      <c r="H30" s="470">
        <v>45356.805833333332</v>
      </c>
      <c r="I30" s="467">
        <v>0.13300000000000001</v>
      </c>
      <c r="J30" s="467">
        <v>2.7E-2</v>
      </c>
      <c r="K30" s="467">
        <v>1</v>
      </c>
      <c r="L30" s="467">
        <v>0.13300000000000001</v>
      </c>
      <c r="M30" s="467">
        <v>2.7E-2</v>
      </c>
    </row>
    <row r="31" spans="1:13">
      <c r="A31" s="468" t="s">
        <v>939</v>
      </c>
      <c r="B31" s="467">
        <v>30</v>
      </c>
      <c r="C31" s="467">
        <v>909</v>
      </c>
      <c r="D31" s="468" t="s">
        <v>938</v>
      </c>
      <c r="E31" s="467">
        <v>0</v>
      </c>
      <c r="F31" s="467">
        <v>0</v>
      </c>
      <c r="G31" s="467">
        <v>0</v>
      </c>
      <c r="H31" s="470">
        <v>45356.806643518517</v>
      </c>
      <c r="I31" s="467">
        <v>3.6999999999999998E-2</v>
      </c>
      <c r="J31" s="467">
        <v>7.0000000000000001E-3</v>
      </c>
      <c r="K31" s="467">
        <v>1</v>
      </c>
      <c r="L31" s="467">
        <v>3.6999999999999998E-2</v>
      </c>
      <c r="M31" s="467">
        <v>7.0000000000000001E-3</v>
      </c>
    </row>
    <row r="32" spans="1:13">
      <c r="A32" s="468" t="s">
        <v>928</v>
      </c>
      <c r="B32" s="467">
        <v>31</v>
      </c>
      <c r="C32" s="467">
        <v>0</v>
      </c>
      <c r="D32" s="468" t="s">
        <v>929</v>
      </c>
      <c r="E32" s="467">
        <v>0</v>
      </c>
      <c r="F32" s="467">
        <v>0</v>
      </c>
      <c r="G32" s="467">
        <v>0</v>
      </c>
      <c r="H32" s="470">
        <v>45356.807453703703</v>
      </c>
      <c r="I32" s="471">
        <v>-2E-3</v>
      </c>
      <c r="J32" s="471">
        <v>5.0000000000000001E-3</v>
      </c>
      <c r="K32" s="467">
        <v>1</v>
      </c>
      <c r="L32" s="468" t="s">
        <v>927</v>
      </c>
      <c r="M32" s="468" t="s">
        <v>926</v>
      </c>
    </row>
    <row r="33" spans="1:13">
      <c r="A33" s="468">
        <v>126</v>
      </c>
      <c r="B33" s="467">
        <v>32</v>
      </c>
      <c r="C33" s="467">
        <v>12</v>
      </c>
      <c r="D33" s="468" t="s">
        <v>934</v>
      </c>
      <c r="E33" s="467">
        <v>0</v>
      </c>
      <c r="F33" s="467">
        <v>0</v>
      </c>
      <c r="G33" s="467">
        <v>0</v>
      </c>
      <c r="H33" s="470">
        <v>45356.809884259259</v>
      </c>
      <c r="I33" s="467">
        <v>4.0000000000000001E-3</v>
      </c>
      <c r="J33" s="471">
        <v>2E-3</v>
      </c>
      <c r="K33" s="467">
        <v>1</v>
      </c>
      <c r="L33" s="467">
        <v>4.0000000000000001E-3</v>
      </c>
      <c r="M33" s="468" t="s">
        <v>926</v>
      </c>
    </row>
    <row r="34" spans="1:13">
      <c r="A34" s="468">
        <v>334</v>
      </c>
      <c r="B34" s="467">
        <v>33</v>
      </c>
      <c r="C34" s="467">
        <v>13</v>
      </c>
      <c r="D34" s="468" t="s">
        <v>934</v>
      </c>
      <c r="E34" s="467">
        <v>0</v>
      </c>
      <c r="F34" s="467">
        <v>0</v>
      </c>
      <c r="G34" s="467">
        <v>0</v>
      </c>
      <c r="H34" s="470">
        <v>45356.810694444444</v>
      </c>
      <c r="I34" s="467">
        <v>0.01</v>
      </c>
      <c r="J34" s="471">
        <v>1E-3</v>
      </c>
      <c r="K34" s="467">
        <v>1</v>
      </c>
      <c r="L34" s="467">
        <v>0.01</v>
      </c>
      <c r="M34" s="468" t="s">
        <v>926</v>
      </c>
    </row>
    <row r="35" spans="1:13">
      <c r="A35" s="468">
        <v>243</v>
      </c>
      <c r="B35" s="467">
        <v>34</v>
      </c>
      <c r="C35" s="467">
        <v>14</v>
      </c>
      <c r="D35" s="468" t="s">
        <v>934</v>
      </c>
      <c r="E35" s="467">
        <v>0</v>
      </c>
      <c r="F35" s="467">
        <v>0</v>
      </c>
      <c r="G35" s="467">
        <v>0</v>
      </c>
      <c r="H35" s="470">
        <v>45356.81150462963</v>
      </c>
      <c r="I35" s="467">
        <v>5.0000000000000001E-3</v>
      </c>
      <c r="J35" s="471">
        <v>0</v>
      </c>
      <c r="K35" s="467">
        <v>1</v>
      </c>
      <c r="L35" s="467">
        <v>5.0000000000000001E-3</v>
      </c>
      <c r="M35" s="468" t="s">
        <v>926</v>
      </c>
    </row>
    <row r="36" spans="1:13">
      <c r="A36" s="468">
        <v>139</v>
      </c>
      <c r="B36" s="467">
        <v>35</v>
      </c>
      <c r="C36" s="467">
        <v>15</v>
      </c>
      <c r="D36" s="468" t="s">
        <v>934</v>
      </c>
      <c r="E36" s="467">
        <v>0</v>
      </c>
      <c r="F36" s="467">
        <v>0</v>
      </c>
      <c r="G36" s="467">
        <v>0</v>
      </c>
      <c r="H36" s="470">
        <v>45356.812314814815</v>
      </c>
      <c r="I36" s="471">
        <v>-2E-3</v>
      </c>
      <c r="J36" s="471">
        <v>1E-3</v>
      </c>
      <c r="K36" s="467">
        <v>1</v>
      </c>
      <c r="L36" s="468" t="s">
        <v>927</v>
      </c>
      <c r="M36" s="468" t="s">
        <v>926</v>
      </c>
    </row>
    <row r="37" spans="1:13">
      <c r="A37" s="468">
        <v>217</v>
      </c>
      <c r="B37" s="467">
        <v>36</v>
      </c>
      <c r="C37" s="467">
        <v>16</v>
      </c>
      <c r="D37" s="468" t="s">
        <v>934</v>
      </c>
      <c r="E37" s="467">
        <v>0</v>
      </c>
      <c r="F37" s="467">
        <v>0</v>
      </c>
      <c r="G37" s="467">
        <v>0</v>
      </c>
      <c r="H37" s="470">
        <v>45356.813125000001</v>
      </c>
      <c r="I37" s="467">
        <v>6.0000000000000001E-3</v>
      </c>
      <c r="J37" s="471">
        <v>1E-3</v>
      </c>
      <c r="K37" s="467">
        <v>1</v>
      </c>
      <c r="L37" s="467">
        <v>6.0000000000000001E-3</v>
      </c>
      <c r="M37" s="468" t="s">
        <v>926</v>
      </c>
    </row>
    <row r="38" spans="1:13">
      <c r="A38" s="468">
        <v>191</v>
      </c>
      <c r="B38" s="467">
        <v>37</v>
      </c>
      <c r="C38" s="467">
        <v>17</v>
      </c>
      <c r="D38" s="468" t="s">
        <v>934</v>
      </c>
      <c r="E38" s="467">
        <v>0</v>
      </c>
      <c r="F38" s="467">
        <v>0</v>
      </c>
      <c r="G38" s="467">
        <v>0</v>
      </c>
      <c r="H38" s="470">
        <v>45356.813935185186</v>
      </c>
      <c r="I38" s="467">
        <v>7.0000000000000001E-3</v>
      </c>
      <c r="J38" s="471">
        <v>1E-3</v>
      </c>
      <c r="K38" s="467">
        <v>1</v>
      </c>
      <c r="L38" s="467">
        <v>7.0000000000000001E-3</v>
      </c>
      <c r="M38" s="468" t="s">
        <v>926</v>
      </c>
    </row>
    <row r="39" spans="1:13">
      <c r="A39" s="468">
        <v>256</v>
      </c>
      <c r="B39" s="467">
        <v>38</v>
      </c>
      <c r="C39" s="467">
        <v>18</v>
      </c>
      <c r="D39" s="468" t="s">
        <v>934</v>
      </c>
      <c r="E39" s="467">
        <v>0</v>
      </c>
      <c r="F39" s="467">
        <v>0</v>
      </c>
      <c r="G39" s="467">
        <v>0</v>
      </c>
      <c r="H39" s="470">
        <v>45356.814745370371</v>
      </c>
      <c r="I39" s="467">
        <v>6.0000000000000001E-3</v>
      </c>
      <c r="J39" s="471">
        <v>1E-3</v>
      </c>
      <c r="K39" s="467">
        <v>1</v>
      </c>
      <c r="L39" s="467">
        <v>6.0000000000000001E-3</v>
      </c>
      <c r="M39" s="468" t="s">
        <v>926</v>
      </c>
    </row>
    <row r="40" spans="1:13">
      <c r="A40" s="468">
        <v>204</v>
      </c>
      <c r="B40" s="467">
        <v>39</v>
      </c>
      <c r="C40" s="467">
        <v>19</v>
      </c>
      <c r="D40" s="468" t="s">
        <v>934</v>
      </c>
      <c r="E40" s="467">
        <v>0</v>
      </c>
      <c r="F40" s="467">
        <v>0</v>
      </c>
      <c r="G40" s="467">
        <v>0</v>
      </c>
      <c r="H40" s="470">
        <v>45356.815555555557</v>
      </c>
      <c r="I40" s="471">
        <v>-3.0000000000000001E-3</v>
      </c>
      <c r="J40" s="471">
        <v>0</v>
      </c>
      <c r="K40" s="467">
        <v>1</v>
      </c>
      <c r="L40" s="468" t="s">
        <v>927</v>
      </c>
      <c r="M40" s="468" t="s">
        <v>926</v>
      </c>
    </row>
    <row r="41" spans="1:13">
      <c r="A41" s="468">
        <v>269</v>
      </c>
      <c r="B41" s="467">
        <v>40</v>
      </c>
      <c r="C41" s="467">
        <v>20</v>
      </c>
      <c r="D41" s="468" t="s">
        <v>934</v>
      </c>
      <c r="E41" s="467">
        <v>0</v>
      </c>
      <c r="F41" s="467">
        <v>0</v>
      </c>
      <c r="G41" s="467">
        <v>0</v>
      </c>
      <c r="H41" s="470">
        <v>45356.816365740742</v>
      </c>
      <c r="I41" s="467">
        <v>3.0000000000000001E-3</v>
      </c>
      <c r="J41" s="471">
        <v>0</v>
      </c>
      <c r="K41" s="467">
        <v>1</v>
      </c>
      <c r="L41" s="467">
        <v>3.0000000000000001E-3</v>
      </c>
      <c r="M41" s="468" t="s">
        <v>926</v>
      </c>
    </row>
    <row r="42" spans="1:13">
      <c r="A42" s="468" t="s">
        <v>941</v>
      </c>
      <c r="B42" s="467">
        <v>41</v>
      </c>
      <c r="C42" s="467">
        <v>21</v>
      </c>
      <c r="D42" s="468" t="s">
        <v>936</v>
      </c>
      <c r="E42" s="467">
        <v>0</v>
      </c>
      <c r="F42" s="467">
        <v>0</v>
      </c>
      <c r="G42" s="467">
        <v>1</v>
      </c>
      <c r="H42" s="470">
        <v>45356.817175925928</v>
      </c>
      <c r="I42" s="467">
        <v>0.13900000000000001</v>
      </c>
      <c r="J42" s="467">
        <v>0.14699999999999999</v>
      </c>
      <c r="K42" s="467">
        <v>1</v>
      </c>
      <c r="L42" s="467">
        <v>0.13900000000000001</v>
      </c>
      <c r="M42" s="467">
        <v>0.14699999999999999</v>
      </c>
    </row>
    <row r="43" spans="1:13">
      <c r="A43" s="468" t="s">
        <v>937</v>
      </c>
      <c r="B43" s="467">
        <v>42</v>
      </c>
      <c r="C43" s="467">
        <v>908</v>
      </c>
      <c r="D43" s="468" t="s">
        <v>938</v>
      </c>
      <c r="E43" s="467">
        <v>0</v>
      </c>
      <c r="F43" s="467">
        <v>0</v>
      </c>
      <c r="G43" s="467">
        <v>0</v>
      </c>
      <c r="H43" s="470">
        <v>45356.817986111113</v>
      </c>
      <c r="I43" s="467">
        <v>0.13300000000000001</v>
      </c>
      <c r="J43" s="467">
        <v>2.7E-2</v>
      </c>
      <c r="K43" s="467">
        <v>1</v>
      </c>
      <c r="L43" s="467">
        <v>0.13300000000000001</v>
      </c>
      <c r="M43" s="467">
        <v>2.7E-2</v>
      </c>
    </row>
    <row r="44" spans="1:13">
      <c r="A44" s="468" t="s">
        <v>939</v>
      </c>
      <c r="B44" s="467">
        <v>43</v>
      </c>
      <c r="C44" s="467">
        <v>909</v>
      </c>
      <c r="D44" s="468" t="s">
        <v>938</v>
      </c>
      <c r="E44" s="467">
        <v>0</v>
      </c>
      <c r="F44" s="467">
        <v>0</v>
      </c>
      <c r="G44" s="467">
        <v>0</v>
      </c>
      <c r="H44" s="470">
        <v>45356.818796296298</v>
      </c>
      <c r="I44" s="467">
        <v>3.6999999999999998E-2</v>
      </c>
      <c r="J44" s="467">
        <v>8.0000000000000002E-3</v>
      </c>
      <c r="K44" s="467">
        <v>1</v>
      </c>
      <c r="L44" s="467">
        <v>3.6999999999999998E-2</v>
      </c>
      <c r="M44" s="467">
        <v>8.0000000000000002E-3</v>
      </c>
    </row>
    <row r="45" spans="1:13">
      <c r="A45" s="468" t="s">
        <v>928</v>
      </c>
      <c r="B45" s="467">
        <v>44</v>
      </c>
      <c r="C45" s="467">
        <v>0</v>
      </c>
      <c r="D45" s="468" t="s">
        <v>929</v>
      </c>
      <c r="E45" s="467">
        <v>0</v>
      </c>
      <c r="F45" s="467">
        <v>0</v>
      </c>
      <c r="G45" s="467">
        <v>0</v>
      </c>
      <c r="H45" s="470">
        <v>45356.819606481484</v>
      </c>
      <c r="I45" s="471">
        <v>-2E-3</v>
      </c>
      <c r="J45" s="471">
        <v>5.0000000000000001E-3</v>
      </c>
      <c r="K45" s="467">
        <v>1</v>
      </c>
      <c r="L45" s="468" t="s">
        <v>927</v>
      </c>
      <c r="M45" s="468" t="s">
        <v>926</v>
      </c>
    </row>
    <row r="46" spans="1:13">
      <c r="A46" s="468">
        <v>321</v>
      </c>
      <c r="B46" s="467">
        <v>45</v>
      </c>
      <c r="C46" s="467">
        <v>22</v>
      </c>
      <c r="D46" s="468" t="s">
        <v>934</v>
      </c>
      <c r="E46" s="467">
        <v>0</v>
      </c>
      <c r="F46" s="467">
        <v>0</v>
      </c>
      <c r="G46" s="467">
        <v>0</v>
      </c>
      <c r="H46" s="470">
        <v>45356.82203703704</v>
      </c>
      <c r="I46" s="471">
        <v>1E-3</v>
      </c>
      <c r="J46" s="471">
        <v>1E-3</v>
      </c>
      <c r="K46" s="467">
        <v>1</v>
      </c>
      <c r="L46" s="468" t="s">
        <v>927</v>
      </c>
      <c r="M46" s="468" t="s">
        <v>926</v>
      </c>
    </row>
    <row r="47" spans="1:13">
      <c r="A47" s="468">
        <v>308</v>
      </c>
      <c r="B47" s="467">
        <v>46</v>
      </c>
      <c r="C47" s="467">
        <v>23</v>
      </c>
      <c r="D47" s="468" t="s">
        <v>934</v>
      </c>
      <c r="E47" s="467">
        <v>0</v>
      </c>
      <c r="F47" s="467">
        <v>0</v>
      </c>
      <c r="G47" s="467">
        <v>0</v>
      </c>
      <c r="H47" s="470">
        <v>45356.822847222225</v>
      </c>
      <c r="I47" s="467">
        <v>0.01</v>
      </c>
      <c r="J47" s="471">
        <v>1E-3</v>
      </c>
      <c r="K47" s="467">
        <v>1</v>
      </c>
      <c r="L47" s="467">
        <v>0.01</v>
      </c>
      <c r="M47" s="468" t="s">
        <v>926</v>
      </c>
    </row>
    <row r="48" spans="1:13">
      <c r="A48" s="468">
        <v>230</v>
      </c>
      <c r="B48" s="467">
        <v>47</v>
      </c>
      <c r="C48" s="467">
        <v>24</v>
      </c>
      <c r="D48" s="468" t="s">
        <v>934</v>
      </c>
      <c r="E48" s="467">
        <v>0</v>
      </c>
      <c r="F48" s="467">
        <v>0</v>
      </c>
      <c r="G48" s="467">
        <v>0</v>
      </c>
      <c r="H48" s="470">
        <v>45356.823657407411</v>
      </c>
      <c r="I48" s="467">
        <v>8.0000000000000002E-3</v>
      </c>
      <c r="J48" s="471">
        <v>1E-3</v>
      </c>
      <c r="K48" s="467">
        <v>1</v>
      </c>
      <c r="L48" s="467">
        <v>8.0000000000000002E-3</v>
      </c>
      <c r="M48" s="468" t="s">
        <v>926</v>
      </c>
    </row>
    <row r="49" spans="1:13">
      <c r="A49" s="468">
        <v>360</v>
      </c>
      <c r="B49" s="467">
        <v>48</v>
      </c>
      <c r="C49" s="467">
        <v>25</v>
      </c>
      <c r="D49" s="468" t="s">
        <v>934</v>
      </c>
      <c r="E49" s="467">
        <v>0</v>
      </c>
      <c r="F49" s="467">
        <v>0</v>
      </c>
      <c r="G49" s="467">
        <v>0</v>
      </c>
      <c r="H49" s="470">
        <v>45356.824467592596</v>
      </c>
      <c r="I49" s="467">
        <v>8.9999999999999993E-3</v>
      </c>
      <c r="J49" s="471">
        <v>1E-3</v>
      </c>
      <c r="K49" s="467">
        <v>1</v>
      </c>
      <c r="L49" s="467">
        <v>8.9999999999999993E-3</v>
      </c>
      <c r="M49" s="468" t="s">
        <v>926</v>
      </c>
    </row>
    <row r="50" spans="1:13">
      <c r="A50" s="468">
        <v>165</v>
      </c>
      <c r="B50" s="467">
        <v>49</v>
      </c>
      <c r="C50" s="467">
        <v>26</v>
      </c>
      <c r="D50" s="468" t="s">
        <v>934</v>
      </c>
      <c r="E50" s="467">
        <v>0</v>
      </c>
      <c r="F50" s="467">
        <v>0</v>
      </c>
      <c r="G50" s="467">
        <v>0</v>
      </c>
      <c r="H50" s="470">
        <v>45356.825277777774</v>
      </c>
      <c r="I50" s="467">
        <v>8.0000000000000002E-3</v>
      </c>
      <c r="J50" s="471">
        <v>0</v>
      </c>
      <c r="K50" s="467">
        <v>1</v>
      </c>
      <c r="L50" s="467">
        <v>8.0000000000000002E-3</v>
      </c>
      <c r="M50" s="468" t="s">
        <v>926</v>
      </c>
    </row>
    <row r="51" spans="1:13">
      <c r="A51" s="468">
        <v>386</v>
      </c>
      <c r="B51" s="467">
        <v>50</v>
      </c>
      <c r="C51" s="467">
        <v>27</v>
      </c>
      <c r="D51" s="468" t="s">
        <v>934</v>
      </c>
      <c r="E51" s="467">
        <v>0</v>
      </c>
      <c r="F51" s="467">
        <v>0</v>
      </c>
      <c r="G51" s="467">
        <v>0</v>
      </c>
      <c r="H51" s="470">
        <v>45356.82608796296</v>
      </c>
      <c r="I51" s="467">
        <v>8.9999999999999993E-3</v>
      </c>
      <c r="J51" s="471">
        <v>1E-3</v>
      </c>
      <c r="K51" s="467">
        <v>1</v>
      </c>
      <c r="L51" s="467">
        <v>8.9999999999999993E-3</v>
      </c>
      <c r="M51" s="468" t="s">
        <v>926</v>
      </c>
    </row>
    <row r="52" spans="1:13">
      <c r="A52" s="468">
        <v>399</v>
      </c>
      <c r="B52" s="467">
        <v>51</v>
      </c>
      <c r="C52" s="467">
        <v>28</v>
      </c>
      <c r="D52" s="468" t="s">
        <v>934</v>
      </c>
      <c r="E52" s="467">
        <v>0</v>
      </c>
      <c r="F52" s="467">
        <v>0</v>
      </c>
      <c r="G52" s="467">
        <v>0</v>
      </c>
      <c r="H52" s="470">
        <v>45356.826898148145</v>
      </c>
      <c r="I52" s="467">
        <v>4.0000000000000001E-3</v>
      </c>
      <c r="J52" s="471">
        <v>3.0000000000000001E-3</v>
      </c>
      <c r="K52" s="467">
        <v>1</v>
      </c>
      <c r="L52" s="467">
        <v>4.0000000000000001E-3</v>
      </c>
      <c r="M52" s="468" t="s">
        <v>926</v>
      </c>
    </row>
    <row r="53" spans="1:13">
      <c r="A53" s="468">
        <v>425</v>
      </c>
      <c r="B53" s="467">
        <v>52</v>
      </c>
      <c r="C53" s="467">
        <v>29</v>
      </c>
      <c r="D53" s="468" t="s">
        <v>934</v>
      </c>
      <c r="E53" s="467">
        <v>0</v>
      </c>
      <c r="F53" s="467">
        <v>0</v>
      </c>
      <c r="G53" s="467">
        <v>0</v>
      </c>
      <c r="H53" s="470">
        <v>45356.827708333331</v>
      </c>
      <c r="I53" s="467">
        <v>0.126</v>
      </c>
      <c r="J53" s="471">
        <v>3.0000000000000001E-3</v>
      </c>
      <c r="K53" s="467">
        <v>1</v>
      </c>
      <c r="L53" s="467">
        <v>0.126</v>
      </c>
      <c r="M53" s="468" t="s">
        <v>926</v>
      </c>
    </row>
    <row r="54" spans="1:13">
      <c r="A54" s="468">
        <v>373</v>
      </c>
      <c r="B54" s="467">
        <v>53</v>
      </c>
      <c r="C54" s="467">
        <v>30</v>
      </c>
      <c r="D54" s="468" t="s">
        <v>934</v>
      </c>
      <c r="E54" s="467">
        <v>0</v>
      </c>
      <c r="F54" s="467">
        <v>0</v>
      </c>
      <c r="G54" s="467">
        <v>0</v>
      </c>
      <c r="H54" s="470">
        <v>45356.828518518516</v>
      </c>
      <c r="I54" s="467">
        <v>4.0000000000000001E-3</v>
      </c>
      <c r="J54" s="471">
        <v>0</v>
      </c>
      <c r="K54" s="467">
        <v>1</v>
      </c>
      <c r="L54" s="467">
        <v>4.0000000000000001E-3</v>
      </c>
      <c r="M54" s="468" t="s">
        <v>926</v>
      </c>
    </row>
    <row r="55" spans="1:13">
      <c r="A55" s="468">
        <v>347</v>
      </c>
      <c r="B55" s="467">
        <v>54</v>
      </c>
      <c r="C55" s="467">
        <v>31</v>
      </c>
      <c r="D55" s="468" t="s">
        <v>934</v>
      </c>
      <c r="E55" s="467">
        <v>0</v>
      </c>
      <c r="F55" s="467">
        <v>0</v>
      </c>
      <c r="G55" s="467">
        <v>0</v>
      </c>
      <c r="H55" s="470">
        <v>45356.829328703701</v>
      </c>
      <c r="I55" s="467">
        <v>3.4000000000000002E-2</v>
      </c>
      <c r="J55" s="471">
        <v>1E-3</v>
      </c>
      <c r="K55" s="467">
        <v>1</v>
      </c>
      <c r="L55" s="467">
        <v>3.4000000000000002E-2</v>
      </c>
      <c r="M55" s="468" t="s">
        <v>926</v>
      </c>
    </row>
    <row r="56" spans="1:13">
      <c r="A56" s="468" t="s">
        <v>942</v>
      </c>
      <c r="B56" s="467">
        <v>55</v>
      </c>
      <c r="C56" s="467">
        <v>32</v>
      </c>
      <c r="D56" s="468" t="s">
        <v>936</v>
      </c>
      <c r="E56" s="467">
        <v>0</v>
      </c>
      <c r="F56" s="467">
        <v>0</v>
      </c>
      <c r="G56" s="467">
        <v>1</v>
      </c>
      <c r="H56" s="470">
        <v>45356.830138888887</v>
      </c>
      <c r="I56" s="467">
        <v>0.17799999999999999</v>
      </c>
      <c r="J56" s="467">
        <v>0.153</v>
      </c>
      <c r="K56" s="467">
        <v>1</v>
      </c>
      <c r="L56" s="467">
        <v>0.17799999999999999</v>
      </c>
      <c r="M56" s="467">
        <v>0.153</v>
      </c>
    </row>
    <row r="57" spans="1:13">
      <c r="A57" s="468" t="s">
        <v>937</v>
      </c>
      <c r="B57" s="467">
        <v>56</v>
      </c>
      <c r="C57" s="467">
        <v>908</v>
      </c>
      <c r="D57" s="468" t="s">
        <v>938</v>
      </c>
      <c r="E57" s="467">
        <v>0</v>
      </c>
      <c r="F57" s="467">
        <v>0</v>
      </c>
      <c r="G57" s="467">
        <v>0</v>
      </c>
      <c r="H57" s="470">
        <v>45356.830949074072</v>
      </c>
      <c r="I57" s="467">
        <v>0.13300000000000001</v>
      </c>
      <c r="J57" s="467">
        <v>2.8000000000000001E-2</v>
      </c>
      <c r="K57" s="467">
        <v>1</v>
      </c>
      <c r="L57" s="467">
        <v>0.13300000000000001</v>
      </c>
      <c r="M57" s="467">
        <v>2.8000000000000001E-2</v>
      </c>
    </row>
    <row r="58" spans="1:13">
      <c r="A58" s="468" t="s">
        <v>939</v>
      </c>
      <c r="B58" s="467">
        <v>57</v>
      </c>
      <c r="C58" s="467">
        <v>909</v>
      </c>
      <c r="D58" s="468" t="s">
        <v>938</v>
      </c>
      <c r="E58" s="467">
        <v>0</v>
      </c>
      <c r="F58" s="467">
        <v>0</v>
      </c>
      <c r="G58" s="467">
        <v>0</v>
      </c>
      <c r="H58" s="470">
        <v>45356.831759259258</v>
      </c>
      <c r="I58" s="467">
        <v>3.6999999999999998E-2</v>
      </c>
      <c r="J58" s="467">
        <v>7.0000000000000001E-3</v>
      </c>
      <c r="K58" s="467">
        <v>1</v>
      </c>
      <c r="L58" s="467">
        <v>3.6999999999999998E-2</v>
      </c>
      <c r="M58" s="467">
        <v>7.0000000000000001E-3</v>
      </c>
    </row>
    <row r="59" spans="1:13">
      <c r="A59" s="468" t="s">
        <v>928</v>
      </c>
      <c r="B59" s="467">
        <v>58</v>
      </c>
      <c r="C59" s="467">
        <v>0</v>
      </c>
      <c r="D59" s="468" t="s">
        <v>929</v>
      </c>
      <c r="E59" s="467">
        <v>0</v>
      </c>
      <c r="F59" s="467">
        <v>0</v>
      </c>
      <c r="G59" s="467">
        <v>0</v>
      </c>
      <c r="H59" s="470">
        <v>45356.832569444443</v>
      </c>
      <c r="I59" s="471">
        <v>-2E-3</v>
      </c>
      <c r="J59" s="471">
        <v>5.0000000000000001E-3</v>
      </c>
      <c r="K59" s="467">
        <v>1</v>
      </c>
      <c r="L59" s="468" t="s">
        <v>927</v>
      </c>
      <c r="M59" s="468" t="s">
        <v>926</v>
      </c>
    </row>
    <row r="60" spans="1:13">
      <c r="A60" s="468">
        <v>438</v>
      </c>
      <c r="B60" s="467">
        <v>59</v>
      </c>
      <c r="C60" s="467">
        <v>33</v>
      </c>
      <c r="D60" s="468" t="s">
        <v>934</v>
      </c>
      <c r="E60" s="467">
        <v>0</v>
      </c>
      <c r="F60" s="467">
        <v>0</v>
      </c>
      <c r="G60" s="467">
        <v>0</v>
      </c>
      <c r="H60" s="470">
        <v>45356.834999999999</v>
      </c>
      <c r="I60" s="467">
        <v>4.0000000000000001E-3</v>
      </c>
      <c r="J60" s="471">
        <v>5.0000000000000001E-3</v>
      </c>
      <c r="K60" s="467">
        <v>1</v>
      </c>
      <c r="L60" s="467">
        <v>4.0000000000000001E-3</v>
      </c>
      <c r="M60" s="468" t="s">
        <v>926</v>
      </c>
    </row>
    <row r="61" spans="1:13">
      <c r="A61" s="468">
        <v>178</v>
      </c>
      <c r="B61" s="467">
        <v>60</v>
      </c>
      <c r="C61" s="467">
        <v>34</v>
      </c>
      <c r="D61" s="468" t="s">
        <v>934</v>
      </c>
      <c r="E61" s="467">
        <v>0</v>
      </c>
      <c r="F61" s="467">
        <v>0</v>
      </c>
      <c r="G61" s="467">
        <v>0</v>
      </c>
      <c r="H61" s="470">
        <v>45356.835810185185</v>
      </c>
      <c r="I61" s="471">
        <v>1E-3</v>
      </c>
      <c r="J61" s="471">
        <v>1E-3</v>
      </c>
      <c r="K61" s="467">
        <v>1</v>
      </c>
      <c r="L61" s="468" t="s">
        <v>927</v>
      </c>
      <c r="M61" s="468" t="s">
        <v>926</v>
      </c>
    </row>
    <row r="62" spans="1:13">
      <c r="A62" s="468">
        <v>516</v>
      </c>
      <c r="B62" s="467">
        <v>61</v>
      </c>
      <c r="C62" s="467">
        <v>35</v>
      </c>
      <c r="D62" s="468" t="s">
        <v>934</v>
      </c>
      <c r="E62" s="467">
        <v>0</v>
      </c>
      <c r="F62" s="467">
        <v>0</v>
      </c>
      <c r="G62" s="467">
        <v>0</v>
      </c>
      <c r="H62" s="470">
        <v>45356.83662037037</v>
      </c>
      <c r="I62" s="467">
        <v>8.0000000000000002E-3</v>
      </c>
      <c r="J62" s="471">
        <v>5.0000000000000001E-3</v>
      </c>
      <c r="K62" s="467">
        <v>1</v>
      </c>
      <c r="L62" s="467">
        <v>8.0000000000000002E-3</v>
      </c>
      <c r="M62" s="468" t="s">
        <v>926</v>
      </c>
    </row>
    <row r="63" spans="1:13">
      <c r="A63" s="468">
        <v>503</v>
      </c>
      <c r="B63" s="467">
        <v>62</v>
      </c>
      <c r="C63" s="467">
        <v>36</v>
      </c>
      <c r="D63" s="468" t="s">
        <v>934</v>
      </c>
      <c r="E63" s="467">
        <v>0</v>
      </c>
      <c r="F63" s="467">
        <v>0</v>
      </c>
      <c r="G63" s="467">
        <v>0</v>
      </c>
      <c r="H63" s="470">
        <v>45356.837430555555</v>
      </c>
      <c r="I63" s="467">
        <v>6.0000000000000001E-3</v>
      </c>
      <c r="J63" s="471">
        <v>3.0000000000000001E-3</v>
      </c>
      <c r="K63" s="467">
        <v>1</v>
      </c>
      <c r="L63" s="467">
        <v>6.0000000000000001E-3</v>
      </c>
      <c r="M63" s="468" t="s">
        <v>926</v>
      </c>
    </row>
    <row r="64" spans="1:13">
      <c r="A64" s="468">
        <v>451</v>
      </c>
      <c r="B64" s="467">
        <v>63</v>
      </c>
      <c r="C64" s="467">
        <v>37</v>
      </c>
      <c r="D64" s="468" t="s">
        <v>934</v>
      </c>
      <c r="E64" s="467">
        <v>0</v>
      </c>
      <c r="F64" s="467">
        <v>0</v>
      </c>
      <c r="G64" s="467">
        <v>0</v>
      </c>
      <c r="H64" s="470">
        <v>45356.838240740741</v>
      </c>
      <c r="I64" s="467">
        <v>6.0000000000000001E-3</v>
      </c>
      <c r="J64" s="471">
        <v>3.0000000000000001E-3</v>
      </c>
      <c r="K64" s="467">
        <v>1</v>
      </c>
      <c r="L64" s="467">
        <v>6.0000000000000001E-3</v>
      </c>
      <c r="M64" s="468" t="s">
        <v>926</v>
      </c>
    </row>
    <row r="65" spans="1:13">
      <c r="A65" s="468">
        <v>477</v>
      </c>
      <c r="B65" s="467">
        <v>64</v>
      </c>
      <c r="C65" s="467">
        <v>38</v>
      </c>
      <c r="D65" s="468" t="s">
        <v>934</v>
      </c>
      <c r="E65" s="467">
        <v>0</v>
      </c>
      <c r="F65" s="467">
        <v>0</v>
      </c>
      <c r="G65" s="467">
        <v>0</v>
      </c>
      <c r="H65" s="470">
        <v>45356.839050925926</v>
      </c>
      <c r="I65" s="467">
        <v>2.4E-2</v>
      </c>
      <c r="J65" s="471">
        <v>0</v>
      </c>
      <c r="K65" s="467">
        <v>1</v>
      </c>
      <c r="L65" s="467">
        <v>2.4E-2</v>
      </c>
      <c r="M65" s="468" t="s">
        <v>926</v>
      </c>
    </row>
    <row r="66" spans="1:13">
      <c r="A66" s="468">
        <v>555</v>
      </c>
      <c r="B66" s="467">
        <v>65</v>
      </c>
      <c r="C66" s="467">
        <v>39</v>
      </c>
      <c r="D66" s="468" t="s">
        <v>934</v>
      </c>
      <c r="E66" s="467">
        <v>0</v>
      </c>
      <c r="F66" s="467">
        <v>0</v>
      </c>
      <c r="G66" s="467">
        <v>0</v>
      </c>
      <c r="H66" s="470">
        <v>45356.839861111112</v>
      </c>
      <c r="I66" s="467">
        <v>4.9000000000000002E-2</v>
      </c>
      <c r="J66" s="471">
        <v>2E-3</v>
      </c>
      <c r="K66" s="467">
        <v>1</v>
      </c>
      <c r="L66" s="467">
        <v>4.9000000000000002E-2</v>
      </c>
      <c r="M66" s="468" t="s">
        <v>926</v>
      </c>
    </row>
    <row r="67" spans="1:13">
      <c r="A67" s="468">
        <v>412</v>
      </c>
      <c r="B67" s="467">
        <v>66</v>
      </c>
      <c r="C67" s="467">
        <v>40</v>
      </c>
      <c r="D67" s="468" t="s">
        <v>934</v>
      </c>
      <c r="E67" s="467">
        <v>0</v>
      </c>
      <c r="F67" s="467">
        <v>0</v>
      </c>
      <c r="G67" s="467">
        <v>0</v>
      </c>
      <c r="H67" s="470">
        <v>45356.840671296297</v>
      </c>
      <c r="I67" s="467">
        <v>6.0000000000000001E-3</v>
      </c>
      <c r="J67" s="471">
        <v>5.0000000000000001E-3</v>
      </c>
      <c r="K67" s="467">
        <v>1</v>
      </c>
      <c r="L67" s="467">
        <v>6.0000000000000001E-3</v>
      </c>
      <c r="M67" s="468" t="s">
        <v>926</v>
      </c>
    </row>
    <row r="68" spans="1:13">
      <c r="A68" s="468">
        <v>529</v>
      </c>
      <c r="B68" s="467">
        <v>67</v>
      </c>
      <c r="C68" s="467">
        <v>41</v>
      </c>
      <c r="D68" s="468" t="s">
        <v>934</v>
      </c>
      <c r="E68" s="467">
        <v>0</v>
      </c>
      <c r="F68" s="467">
        <v>0</v>
      </c>
      <c r="G68" s="467">
        <v>0</v>
      </c>
      <c r="H68" s="470">
        <v>45356.841481481482</v>
      </c>
      <c r="I68" s="467">
        <v>4.0000000000000001E-3</v>
      </c>
      <c r="J68" s="471">
        <v>4.0000000000000001E-3</v>
      </c>
      <c r="K68" s="467">
        <v>1</v>
      </c>
      <c r="L68" s="467">
        <v>4.0000000000000001E-3</v>
      </c>
      <c r="M68" s="468" t="s">
        <v>926</v>
      </c>
    </row>
    <row r="69" spans="1:13">
      <c r="A69" s="468">
        <v>568</v>
      </c>
      <c r="B69" s="467">
        <v>68</v>
      </c>
      <c r="C69" s="467">
        <v>42</v>
      </c>
      <c r="D69" s="468" t="s">
        <v>934</v>
      </c>
      <c r="E69" s="467">
        <v>0</v>
      </c>
      <c r="F69" s="467">
        <v>0</v>
      </c>
      <c r="G69" s="467">
        <v>0</v>
      </c>
      <c r="H69" s="470">
        <v>45356.842291666668</v>
      </c>
      <c r="I69" s="467">
        <v>0.01</v>
      </c>
      <c r="J69" s="471">
        <v>0</v>
      </c>
      <c r="K69" s="467">
        <v>1</v>
      </c>
      <c r="L69" s="467">
        <v>0.01</v>
      </c>
      <c r="M69" s="468" t="s">
        <v>926</v>
      </c>
    </row>
    <row r="70" spans="1:13">
      <c r="A70" s="468" t="s">
        <v>943</v>
      </c>
      <c r="B70" s="467">
        <v>69</v>
      </c>
      <c r="C70" s="467">
        <v>43</v>
      </c>
      <c r="D70" s="468" t="s">
        <v>936</v>
      </c>
      <c r="E70" s="467">
        <v>0</v>
      </c>
      <c r="F70" s="467">
        <v>0</v>
      </c>
      <c r="G70" s="467">
        <v>1</v>
      </c>
      <c r="H70" s="470">
        <v>45356.843101851853</v>
      </c>
      <c r="I70" s="467">
        <v>0.16800000000000001</v>
      </c>
      <c r="J70" s="467">
        <v>0.152</v>
      </c>
      <c r="K70" s="467">
        <v>1</v>
      </c>
      <c r="L70" s="467">
        <v>0.16800000000000001</v>
      </c>
      <c r="M70" s="467">
        <v>0.152</v>
      </c>
    </row>
    <row r="71" spans="1:13">
      <c r="A71" s="468" t="s">
        <v>937</v>
      </c>
      <c r="B71" s="467">
        <v>70</v>
      </c>
      <c r="C71" s="467">
        <v>908</v>
      </c>
      <c r="D71" s="468" t="s">
        <v>938</v>
      </c>
      <c r="E71" s="467">
        <v>0</v>
      </c>
      <c r="F71" s="467">
        <v>0</v>
      </c>
      <c r="G71" s="467">
        <v>0</v>
      </c>
      <c r="H71" s="470">
        <v>45356.843912037039</v>
      </c>
      <c r="I71" s="467">
        <v>0.13400000000000001</v>
      </c>
      <c r="J71" s="467">
        <v>2.7E-2</v>
      </c>
      <c r="K71" s="467">
        <v>1</v>
      </c>
      <c r="L71" s="467">
        <v>0.13400000000000001</v>
      </c>
      <c r="M71" s="467">
        <v>2.7E-2</v>
      </c>
    </row>
    <row r="72" spans="1:13">
      <c r="A72" s="468" t="s">
        <v>939</v>
      </c>
      <c r="B72" s="467">
        <v>71</v>
      </c>
      <c r="C72" s="467">
        <v>909</v>
      </c>
      <c r="D72" s="468" t="s">
        <v>938</v>
      </c>
      <c r="E72" s="467">
        <v>0</v>
      </c>
      <c r="F72" s="467">
        <v>0</v>
      </c>
      <c r="G72" s="467">
        <v>0</v>
      </c>
      <c r="H72" s="470">
        <v>45356.844722222224</v>
      </c>
      <c r="I72" s="467">
        <v>3.5999999999999997E-2</v>
      </c>
      <c r="J72" s="467">
        <v>7.0000000000000001E-3</v>
      </c>
      <c r="K72" s="467">
        <v>1</v>
      </c>
      <c r="L72" s="467">
        <v>3.5999999999999997E-2</v>
      </c>
      <c r="M72" s="467">
        <v>7.0000000000000001E-3</v>
      </c>
    </row>
    <row r="73" spans="1:13">
      <c r="A73" s="468" t="s">
        <v>928</v>
      </c>
      <c r="B73" s="467">
        <v>72</v>
      </c>
      <c r="C73" s="467">
        <v>0</v>
      </c>
      <c r="D73" s="468" t="s">
        <v>929</v>
      </c>
      <c r="E73" s="467">
        <v>0</v>
      </c>
      <c r="F73" s="467">
        <v>0</v>
      </c>
      <c r="G73" s="467">
        <v>0</v>
      </c>
      <c r="H73" s="470">
        <v>45356.845532407409</v>
      </c>
      <c r="I73" s="471">
        <v>-2E-3</v>
      </c>
      <c r="J73" s="471">
        <v>5.0000000000000001E-3</v>
      </c>
      <c r="K73" s="467">
        <v>1</v>
      </c>
      <c r="L73" s="468" t="s">
        <v>927</v>
      </c>
      <c r="M73" s="468" t="s">
        <v>926</v>
      </c>
    </row>
    <row r="74" spans="1:13">
      <c r="A74" s="468">
        <v>633</v>
      </c>
      <c r="B74" s="467">
        <v>73</v>
      </c>
      <c r="C74" s="467">
        <v>44</v>
      </c>
      <c r="D74" s="468" t="s">
        <v>934</v>
      </c>
      <c r="E74" s="467">
        <v>0</v>
      </c>
      <c r="F74" s="467">
        <v>0</v>
      </c>
      <c r="G74" s="467">
        <v>0</v>
      </c>
      <c r="H74" s="470">
        <v>45356.847962962966</v>
      </c>
      <c r="I74" s="467">
        <v>4.0000000000000001E-3</v>
      </c>
      <c r="J74" s="471">
        <v>1E-3</v>
      </c>
      <c r="K74" s="467">
        <v>1</v>
      </c>
      <c r="L74" s="467">
        <v>4.0000000000000001E-3</v>
      </c>
      <c r="M74" s="468" t="s">
        <v>926</v>
      </c>
    </row>
    <row r="75" spans="1:13">
      <c r="A75" s="468">
        <v>594</v>
      </c>
      <c r="B75" s="467">
        <v>74</v>
      </c>
      <c r="C75" s="467">
        <v>45</v>
      </c>
      <c r="D75" s="468" t="s">
        <v>934</v>
      </c>
      <c r="E75" s="467">
        <v>0</v>
      </c>
      <c r="F75" s="467">
        <v>0</v>
      </c>
      <c r="G75" s="467">
        <v>0</v>
      </c>
      <c r="H75" s="470">
        <v>45356.848773148151</v>
      </c>
      <c r="I75" s="467">
        <v>6.0000000000000001E-3</v>
      </c>
      <c r="J75" s="471">
        <v>1E-3</v>
      </c>
      <c r="K75" s="467">
        <v>1</v>
      </c>
      <c r="L75" s="467">
        <v>6.0000000000000001E-3</v>
      </c>
      <c r="M75" s="468" t="s">
        <v>926</v>
      </c>
    </row>
    <row r="76" spans="1:13">
      <c r="A76" s="468">
        <v>620</v>
      </c>
      <c r="B76" s="467">
        <v>75</v>
      </c>
      <c r="C76" s="467">
        <v>46</v>
      </c>
      <c r="D76" s="468" t="s">
        <v>934</v>
      </c>
      <c r="E76" s="467">
        <v>0</v>
      </c>
      <c r="F76" s="467">
        <v>0</v>
      </c>
      <c r="G76" s="467">
        <v>0</v>
      </c>
      <c r="H76" s="470">
        <v>45356.849583333336</v>
      </c>
      <c r="I76" s="467">
        <v>7.0000000000000001E-3</v>
      </c>
      <c r="J76" s="471">
        <v>2E-3</v>
      </c>
      <c r="K76" s="467">
        <v>1</v>
      </c>
      <c r="L76" s="467">
        <v>7.0000000000000001E-3</v>
      </c>
      <c r="M76" s="468" t="s">
        <v>926</v>
      </c>
    </row>
    <row r="77" spans="1:13">
      <c r="A77" s="468">
        <v>542</v>
      </c>
      <c r="B77" s="467">
        <v>76</v>
      </c>
      <c r="C77" s="467">
        <v>47</v>
      </c>
      <c r="D77" s="468" t="s">
        <v>934</v>
      </c>
      <c r="E77" s="467">
        <v>0</v>
      </c>
      <c r="F77" s="467">
        <v>0</v>
      </c>
      <c r="G77" s="467">
        <v>0</v>
      </c>
      <c r="H77" s="470">
        <v>45356.850393518522</v>
      </c>
      <c r="I77" s="467">
        <v>8.0000000000000002E-3</v>
      </c>
      <c r="J77" s="471">
        <v>2E-3</v>
      </c>
      <c r="K77" s="467">
        <v>1</v>
      </c>
      <c r="L77" s="467">
        <v>8.0000000000000002E-3</v>
      </c>
      <c r="M77" s="468" t="s">
        <v>926</v>
      </c>
    </row>
    <row r="78" spans="1:13">
      <c r="A78" s="468">
        <v>295</v>
      </c>
      <c r="B78" s="467">
        <v>77</v>
      </c>
      <c r="C78" s="467">
        <v>48</v>
      </c>
      <c r="D78" s="468" t="s">
        <v>934</v>
      </c>
      <c r="E78" s="467">
        <v>0</v>
      </c>
      <c r="F78" s="467">
        <v>0</v>
      </c>
      <c r="G78" s="467">
        <v>0</v>
      </c>
      <c r="H78" s="470">
        <v>45356.851203703707</v>
      </c>
      <c r="I78" s="467">
        <v>3.0000000000000001E-3</v>
      </c>
      <c r="J78" s="471">
        <v>2E-3</v>
      </c>
      <c r="K78" s="467">
        <v>1</v>
      </c>
      <c r="L78" s="467">
        <v>3.0000000000000001E-3</v>
      </c>
      <c r="M78" s="468" t="s">
        <v>926</v>
      </c>
    </row>
    <row r="79" spans="1:13">
      <c r="A79" s="468">
        <v>490</v>
      </c>
      <c r="B79" s="467">
        <v>78</v>
      </c>
      <c r="C79" s="467">
        <v>49</v>
      </c>
      <c r="D79" s="468" t="s">
        <v>934</v>
      </c>
      <c r="E79" s="467">
        <v>0</v>
      </c>
      <c r="F79" s="467">
        <v>0</v>
      </c>
      <c r="G79" s="467">
        <v>0</v>
      </c>
      <c r="H79" s="470">
        <v>45356.852013888885</v>
      </c>
      <c r="I79" s="467">
        <v>1.0999999999999999E-2</v>
      </c>
      <c r="J79" s="471">
        <v>3.0000000000000001E-3</v>
      </c>
      <c r="K79" s="467">
        <v>1</v>
      </c>
      <c r="L79" s="467">
        <v>1.0999999999999999E-2</v>
      </c>
      <c r="M79" s="468" t="s">
        <v>926</v>
      </c>
    </row>
    <row r="80" spans="1:13">
      <c r="A80" s="468">
        <v>581</v>
      </c>
      <c r="B80" s="467">
        <v>79</v>
      </c>
      <c r="C80" s="467">
        <v>50</v>
      </c>
      <c r="D80" s="468" t="s">
        <v>934</v>
      </c>
      <c r="E80" s="467">
        <v>0</v>
      </c>
      <c r="F80" s="467">
        <v>0</v>
      </c>
      <c r="G80" s="467">
        <v>0</v>
      </c>
      <c r="H80" s="470">
        <v>45356.852824074071</v>
      </c>
      <c r="I80" s="471">
        <v>-4.0000000000000001E-3</v>
      </c>
      <c r="J80" s="471">
        <v>3.0000000000000001E-3</v>
      </c>
      <c r="K80" s="467">
        <v>1</v>
      </c>
      <c r="L80" s="468" t="s">
        <v>927</v>
      </c>
      <c r="M80" s="468" t="s">
        <v>926</v>
      </c>
    </row>
    <row r="81" spans="1:13">
      <c r="A81" s="468">
        <v>86</v>
      </c>
      <c r="B81" s="467">
        <v>80</v>
      </c>
      <c r="C81" s="467">
        <v>51</v>
      </c>
      <c r="D81" s="468" t="s">
        <v>934</v>
      </c>
      <c r="E81" s="467">
        <v>0</v>
      </c>
      <c r="F81" s="467">
        <v>0</v>
      </c>
      <c r="G81" s="467">
        <v>0</v>
      </c>
      <c r="H81" s="470">
        <v>45356.853634259256</v>
      </c>
      <c r="I81" s="467">
        <v>5.0000000000000001E-3</v>
      </c>
      <c r="J81" s="471">
        <v>5.0000000000000001E-3</v>
      </c>
      <c r="K81" s="467">
        <v>1</v>
      </c>
      <c r="L81" s="467">
        <v>5.0000000000000001E-3</v>
      </c>
      <c r="M81" s="468" t="s">
        <v>926</v>
      </c>
    </row>
    <row r="82" spans="1:13">
      <c r="A82" s="468" t="s">
        <v>944</v>
      </c>
      <c r="B82" s="467">
        <v>81</v>
      </c>
      <c r="C82" s="467">
        <v>52</v>
      </c>
      <c r="D82" s="468" t="s">
        <v>936</v>
      </c>
      <c r="E82" s="467">
        <v>0</v>
      </c>
      <c r="F82" s="467">
        <v>0</v>
      </c>
      <c r="G82" s="467">
        <v>1</v>
      </c>
      <c r="H82" s="470">
        <v>45356.854444444441</v>
      </c>
      <c r="I82" s="467">
        <v>0.14000000000000001</v>
      </c>
      <c r="J82" s="467">
        <v>0.157</v>
      </c>
      <c r="K82" s="467">
        <v>1</v>
      </c>
      <c r="L82" s="467">
        <v>0.14000000000000001</v>
      </c>
      <c r="M82" s="467">
        <v>0.157</v>
      </c>
    </row>
    <row r="83" spans="1:13">
      <c r="A83" s="468" t="s">
        <v>937</v>
      </c>
      <c r="B83" s="467">
        <v>82</v>
      </c>
      <c r="C83" s="467">
        <v>908</v>
      </c>
      <c r="D83" s="468" t="s">
        <v>938</v>
      </c>
      <c r="E83" s="467">
        <v>0</v>
      </c>
      <c r="F83" s="467">
        <v>0</v>
      </c>
      <c r="G83" s="467">
        <v>0</v>
      </c>
      <c r="H83" s="470">
        <v>45356.855254629627</v>
      </c>
      <c r="I83" s="467">
        <v>0.13500000000000001</v>
      </c>
      <c r="J83" s="467">
        <v>3.2000000000000001E-2</v>
      </c>
      <c r="K83" s="467">
        <v>1</v>
      </c>
      <c r="L83" s="467">
        <v>0.13500000000000001</v>
      </c>
      <c r="M83" s="467">
        <v>3.2000000000000001E-2</v>
      </c>
    </row>
    <row r="84" spans="1:13">
      <c r="A84" s="468" t="s">
        <v>939</v>
      </c>
      <c r="B84" s="467">
        <v>83</v>
      </c>
      <c r="C84" s="467">
        <v>909</v>
      </c>
      <c r="D84" s="468" t="s">
        <v>938</v>
      </c>
      <c r="E84" s="467">
        <v>0</v>
      </c>
      <c r="F84" s="467">
        <v>0</v>
      </c>
      <c r="G84" s="467">
        <v>0</v>
      </c>
      <c r="H84" s="470">
        <v>45356.856064814812</v>
      </c>
      <c r="I84" s="467">
        <v>3.5000000000000003E-2</v>
      </c>
      <c r="J84" s="467">
        <v>1.2E-2</v>
      </c>
      <c r="K84" s="467">
        <v>1</v>
      </c>
      <c r="L84" s="467">
        <v>3.5000000000000003E-2</v>
      </c>
      <c r="M84" s="467">
        <v>1.2E-2</v>
      </c>
    </row>
    <row r="85" spans="1:13">
      <c r="A85" s="468" t="s">
        <v>928</v>
      </c>
      <c r="B85" s="467">
        <v>84</v>
      </c>
      <c r="C85" s="467">
        <v>0</v>
      </c>
      <c r="D85" s="468" t="s">
        <v>929</v>
      </c>
      <c r="E85" s="467">
        <v>0</v>
      </c>
      <c r="F85" s="467">
        <v>0</v>
      </c>
      <c r="G85" s="467">
        <v>0</v>
      </c>
      <c r="H85" s="470">
        <v>45356.856874999998</v>
      </c>
      <c r="I85" s="471">
        <v>-2E-3</v>
      </c>
      <c r="J85" s="471">
        <v>5.0000000000000001E-3</v>
      </c>
      <c r="K85" s="467">
        <v>1</v>
      </c>
      <c r="L85" s="468" t="s">
        <v>927</v>
      </c>
      <c r="M85" s="468" t="s">
        <v>926</v>
      </c>
    </row>
    <row r="86" spans="1:13">
      <c r="A86" s="468" t="s">
        <v>16</v>
      </c>
      <c r="B86" s="467">
        <v>85</v>
      </c>
      <c r="C86" s="467">
        <v>910</v>
      </c>
      <c r="D86" s="468" t="s">
        <v>934</v>
      </c>
      <c r="E86" s="467">
        <v>0</v>
      </c>
      <c r="F86" s="467">
        <v>0</v>
      </c>
      <c r="G86" s="467">
        <v>0</v>
      </c>
      <c r="H86" s="470">
        <v>45356.859305555554</v>
      </c>
      <c r="I86" s="471">
        <v>2E-3</v>
      </c>
      <c r="J86" s="471">
        <v>5.0000000000000001E-3</v>
      </c>
      <c r="K86" s="467">
        <v>1</v>
      </c>
      <c r="L86" s="468" t="s">
        <v>927</v>
      </c>
      <c r="M86" s="468" t="s">
        <v>926</v>
      </c>
    </row>
    <row r="87" spans="1:13">
      <c r="A87" s="468" t="s">
        <v>16</v>
      </c>
      <c r="B87" s="467">
        <v>86</v>
      </c>
      <c r="C87" s="467">
        <v>910</v>
      </c>
      <c r="D87" s="468" t="s">
        <v>934</v>
      </c>
      <c r="E87" s="467">
        <v>0</v>
      </c>
      <c r="F87" s="467">
        <v>0</v>
      </c>
      <c r="G87" s="467">
        <v>0</v>
      </c>
      <c r="H87" s="470">
        <v>45356.860115740739</v>
      </c>
      <c r="I87" s="471">
        <v>2E-3</v>
      </c>
      <c r="J87" s="471">
        <v>5.0000000000000001E-3</v>
      </c>
      <c r="K87" s="467">
        <v>1</v>
      </c>
      <c r="L87" s="468" t="s">
        <v>927</v>
      </c>
      <c r="M87" s="468" t="s">
        <v>926</v>
      </c>
    </row>
    <row r="88" spans="1:13">
      <c r="A88" s="468" t="s">
        <v>16</v>
      </c>
      <c r="B88" s="467">
        <v>87</v>
      </c>
      <c r="C88" s="467">
        <v>910</v>
      </c>
      <c r="D88" s="468" t="s">
        <v>934</v>
      </c>
      <c r="E88" s="467">
        <v>0</v>
      </c>
      <c r="F88" s="467">
        <v>0</v>
      </c>
      <c r="G88" s="467">
        <v>0</v>
      </c>
      <c r="H88" s="470">
        <v>45356.860925925925</v>
      </c>
      <c r="I88" s="471">
        <v>1E-3</v>
      </c>
      <c r="J88" s="471">
        <v>5.0000000000000001E-3</v>
      </c>
      <c r="K88" s="467">
        <v>1</v>
      </c>
      <c r="L88" s="468" t="s">
        <v>927</v>
      </c>
      <c r="M88" s="468" t="s">
        <v>926</v>
      </c>
    </row>
    <row r="89" spans="1:13">
      <c r="A89" s="468" t="s">
        <v>16</v>
      </c>
      <c r="B89" s="467">
        <v>88</v>
      </c>
      <c r="C89" s="467">
        <v>910</v>
      </c>
      <c r="D89" s="468" t="s">
        <v>934</v>
      </c>
      <c r="E89" s="467">
        <v>0</v>
      </c>
      <c r="F89" s="467">
        <v>0</v>
      </c>
      <c r="G89" s="467">
        <v>0</v>
      </c>
      <c r="H89" s="470">
        <v>45356.86173611111</v>
      </c>
      <c r="I89" s="471">
        <v>1E-3</v>
      </c>
      <c r="J89" s="471">
        <v>4.0000000000000001E-3</v>
      </c>
      <c r="K89" s="467">
        <v>1</v>
      </c>
      <c r="L89" s="468" t="s">
        <v>927</v>
      </c>
      <c r="M89" s="468" t="s">
        <v>926</v>
      </c>
    </row>
    <row r="90" spans="1:13">
      <c r="A90" s="468" t="s">
        <v>16</v>
      </c>
      <c r="B90" s="467">
        <v>89</v>
      </c>
      <c r="C90" s="467">
        <v>910</v>
      </c>
      <c r="D90" s="468" t="s">
        <v>934</v>
      </c>
      <c r="E90" s="467">
        <v>0</v>
      </c>
      <c r="F90" s="467">
        <v>0</v>
      </c>
      <c r="G90" s="467">
        <v>0</v>
      </c>
      <c r="H90" s="470">
        <v>45356.862546296295</v>
      </c>
      <c r="I90" s="471">
        <v>1E-3</v>
      </c>
      <c r="J90" s="471">
        <v>4.0000000000000001E-3</v>
      </c>
      <c r="K90" s="467">
        <v>1</v>
      </c>
      <c r="L90" s="468" t="s">
        <v>927</v>
      </c>
      <c r="M90" s="468" t="s">
        <v>926</v>
      </c>
    </row>
    <row r="91" spans="1:13">
      <c r="A91" s="468" t="s">
        <v>16</v>
      </c>
      <c r="B91" s="467">
        <v>90</v>
      </c>
      <c r="C91" s="467">
        <v>910</v>
      </c>
      <c r="D91" s="468" t="s">
        <v>934</v>
      </c>
      <c r="E91" s="467">
        <v>0</v>
      </c>
      <c r="F91" s="467">
        <v>0</v>
      </c>
      <c r="G91" s="467">
        <v>0</v>
      </c>
      <c r="H91" s="470">
        <v>45356.863356481481</v>
      </c>
      <c r="I91" s="471">
        <v>0</v>
      </c>
      <c r="J91" s="471">
        <v>4.0000000000000001E-3</v>
      </c>
      <c r="K91" s="467">
        <v>1</v>
      </c>
      <c r="L91" s="468" t="s">
        <v>927</v>
      </c>
      <c r="M91" s="468" t="s">
        <v>926</v>
      </c>
    </row>
    <row r="92" spans="1:13">
      <c r="A92" s="468" t="s">
        <v>16</v>
      </c>
      <c r="B92" s="467">
        <v>91</v>
      </c>
      <c r="C92" s="467">
        <v>910</v>
      </c>
      <c r="D92" s="468" t="s">
        <v>934</v>
      </c>
      <c r="E92" s="467">
        <v>0</v>
      </c>
      <c r="F92" s="467">
        <v>0</v>
      </c>
      <c r="G92" s="467">
        <v>0</v>
      </c>
      <c r="H92" s="470">
        <v>45356.864166666666</v>
      </c>
      <c r="I92" s="471">
        <v>1E-3</v>
      </c>
      <c r="J92" s="471">
        <v>4.0000000000000001E-3</v>
      </c>
      <c r="K92" s="467">
        <v>1</v>
      </c>
      <c r="L92" s="468" t="s">
        <v>927</v>
      </c>
      <c r="M92" s="468" t="s">
        <v>926</v>
      </c>
    </row>
    <row r="93" spans="1:13">
      <c r="A93" s="468" t="s">
        <v>16</v>
      </c>
      <c r="B93" s="467">
        <v>92</v>
      </c>
      <c r="C93" s="467">
        <v>910</v>
      </c>
      <c r="D93" s="468" t="s">
        <v>934</v>
      </c>
      <c r="E93" s="467">
        <v>0</v>
      </c>
      <c r="F93" s="467">
        <v>0</v>
      </c>
      <c r="G93" s="467">
        <v>0</v>
      </c>
      <c r="H93" s="470">
        <v>45356.864976851852</v>
      </c>
      <c r="I93" s="471">
        <v>0</v>
      </c>
      <c r="J93" s="471">
        <v>4.0000000000000001E-3</v>
      </c>
      <c r="K93" s="467">
        <v>1</v>
      </c>
      <c r="L93" s="468" t="s">
        <v>927</v>
      </c>
      <c r="M93" s="468" t="s">
        <v>926</v>
      </c>
    </row>
    <row r="94" spans="1:13">
      <c r="A94" s="468" t="s">
        <v>16</v>
      </c>
      <c r="B94" s="467">
        <v>93</v>
      </c>
      <c r="C94" s="467">
        <v>910</v>
      </c>
      <c r="D94" s="468" t="s">
        <v>934</v>
      </c>
      <c r="E94" s="467">
        <v>0</v>
      </c>
      <c r="F94" s="467">
        <v>0</v>
      </c>
      <c r="G94" s="467">
        <v>0</v>
      </c>
      <c r="H94" s="470">
        <v>45356.865787037037</v>
      </c>
      <c r="I94" s="471">
        <v>1E-3</v>
      </c>
      <c r="J94" s="471">
        <v>4.0000000000000001E-3</v>
      </c>
      <c r="K94" s="467">
        <v>1</v>
      </c>
      <c r="L94" s="468" t="s">
        <v>927</v>
      </c>
      <c r="M94" s="468" t="s">
        <v>926</v>
      </c>
    </row>
    <row r="95" spans="1:13">
      <c r="A95" s="468" t="s">
        <v>16</v>
      </c>
      <c r="B95" s="467">
        <v>94</v>
      </c>
      <c r="C95" s="467">
        <v>910</v>
      </c>
      <c r="D95" s="468" t="s">
        <v>934</v>
      </c>
      <c r="E95" s="467">
        <v>0</v>
      </c>
      <c r="F95" s="467">
        <v>0</v>
      </c>
      <c r="G95" s="467">
        <v>0</v>
      </c>
      <c r="H95" s="470">
        <v>45356.866597222222</v>
      </c>
      <c r="I95" s="471">
        <v>0</v>
      </c>
      <c r="J95" s="471">
        <v>4.0000000000000001E-3</v>
      </c>
      <c r="K95" s="467">
        <v>1</v>
      </c>
      <c r="L95" s="468" t="s">
        <v>927</v>
      </c>
      <c r="M95" s="468" t="s">
        <v>926</v>
      </c>
    </row>
    <row r="96" spans="1:13">
      <c r="A96" s="468" t="s">
        <v>937</v>
      </c>
      <c r="B96" s="467">
        <v>95</v>
      </c>
      <c r="C96" s="467">
        <v>908</v>
      </c>
      <c r="D96" s="468" t="s">
        <v>938</v>
      </c>
      <c r="E96" s="467">
        <v>0</v>
      </c>
      <c r="F96" s="467">
        <v>0</v>
      </c>
      <c r="G96" s="467">
        <v>0</v>
      </c>
      <c r="H96" s="470">
        <v>45356.867407407408</v>
      </c>
      <c r="I96" s="467">
        <v>0.13500000000000001</v>
      </c>
      <c r="J96" s="467">
        <v>3.4000000000000002E-2</v>
      </c>
      <c r="K96" s="467">
        <v>1</v>
      </c>
      <c r="L96" s="467">
        <v>0.13500000000000001</v>
      </c>
      <c r="M96" s="467">
        <v>3.4000000000000002E-2</v>
      </c>
    </row>
    <row r="97" spans="1:13">
      <c r="A97" s="468" t="s">
        <v>939</v>
      </c>
      <c r="B97" s="467">
        <v>96</v>
      </c>
      <c r="C97" s="467">
        <v>909</v>
      </c>
      <c r="D97" s="468" t="s">
        <v>938</v>
      </c>
      <c r="E97" s="467">
        <v>0</v>
      </c>
      <c r="F97" s="467">
        <v>0</v>
      </c>
      <c r="G97" s="467">
        <v>0</v>
      </c>
      <c r="H97" s="470">
        <v>45356.868217592593</v>
      </c>
      <c r="I97" s="467">
        <v>3.5000000000000003E-2</v>
      </c>
      <c r="J97" s="467">
        <v>1.2999999999999999E-2</v>
      </c>
      <c r="K97" s="467">
        <v>1</v>
      </c>
      <c r="L97" s="467">
        <v>3.5000000000000003E-2</v>
      </c>
      <c r="M97" s="467">
        <v>1.2999999999999999E-2</v>
      </c>
    </row>
    <row r="98" spans="1:13">
      <c r="A98" s="468" t="s">
        <v>928</v>
      </c>
      <c r="B98" s="467">
        <v>97</v>
      </c>
      <c r="C98" s="467">
        <v>0</v>
      </c>
      <c r="D98" s="468" t="s">
        <v>929</v>
      </c>
      <c r="E98" s="467">
        <v>0</v>
      </c>
      <c r="F98" s="467">
        <v>0</v>
      </c>
      <c r="G98" s="467">
        <v>0</v>
      </c>
      <c r="H98" s="470">
        <v>45356.869027777779</v>
      </c>
      <c r="I98" s="471">
        <v>-2E-3</v>
      </c>
      <c r="J98" s="471">
        <v>5.0000000000000001E-3</v>
      </c>
      <c r="K98" s="467">
        <v>1</v>
      </c>
      <c r="L98" s="468" t="s">
        <v>927</v>
      </c>
      <c r="M98" s="468" t="s">
        <v>926</v>
      </c>
    </row>
    <row r="99" spans="1:13">
      <c r="A99" s="468" t="s">
        <v>922</v>
      </c>
      <c r="B99" s="467">
        <v>98</v>
      </c>
      <c r="C99" s="467">
        <v>921</v>
      </c>
      <c r="D99" s="468" t="s">
        <v>923</v>
      </c>
      <c r="E99" s="467">
        <v>0</v>
      </c>
      <c r="F99" s="467">
        <v>0</v>
      </c>
      <c r="G99" s="467">
        <v>0</v>
      </c>
      <c r="H99" s="470">
        <v>45356.871458333335</v>
      </c>
      <c r="I99" s="467">
        <v>0.20200000000000001</v>
      </c>
      <c r="J99" s="467">
        <v>0.20499999999999999</v>
      </c>
      <c r="K99" s="467">
        <v>1</v>
      </c>
      <c r="L99" s="467">
        <v>0.20200000000000001</v>
      </c>
      <c r="M99" s="467">
        <v>0.20499999999999999</v>
      </c>
    </row>
    <row r="100" spans="1:13">
      <c r="A100" s="468" t="s">
        <v>945</v>
      </c>
      <c r="B100" s="467">
        <v>99</v>
      </c>
      <c r="C100" s="467">
        <v>0</v>
      </c>
      <c r="D100" s="468" t="s">
        <v>946</v>
      </c>
      <c r="E100" s="467">
        <v>0</v>
      </c>
      <c r="F100" s="467">
        <v>0</v>
      </c>
      <c r="G100" s="467">
        <v>0</v>
      </c>
      <c r="H100" s="470">
        <v>45356.87226851852</v>
      </c>
      <c r="I100" s="471">
        <v>-2E-3</v>
      </c>
      <c r="J100" s="471">
        <v>5.0000000000000001E-3</v>
      </c>
      <c r="K100" s="467">
        <v>1</v>
      </c>
      <c r="L100" s="468" t="s">
        <v>927</v>
      </c>
      <c r="M100" s="468" t="s">
        <v>926</v>
      </c>
    </row>
    <row r="101" spans="1:13">
      <c r="A101" s="37"/>
      <c r="B101" s="37"/>
      <c r="C101" s="37"/>
      <c r="D101" s="37"/>
    </row>
    <row r="102" spans="1:13">
      <c r="A102" s="37"/>
      <c r="B102" s="37"/>
      <c r="C102" s="37"/>
      <c r="D102" s="37"/>
    </row>
    <row r="103" spans="1:13">
      <c r="A103" s="37"/>
      <c r="B103" s="37"/>
      <c r="C103" s="37"/>
      <c r="D103" s="37"/>
    </row>
    <row r="104" spans="1:13">
      <c r="A104" s="37"/>
      <c r="B104" s="37"/>
      <c r="C104" s="37"/>
      <c r="D104" s="37"/>
    </row>
    <row r="105" spans="1:13">
      <c r="A105" s="37"/>
      <c r="B105" s="37"/>
      <c r="C105" s="37"/>
      <c r="D105" s="37"/>
    </row>
    <row r="106" spans="1:13">
      <c r="A106" s="37"/>
      <c r="B106" s="37"/>
      <c r="C106" s="37"/>
      <c r="D106" s="37"/>
    </row>
    <row r="107" spans="1:13">
      <c r="A107" s="37"/>
      <c r="B107" s="37"/>
      <c r="C107" s="37"/>
      <c r="D107" s="37"/>
    </row>
    <row r="108" spans="1:13">
      <c r="A108" s="37"/>
      <c r="B108" s="37"/>
      <c r="C108" s="37"/>
      <c r="D108" s="37"/>
    </row>
    <row r="109" spans="1:13">
      <c r="A109" s="37"/>
      <c r="B109" s="37"/>
      <c r="C109" s="37"/>
      <c r="D109" s="37"/>
    </row>
    <row r="110" spans="1:13">
      <c r="A110" s="37"/>
      <c r="B110" s="37"/>
      <c r="C110" s="37"/>
      <c r="D110" s="37"/>
    </row>
    <row r="111" spans="1:13">
      <c r="A111" s="37"/>
      <c r="B111" s="37"/>
      <c r="C111" s="37"/>
      <c r="D111" s="37"/>
    </row>
    <row r="112" spans="1:13">
      <c r="A112" s="37"/>
      <c r="B112" s="37"/>
      <c r="C112" s="37"/>
      <c r="D112" s="37"/>
    </row>
    <row r="113" spans="1:4">
      <c r="A113" s="37"/>
      <c r="B113" s="37"/>
      <c r="C113" s="37"/>
      <c r="D113" s="37"/>
    </row>
    <row r="114" spans="1:4">
      <c r="A114" s="37"/>
      <c r="B114" s="37"/>
      <c r="C114" s="37"/>
      <c r="D114" s="37"/>
    </row>
    <row r="115" spans="1:4">
      <c r="A115" s="37"/>
      <c r="B115" s="37"/>
      <c r="C115" s="37"/>
      <c r="D115" s="37"/>
    </row>
    <row r="116" spans="1:4">
      <c r="A116" s="37"/>
      <c r="B116" s="37"/>
      <c r="C116" s="37"/>
      <c r="D116" s="37"/>
    </row>
    <row r="117" spans="1:4">
      <c r="A117" s="37"/>
      <c r="B117" s="37"/>
      <c r="C117" s="37"/>
      <c r="D117" s="37"/>
    </row>
    <row r="118" spans="1:4">
      <c r="A118" s="37"/>
      <c r="B118" s="37"/>
      <c r="C118" s="37"/>
      <c r="D118" s="37"/>
    </row>
    <row r="119" spans="1:4">
      <c r="A119" s="37"/>
      <c r="B119" s="37"/>
      <c r="C119" s="37"/>
      <c r="D119" s="37"/>
    </row>
    <row r="120" spans="1:4">
      <c r="A120" s="37"/>
      <c r="B120" s="37"/>
      <c r="C120" s="37"/>
      <c r="D120" s="37"/>
    </row>
    <row r="121" spans="1:4">
      <c r="A121" s="37"/>
      <c r="B121" s="37"/>
      <c r="C121" s="37"/>
      <c r="D121" s="37"/>
    </row>
    <row r="122" spans="1:4">
      <c r="A122" s="37"/>
      <c r="B122" s="37"/>
      <c r="C122" s="37"/>
      <c r="D122" s="37"/>
    </row>
    <row r="123" spans="1:4">
      <c r="A123" s="37"/>
      <c r="B123" s="37"/>
      <c r="C123" s="37"/>
      <c r="D123" s="37"/>
    </row>
    <row r="124" spans="1:4">
      <c r="A124" s="37"/>
      <c r="B124" s="37"/>
      <c r="C124" s="37"/>
      <c r="D124" s="37"/>
    </row>
    <row r="125" spans="1:4">
      <c r="A125" s="37"/>
      <c r="B125" s="37"/>
      <c r="C125" s="37"/>
      <c r="D125" s="37"/>
    </row>
    <row r="126" spans="1:4">
      <c r="A126" s="37"/>
      <c r="B126" s="37"/>
      <c r="C126" s="37"/>
      <c r="D126" s="37"/>
    </row>
    <row r="127" spans="1:4">
      <c r="A127" s="37"/>
      <c r="B127" s="37"/>
      <c r="C127" s="37"/>
      <c r="D127" s="37"/>
    </row>
    <row r="128" spans="1:4">
      <c r="A128" s="37"/>
      <c r="B128" s="37"/>
      <c r="C128" s="37"/>
      <c r="D128" s="37"/>
    </row>
    <row r="129" spans="1:4">
      <c r="A129" s="37"/>
      <c r="B129" s="37"/>
      <c r="C129" s="37"/>
      <c r="D129" s="37"/>
    </row>
    <row r="130" spans="1:4">
      <c r="A130" s="37"/>
      <c r="B130" s="37"/>
      <c r="C130" s="37"/>
      <c r="D130" s="37"/>
    </row>
    <row r="131" spans="1:4">
      <c r="A131" s="37"/>
      <c r="B131" s="37"/>
      <c r="C131" s="37"/>
      <c r="D131" s="37"/>
    </row>
    <row r="132" spans="1:4">
      <c r="A132" s="37"/>
      <c r="B132" s="37"/>
      <c r="C132" s="37"/>
      <c r="D132" s="37"/>
    </row>
    <row r="133" spans="1:4">
      <c r="A133" s="37"/>
      <c r="B133" s="37"/>
      <c r="C133" s="37"/>
      <c r="D133" s="37"/>
    </row>
    <row r="134" spans="1:4">
      <c r="A134" s="37"/>
      <c r="B134" s="37"/>
      <c r="C134" s="37"/>
      <c r="D134" s="37"/>
    </row>
    <row r="135" spans="1:4">
      <c r="A135" s="37"/>
      <c r="B135" s="37"/>
      <c r="C135" s="37"/>
      <c r="D135" s="37"/>
    </row>
    <row r="136" spans="1:4">
      <c r="A136" s="37"/>
      <c r="B136" s="37"/>
      <c r="C136" s="37"/>
      <c r="D136" s="37"/>
    </row>
    <row r="137" spans="1:4">
      <c r="A137" s="37"/>
      <c r="B137" s="37"/>
      <c r="C137" s="37"/>
      <c r="D137" s="37"/>
    </row>
    <row r="138" spans="1:4">
      <c r="A138" s="37"/>
      <c r="B138" s="37"/>
      <c r="C138" s="37"/>
      <c r="D138" s="37"/>
    </row>
    <row r="139" spans="1:4">
      <c r="A139" s="37"/>
      <c r="B139" s="37"/>
      <c r="C139" s="37"/>
      <c r="D139" s="37"/>
    </row>
    <row r="140" spans="1:4">
      <c r="A140" s="37"/>
      <c r="B140" s="37"/>
      <c r="C140" s="37"/>
      <c r="D140" s="37"/>
    </row>
    <row r="141" spans="1:4">
      <c r="A141" s="37"/>
      <c r="B141" s="37"/>
      <c r="C141" s="37"/>
      <c r="D141" s="37"/>
    </row>
    <row r="142" spans="1:4">
      <c r="A142" s="37"/>
      <c r="B142" s="37"/>
      <c r="C142" s="37"/>
      <c r="D142" s="37"/>
    </row>
    <row r="143" spans="1:4">
      <c r="A143" s="37"/>
      <c r="B143" s="37"/>
      <c r="C143" s="37"/>
      <c r="D143" s="37"/>
    </row>
    <row r="144" spans="1:4">
      <c r="A144" s="37"/>
      <c r="B144" s="37"/>
      <c r="C144" s="37"/>
      <c r="D144" s="37"/>
    </row>
    <row r="145" spans="1:4">
      <c r="A145" s="37"/>
      <c r="B145" s="37"/>
      <c r="C145" s="37"/>
      <c r="D145" s="37"/>
    </row>
    <row r="146" spans="1:4">
      <c r="A146" s="37"/>
      <c r="B146" s="37"/>
      <c r="C146" s="37"/>
      <c r="D146" s="37"/>
    </row>
    <row r="147" spans="1:4">
      <c r="A147" s="37"/>
      <c r="B147" s="37"/>
      <c r="C147" s="37"/>
      <c r="D147" s="37"/>
    </row>
    <row r="148" spans="1:4">
      <c r="A148" s="37"/>
      <c r="B148" s="37"/>
      <c r="C148" s="37"/>
      <c r="D148" s="37"/>
    </row>
    <row r="149" spans="1:4">
      <c r="A149" s="37"/>
      <c r="B149" s="37"/>
      <c r="C149" s="37"/>
      <c r="D149" s="37"/>
    </row>
    <row r="150" spans="1:4">
      <c r="A150" s="37"/>
      <c r="B150" s="37"/>
      <c r="C150" s="37"/>
      <c r="D150" s="37"/>
    </row>
    <row r="151" spans="1:4">
      <c r="A151" s="37"/>
      <c r="B151" s="37"/>
      <c r="C151" s="37"/>
      <c r="D151" s="37"/>
    </row>
    <row r="152" spans="1:4">
      <c r="A152" s="37"/>
      <c r="B152" s="37"/>
      <c r="C152" s="37"/>
      <c r="D152" s="37"/>
    </row>
    <row r="153" spans="1:4">
      <c r="A153" s="37"/>
      <c r="B153" s="37"/>
      <c r="C153" s="37"/>
      <c r="D153" s="37"/>
    </row>
    <row r="154" spans="1:4">
      <c r="A154" s="37"/>
      <c r="B154" s="37"/>
      <c r="C154" s="37"/>
      <c r="D154" s="37"/>
    </row>
    <row r="155" spans="1:4">
      <c r="A155" s="37"/>
      <c r="B155" s="37"/>
      <c r="C155" s="37"/>
      <c r="D155" s="37"/>
    </row>
    <row r="156" spans="1:4">
      <c r="A156" s="37"/>
      <c r="B156" s="37"/>
      <c r="C156" s="37"/>
      <c r="D156" s="37"/>
    </row>
    <row r="157" spans="1:4">
      <c r="A157" s="37"/>
      <c r="B157" s="37"/>
      <c r="C157" s="37"/>
      <c r="D157" s="37"/>
    </row>
    <row r="158" spans="1:4">
      <c r="A158" s="37"/>
      <c r="B158" s="37"/>
      <c r="C158" s="37"/>
      <c r="D158" s="37"/>
    </row>
    <row r="159" spans="1:4">
      <c r="A159" s="37"/>
      <c r="B159" s="37"/>
      <c r="C159" s="37"/>
      <c r="D159" s="37"/>
    </row>
    <row r="160" spans="1:4">
      <c r="A160" s="37"/>
      <c r="B160" s="37"/>
      <c r="C160" s="37"/>
      <c r="D160" s="37"/>
    </row>
    <row r="161" spans="1:4">
      <c r="A161" s="37"/>
      <c r="B161" s="37"/>
      <c r="C161" s="37"/>
      <c r="D161" s="37"/>
    </row>
    <row r="162" spans="1:4">
      <c r="A162" s="37"/>
      <c r="B162" s="37"/>
      <c r="C162" s="37"/>
      <c r="D162" s="37"/>
    </row>
    <row r="163" spans="1:4">
      <c r="A163" s="37"/>
      <c r="B163" s="37"/>
      <c r="C163" s="37"/>
      <c r="D163" s="37"/>
    </row>
    <row r="164" spans="1:4">
      <c r="A164" s="37"/>
      <c r="B164" s="37"/>
      <c r="C164" s="37"/>
      <c r="D164" s="37"/>
    </row>
    <row r="165" spans="1:4">
      <c r="A165" s="37"/>
      <c r="B165" s="37"/>
      <c r="C165" s="37"/>
      <c r="D165" s="37"/>
    </row>
    <row r="166" spans="1:4">
      <c r="A166" s="37"/>
      <c r="B166" s="37"/>
      <c r="C166" s="37"/>
      <c r="D166" s="37"/>
    </row>
    <row r="167" spans="1:4">
      <c r="A167" s="37"/>
      <c r="B167" s="37"/>
      <c r="C167" s="37"/>
      <c r="D167" s="37"/>
    </row>
    <row r="168" spans="1:4">
      <c r="A168" s="37"/>
      <c r="B168" s="37"/>
      <c r="C168" s="37"/>
      <c r="D168" s="37"/>
    </row>
    <row r="169" spans="1:4">
      <c r="A169" s="37"/>
      <c r="B169" s="37"/>
      <c r="C169" s="37"/>
      <c r="D169" s="37"/>
    </row>
    <row r="170" spans="1:4">
      <c r="A170" s="37"/>
      <c r="B170" s="37"/>
      <c r="C170" s="37"/>
      <c r="D170" s="37"/>
    </row>
    <row r="171" spans="1:4">
      <c r="A171" s="37"/>
      <c r="B171" s="37"/>
      <c r="C171" s="37"/>
      <c r="D171" s="37"/>
    </row>
    <row r="172" spans="1:4">
      <c r="A172" s="37"/>
      <c r="B172" s="37"/>
      <c r="C172" s="37"/>
      <c r="D172" s="37"/>
    </row>
    <row r="173" spans="1:4">
      <c r="A173" s="37"/>
      <c r="B173" s="37"/>
      <c r="C173" s="37"/>
      <c r="D173" s="37"/>
    </row>
    <row r="174" spans="1:4">
      <c r="A174" s="37"/>
      <c r="B174" s="37"/>
      <c r="C174" s="37"/>
      <c r="D174" s="37"/>
    </row>
    <row r="175" spans="1:4">
      <c r="A175" s="37"/>
      <c r="B175" s="37"/>
      <c r="C175" s="37"/>
      <c r="D175" s="37"/>
    </row>
    <row r="176" spans="1:4">
      <c r="A176" s="37"/>
      <c r="B176" s="37"/>
      <c r="C176" s="37"/>
      <c r="D176" s="37"/>
    </row>
    <row r="177" spans="1:4">
      <c r="A177" s="37"/>
      <c r="B177" s="37"/>
      <c r="C177" s="37"/>
      <c r="D177" s="37"/>
    </row>
    <row r="178" spans="1:4">
      <c r="A178" s="37"/>
      <c r="B178" s="37"/>
      <c r="C178" s="37"/>
      <c r="D178" s="37"/>
    </row>
    <row r="179" spans="1:4">
      <c r="A179" s="37"/>
      <c r="B179" s="37"/>
      <c r="C179" s="37"/>
      <c r="D179" s="37"/>
    </row>
    <row r="180" spans="1:4">
      <c r="A180" s="37"/>
      <c r="B180" s="37"/>
      <c r="C180" s="37"/>
      <c r="D180" s="37"/>
    </row>
    <row r="181" spans="1:4">
      <c r="A181" s="37"/>
      <c r="B181" s="37"/>
      <c r="C181" s="37"/>
      <c r="D181" s="37"/>
    </row>
    <row r="182" spans="1:4">
      <c r="A182" s="37"/>
      <c r="B182" s="37"/>
      <c r="C182" s="37"/>
      <c r="D182" s="37"/>
    </row>
    <row r="183" spans="1:4">
      <c r="A183" s="37"/>
      <c r="B183" s="37"/>
      <c r="C183" s="37"/>
      <c r="D183" s="37"/>
    </row>
    <row r="184" spans="1:4">
      <c r="A184" s="37"/>
      <c r="B184" s="37"/>
      <c r="C184" s="37"/>
      <c r="D184" s="37"/>
    </row>
    <row r="185" spans="1:4">
      <c r="A185" s="37"/>
      <c r="B185" s="37"/>
      <c r="C185" s="37"/>
      <c r="D185" s="37"/>
    </row>
    <row r="186" spans="1:4">
      <c r="A186" s="37"/>
      <c r="B186" s="37"/>
      <c r="C186" s="37"/>
      <c r="D186" s="37"/>
    </row>
    <row r="187" spans="1:4">
      <c r="A187" s="37"/>
      <c r="B187" s="37"/>
      <c r="C187" s="37"/>
      <c r="D187" s="37"/>
    </row>
    <row r="188" spans="1:4">
      <c r="A188" s="37"/>
      <c r="B188" s="37"/>
      <c r="C188" s="37"/>
      <c r="D188" s="37"/>
    </row>
    <row r="189" spans="1:4">
      <c r="A189" s="37"/>
      <c r="B189" s="37"/>
      <c r="C189" s="37"/>
      <c r="D189" s="37"/>
    </row>
    <row r="190" spans="1:4">
      <c r="A190" s="37"/>
      <c r="B190" s="37"/>
      <c r="C190" s="37"/>
      <c r="D190" s="37"/>
    </row>
    <row r="191" spans="1:4">
      <c r="A191" s="37"/>
      <c r="B191" s="37"/>
      <c r="C191" s="37"/>
      <c r="D191" s="37"/>
    </row>
    <row r="192" spans="1:4">
      <c r="A192" s="37"/>
      <c r="B192" s="37"/>
      <c r="C192" s="37"/>
      <c r="D192" s="37"/>
    </row>
    <row r="193" spans="1:4">
      <c r="A193" s="37"/>
      <c r="B193" s="37"/>
      <c r="C193" s="37"/>
      <c r="D193" s="37"/>
    </row>
    <row r="194" spans="1:4">
      <c r="A194" s="37"/>
      <c r="B194" s="37"/>
      <c r="C194" s="37"/>
      <c r="D194" s="37"/>
    </row>
    <row r="195" spans="1:4">
      <c r="A195" s="37"/>
      <c r="B195" s="37"/>
      <c r="C195" s="37"/>
      <c r="D195" s="37"/>
    </row>
    <row r="196" spans="1:4">
      <c r="A196" s="37"/>
      <c r="B196" s="37"/>
      <c r="C196" s="37"/>
      <c r="D196" s="37"/>
    </row>
    <row r="197" spans="1:4">
      <c r="A197" s="37"/>
      <c r="B197" s="37"/>
      <c r="C197" s="37"/>
      <c r="D197" s="37"/>
    </row>
    <row r="198" spans="1:4">
      <c r="A198" s="37"/>
      <c r="B198" s="37"/>
      <c r="C198" s="37"/>
      <c r="D198" s="37"/>
    </row>
    <row r="199" spans="1:4">
      <c r="A199" s="37"/>
      <c r="B199" s="37"/>
      <c r="C199" s="37"/>
      <c r="D199" s="37"/>
    </row>
    <row r="200" spans="1:4">
      <c r="A200" s="37"/>
      <c r="B200" s="37"/>
      <c r="C200" s="37"/>
      <c r="D200" s="37"/>
    </row>
    <row r="201" spans="1:4">
      <c r="A201" s="37"/>
      <c r="B201" s="37"/>
      <c r="C201" s="37"/>
      <c r="D201" s="37"/>
    </row>
    <row r="202" spans="1:4">
      <c r="A202" s="37"/>
      <c r="B202" s="37"/>
      <c r="C202" s="37"/>
      <c r="D202" s="37"/>
    </row>
    <row r="203" spans="1:4">
      <c r="A203" s="37"/>
      <c r="B203" s="37"/>
      <c r="C203" s="37"/>
      <c r="D203" s="37"/>
    </row>
    <row r="204" spans="1:4">
      <c r="A204" s="37"/>
      <c r="B204" s="37"/>
      <c r="C204" s="37"/>
      <c r="D204" s="37"/>
    </row>
    <row r="205" spans="1:4">
      <c r="A205" s="37"/>
      <c r="B205" s="37"/>
      <c r="C205" s="37"/>
      <c r="D205" s="37"/>
    </row>
    <row r="206" spans="1:4">
      <c r="A206" s="37"/>
      <c r="B206" s="37"/>
      <c r="C206" s="37"/>
      <c r="D206" s="37"/>
    </row>
    <row r="207" spans="1:4">
      <c r="A207" s="37"/>
      <c r="B207" s="37"/>
      <c r="C207" s="37"/>
      <c r="D207" s="37"/>
    </row>
    <row r="208" spans="1:4">
      <c r="A208" s="37"/>
      <c r="B208" s="37"/>
      <c r="C208" s="37"/>
      <c r="D208" s="37"/>
    </row>
    <row r="209" spans="1:4">
      <c r="A209" s="37"/>
      <c r="B209" s="37"/>
      <c r="C209" s="37"/>
      <c r="D209" s="37"/>
    </row>
    <row r="210" spans="1:4">
      <c r="A210" s="37"/>
      <c r="B210" s="37"/>
      <c r="C210" s="37"/>
      <c r="D210" s="37"/>
    </row>
    <row r="211" spans="1:4">
      <c r="A211" s="37"/>
      <c r="B211" s="37"/>
      <c r="C211" s="37"/>
      <c r="D211" s="37"/>
    </row>
    <row r="212" spans="1:4">
      <c r="A212" s="37"/>
      <c r="B212" s="37"/>
      <c r="C212" s="37"/>
      <c r="D212" s="37"/>
    </row>
    <row r="213" spans="1:4">
      <c r="A213" s="37"/>
      <c r="B213" s="37"/>
      <c r="C213" s="37"/>
      <c r="D213" s="37"/>
    </row>
    <row r="214" spans="1:4">
      <c r="A214" s="37"/>
      <c r="B214" s="37"/>
      <c r="C214" s="37"/>
      <c r="D214" s="37"/>
    </row>
    <row r="215" spans="1:4">
      <c r="A215" s="37"/>
      <c r="B215" s="37"/>
      <c r="C215" s="37"/>
      <c r="D215" s="37"/>
    </row>
    <row r="216" spans="1:4">
      <c r="A216" s="37"/>
      <c r="B216" s="37"/>
      <c r="C216" s="37"/>
      <c r="D216" s="37"/>
    </row>
    <row r="217" spans="1:4">
      <c r="A217" s="37"/>
      <c r="B217" s="37"/>
      <c r="C217" s="37"/>
      <c r="D217" s="37"/>
    </row>
    <row r="218" spans="1:4">
      <c r="A218" s="37"/>
      <c r="B218" s="37"/>
      <c r="C218" s="37"/>
      <c r="D218" s="37"/>
    </row>
    <row r="219" spans="1:4">
      <c r="A219" s="37"/>
      <c r="B219" s="37"/>
      <c r="C219" s="37"/>
      <c r="D219" s="37"/>
    </row>
    <row r="220" spans="1:4">
      <c r="A220" s="37"/>
      <c r="B220" s="37"/>
      <c r="C220" s="37"/>
      <c r="D220" s="37"/>
    </row>
    <row r="221" spans="1:4">
      <c r="A221" s="37"/>
      <c r="B221" s="37"/>
      <c r="C221" s="37"/>
      <c r="D221" s="37"/>
    </row>
    <row r="222" spans="1:4">
      <c r="A222" s="37"/>
      <c r="B222" s="37"/>
      <c r="C222" s="37"/>
      <c r="D222" s="37"/>
    </row>
    <row r="223" spans="1:4">
      <c r="A223" s="37"/>
      <c r="B223" s="37"/>
      <c r="C223" s="37"/>
      <c r="D223" s="37"/>
    </row>
    <row r="224" spans="1:4">
      <c r="A224" s="37"/>
      <c r="B224" s="37"/>
      <c r="C224" s="37"/>
      <c r="D224" s="37"/>
    </row>
    <row r="225" spans="1:4">
      <c r="A225" s="37"/>
      <c r="B225" s="37"/>
      <c r="C225" s="37"/>
      <c r="D225" s="37"/>
    </row>
    <row r="226" spans="1:4">
      <c r="A226" s="37"/>
      <c r="B226" s="37"/>
      <c r="C226" s="37"/>
      <c r="D226" s="37"/>
    </row>
    <row r="227" spans="1:4">
      <c r="A227" s="37"/>
      <c r="B227" s="37"/>
      <c r="C227" s="37"/>
      <c r="D227" s="37"/>
    </row>
    <row r="228" spans="1:4">
      <c r="A228" s="37"/>
      <c r="B228" s="37"/>
      <c r="C228" s="37"/>
      <c r="D228" s="37"/>
    </row>
    <row r="229" spans="1:4">
      <c r="A229" s="37"/>
      <c r="B229" s="37"/>
      <c r="C229" s="37"/>
      <c r="D229" s="37"/>
    </row>
    <row r="230" spans="1:4">
      <c r="A230" s="37"/>
      <c r="B230" s="37"/>
      <c r="C230" s="37"/>
      <c r="D230" s="37"/>
    </row>
    <row r="231" spans="1:4">
      <c r="A231" s="37"/>
      <c r="B231" s="37"/>
      <c r="C231" s="37"/>
      <c r="D231" s="37"/>
    </row>
    <row r="232" spans="1:4">
      <c r="A232" s="37"/>
      <c r="B232" s="37"/>
      <c r="C232" s="37"/>
      <c r="D232" s="37"/>
    </row>
    <row r="233" spans="1:4">
      <c r="A233" s="37"/>
      <c r="B233" s="37"/>
      <c r="C233" s="37"/>
      <c r="D233" s="37"/>
    </row>
    <row r="234" spans="1:4">
      <c r="A234" s="37"/>
      <c r="B234" s="37"/>
      <c r="C234" s="37"/>
      <c r="D234" s="37"/>
    </row>
    <row r="235" spans="1:4">
      <c r="A235" s="37"/>
      <c r="B235" s="37"/>
      <c r="C235" s="37"/>
      <c r="D235" s="37"/>
    </row>
    <row r="236" spans="1:4">
      <c r="A236" s="37"/>
      <c r="B236" s="37"/>
      <c r="C236" s="37"/>
      <c r="D236" s="37"/>
    </row>
    <row r="237" spans="1:4">
      <c r="A237" s="37"/>
      <c r="B237" s="37"/>
      <c r="C237" s="37"/>
      <c r="D237" s="37"/>
    </row>
    <row r="238" spans="1:4">
      <c r="A238" s="37"/>
      <c r="B238" s="37"/>
      <c r="C238" s="37"/>
      <c r="D238" s="37"/>
    </row>
    <row r="239" spans="1:4">
      <c r="A239" s="37"/>
      <c r="B239" s="37"/>
      <c r="C239" s="37"/>
      <c r="D239" s="37"/>
    </row>
    <row r="240" spans="1:4">
      <c r="A240" s="37"/>
      <c r="B240" s="37"/>
      <c r="C240" s="37"/>
      <c r="D240" s="37"/>
    </row>
    <row r="241" spans="1:4">
      <c r="A241" s="37"/>
      <c r="B241" s="37"/>
      <c r="C241" s="37"/>
      <c r="D241" s="37"/>
    </row>
    <row r="242" spans="1:4">
      <c r="A242" s="37"/>
      <c r="B242" s="37"/>
      <c r="C242" s="37"/>
      <c r="D242" s="37"/>
    </row>
    <row r="243" spans="1:4">
      <c r="A243" s="37"/>
      <c r="B243" s="37"/>
      <c r="C243" s="37"/>
      <c r="D243" s="37"/>
    </row>
    <row r="244" spans="1:4">
      <c r="A244" s="37"/>
      <c r="B244" s="37"/>
      <c r="C244" s="37"/>
      <c r="D244" s="37"/>
    </row>
    <row r="245" spans="1:4">
      <c r="A245" s="37"/>
      <c r="B245" s="37"/>
      <c r="C245" s="37"/>
      <c r="D245" s="37"/>
    </row>
    <row r="246" spans="1:4">
      <c r="A246" s="37"/>
      <c r="B246" s="37"/>
      <c r="C246" s="37"/>
      <c r="D246" s="37"/>
    </row>
    <row r="247" spans="1:4">
      <c r="A247" s="37"/>
      <c r="B247" s="37"/>
      <c r="C247" s="37"/>
      <c r="D247" s="37"/>
    </row>
    <row r="248" spans="1:4">
      <c r="A248" s="37"/>
      <c r="B248" s="37"/>
      <c r="C248" s="37"/>
      <c r="D248" s="37"/>
    </row>
    <row r="249" spans="1:4">
      <c r="A249" s="37"/>
      <c r="B249" s="37"/>
      <c r="C249" s="37"/>
      <c r="D249" s="37"/>
    </row>
    <row r="250" spans="1:4">
      <c r="A250" s="37"/>
      <c r="B250" s="37"/>
      <c r="C250" s="37"/>
      <c r="D250" s="37"/>
    </row>
    <row r="251" spans="1:4">
      <c r="A251" s="37"/>
      <c r="B251" s="37"/>
      <c r="C251" s="37"/>
      <c r="D251" s="37"/>
    </row>
    <row r="252" spans="1:4">
      <c r="A252" s="37"/>
      <c r="B252" s="37"/>
      <c r="C252" s="37"/>
      <c r="D252" s="37"/>
    </row>
    <row r="253" spans="1:4">
      <c r="A253" s="37"/>
      <c r="B253" s="37"/>
      <c r="C253" s="37"/>
      <c r="D253" s="37"/>
    </row>
    <row r="254" spans="1:4">
      <c r="A254" s="37"/>
      <c r="B254" s="37"/>
      <c r="C254" s="37"/>
      <c r="D254" s="37"/>
    </row>
    <row r="255" spans="1:4">
      <c r="A255" s="37"/>
      <c r="B255" s="37"/>
      <c r="C255" s="37"/>
      <c r="D255" s="37"/>
    </row>
    <row r="256" spans="1:4">
      <c r="A256" s="37"/>
      <c r="B256" s="37"/>
      <c r="C256" s="37"/>
      <c r="D256" s="37"/>
    </row>
    <row r="257" spans="1:4">
      <c r="A257" s="37"/>
      <c r="B257" s="37"/>
      <c r="C257" s="37"/>
      <c r="D257" s="37"/>
    </row>
    <row r="258" spans="1:4">
      <c r="A258" s="37"/>
      <c r="B258" s="37"/>
      <c r="C258" s="37"/>
      <c r="D258" s="37"/>
    </row>
    <row r="259" spans="1:4">
      <c r="A259" s="37"/>
      <c r="B259" s="37"/>
      <c r="C259" s="37"/>
      <c r="D259" s="37"/>
    </row>
    <row r="260" spans="1:4">
      <c r="A260" s="37"/>
      <c r="B260" s="37"/>
      <c r="C260" s="37"/>
      <c r="D260" s="37"/>
    </row>
    <row r="261" spans="1:4">
      <c r="A261" s="37"/>
      <c r="B261" s="37"/>
      <c r="C261" s="37"/>
      <c r="D261" s="37"/>
    </row>
    <row r="262" spans="1:4">
      <c r="A262" s="37"/>
      <c r="B262" s="37"/>
      <c r="C262" s="37"/>
      <c r="D262" s="37"/>
    </row>
    <row r="263" spans="1:4">
      <c r="A263" s="37"/>
      <c r="B263" s="37"/>
      <c r="C263" s="37"/>
      <c r="D263" s="37"/>
    </row>
    <row r="264" spans="1:4">
      <c r="A264" s="37"/>
      <c r="B264" s="37"/>
      <c r="C264" s="37"/>
      <c r="D264" s="37"/>
    </row>
    <row r="265" spans="1:4">
      <c r="A265" s="37"/>
      <c r="B265" s="37"/>
      <c r="C265" s="37"/>
      <c r="D265" s="37"/>
    </row>
    <row r="266" spans="1:4">
      <c r="A266" s="37"/>
      <c r="B266" s="37"/>
      <c r="C266" s="37"/>
      <c r="D266" s="37"/>
    </row>
    <row r="267" spans="1:4">
      <c r="A267" s="37"/>
      <c r="B267" s="37"/>
      <c r="C267" s="37"/>
      <c r="D267" s="37"/>
    </row>
    <row r="268" spans="1:4">
      <c r="A268" s="37"/>
      <c r="B268" s="37"/>
      <c r="C268" s="37"/>
      <c r="D268" s="37"/>
    </row>
    <row r="269" spans="1:4">
      <c r="A269" s="37"/>
      <c r="B269" s="37"/>
      <c r="C269" s="37"/>
      <c r="D269" s="37"/>
    </row>
    <row r="270" spans="1:4">
      <c r="A270" s="37"/>
      <c r="B270" s="37"/>
      <c r="C270" s="37"/>
      <c r="D270" s="37"/>
    </row>
    <row r="271" spans="1:4">
      <c r="A271" s="37"/>
      <c r="B271" s="37"/>
      <c r="C271" s="37"/>
      <c r="D271" s="37"/>
    </row>
    <row r="272" spans="1:4">
      <c r="A272" s="37"/>
      <c r="B272" s="37"/>
      <c r="C272" s="37"/>
      <c r="D272" s="37"/>
    </row>
    <row r="273" spans="1:4">
      <c r="A273" s="37"/>
      <c r="B273" s="37"/>
      <c r="C273" s="37"/>
      <c r="D273" s="37"/>
    </row>
    <row r="274" spans="1:4">
      <c r="A274" s="37"/>
      <c r="B274" s="37"/>
      <c r="C274" s="37"/>
      <c r="D274" s="37"/>
    </row>
    <row r="275" spans="1:4">
      <c r="A275" s="37"/>
      <c r="B275" s="37"/>
      <c r="C275" s="37"/>
      <c r="D275" s="37"/>
    </row>
    <row r="276" spans="1:4">
      <c r="A276" s="37"/>
      <c r="B276" s="37"/>
      <c r="C276" s="37"/>
      <c r="D276" s="37"/>
    </row>
    <row r="277" spans="1:4">
      <c r="A277" s="37"/>
      <c r="B277" s="37"/>
      <c r="C277" s="37"/>
      <c r="D277" s="37"/>
    </row>
    <row r="278" spans="1:4">
      <c r="A278" s="37"/>
      <c r="B278" s="37"/>
      <c r="C278" s="37"/>
      <c r="D278" s="37"/>
    </row>
    <row r="279" spans="1:4">
      <c r="A279" s="37"/>
      <c r="B279" s="37"/>
      <c r="C279" s="37"/>
      <c r="D279" s="37"/>
    </row>
    <row r="280" spans="1:4">
      <c r="A280" s="37"/>
      <c r="B280" s="37"/>
      <c r="C280" s="37"/>
      <c r="D280" s="37"/>
    </row>
    <row r="281" spans="1:4">
      <c r="A281" s="37"/>
      <c r="B281" s="37"/>
      <c r="C281" s="37"/>
      <c r="D281" s="37"/>
    </row>
    <row r="282" spans="1:4">
      <c r="A282" s="37"/>
      <c r="B282" s="37"/>
      <c r="C282" s="37"/>
      <c r="D282" s="37"/>
    </row>
    <row r="283" spans="1:4">
      <c r="A283" s="37"/>
      <c r="B283" s="37"/>
      <c r="C283" s="37"/>
      <c r="D283" s="37"/>
    </row>
    <row r="284" spans="1:4">
      <c r="A284" s="37"/>
      <c r="B284" s="37"/>
      <c r="C284" s="37"/>
      <c r="D284" s="37"/>
    </row>
    <row r="285" spans="1:4">
      <c r="A285" s="37"/>
      <c r="B285" s="37"/>
      <c r="C285" s="37"/>
      <c r="D285" s="37"/>
    </row>
    <row r="286" spans="1:4">
      <c r="A286" s="37"/>
      <c r="B286" s="37"/>
      <c r="C286" s="37"/>
      <c r="D286" s="37"/>
    </row>
    <row r="287" spans="1:4">
      <c r="A287" s="37"/>
      <c r="B287" s="37"/>
      <c r="C287" s="37"/>
      <c r="D287" s="37"/>
    </row>
    <row r="288" spans="1:4">
      <c r="A288" s="37"/>
      <c r="B288" s="37"/>
      <c r="C288" s="37"/>
      <c r="D288" s="37"/>
    </row>
    <row r="289" spans="1:4">
      <c r="A289" s="37"/>
      <c r="B289" s="37"/>
      <c r="C289" s="37"/>
      <c r="D289" s="37"/>
    </row>
    <row r="290" spans="1:4">
      <c r="A290" s="37"/>
      <c r="B290" s="37"/>
      <c r="C290" s="37"/>
      <c r="D290" s="37"/>
    </row>
    <row r="291" spans="1:4">
      <c r="A291" s="37"/>
      <c r="B291" s="37"/>
      <c r="C291" s="37"/>
      <c r="D291" s="37"/>
    </row>
    <row r="292" spans="1:4">
      <c r="A292" s="37"/>
      <c r="B292" s="37"/>
      <c r="C292" s="37"/>
      <c r="D292" s="37"/>
    </row>
    <row r="293" spans="1:4">
      <c r="A293" s="37"/>
      <c r="B293" s="37"/>
      <c r="C293" s="37"/>
      <c r="D293" s="37"/>
    </row>
    <row r="294" spans="1:4">
      <c r="A294" s="37"/>
      <c r="B294" s="37"/>
      <c r="C294" s="37"/>
      <c r="D294" s="37"/>
    </row>
    <row r="295" spans="1:4">
      <c r="A295" s="37"/>
      <c r="B295" s="37"/>
      <c r="C295" s="37"/>
      <c r="D295" s="37"/>
    </row>
    <row r="296" spans="1:4">
      <c r="A296" s="37"/>
      <c r="B296" s="37"/>
      <c r="C296" s="37"/>
      <c r="D296" s="37"/>
    </row>
    <row r="297" spans="1:4">
      <c r="A297" s="37"/>
      <c r="B297" s="37"/>
      <c r="C297" s="37"/>
      <c r="D297" s="37"/>
    </row>
    <row r="298" spans="1:4">
      <c r="A298" s="37"/>
      <c r="B298" s="37"/>
      <c r="C298" s="37"/>
      <c r="D298" s="37"/>
    </row>
    <row r="299" spans="1:4">
      <c r="A299" s="37"/>
      <c r="B299" s="37"/>
      <c r="C299" s="37"/>
      <c r="D299" s="37"/>
    </row>
    <row r="300" spans="1:4">
      <c r="A300" s="37"/>
      <c r="B300" s="37"/>
      <c r="C300" s="37"/>
      <c r="D300" s="37"/>
    </row>
    <row r="301" spans="1:4">
      <c r="A301" s="37"/>
      <c r="B301" s="37"/>
      <c r="C301" s="37"/>
      <c r="D301" s="37"/>
    </row>
    <row r="302" spans="1:4">
      <c r="A302" s="37"/>
      <c r="B302" s="37"/>
      <c r="C302" s="37"/>
      <c r="D302" s="37"/>
    </row>
    <row r="303" spans="1:4">
      <c r="A303" s="37"/>
      <c r="B303" s="37"/>
      <c r="C303" s="37"/>
      <c r="D303" s="37"/>
    </row>
    <row r="304" spans="1:4">
      <c r="A304" s="37"/>
      <c r="B304" s="37"/>
      <c r="C304" s="37"/>
      <c r="D304" s="37"/>
    </row>
    <row r="305" spans="1:4">
      <c r="A305" s="37"/>
      <c r="B305" s="37"/>
      <c r="C305" s="37"/>
      <c r="D305" s="37"/>
    </row>
    <row r="306" spans="1:4">
      <c r="A306" s="37"/>
      <c r="B306" s="37"/>
      <c r="C306" s="37"/>
      <c r="D306" s="37"/>
    </row>
    <row r="307" spans="1:4">
      <c r="A307" s="37"/>
      <c r="B307" s="37"/>
      <c r="C307" s="37"/>
      <c r="D307" s="37"/>
    </row>
    <row r="308" spans="1:4">
      <c r="A308" s="37"/>
      <c r="B308" s="37"/>
      <c r="C308" s="37"/>
      <c r="D308" s="37"/>
    </row>
    <row r="309" spans="1:4">
      <c r="A309" s="37"/>
      <c r="B309" s="37"/>
      <c r="C309" s="37"/>
      <c r="D309" s="37"/>
    </row>
    <row r="310" spans="1:4">
      <c r="A310" s="37"/>
      <c r="B310" s="37"/>
      <c r="C310" s="37"/>
      <c r="D310" s="37"/>
    </row>
    <row r="311" spans="1:4">
      <c r="A311" s="37"/>
      <c r="B311" s="37"/>
      <c r="C311" s="37"/>
      <c r="D311" s="37"/>
    </row>
    <row r="312" spans="1:4">
      <c r="A312" s="37"/>
      <c r="B312" s="37"/>
      <c r="C312" s="37"/>
      <c r="D312" s="37"/>
    </row>
    <row r="313" spans="1:4">
      <c r="A313" s="37"/>
      <c r="B313" s="37"/>
      <c r="C313" s="37"/>
      <c r="D313" s="37"/>
    </row>
    <row r="314" spans="1:4">
      <c r="A314" s="37"/>
      <c r="B314" s="37"/>
      <c r="C314" s="37"/>
      <c r="D314" s="37"/>
    </row>
    <row r="315" spans="1:4">
      <c r="A315" s="37"/>
      <c r="B315" s="37"/>
      <c r="C315" s="37"/>
      <c r="D315" s="37"/>
    </row>
    <row r="316" spans="1:4">
      <c r="A316" s="37"/>
      <c r="B316" s="37"/>
      <c r="C316" s="37"/>
      <c r="D316" s="37"/>
    </row>
    <row r="317" spans="1:4">
      <c r="A317" s="37"/>
      <c r="B317" s="37"/>
      <c r="C317" s="37"/>
      <c r="D317" s="37"/>
    </row>
    <row r="318" spans="1:4">
      <c r="A318" s="37"/>
      <c r="B318" s="37"/>
      <c r="C318" s="37"/>
      <c r="D318" s="37"/>
    </row>
    <row r="319" spans="1:4">
      <c r="A319" s="37"/>
      <c r="B319" s="37"/>
      <c r="C319" s="37"/>
      <c r="D319" s="37"/>
    </row>
    <row r="320" spans="1:4">
      <c r="A320" s="37"/>
      <c r="B320" s="37"/>
      <c r="C320" s="37"/>
      <c r="D320" s="37"/>
    </row>
    <row r="321" spans="1:4">
      <c r="A321" s="37"/>
      <c r="B321" s="37"/>
      <c r="C321" s="37"/>
      <c r="D321" s="37"/>
    </row>
    <row r="322" spans="1:4">
      <c r="A322" s="37"/>
      <c r="B322" s="37"/>
      <c r="C322" s="37"/>
      <c r="D322" s="37"/>
    </row>
    <row r="323" spans="1:4">
      <c r="A323" s="37"/>
      <c r="B323" s="37"/>
      <c r="C323" s="37"/>
      <c r="D323" s="37"/>
    </row>
    <row r="324" spans="1:4">
      <c r="A324" s="37"/>
      <c r="B324" s="37"/>
      <c r="C324" s="37"/>
      <c r="D324" s="37"/>
    </row>
    <row r="325" spans="1:4">
      <c r="A325" s="37"/>
      <c r="B325" s="37"/>
      <c r="C325" s="37"/>
      <c r="D325" s="37"/>
    </row>
    <row r="326" spans="1:4">
      <c r="A326" s="37"/>
      <c r="B326" s="37"/>
      <c r="C326" s="37"/>
      <c r="D326" s="37"/>
    </row>
    <row r="327" spans="1:4">
      <c r="A327" s="37"/>
      <c r="B327" s="37"/>
      <c r="C327" s="37"/>
      <c r="D327" s="37"/>
    </row>
    <row r="328" spans="1:4">
      <c r="A328" s="37"/>
      <c r="B328" s="37"/>
      <c r="C328" s="37"/>
      <c r="D328" s="37"/>
    </row>
    <row r="329" spans="1:4">
      <c r="A329" s="37"/>
      <c r="B329" s="37"/>
      <c r="C329" s="37"/>
      <c r="D329" s="37"/>
    </row>
    <row r="330" spans="1:4">
      <c r="A330" s="37"/>
      <c r="B330" s="37"/>
      <c r="C330" s="37"/>
      <c r="D330" s="37"/>
    </row>
    <row r="331" spans="1:4">
      <c r="A331" s="37"/>
      <c r="B331" s="37"/>
      <c r="C331" s="37"/>
      <c r="D331" s="37"/>
    </row>
    <row r="332" spans="1:4">
      <c r="A332" s="37"/>
      <c r="B332" s="37"/>
      <c r="C332" s="37"/>
      <c r="D332" s="37"/>
    </row>
    <row r="333" spans="1:4">
      <c r="A333" s="37"/>
      <c r="B333" s="37"/>
      <c r="C333" s="37"/>
      <c r="D333" s="37"/>
    </row>
    <row r="334" spans="1:4">
      <c r="A334" s="37"/>
      <c r="B334" s="37"/>
      <c r="C334" s="37"/>
      <c r="D334" s="37"/>
    </row>
    <row r="335" spans="1:4">
      <c r="A335" s="37"/>
      <c r="B335" s="37"/>
      <c r="C335" s="37"/>
      <c r="D335" s="37"/>
    </row>
    <row r="336" spans="1:4">
      <c r="A336" s="37"/>
      <c r="B336" s="37"/>
      <c r="C336" s="37"/>
      <c r="D336" s="37"/>
    </row>
    <row r="337" spans="1:4">
      <c r="A337" s="37"/>
      <c r="B337" s="37"/>
      <c r="C337" s="37"/>
      <c r="D337" s="37"/>
    </row>
    <row r="338" spans="1:4">
      <c r="A338" s="37"/>
      <c r="B338" s="37"/>
      <c r="C338" s="37"/>
      <c r="D338" s="37"/>
    </row>
    <row r="339" spans="1:4">
      <c r="A339" s="37"/>
      <c r="B339" s="37"/>
      <c r="C339" s="37"/>
      <c r="D339" s="37"/>
    </row>
    <row r="340" spans="1:4">
      <c r="A340" s="37"/>
      <c r="B340" s="37"/>
      <c r="C340" s="37"/>
      <c r="D340" s="37"/>
    </row>
    <row r="341" spans="1:4">
      <c r="A341" s="37"/>
      <c r="B341" s="37"/>
      <c r="C341" s="37"/>
      <c r="D341" s="37"/>
    </row>
    <row r="342" spans="1:4">
      <c r="A342" s="37"/>
      <c r="B342" s="37"/>
      <c r="C342" s="37"/>
      <c r="D342" s="37"/>
    </row>
    <row r="343" spans="1:4">
      <c r="A343" s="37"/>
      <c r="B343" s="37"/>
      <c r="C343" s="37"/>
      <c r="D343" s="37"/>
    </row>
    <row r="344" spans="1:4">
      <c r="A344" s="37"/>
      <c r="B344" s="37"/>
      <c r="C344" s="37"/>
      <c r="D344" s="37"/>
    </row>
    <row r="345" spans="1:4">
      <c r="A345" s="37"/>
      <c r="B345" s="37"/>
      <c r="C345" s="37"/>
      <c r="D345" s="37"/>
    </row>
    <row r="346" spans="1:4">
      <c r="A346" s="37"/>
      <c r="B346" s="37"/>
      <c r="C346" s="37"/>
      <c r="D346" s="37"/>
    </row>
    <row r="347" spans="1:4">
      <c r="A347" s="37"/>
      <c r="B347" s="37"/>
      <c r="C347" s="37"/>
      <c r="D347" s="37"/>
    </row>
    <row r="348" spans="1:4">
      <c r="A348" s="37"/>
      <c r="B348" s="37"/>
      <c r="C348" s="37"/>
      <c r="D348" s="37"/>
    </row>
    <row r="349" spans="1:4">
      <c r="A349" s="37"/>
      <c r="B349" s="37"/>
      <c r="C349" s="37"/>
      <c r="D349" s="37"/>
    </row>
    <row r="350" spans="1:4">
      <c r="A350" s="37"/>
      <c r="B350" s="37"/>
      <c r="C350" s="37"/>
      <c r="D350" s="37"/>
    </row>
    <row r="351" spans="1:4">
      <c r="A351" s="37"/>
      <c r="B351" s="37"/>
      <c r="C351" s="37"/>
      <c r="D351" s="37"/>
    </row>
    <row r="352" spans="1:4">
      <c r="A352" s="37"/>
      <c r="B352" s="37"/>
      <c r="C352" s="37"/>
      <c r="D352" s="37"/>
    </row>
    <row r="353" spans="1:4">
      <c r="A353" s="37"/>
      <c r="B353" s="37"/>
      <c r="C353" s="37"/>
      <c r="D353" s="37"/>
    </row>
    <row r="354" spans="1:4">
      <c r="A354" s="37"/>
      <c r="B354" s="37"/>
      <c r="C354" s="37"/>
      <c r="D354" s="37"/>
    </row>
    <row r="355" spans="1:4">
      <c r="A355" s="37"/>
      <c r="B355" s="37"/>
      <c r="C355" s="37"/>
      <c r="D355" s="37"/>
    </row>
    <row r="356" spans="1:4">
      <c r="A356" s="37"/>
      <c r="B356" s="37"/>
      <c r="C356" s="37"/>
      <c r="D356" s="37"/>
    </row>
    <row r="357" spans="1:4">
      <c r="A357" s="37"/>
      <c r="B357" s="37"/>
      <c r="C357" s="37"/>
      <c r="D357" s="37"/>
    </row>
    <row r="358" spans="1:4">
      <c r="A358" s="37"/>
      <c r="B358" s="37"/>
      <c r="C358" s="37"/>
      <c r="D358" s="37"/>
    </row>
    <row r="359" spans="1:4">
      <c r="A359" s="37"/>
      <c r="B359" s="37"/>
      <c r="C359" s="37"/>
      <c r="D359" s="37"/>
    </row>
    <row r="360" spans="1:4">
      <c r="A360" s="37"/>
      <c r="B360" s="37"/>
      <c r="C360" s="37"/>
      <c r="D360" s="37"/>
    </row>
    <row r="361" spans="1:4">
      <c r="A361" s="37"/>
      <c r="B361" s="37"/>
      <c r="C361" s="37"/>
      <c r="D361" s="37"/>
    </row>
    <row r="362" spans="1:4">
      <c r="A362" s="37"/>
      <c r="B362" s="37"/>
      <c r="C362" s="37"/>
      <c r="D362" s="37"/>
    </row>
    <row r="363" spans="1:4">
      <c r="A363" s="37"/>
      <c r="B363" s="37"/>
      <c r="C363" s="37"/>
      <c r="D363" s="37"/>
    </row>
    <row r="364" spans="1:4">
      <c r="A364" s="37"/>
      <c r="B364" s="37"/>
      <c r="C364" s="37"/>
      <c r="D364" s="37"/>
    </row>
    <row r="365" spans="1:4">
      <c r="A365" s="37"/>
      <c r="B365" s="37"/>
      <c r="C365" s="37"/>
      <c r="D365" s="37"/>
    </row>
    <row r="366" spans="1:4">
      <c r="A366" s="37"/>
      <c r="B366" s="37"/>
      <c r="C366" s="37"/>
      <c r="D366" s="37"/>
    </row>
    <row r="367" spans="1:4">
      <c r="A367" s="37"/>
      <c r="B367" s="37"/>
      <c r="C367" s="37"/>
      <c r="D367" s="37"/>
    </row>
    <row r="368" spans="1:4">
      <c r="A368" s="37"/>
      <c r="B368" s="37"/>
      <c r="C368" s="37"/>
      <c r="D368" s="37"/>
    </row>
    <row r="369" spans="1:4">
      <c r="A369" s="37"/>
      <c r="B369" s="37"/>
      <c r="C369" s="37"/>
      <c r="D369" s="37"/>
    </row>
    <row r="370" spans="1:4">
      <c r="A370" s="37"/>
      <c r="B370" s="37"/>
      <c r="C370" s="37"/>
      <c r="D370" s="37"/>
    </row>
    <row r="371" spans="1:4">
      <c r="A371" s="37"/>
      <c r="B371" s="37"/>
      <c r="C371" s="37"/>
      <c r="D371" s="37"/>
    </row>
    <row r="372" spans="1:4">
      <c r="A372" s="37"/>
      <c r="B372" s="37"/>
      <c r="C372" s="37"/>
      <c r="D372" s="37"/>
    </row>
    <row r="373" spans="1:4">
      <c r="A373" s="37"/>
      <c r="B373" s="37"/>
      <c r="C373" s="37"/>
      <c r="D373" s="37"/>
    </row>
    <row r="374" spans="1:4">
      <c r="A374" s="37"/>
      <c r="B374" s="37"/>
      <c r="C374" s="37"/>
      <c r="D374" s="37"/>
    </row>
    <row r="375" spans="1:4">
      <c r="A375" s="37"/>
      <c r="B375" s="37"/>
      <c r="C375" s="37"/>
      <c r="D375" s="37"/>
    </row>
    <row r="376" spans="1:4">
      <c r="A376" s="37"/>
      <c r="B376" s="37"/>
      <c r="C376" s="37"/>
      <c r="D376" s="37"/>
    </row>
    <row r="377" spans="1:4">
      <c r="A377" s="37"/>
      <c r="B377" s="37"/>
      <c r="C377" s="37"/>
      <c r="D377" s="37"/>
    </row>
    <row r="378" spans="1:4">
      <c r="A378" s="37"/>
      <c r="B378" s="37"/>
      <c r="C378" s="37"/>
      <c r="D378" s="37"/>
    </row>
    <row r="379" spans="1:4">
      <c r="A379" s="37"/>
      <c r="B379" s="37"/>
      <c r="C379" s="37"/>
      <c r="D379" s="37"/>
    </row>
    <row r="380" spans="1:4">
      <c r="A380" s="37"/>
      <c r="B380" s="37"/>
      <c r="C380" s="37"/>
      <c r="D380" s="37"/>
    </row>
    <row r="381" spans="1:4">
      <c r="A381" s="37"/>
      <c r="B381" s="37"/>
      <c r="C381" s="37"/>
      <c r="D381" s="37"/>
    </row>
    <row r="382" spans="1:4">
      <c r="A382" s="37"/>
      <c r="B382" s="37"/>
      <c r="C382" s="37"/>
      <c r="D382" s="37"/>
    </row>
    <row r="383" spans="1:4">
      <c r="A383" s="37"/>
      <c r="B383" s="37"/>
      <c r="C383" s="37"/>
      <c r="D383" s="37"/>
    </row>
    <row r="384" spans="1:4">
      <c r="A384" s="37"/>
      <c r="B384" s="37"/>
      <c r="C384" s="37"/>
      <c r="D384" s="37"/>
    </row>
    <row r="385" spans="1:4">
      <c r="A385" s="37"/>
      <c r="B385" s="37"/>
      <c r="C385" s="37"/>
      <c r="D385" s="37"/>
    </row>
    <row r="386" spans="1:4">
      <c r="A386" s="37"/>
      <c r="B386" s="37"/>
      <c r="C386" s="37"/>
      <c r="D386" s="37"/>
    </row>
    <row r="387" spans="1:4">
      <c r="A387" s="37"/>
      <c r="B387" s="37"/>
      <c r="C387" s="37"/>
      <c r="D387" s="37"/>
    </row>
    <row r="388" spans="1:4">
      <c r="A388" s="37"/>
      <c r="B388" s="37"/>
      <c r="C388" s="37"/>
      <c r="D388" s="37"/>
    </row>
    <row r="389" spans="1:4">
      <c r="A389" s="37"/>
      <c r="B389" s="37"/>
      <c r="C389" s="37"/>
      <c r="D389" s="37"/>
    </row>
    <row r="390" spans="1:4">
      <c r="A390" s="37"/>
      <c r="B390" s="37"/>
      <c r="C390" s="37"/>
      <c r="D390" s="37"/>
    </row>
    <row r="391" spans="1:4">
      <c r="A391" s="37"/>
      <c r="B391" s="37"/>
      <c r="C391" s="37"/>
      <c r="D391" s="37"/>
    </row>
    <row r="392" spans="1:4">
      <c r="A392" s="37"/>
      <c r="B392" s="37"/>
      <c r="C392" s="37"/>
      <c r="D392" s="37"/>
    </row>
    <row r="393" spans="1:4">
      <c r="A393" s="37"/>
      <c r="B393" s="37"/>
      <c r="C393" s="37"/>
      <c r="D393" s="37"/>
    </row>
    <row r="394" spans="1:4">
      <c r="A394" s="37"/>
      <c r="B394" s="37"/>
      <c r="C394" s="37"/>
      <c r="D394" s="37"/>
    </row>
    <row r="395" spans="1:4">
      <c r="A395" s="37"/>
      <c r="B395" s="37"/>
      <c r="C395" s="37"/>
      <c r="D395" s="37"/>
    </row>
    <row r="396" spans="1:4">
      <c r="A396" s="37"/>
      <c r="B396" s="37"/>
      <c r="C396" s="37"/>
      <c r="D396" s="37"/>
    </row>
    <row r="397" spans="1:4">
      <c r="A397" s="37"/>
      <c r="B397" s="37"/>
      <c r="C397" s="37"/>
      <c r="D397" s="37"/>
    </row>
    <row r="398" spans="1:4">
      <c r="A398" s="37"/>
      <c r="B398" s="37"/>
      <c r="C398" s="37"/>
      <c r="D398" s="37"/>
    </row>
    <row r="399" spans="1:4">
      <c r="A399" s="37"/>
      <c r="B399" s="37"/>
      <c r="C399" s="37"/>
      <c r="D399" s="37"/>
    </row>
    <row r="400" spans="1:4">
      <c r="A400" s="37"/>
      <c r="B400" s="37"/>
      <c r="C400" s="37"/>
      <c r="D400" s="37"/>
    </row>
    <row r="401" spans="1:4">
      <c r="A401" s="37"/>
      <c r="B401" s="37"/>
      <c r="C401" s="37"/>
      <c r="D401" s="37"/>
    </row>
    <row r="402" spans="1:4">
      <c r="A402" s="37"/>
      <c r="B402" s="37"/>
      <c r="C402" s="37"/>
      <c r="D402" s="37"/>
    </row>
    <row r="403" spans="1:4">
      <c r="A403" s="37"/>
      <c r="B403" s="37"/>
      <c r="C403" s="37"/>
      <c r="D403" s="37"/>
    </row>
    <row r="404" spans="1:4">
      <c r="A404" s="37"/>
      <c r="B404" s="37"/>
      <c r="C404" s="37"/>
      <c r="D404" s="37"/>
    </row>
    <row r="405" spans="1:4">
      <c r="A405" s="37"/>
      <c r="B405" s="37"/>
      <c r="C405" s="37"/>
      <c r="D405" s="37"/>
    </row>
    <row r="406" spans="1:4">
      <c r="A406" s="37"/>
      <c r="B406" s="37"/>
      <c r="C406" s="37"/>
      <c r="D406" s="37"/>
    </row>
    <row r="407" spans="1:4">
      <c r="A407" s="37"/>
      <c r="B407" s="37"/>
      <c r="C407" s="37"/>
      <c r="D407" s="37"/>
    </row>
    <row r="408" spans="1:4">
      <c r="A408" s="37"/>
      <c r="B408" s="37"/>
      <c r="C408" s="37"/>
      <c r="D408" s="37"/>
    </row>
    <row r="409" spans="1:4">
      <c r="A409" s="37"/>
      <c r="B409" s="37"/>
      <c r="C409" s="37"/>
      <c r="D409" s="37"/>
    </row>
    <row r="410" spans="1:4">
      <c r="A410" s="37"/>
      <c r="B410" s="37"/>
      <c r="C410" s="37"/>
      <c r="D410" s="37"/>
    </row>
    <row r="411" spans="1:4">
      <c r="A411" s="37"/>
      <c r="B411" s="37"/>
      <c r="C411" s="37"/>
      <c r="D411" s="37"/>
    </row>
    <row r="412" spans="1:4">
      <c r="A412" s="37"/>
      <c r="B412" s="37"/>
      <c r="C412" s="37"/>
      <c r="D412" s="37"/>
    </row>
    <row r="413" spans="1:4">
      <c r="A413" s="37"/>
      <c r="B413" s="37"/>
      <c r="C413" s="37"/>
      <c r="D413" s="37"/>
    </row>
    <row r="414" spans="1:4">
      <c r="A414" s="37"/>
      <c r="B414" s="37"/>
      <c r="C414" s="37"/>
      <c r="D414" s="37"/>
    </row>
    <row r="415" spans="1:4">
      <c r="A415" s="37"/>
      <c r="B415" s="37"/>
      <c r="C415" s="37"/>
      <c r="D415" s="37"/>
    </row>
    <row r="416" spans="1:4">
      <c r="A416" s="37"/>
      <c r="B416" s="37"/>
      <c r="C416" s="37"/>
      <c r="D416" s="37"/>
    </row>
    <row r="417" spans="1:4">
      <c r="A417" s="37"/>
      <c r="B417" s="37"/>
      <c r="C417" s="37"/>
      <c r="D417" s="37"/>
    </row>
    <row r="418" spans="1:4">
      <c r="A418" s="37"/>
      <c r="B418" s="37"/>
      <c r="C418" s="37"/>
      <c r="D418" s="37"/>
    </row>
    <row r="419" spans="1:4">
      <c r="A419" s="37"/>
      <c r="B419" s="37"/>
      <c r="C419" s="37"/>
      <c r="D419" s="37"/>
    </row>
    <row r="420" spans="1:4">
      <c r="A420" s="37"/>
      <c r="B420" s="37"/>
      <c r="C420" s="37"/>
      <c r="D420" s="37"/>
    </row>
    <row r="421" spans="1:4">
      <c r="A421" s="37"/>
      <c r="B421" s="37"/>
      <c r="C421" s="37"/>
      <c r="D421" s="37"/>
    </row>
    <row r="422" spans="1:4">
      <c r="A422" s="37"/>
      <c r="B422" s="37"/>
      <c r="C422" s="37"/>
      <c r="D422" s="37"/>
    </row>
    <row r="423" spans="1:4">
      <c r="A423" s="37"/>
      <c r="B423" s="37"/>
      <c r="C423" s="37"/>
      <c r="D423" s="37"/>
    </row>
    <row r="424" spans="1:4">
      <c r="A424" s="37"/>
      <c r="B424" s="37"/>
      <c r="C424" s="37"/>
      <c r="D424" s="37"/>
    </row>
    <row r="425" spans="1:4">
      <c r="A425" s="37"/>
      <c r="B425" s="37"/>
      <c r="C425" s="37"/>
      <c r="D425" s="37"/>
    </row>
    <row r="426" spans="1:4">
      <c r="A426" s="37"/>
      <c r="B426" s="37"/>
      <c r="C426" s="37"/>
      <c r="D426" s="37"/>
    </row>
    <row r="427" spans="1:4">
      <c r="A427" s="37"/>
      <c r="B427" s="37"/>
      <c r="C427" s="37"/>
      <c r="D427" s="37"/>
    </row>
    <row r="428" spans="1:4">
      <c r="A428" s="37"/>
      <c r="B428" s="37"/>
      <c r="C428" s="37"/>
      <c r="D428" s="37"/>
    </row>
    <row r="429" spans="1:4">
      <c r="A429" s="37"/>
      <c r="B429" s="37"/>
      <c r="C429" s="37"/>
      <c r="D429" s="37"/>
    </row>
    <row r="430" spans="1:4">
      <c r="A430" s="37"/>
      <c r="B430" s="37"/>
      <c r="C430" s="37"/>
      <c r="D430" s="37"/>
    </row>
    <row r="431" spans="1:4">
      <c r="A431" s="37"/>
      <c r="B431" s="37"/>
      <c r="C431" s="37"/>
      <c r="D431" s="37"/>
    </row>
    <row r="432" spans="1:4">
      <c r="A432" s="37"/>
      <c r="B432" s="37"/>
      <c r="C432" s="37"/>
      <c r="D432" s="37"/>
    </row>
    <row r="433" spans="1:4">
      <c r="A433" s="37"/>
      <c r="B433" s="37"/>
      <c r="C433" s="37"/>
      <c r="D433" s="37"/>
    </row>
    <row r="434" spans="1:4">
      <c r="A434" s="37"/>
      <c r="B434" s="37"/>
      <c r="C434" s="37"/>
      <c r="D434" s="37"/>
    </row>
    <row r="435" spans="1:4">
      <c r="A435" s="37"/>
      <c r="B435" s="37"/>
      <c r="C435" s="37"/>
      <c r="D435" s="37"/>
    </row>
    <row r="436" spans="1:4">
      <c r="A436" s="37"/>
      <c r="B436" s="37"/>
      <c r="C436" s="37"/>
      <c r="D436" s="37"/>
    </row>
    <row r="437" spans="1:4">
      <c r="A437" s="37"/>
      <c r="B437" s="37"/>
      <c r="C437" s="37"/>
      <c r="D437" s="37"/>
    </row>
    <row r="438" spans="1:4">
      <c r="A438" s="37"/>
      <c r="B438" s="37"/>
      <c r="C438" s="37"/>
      <c r="D438" s="37"/>
    </row>
    <row r="439" spans="1:4">
      <c r="A439" s="37"/>
      <c r="B439" s="37"/>
      <c r="C439" s="37"/>
      <c r="D439" s="37"/>
    </row>
    <row r="440" spans="1:4">
      <c r="A440" s="37"/>
      <c r="B440" s="37"/>
      <c r="C440" s="37"/>
      <c r="D440" s="37"/>
    </row>
    <row r="441" spans="1:4">
      <c r="A441" s="37"/>
      <c r="B441" s="37"/>
      <c r="C441" s="37"/>
      <c r="D441" s="37"/>
    </row>
    <row r="442" spans="1:4">
      <c r="A442" s="37"/>
      <c r="B442" s="37"/>
      <c r="C442" s="37"/>
      <c r="D442" s="37"/>
    </row>
    <row r="443" spans="1:4">
      <c r="A443" s="37"/>
      <c r="B443" s="37"/>
      <c r="C443" s="37"/>
      <c r="D443" s="37"/>
    </row>
    <row r="444" spans="1:4">
      <c r="A444" s="37"/>
      <c r="B444" s="37"/>
      <c r="C444" s="37"/>
      <c r="D444" s="37"/>
    </row>
    <row r="445" spans="1:4">
      <c r="A445" s="37"/>
      <c r="B445" s="37"/>
      <c r="C445" s="37"/>
      <c r="D445" s="37"/>
    </row>
    <row r="446" spans="1:4">
      <c r="A446" s="37"/>
      <c r="B446" s="37"/>
      <c r="C446" s="37"/>
      <c r="D446" s="37"/>
    </row>
    <row r="447" spans="1:4">
      <c r="A447" s="37"/>
      <c r="B447" s="37"/>
      <c r="C447" s="37"/>
      <c r="D447" s="37"/>
    </row>
    <row r="448" spans="1:4">
      <c r="A448" s="37"/>
      <c r="B448" s="37"/>
      <c r="C448" s="37"/>
      <c r="D448" s="37"/>
    </row>
    <row r="449" spans="1:4">
      <c r="A449" s="37"/>
      <c r="B449" s="37"/>
      <c r="C449" s="37"/>
      <c r="D449" s="37"/>
    </row>
    <row r="450" spans="1:4">
      <c r="A450" s="37"/>
      <c r="B450" s="37"/>
      <c r="C450" s="37"/>
      <c r="D450" s="37"/>
    </row>
    <row r="451" spans="1:4">
      <c r="A451" s="37"/>
      <c r="B451" s="37"/>
      <c r="C451" s="37"/>
      <c r="D451" s="37"/>
    </row>
    <row r="452" spans="1:4">
      <c r="A452" s="37"/>
      <c r="B452" s="37"/>
      <c r="C452" s="37"/>
      <c r="D452" s="37"/>
    </row>
    <row r="453" spans="1:4">
      <c r="A453" s="37"/>
      <c r="B453" s="37"/>
      <c r="C453" s="37"/>
      <c r="D453" s="37"/>
    </row>
    <row r="454" spans="1:4">
      <c r="A454" s="37"/>
      <c r="B454" s="37"/>
      <c r="C454" s="37"/>
      <c r="D454" s="37"/>
    </row>
    <row r="455" spans="1:4">
      <c r="A455" s="37"/>
      <c r="B455" s="37"/>
      <c r="C455" s="37"/>
      <c r="D455" s="37"/>
    </row>
    <row r="456" spans="1:4">
      <c r="A456" s="37"/>
      <c r="B456" s="37"/>
      <c r="C456" s="37"/>
      <c r="D456" s="37"/>
    </row>
    <row r="457" spans="1:4">
      <c r="A457" s="37"/>
      <c r="B457" s="37"/>
      <c r="C457" s="37"/>
      <c r="D457" s="37"/>
    </row>
    <row r="458" spans="1:4">
      <c r="A458" s="37"/>
      <c r="B458" s="37"/>
      <c r="C458" s="37"/>
      <c r="D458" s="37"/>
    </row>
    <row r="459" spans="1:4">
      <c r="A459" s="37"/>
      <c r="B459" s="37"/>
      <c r="C459" s="37"/>
      <c r="D459" s="37"/>
    </row>
    <row r="460" spans="1:4">
      <c r="A460" s="37"/>
      <c r="B460" s="37"/>
      <c r="C460" s="37"/>
      <c r="D460" s="37"/>
    </row>
    <row r="461" spans="1:4">
      <c r="A461" s="37"/>
      <c r="B461" s="37"/>
      <c r="C461" s="37"/>
      <c r="D461" s="37"/>
    </row>
    <row r="462" spans="1:4">
      <c r="A462" s="37"/>
      <c r="B462" s="37"/>
      <c r="C462" s="37"/>
      <c r="D462" s="37"/>
    </row>
    <row r="463" spans="1:4">
      <c r="A463" s="37"/>
      <c r="B463" s="37"/>
      <c r="C463" s="37"/>
      <c r="D463" s="37"/>
    </row>
    <row r="464" spans="1:4">
      <c r="A464" s="37"/>
      <c r="B464" s="37"/>
      <c r="C464" s="37"/>
      <c r="D464" s="37"/>
    </row>
    <row r="465" spans="1:4">
      <c r="A465" s="37"/>
      <c r="B465" s="37"/>
      <c r="C465" s="37"/>
      <c r="D465" s="37"/>
    </row>
    <row r="466" spans="1:4">
      <c r="A466" s="37"/>
      <c r="B466" s="37"/>
      <c r="C466" s="37"/>
      <c r="D466" s="37"/>
    </row>
    <row r="467" spans="1:4">
      <c r="A467" s="37"/>
      <c r="B467" s="37"/>
      <c r="C467" s="37"/>
      <c r="D467" s="37"/>
    </row>
    <row r="468" spans="1:4">
      <c r="A468" s="37"/>
      <c r="B468" s="37"/>
      <c r="C468" s="37"/>
      <c r="D468" s="37"/>
    </row>
    <row r="469" spans="1:4">
      <c r="A469" s="37"/>
      <c r="B469" s="37"/>
      <c r="C469" s="37"/>
      <c r="D469" s="37"/>
    </row>
    <row r="470" spans="1:4">
      <c r="A470" s="37"/>
      <c r="B470" s="37"/>
      <c r="C470" s="37"/>
      <c r="D470" s="37"/>
    </row>
    <row r="471" spans="1:4">
      <c r="A471" s="37"/>
      <c r="B471" s="37"/>
      <c r="C471" s="37"/>
      <c r="D471" s="37"/>
    </row>
    <row r="472" spans="1:4">
      <c r="A472" s="37"/>
      <c r="B472" s="37"/>
      <c r="C472" s="37"/>
      <c r="D472" s="37"/>
    </row>
    <row r="473" spans="1:4">
      <c r="A473" s="37"/>
      <c r="B473" s="37"/>
      <c r="C473" s="37"/>
      <c r="D473" s="37"/>
    </row>
    <row r="474" spans="1:4">
      <c r="A474" s="37"/>
      <c r="B474" s="37"/>
      <c r="C474" s="37"/>
      <c r="D474" s="37"/>
    </row>
    <row r="475" spans="1:4">
      <c r="A475" s="37"/>
      <c r="B475" s="37"/>
      <c r="C475" s="37"/>
      <c r="D475" s="37"/>
    </row>
    <row r="476" spans="1:4">
      <c r="A476" s="37"/>
      <c r="B476" s="37"/>
      <c r="C476" s="37"/>
      <c r="D476" s="37"/>
    </row>
    <row r="477" spans="1:4">
      <c r="A477" s="37"/>
      <c r="B477" s="37"/>
      <c r="C477" s="37"/>
      <c r="D477" s="37"/>
    </row>
    <row r="478" spans="1:4">
      <c r="A478" s="37"/>
      <c r="B478" s="37"/>
      <c r="C478" s="37"/>
      <c r="D478" s="37"/>
    </row>
    <row r="479" spans="1:4">
      <c r="A479" s="37"/>
      <c r="B479" s="37"/>
      <c r="C479" s="37"/>
      <c r="D479" s="37"/>
    </row>
    <row r="480" spans="1:4">
      <c r="A480" s="37"/>
      <c r="B480" s="37"/>
      <c r="C480" s="37"/>
      <c r="D480" s="37"/>
    </row>
    <row r="481" spans="1:4">
      <c r="A481" s="37"/>
      <c r="B481" s="37"/>
      <c r="C481" s="37"/>
      <c r="D481" s="37"/>
    </row>
    <row r="482" spans="1:4">
      <c r="A482" s="37"/>
      <c r="B482" s="37"/>
      <c r="C482" s="37"/>
      <c r="D482" s="37"/>
    </row>
    <row r="483" spans="1:4">
      <c r="A483" s="37"/>
      <c r="B483" s="37"/>
      <c r="C483" s="37"/>
      <c r="D483" s="37"/>
    </row>
    <row r="484" spans="1:4">
      <c r="A484" s="37"/>
      <c r="B484" s="37"/>
      <c r="C484" s="37"/>
      <c r="D484" s="37"/>
    </row>
    <row r="485" spans="1:4">
      <c r="A485" s="37"/>
      <c r="B485" s="37"/>
      <c r="C485" s="37"/>
      <c r="D485" s="37"/>
    </row>
    <row r="486" spans="1:4">
      <c r="A486" s="37"/>
      <c r="B486" s="37"/>
      <c r="C486" s="37"/>
      <c r="D486" s="37"/>
    </row>
    <row r="487" spans="1:4">
      <c r="A487" s="37"/>
      <c r="B487" s="37"/>
      <c r="C487" s="37"/>
      <c r="D487" s="37"/>
    </row>
    <row r="488" spans="1:4">
      <c r="A488" s="37"/>
      <c r="B488" s="37"/>
      <c r="C488" s="37"/>
      <c r="D488" s="37"/>
    </row>
    <row r="489" spans="1:4">
      <c r="A489" s="37"/>
      <c r="B489" s="37"/>
      <c r="C489" s="37"/>
      <c r="D489" s="37"/>
    </row>
    <row r="490" spans="1:4">
      <c r="A490" s="37"/>
      <c r="B490" s="37"/>
      <c r="C490" s="37"/>
      <c r="D490" s="37"/>
    </row>
    <row r="491" spans="1:4">
      <c r="A491" s="37"/>
      <c r="B491" s="37"/>
      <c r="C491" s="37"/>
      <c r="D491" s="37"/>
    </row>
    <row r="492" spans="1:4">
      <c r="A492" s="37"/>
      <c r="B492" s="37"/>
      <c r="C492" s="37"/>
      <c r="D492" s="37"/>
    </row>
    <row r="493" spans="1:4">
      <c r="A493" s="37"/>
      <c r="B493" s="37"/>
      <c r="C493" s="37"/>
      <c r="D493" s="37"/>
    </row>
    <row r="494" spans="1:4">
      <c r="A494" s="37"/>
      <c r="B494" s="37"/>
      <c r="C494" s="37"/>
      <c r="D494" s="37"/>
    </row>
    <row r="495" spans="1:4">
      <c r="A495" s="37"/>
      <c r="B495" s="37"/>
      <c r="C495" s="37"/>
      <c r="D495" s="37"/>
    </row>
    <row r="496" spans="1:4">
      <c r="A496" s="37"/>
      <c r="B496" s="37"/>
      <c r="C496" s="37"/>
      <c r="D496" s="37"/>
    </row>
    <row r="497" spans="1:4">
      <c r="A497" s="37"/>
      <c r="B497" s="37"/>
      <c r="C497" s="37"/>
      <c r="D497" s="37"/>
    </row>
    <row r="498" spans="1:4">
      <c r="A498" s="37"/>
      <c r="B498" s="37"/>
      <c r="C498" s="37"/>
      <c r="D498" s="37"/>
    </row>
    <row r="499" spans="1:4">
      <c r="A499" s="37"/>
      <c r="B499" s="37"/>
      <c r="C499" s="37"/>
      <c r="D499" s="37"/>
    </row>
    <row r="500" spans="1:4">
      <c r="A500" s="37"/>
      <c r="B500" s="37"/>
      <c r="C500" s="37"/>
      <c r="D500" s="37"/>
    </row>
    <row r="501" spans="1:4">
      <c r="A501" s="37"/>
      <c r="B501" s="37"/>
      <c r="C501" s="37"/>
      <c r="D501" s="37"/>
    </row>
    <row r="502" spans="1:4">
      <c r="A502" s="37"/>
      <c r="B502" s="37"/>
      <c r="C502" s="37"/>
      <c r="D502" s="37"/>
    </row>
    <row r="503" spans="1:4">
      <c r="A503" s="37"/>
      <c r="B503" s="37"/>
      <c r="C503" s="37"/>
      <c r="D503" s="37"/>
    </row>
    <row r="504" spans="1:4">
      <c r="A504" s="37"/>
      <c r="B504" s="37"/>
      <c r="C504" s="37"/>
      <c r="D504" s="37"/>
    </row>
    <row r="505" spans="1:4">
      <c r="A505" s="37"/>
      <c r="B505" s="37"/>
      <c r="C505" s="37"/>
      <c r="D505" s="37"/>
    </row>
    <row r="506" spans="1:4">
      <c r="A506" s="37"/>
      <c r="B506" s="37"/>
      <c r="C506" s="37"/>
      <c r="D506" s="37"/>
    </row>
    <row r="507" spans="1:4">
      <c r="A507" s="37"/>
      <c r="B507" s="37"/>
      <c r="C507" s="37"/>
      <c r="D507" s="37"/>
    </row>
    <row r="508" spans="1:4">
      <c r="A508" s="37"/>
      <c r="B508" s="37"/>
      <c r="C508" s="37"/>
      <c r="D508" s="37"/>
    </row>
    <row r="509" spans="1:4">
      <c r="A509" s="37"/>
      <c r="B509" s="37"/>
      <c r="C509" s="37"/>
      <c r="D509" s="37"/>
    </row>
    <row r="510" spans="1:4">
      <c r="A510" s="37"/>
      <c r="B510" s="37"/>
      <c r="C510" s="37"/>
      <c r="D510" s="37"/>
    </row>
    <row r="511" spans="1:4">
      <c r="A511" s="37"/>
      <c r="B511" s="37"/>
      <c r="C511" s="37"/>
      <c r="D511" s="37"/>
    </row>
    <row r="512" spans="1:4">
      <c r="A512" s="37"/>
      <c r="B512" s="37"/>
      <c r="C512" s="37"/>
      <c r="D512" s="37"/>
    </row>
    <row r="513" spans="1:4">
      <c r="A513" s="37"/>
      <c r="B513" s="37"/>
      <c r="C513" s="37"/>
      <c r="D513" s="37"/>
    </row>
    <row r="514" spans="1:4">
      <c r="A514" s="37"/>
      <c r="B514" s="37"/>
      <c r="C514" s="37"/>
      <c r="D514" s="37"/>
    </row>
    <row r="515" spans="1:4">
      <c r="A515" s="37"/>
      <c r="B515" s="37"/>
      <c r="C515" s="37"/>
      <c r="D515" s="37"/>
    </row>
    <row r="516" spans="1:4">
      <c r="A516" s="37"/>
      <c r="B516" s="37"/>
      <c r="C516" s="37"/>
      <c r="D516" s="37"/>
    </row>
    <row r="517" spans="1:4">
      <c r="A517" s="37"/>
      <c r="B517" s="37"/>
      <c r="C517" s="37"/>
      <c r="D517" s="37"/>
    </row>
    <row r="518" spans="1:4">
      <c r="A518" s="37"/>
      <c r="B518" s="37"/>
      <c r="C518" s="37"/>
      <c r="D518" s="37"/>
    </row>
    <row r="519" spans="1:4">
      <c r="A519" s="37"/>
      <c r="B519" s="37"/>
      <c r="C519" s="37"/>
      <c r="D519" s="37"/>
    </row>
    <row r="520" spans="1:4">
      <c r="A520" s="37"/>
      <c r="B520" s="37"/>
      <c r="C520" s="37"/>
      <c r="D520" s="37"/>
    </row>
    <row r="521" spans="1:4">
      <c r="A521" s="37"/>
      <c r="B521" s="37"/>
      <c r="C521" s="37"/>
      <c r="D521" s="37"/>
    </row>
    <row r="522" spans="1:4">
      <c r="A522" s="37"/>
      <c r="B522" s="37"/>
      <c r="C522" s="37"/>
      <c r="D522" s="37"/>
    </row>
    <row r="523" spans="1:4">
      <c r="A523" s="37"/>
      <c r="B523" s="37"/>
      <c r="C523" s="37"/>
      <c r="D523" s="37"/>
    </row>
    <row r="524" spans="1:4">
      <c r="A524" s="37"/>
      <c r="B524" s="37"/>
      <c r="C524" s="37"/>
      <c r="D524" s="37"/>
    </row>
    <row r="525" spans="1:4">
      <c r="A525" s="37"/>
      <c r="B525" s="37"/>
      <c r="C525" s="37"/>
      <c r="D525" s="37"/>
    </row>
    <row r="526" spans="1:4">
      <c r="A526" s="37"/>
      <c r="B526" s="37"/>
      <c r="C526" s="37"/>
      <c r="D526" s="37"/>
    </row>
    <row r="527" spans="1:4">
      <c r="A527" s="37"/>
      <c r="B527" s="37"/>
      <c r="C527" s="37"/>
      <c r="D527" s="37"/>
    </row>
    <row r="528" spans="1:4">
      <c r="A528" s="37"/>
      <c r="B528" s="37"/>
      <c r="C528" s="37"/>
      <c r="D528" s="37"/>
    </row>
    <row r="529" spans="1:4">
      <c r="A529" s="37"/>
      <c r="B529" s="37"/>
      <c r="C529" s="37"/>
      <c r="D529" s="37"/>
    </row>
    <row r="530" spans="1:4">
      <c r="A530" s="37"/>
      <c r="B530" s="37"/>
      <c r="C530" s="37"/>
      <c r="D530" s="37"/>
    </row>
    <row r="531" spans="1:4">
      <c r="A531" s="37"/>
      <c r="B531" s="37"/>
      <c r="C531" s="37"/>
      <c r="D531" s="37"/>
    </row>
    <row r="532" spans="1:4">
      <c r="A532" s="37"/>
      <c r="B532" s="37"/>
      <c r="C532" s="37"/>
      <c r="D532" s="37"/>
    </row>
    <row r="533" spans="1:4">
      <c r="A533" s="37"/>
      <c r="B533" s="37"/>
      <c r="C533" s="37"/>
      <c r="D533" s="37"/>
    </row>
    <row r="534" spans="1:4">
      <c r="A534" s="37"/>
      <c r="B534" s="37"/>
      <c r="C534" s="37"/>
      <c r="D534" s="37"/>
    </row>
    <row r="535" spans="1:4">
      <c r="A535" s="37"/>
      <c r="B535" s="37"/>
      <c r="C535" s="37"/>
      <c r="D535" s="37"/>
    </row>
    <row r="536" spans="1:4">
      <c r="A536" s="37"/>
      <c r="B536" s="37"/>
      <c r="C536" s="37"/>
      <c r="D536" s="37"/>
    </row>
    <row r="537" spans="1:4">
      <c r="A537" s="37"/>
      <c r="B537" s="37"/>
      <c r="C537" s="37"/>
      <c r="D537" s="37"/>
    </row>
    <row r="538" spans="1:4">
      <c r="A538" s="37"/>
      <c r="B538" s="37"/>
      <c r="C538" s="37"/>
      <c r="D538" s="37"/>
    </row>
    <row r="539" spans="1:4">
      <c r="A539" s="37"/>
      <c r="B539" s="37"/>
      <c r="C539" s="37"/>
      <c r="D539" s="37"/>
    </row>
    <row r="540" spans="1:4">
      <c r="A540" s="37"/>
      <c r="B540" s="37"/>
      <c r="C540" s="37"/>
      <c r="D540" s="37"/>
    </row>
    <row r="541" spans="1:4">
      <c r="A541" s="37"/>
      <c r="B541" s="37"/>
      <c r="C541" s="37"/>
      <c r="D541" s="37"/>
    </row>
    <row r="542" spans="1:4">
      <c r="A542" s="37"/>
      <c r="B542" s="37"/>
      <c r="C542" s="37"/>
      <c r="D542" s="37"/>
    </row>
    <row r="543" spans="1:4">
      <c r="A543" s="37"/>
      <c r="B543" s="37"/>
      <c r="C543" s="37"/>
      <c r="D543" s="37"/>
    </row>
    <row r="544" spans="1:4">
      <c r="A544" s="37"/>
      <c r="B544" s="37"/>
      <c r="C544" s="37"/>
      <c r="D544" s="37"/>
    </row>
    <row r="545" spans="1:4">
      <c r="A545" s="37"/>
      <c r="B545" s="37"/>
      <c r="C545" s="37"/>
      <c r="D545" s="37"/>
    </row>
    <row r="546" spans="1:4">
      <c r="A546" s="37"/>
      <c r="B546" s="37"/>
      <c r="C546" s="37"/>
      <c r="D546" s="37"/>
    </row>
    <row r="547" spans="1:4">
      <c r="A547" s="37"/>
      <c r="B547" s="37"/>
      <c r="C547" s="37"/>
      <c r="D547" s="37"/>
    </row>
    <row r="548" spans="1:4">
      <c r="A548" s="37"/>
      <c r="B548" s="37"/>
      <c r="C548" s="37"/>
      <c r="D548" s="37"/>
    </row>
    <row r="549" spans="1:4">
      <c r="A549" s="37"/>
      <c r="B549" s="37"/>
      <c r="C549" s="37"/>
      <c r="D549" s="37"/>
    </row>
    <row r="550" spans="1:4">
      <c r="A550" s="37"/>
      <c r="B550" s="37"/>
      <c r="C550" s="37"/>
      <c r="D550" s="37"/>
    </row>
    <row r="551" spans="1:4">
      <c r="A551" s="37"/>
      <c r="B551" s="37"/>
      <c r="C551" s="37"/>
      <c r="D551" s="37"/>
    </row>
    <row r="552" spans="1:4">
      <c r="A552" s="37"/>
      <c r="B552" s="37"/>
      <c r="C552" s="37"/>
      <c r="D552" s="37"/>
    </row>
    <row r="553" spans="1:4">
      <c r="A553" s="37"/>
      <c r="B553" s="37"/>
      <c r="C553" s="37"/>
      <c r="D553" s="37"/>
    </row>
    <row r="554" spans="1:4">
      <c r="A554" s="37"/>
      <c r="B554" s="37"/>
      <c r="C554" s="37"/>
      <c r="D554" s="37"/>
    </row>
    <row r="555" spans="1:4">
      <c r="A555" s="37"/>
      <c r="B555" s="37"/>
      <c r="C555" s="37"/>
      <c r="D555" s="37"/>
    </row>
    <row r="556" spans="1:4">
      <c r="A556" s="37"/>
      <c r="B556" s="37"/>
      <c r="C556" s="37"/>
      <c r="D556" s="37"/>
    </row>
    <row r="557" spans="1:4">
      <c r="A557" s="37"/>
      <c r="B557" s="37"/>
      <c r="C557" s="37"/>
      <c r="D557" s="37"/>
    </row>
    <row r="558" spans="1:4">
      <c r="A558" s="37"/>
      <c r="B558" s="37"/>
      <c r="C558" s="37"/>
      <c r="D558" s="37"/>
    </row>
    <row r="559" spans="1:4">
      <c r="A559" s="37"/>
      <c r="B559" s="37"/>
      <c r="C559" s="37"/>
      <c r="D559" s="37"/>
    </row>
    <row r="560" spans="1:4">
      <c r="A560" s="37"/>
      <c r="B560" s="37"/>
      <c r="C560" s="37"/>
      <c r="D560" s="37"/>
    </row>
    <row r="561" spans="1:4">
      <c r="A561" s="37"/>
      <c r="B561" s="37"/>
      <c r="C561" s="37"/>
      <c r="D561" s="37"/>
    </row>
    <row r="562" spans="1:4">
      <c r="A562" s="37"/>
      <c r="B562" s="37"/>
      <c r="C562" s="37"/>
      <c r="D562" s="37"/>
    </row>
    <row r="563" spans="1:4">
      <c r="A563" s="37"/>
      <c r="B563" s="37"/>
      <c r="C563" s="37"/>
      <c r="D563" s="37"/>
    </row>
    <row r="564" spans="1:4">
      <c r="A564" s="37"/>
      <c r="B564" s="37"/>
      <c r="C564" s="37"/>
      <c r="D564" s="37"/>
    </row>
    <row r="565" spans="1:4">
      <c r="A565" s="37"/>
      <c r="B565" s="37"/>
      <c r="C565" s="37"/>
      <c r="D565" s="37"/>
    </row>
    <row r="566" spans="1:4">
      <c r="A566" s="37"/>
      <c r="B566" s="37"/>
      <c r="C566" s="37"/>
      <c r="D566" s="37"/>
    </row>
    <row r="567" spans="1:4">
      <c r="A567" s="37"/>
      <c r="B567" s="37"/>
      <c r="C567" s="37"/>
      <c r="D567" s="37"/>
    </row>
    <row r="568" spans="1:4">
      <c r="A568" s="37"/>
      <c r="B568" s="37"/>
      <c r="C568" s="37"/>
      <c r="D568" s="37"/>
    </row>
    <row r="569" spans="1:4">
      <c r="A569" s="37"/>
      <c r="B569" s="37"/>
      <c r="C569" s="37"/>
      <c r="D569" s="37"/>
    </row>
    <row r="570" spans="1:4">
      <c r="A570" s="37"/>
      <c r="B570" s="37"/>
      <c r="C570" s="37"/>
      <c r="D570" s="37"/>
    </row>
    <row r="571" spans="1:4">
      <c r="A571" s="37"/>
      <c r="B571" s="37"/>
      <c r="C571" s="37"/>
      <c r="D571" s="37"/>
    </row>
    <row r="572" spans="1:4">
      <c r="A572" s="37"/>
      <c r="B572" s="37"/>
      <c r="C572" s="37"/>
      <c r="D572" s="37"/>
    </row>
    <row r="573" spans="1:4">
      <c r="A573" s="37"/>
      <c r="B573" s="37"/>
      <c r="C573" s="37"/>
      <c r="D573" s="37"/>
    </row>
    <row r="574" spans="1:4">
      <c r="A574" s="37"/>
      <c r="B574" s="37"/>
      <c r="C574" s="37"/>
      <c r="D574" s="37"/>
    </row>
    <row r="575" spans="1:4">
      <c r="A575" s="37"/>
      <c r="B575" s="37"/>
      <c r="C575" s="37"/>
      <c r="D575" s="37"/>
    </row>
    <row r="576" spans="1:4">
      <c r="A576" s="37"/>
      <c r="B576" s="37"/>
      <c r="C576" s="37"/>
      <c r="D576" s="37"/>
    </row>
    <row r="577" spans="1:4">
      <c r="A577" s="37"/>
      <c r="B577" s="37"/>
      <c r="C577" s="37"/>
      <c r="D577" s="37"/>
    </row>
    <row r="578" spans="1:4">
      <c r="A578" s="37"/>
      <c r="B578" s="37"/>
      <c r="C578" s="37"/>
      <c r="D578" s="37"/>
    </row>
    <row r="579" spans="1:4">
      <c r="A579" s="37"/>
      <c r="B579" s="37"/>
      <c r="C579" s="37"/>
      <c r="D579" s="37"/>
    </row>
    <row r="580" spans="1:4">
      <c r="A580" s="37"/>
      <c r="B580" s="37"/>
      <c r="C580" s="37"/>
      <c r="D580" s="37"/>
    </row>
    <row r="581" spans="1:4">
      <c r="A581" s="37"/>
      <c r="B581" s="37"/>
      <c r="C581" s="37"/>
      <c r="D581" s="37"/>
    </row>
    <row r="582" spans="1:4">
      <c r="A582" s="37"/>
      <c r="B582" s="37"/>
      <c r="C582" s="37"/>
      <c r="D582" s="37"/>
    </row>
    <row r="583" spans="1:4">
      <c r="A583" s="37"/>
      <c r="B583" s="37"/>
      <c r="C583" s="37"/>
      <c r="D583" s="37"/>
    </row>
    <row r="584" spans="1:4">
      <c r="A584" s="37"/>
      <c r="B584" s="37"/>
      <c r="C584" s="37"/>
      <c r="D584" s="37"/>
    </row>
    <row r="585" spans="1:4">
      <c r="A585" s="37"/>
      <c r="B585" s="37"/>
      <c r="C585" s="37"/>
      <c r="D585" s="37"/>
    </row>
    <row r="586" spans="1:4">
      <c r="A586" s="37"/>
      <c r="B586" s="37"/>
      <c r="C586" s="37"/>
      <c r="D586" s="37"/>
    </row>
    <row r="587" spans="1:4">
      <c r="A587" s="37"/>
      <c r="B587" s="37"/>
      <c r="C587" s="37"/>
      <c r="D587" s="37"/>
    </row>
    <row r="588" spans="1:4">
      <c r="A588" s="37"/>
      <c r="B588" s="37"/>
      <c r="C588" s="37"/>
      <c r="D588" s="37"/>
    </row>
    <row r="589" spans="1:4">
      <c r="A589" s="37"/>
      <c r="B589" s="37"/>
      <c r="C589" s="37"/>
      <c r="D589" s="37"/>
    </row>
    <row r="590" spans="1:4">
      <c r="A590" s="37"/>
      <c r="B590" s="37"/>
      <c r="C590" s="37"/>
      <c r="D590" s="37"/>
    </row>
    <row r="591" spans="1:4">
      <c r="A591" s="37"/>
      <c r="B591" s="37"/>
      <c r="C591" s="37"/>
      <c r="D591" s="37"/>
    </row>
    <row r="592" spans="1:4">
      <c r="A592" s="37"/>
      <c r="B592" s="37"/>
      <c r="C592" s="37"/>
      <c r="D592" s="37"/>
    </row>
    <row r="593" spans="1:4">
      <c r="A593" s="37"/>
      <c r="B593" s="37"/>
      <c r="C593" s="37"/>
      <c r="D593" s="37"/>
    </row>
    <row r="594" spans="1:4">
      <c r="A594" s="37"/>
      <c r="B594" s="37"/>
      <c r="C594" s="37"/>
      <c r="D594" s="37"/>
    </row>
    <row r="595" spans="1:4">
      <c r="A595" s="37"/>
      <c r="B595" s="37"/>
      <c r="C595" s="37"/>
      <c r="D595" s="37"/>
    </row>
    <row r="596" spans="1:4">
      <c r="A596" s="37"/>
      <c r="B596" s="37"/>
      <c r="C596" s="37"/>
      <c r="D596" s="37"/>
    </row>
    <row r="597" spans="1:4">
      <c r="A597" s="37"/>
      <c r="B597" s="37"/>
      <c r="C597" s="37"/>
      <c r="D597" s="37"/>
    </row>
    <row r="598" spans="1:4">
      <c r="A598" s="37"/>
      <c r="B598" s="37"/>
      <c r="C598" s="37"/>
      <c r="D598" s="37"/>
    </row>
    <row r="599" spans="1:4">
      <c r="A599" s="37"/>
      <c r="B599" s="37"/>
      <c r="C599" s="37"/>
      <c r="D599" s="37"/>
    </row>
    <row r="600" spans="1:4">
      <c r="A600" s="37"/>
      <c r="B600" s="37"/>
      <c r="C600" s="37"/>
      <c r="D600" s="37"/>
    </row>
    <row r="601" spans="1:4">
      <c r="A601" s="37"/>
      <c r="B601" s="37"/>
      <c r="C601" s="37"/>
      <c r="D601" s="37"/>
    </row>
    <row r="602" spans="1:4">
      <c r="A602" s="37"/>
      <c r="B602" s="37"/>
      <c r="C602" s="37"/>
      <c r="D602" s="37"/>
    </row>
    <row r="603" spans="1:4">
      <c r="A603" s="37"/>
      <c r="B603" s="37"/>
      <c r="C603" s="37"/>
      <c r="D603" s="37"/>
    </row>
    <row r="604" spans="1:4">
      <c r="A604" s="37"/>
      <c r="B604" s="37"/>
      <c r="C604" s="37"/>
      <c r="D604" s="37"/>
    </row>
    <row r="605" spans="1:4">
      <c r="A605" s="37"/>
      <c r="B605" s="37"/>
      <c r="C605" s="37"/>
      <c r="D605" s="37"/>
    </row>
    <row r="606" spans="1:4">
      <c r="A606" s="37"/>
      <c r="B606" s="37"/>
      <c r="C606" s="37"/>
      <c r="D606" s="37"/>
    </row>
    <row r="607" spans="1:4">
      <c r="A607" s="37"/>
      <c r="B607" s="37"/>
      <c r="C607" s="37"/>
      <c r="D607" s="37"/>
    </row>
    <row r="608" spans="1:4">
      <c r="A608" s="37"/>
      <c r="B608" s="37"/>
      <c r="C608" s="37"/>
      <c r="D608" s="37"/>
    </row>
    <row r="609" spans="1:4">
      <c r="A609" s="37"/>
      <c r="B609" s="37"/>
      <c r="C609" s="37"/>
      <c r="D609" s="37"/>
    </row>
    <row r="610" spans="1:4">
      <c r="A610" s="37"/>
      <c r="B610" s="37"/>
      <c r="C610" s="37"/>
      <c r="D610" s="37"/>
    </row>
    <row r="611" spans="1:4">
      <c r="A611" s="37"/>
      <c r="B611" s="37"/>
      <c r="C611" s="37"/>
      <c r="D611" s="37"/>
    </row>
    <row r="612" spans="1:4">
      <c r="A612" s="37"/>
      <c r="B612" s="37"/>
      <c r="C612" s="37"/>
      <c r="D612" s="37"/>
    </row>
    <row r="613" spans="1:4">
      <c r="A613" s="37"/>
      <c r="B613" s="37"/>
      <c r="C613" s="37"/>
      <c r="D613" s="37"/>
    </row>
    <row r="614" spans="1:4">
      <c r="A614" s="37"/>
      <c r="B614" s="37"/>
      <c r="C614" s="37"/>
      <c r="D614" s="37"/>
    </row>
    <row r="615" spans="1:4">
      <c r="A615" s="37"/>
      <c r="B615" s="37"/>
      <c r="C615" s="37"/>
      <c r="D615" s="37"/>
    </row>
    <row r="616" spans="1:4">
      <c r="A616" s="37"/>
      <c r="B616" s="37"/>
      <c r="C616" s="37"/>
      <c r="D616" s="37"/>
    </row>
    <row r="617" spans="1:4">
      <c r="A617" s="37"/>
      <c r="B617" s="37"/>
      <c r="C617" s="37"/>
      <c r="D617" s="37"/>
    </row>
    <row r="618" spans="1:4">
      <c r="A618" s="37"/>
      <c r="B618" s="37"/>
      <c r="C618" s="37"/>
      <c r="D618" s="37"/>
    </row>
    <row r="619" spans="1:4">
      <c r="A619" s="37"/>
      <c r="B619" s="37"/>
      <c r="C619" s="37"/>
      <c r="D619" s="37"/>
    </row>
    <row r="620" spans="1:4">
      <c r="A620" s="37"/>
      <c r="B620" s="37"/>
      <c r="C620" s="37"/>
      <c r="D620" s="37"/>
    </row>
    <row r="621" spans="1:4">
      <c r="A621" s="37"/>
      <c r="B621" s="37"/>
      <c r="C621" s="37"/>
      <c r="D621" s="37"/>
    </row>
    <row r="622" spans="1:4">
      <c r="A622" s="37"/>
      <c r="B622" s="37"/>
      <c r="C622" s="37"/>
      <c r="D622" s="37"/>
    </row>
    <row r="623" spans="1:4">
      <c r="A623" s="37"/>
      <c r="B623" s="37"/>
      <c r="C623" s="37"/>
      <c r="D623" s="37"/>
    </row>
    <row r="624" spans="1:4">
      <c r="A624" s="37"/>
      <c r="B624" s="37"/>
      <c r="C624" s="37"/>
      <c r="D624" s="37"/>
    </row>
    <row r="625" spans="1:4">
      <c r="A625" s="37"/>
      <c r="B625" s="37"/>
      <c r="C625" s="37"/>
      <c r="D625" s="37"/>
    </row>
    <row r="626" spans="1:4">
      <c r="A626" s="37"/>
      <c r="B626" s="37"/>
      <c r="C626" s="37"/>
      <c r="D626" s="37"/>
    </row>
    <row r="627" spans="1:4">
      <c r="A627" s="37"/>
      <c r="B627" s="37"/>
      <c r="C627" s="37"/>
      <c r="D627" s="37"/>
    </row>
    <row r="628" spans="1:4">
      <c r="A628" s="37"/>
      <c r="B628" s="37"/>
      <c r="C628" s="37"/>
      <c r="D628" s="37"/>
    </row>
    <row r="629" spans="1:4">
      <c r="A629" s="37"/>
      <c r="B629" s="37"/>
      <c r="C629" s="37"/>
      <c r="D629" s="37"/>
    </row>
    <row r="630" spans="1:4">
      <c r="A630" s="37"/>
      <c r="B630" s="37"/>
      <c r="C630" s="37"/>
      <c r="D630" s="37"/>
    </row>
    <row r="631" spans="1:4">
      <c r="A631" s="37"/>
      <c r="B631" s="37"/>
      <c r="C631" s="37"/>
      <c r="D631" s="37"/>
    </row>
    <row r="632" spans="1:4">
      <c r="A632" s="37"/>
      <c r="B632" s="37"/>
      <c r="C632" s="37"/>
      <c r="D632" s="37"/>
    </row>
    <row r="633" spans="1:4">
      <c r="A633" s="37"/>
      <c r="B633" s="37"/>
      <c r="C633" s="37"/>
      <c r="D633" s="37"/>
    </row>
    <row r="634" spans="1:4">
      <c r="A634" s="37"/>
      <c r="B634" s="37"/>
      <c r="C634" s="37"/>
      <c r="D634" s="37"/>
    </row>
    <row r="635" spans="1:4">
      <c r="A635" s="37"/>
      <c r="B635" s="37"/>
      <c r="C635" s="37"/>
      <c r="D635" s="37"/>
    </row>
    <row r="636" spans="1:4">
      <c r="A636" s="37"/>
      <c r="B636" s="37"/>
      <c r="C636" s="37"/>
      <c r="D636" s="37"/>
    </row>
    <row r="637" spans="1:4">
      <c r="A637" s="37"/>
      <c r="B637" s="37"/>
      <c r="C637" s="37"/>
      <c r="D637" s="37"/>
    </row>
    <row r="638" spans="1:4">
      <c r="A638" s="37"/>
      <c r="B638" s="37"/>
      <c r="C638" s="37"/>
      <c r="D638" s="37"/>
    </row>
    <row r="639" spans="1:4">
      <c r="A639" s="37"/>
      <c r="B639" s="37"/>
      <c r="C639" s="37"/>
      <c r="D639" s="37"/>
    </row>
    <row r="640" spans="1:4">
      <c r="A640" s="37"/>
      <c r="B640" s="37"/>
      <c r="C640" s="37"/>
      <c r="D640" s="37"/>
    </row>
    <row r="641" spans="1:4">
      <c r="A641" s="37"/>
      <c r="B641" s="37"/>
      <c r="C641" s="37"/>
      <c r="D641" s="37"/>
    </row>
    <row r="642" spans="1:4">
      <c r="A642" s="37"/>
      <c r="B642" s="37"/>
      <c r="C642" s="37"/>
      <c r="D642" s="37"/>
    </row>
    <row r="643" spans="1:4">
      <c r="A643" s="37"/>
      <c r="B643" s="37"/>
      <c r="C643" s="37"/>
      <c r="D643" s="37"/>
    </row>
    <row r="644" spans="1:4">
      <c r="A644" s="37"/>
      <c r="B644" s="37"/>
      <c r="C644" s="37"/>
      <c r="D644" s="37"/>
    </row>
    <row r="645" spans="1:4">
      <c r="A645" s="37"/>
      <c r="B645" s="37"/>
      <c r="C645" s="37"/>
      <c r="D645" s="37"/>
    </row>
    <row r="646" spans="1:4">
      <c r="A646" s="37"/>
      <c r="B646" s="37"/>
      <c r="C646" s="37"/>
      <c r="D646" s="37"/>
    </row>
    <row r="647" spans="1:4">
      <c r="A647" s="37"/>
      <c r="B647" s="37"/>
      <c r="C647" s="37"/>
      <c r="D647" s="37"/>
    </row>
    <row r="648" spans="1:4">
      <c r="A648" s="37"/>
      <c r="B648" s="37"/>
      <c r="C648" s="37"/>
      <c r="D648" s="37"/>
    </row>
    <row r="649" spans="1:4">
      <c r="A649" s="37"/>
      <c r="B649" s="37"/>
      <c r="C649" s="37"/>
      <c r="D649" s="37"/>
    </row>
    <row r="650" spans="1:4">
      <c r="A650" s="37"/>
      <c r="B650" s="37"/>
      <c r="C650" s="37"/>
      <c r="D650" s="37"/>
    </row>
    <row r="651" spans="1:4">
      <c r="A651" s="37"/>
      <c r="B651" s="37"/>
      <c r="C651" s="37"/>
      <c r="D651" s="37"/>
    </row>
    <row r="652" spans="1:4">
      <c r="A652" s="37"/>
      <c r="B652" s="37"/>
      <c r="C652" s="37"/>
      <c r="D652" s="37"/>
    </row>
    <row r="653" spans="1:4">
      <c r="A653" s="37"/>
      <c r="B653" s="37"/>
      <c r="C653" s="37"/>
      <c r="D653" s="37"/>
    </row>
    <row r="654" spans="1:4">
      <c r="A654" s="37"/>
      <c r="B654" s="37"/>
      <c r="C654" s="37"/>
      <c r="D654" s="37"/>
    </row>
    <row r="655" spans="1:4">
      <c r="A655" s="37"/>
      <c r="B655" s="37"/>
      <c r="C655" s="37"/>
      <c r="D655" s="37"/>
    </row>
    <row r="656" spans="1:4">
      <c r="A656" s="37"/>
      <c r="B656" s="37"/>
      <c r="C656" s="37"/>
      <c r="D656" s="37"/>
    </row>
    <row r="657" spans="1:4">
      <c r="A657" s="37"/>
      <c r="B657" s="37"/>
      <c r="C657" s="37"/>
      <c r="D657" s="37"/>
    </row>
    <row r="658" spans="1:4">
      <c r="A658" s="37"/>
      <c r="B658" s="37"/>
      <c r="C658" s="37"/>
      <c r="D658" s="37"/>
    </row>
    <row r="659" spans="1:4">
      <c r="A659" s="37"/>
      <c r="B659" s="37"/>
      <c r="C659" s="37"/>
      <c r="D659" s="37"/>
    </row>
    <row r="660" spans="1:4">
      <c r="A660" s="37"/>
      <c r="B660" s="37"/>
      <c r="C660" s="37"/>
      <c r="D660" s="37"/>
    </row>
    <row r="661" spans="1:4">
      <c r="A661" s="37"/>
      <c r="B661" s="37"/>
      <c r="C661" s="37"/>
      <c r="D661" s="37"/>
    </row>
    <row r="662" spans="1:4">
      <c r="A662" s="37"/>
      <c r="B662" s="37"/>
      <c r="C662" s="37"/>
      <c r="D662" s="37"/>
    </row>
    <row r="663" spans="1:4">
      <c r="A663" s="37"/>
      <c r="B663" s="37"/>
      <c r="C663" s="37"/>
      <c r="D663" s="37"/>
    </row>
    <row r="664" spans="1:4">
      <c r="A664" s="37"/>
      <c r="B664" s="37"/>
      <c r="C664" s="37"/>
      <c r="D664" s="37"/>
    </row>
    <row r="665" spans="1:4">
      <c r="A665" s="37"/>
      <c r="B665" s="37"/>
      <c r="C665" s="37"/>
      <c r="D665" s="37"/>
    </row>
    <row r="666" spans="1:4">
      <c r="A666" s="37"/>
      <c r="B666" s="37"/>
      <c r="C666" s="37"/>
      <c r="D666" s="37"/>
    </row>
    <row r="667" spans="1:4">
      <c r="A667" s="37"/>
      <c r="B667" s="37"/>
      <c r="C667" s="37"/>
      <c r="D667" s="37"/>
    </row>
    <row r="668" spans="1:4">
      <c r="A668" s="37"/>
      <c r="B668" s="37"/>
      <c r="C668" s="37"/>
      <c r="D668" s="37"/>
    </row>
    <row r="669" spans="1:4">
      <c r="A669" s="37"/>
      <c r="B669" s="37"/>
      <c r="C669" s="37"/>
      <c r="D669" s="37"/>
    </row>
    <row r="670" spans="1:4">
      <c r="A670" s="37"/>
      <c r="B670" s="37"/>
      <c r="C670" s="37"/>
      <c r="D670" s="37"/>
    </row>
    <row r="671" spans="1:4">
      <c r="A671" s="37"/>
      <c r="B671" s="37"/>
      <c r="C671" s="37"/>
      <c r="D671" s="37"/>
    </row>
    <row r="672" spans="1:4">
      <c r="A672" s="37"/>
      <c r="B672" s="37"/>
      <c r="C672" s="37"/>
      <c r="D672" s="37"/>
    </row>
    <row r="673" spans="1:4">
      <c r="A673" s="37"/>
      <c r="B673" s="37"/>
      <c r="C673" s="37"/>
      <c r="D673" s="37"/>
    </row>
    <row r="674" spans="1:4">
      <c r="A674" s="37"/>
      <c r="B674" s="37"/>
      <c r="C674" s="37"/>
      <c r="D674" s="37"/>
    </row>
    <row r="675" spans="1:4">
      <c r="A675" s="37"/>
      <c r="B675" s="37"/>
      <c r="C675" s="37"/>
      <c r="D675" s="37"/>
    </row>
    <row r="676" spans="1:4">
      <c r="A676" s="37"/>
      <c r="B676" s="37"/>
      <c r="C676" s="37"/>
      <c r="D676" s="37"/>
    </row>
    <row r="677" spans="1:4">
      <c r="A677" s="37"/>
      <c r="B677" s="37"/>
      <c r="C677" s="37"/>
      <c r="D677" s="37"/>
    </row>
    <row r="678" spans="1:4">
      <c r="A678" s="37"/>
      <c r="B678" s="37"/>
      <c r="C678" s="37"/>
      <c r="D678" s="37"/>
    </row>
    <row r="679" spans="1:4">
      <c r="A679" s="37"/>
      <c r="B679" s="37"/>
      <c r="C679" s="37"/>
      <c r="D679" s="37"/>
    </row>
    <row r="680" spans="1:4">
      <c r="A680" s="37"/>
      <c r="B680" s="37"/>
      <c r="C680" s="37"/>
      <c r="D680" s="37"/>
    </row>
    <row r="681" spans="1:4">
      <c r="A681" s="37"/>
      <c r="B681" s="37"/>
      <c r="C681" s="37"/>
      <c r="D681" s="37"/>
    </row>
    <row r="682" spans="1:4">
      <c r="A682" s="37"/>
      <c r="B682" s="37"/>
      <c r="C682" s="37"/>
      <c r="D682" s="37"/>
    </row>
    <row r="683" spans="1:4">
      <c r="A683" s="37"/>
      <c r="B683" s="37"/>
      <c r="C683" s="37"/>
      <c r="D683" s="37"/>
    </row>
    <row r="684" spans="1:4">
      <c r="A684" s="37"/>
      <c r="B684" s="37"/>
      <c r="C684" s="37"/>
      <c r="D684" s="37"/>
    </row>
    <row r="685" spans="1:4">
      <c r="A685" s="37"/>
      <c r="B685" s="37"/>
      <c r="C685" s="37"/>
      <c r="D685" s="37"/>
    </row>
    <row r="686" spans="1:4">
      <c r="A686" s="37"/>
      <c r="B686" s="37"/>
      <c r="C686" s="37"/>
      <c r="D686" s="37"/>
    </row>
    <row r="687" spans="1:4">
      <c r="A687" s="37"/>
      <c r="B687" s="37"/>
      <c r="C687" s="37"/>
      <c r="D687" s="37"/>
    </row>
    <row r="688" spans="1:4">
      <c r="A688" s="37"/>
      <c r="B688" s="37"/>
      <c r="C688" s="37"/>
      <c r="D688" s="37"/>
    </row>
    <row r="689" spans="1:4">
      <c r="A689" s="37"/>
      <c r="B689" s="37"/>
      <c r="C689" s="37"/>
      <c r="D689" s="37"/>
    </row>
    <row r="690" spans="1:4">
      <c r="A690" s="37"/>
      <c r="B690" s="37"/>
      <c r="C690" s="37"/>
      <c r="D690" s="37"/>
    </row>
    <row r="691" spans="1:4">
      <c r="A691" s="37"/>
      <c r="B691" s="37"/>
      <c r="C691" s="37"/>
      <c r="D691" s="37"/>
    </row>
    <row r="692" spans="1:4">
      <c r="A692" s="37"/>
      <c r="B692" s="37"/>
      <c r="C692" s="37"/>
      <c r="D692" s="37"/>
    </row>
    <row r="693" spans="1:4">
      <c r="A693" s="37"/>
      <c r="B693" s="37"/>
      <c r="C693" s="37"/>
      <c r="D693" s="37"/>
    </row>
    <row r="694" spans="1:4">
      <c r="A694" s="37"/>
      <c r="B694" s="37"/>
      <c r="C694" s="37"/>
      <c r="D694" s="37"/>
    </row>
    <row r="695" spans="1:4">
      <c r="A695" s="37"/>
      <c r="B695" s="37"/>
      <c r="C695" s="37"/>
      <c r="D695" s="37"/>
    </row>
    <row r="696" spans="1:4">
      <c r="A696" s="37"/>
      <c r="B696" s="37"/>
      <c r="C696" s="37"/>
      <c r="D696" s="37"/>
    </row>
    <row r="697" spans="1:4">
      <c r="A697" s="37"/>
      <c r="B697" s="37"/>
      <c r="C697" s="37"/>
      <c r="D697" s="37"/>
    </row>
    <row r="698" spans="1:4">
      <c r="A698" s="37"/>
      <c r="B698" s="37"/>
      <c r="C698" s="37"/>
      <c r="D698" s="37"/>
    </row>
    <row r="699" spans="1:4">
      <c r="A699" s="37"/>
      <c r="B699" s="37"/>
      <c r="C699" s="37"/>
      <c r="D699" s="37"/>
    </row>
    <row r="700" spans="1:4">
      <c r="A700" s="37"/>
      <c r="B700" s="37"/>
      <c r="C700" s="37"/>
      <c r="D700" s="37"/>
    </row>
    <row r="701" spans="1:4">
      <c r="A701" s="37"/>
      <c r="B701" s="37"/>
      <c r="C701" s="37"/>
      <c r="D701" s="37"/>
    </row>
    <row r="702" spans="1:4">
      <c r="A702" s="37"/>
      <c r="B702" s="37"/>
      <c r="C702" s="37"/>
      <c r="D702" s="37"/>
    </row>
    <row r="703" spans="1:4">
      <c r="A703" s="37"/>
      <c r="B703" s="37"/>
      <c r="C703" s="37"/>
      <c r="D703" s="37"/>
    </row>
    <row r="704" spans="1:4">
      <c r="A704" s="37"/>
      <c r="B704" s="37"/>
      <c r="C704" s="37"/>
      <c r="D704" s="37"/>
    </row>
    <row r="705" spans="1:4">
      <c r="A705" s="37"/>
      <c r="B705" s="37"/>
      <c r="C705" s="37"/>
      <c r="D705" s="37"/>
    </row>
    <row r="706" spans="1:4">
      <c r="A706" s="37"/>
      <c r="B706" s="37"/>
      <c r="C706" s="37"/>
      <c r="D706" s="37"/>
    </row>
    <row r="707" spans="1:4">
      <c r="A707" s="37"/>
      <c r="B707" s="37"/>
      <c r="C707" s="37"/>
      <c r="D707" s="37"/>
    </row>
    <row r="708" spans="1:4">
      <c r="A708" s="37"/>
      <c r="B708" s="37"/>
      <c r="C708" s="37"/>
      <c r="D708" s="37"/>
    </row>
    <row r="709" spans="1:4">
      <c r="A709" s="37"/>
      <c r="B709" s="37"/>
      <c r="C709" s="37"/>
      <c r="D709" s="37"/>
    </row>
    <row r="710" spans="1:4">
      <c r="A710" s="37"/>
      <c r="B710" s="37"/>
      <c r="C710" s="37"/>
      <c r="D710" s="37"/>
    </row>
    <row r="711" spans="1:4">
      <c r="A711" s="37"/>
      <c r="B711" s="37"/>
      <c r="C711" s="37"/>
      <c r="D711" s="37"/>
    </row>
    <row r="712" spans="1:4">
      <c r="A712" s="37"/>
      <c r="B712" s="37"/>
      <c r="C712" s="37"/>
      <c r="D712" s="37"/>
    </row>
    <row r="713" spans="1:4">
      <c r="A713" s="37"/>
      <c r="B713" s="37"/>
      <c r="C713" s="37"/>
      <c r="D713" s="37"/>
    </row>
    <row r="714" spans="1:4">
      <c r="A714" s="37"/>
      <c r="B714" s="37"/>
      <c r="C714" s="37"/>
      <c r="D714" s="37"/>
    </row>
    <row r="715" spans="1:4">
      <c r="A715" s="37"/>
      <c r="B715" s="37"/>
      <c r="C715" s="37"/>
      <c r="D715" s="37"/>
    </row>
    <row r="716" spans="1:4">
      <c r="A716" s="37"/>
      <c r="B716" s="37"/>
      <c r="C716" s="37"/>
      <c r="D716" s="37"/>
    </row>
    <row r="717" spans="1:4">
      <c r="A717" s="37"/>
      <c r="B717" s="37"/>
      <c r="C717" s="37"/>
      <c r="D717" s="37"/>
    </row>
    <row r="718" spans="1:4">
      <c r="A718" s="37"/>
      <c r="B718" s="37"/>
      <c r="C718" s="37"/>
      <c r="D718" s="37"/>
    </row>
    <row r="719" spans="1:4">
      <c r="A719" s="37"/>
      <c r="B719" s="37"/>
      <c r="C719" s="37"/>
      <c r="D719" s="37"/>
    </row>
    <row r="720" spans="1:4">
      <c r="A720" s="37"/>
      <c r="B720" s="37"/>
      <c r="C720" s="37"/>
      <c r="D720" s="37"/>
    </row>
    <row r="721" spans="1:4">
      <c r="A721" s="37"/>
      <c r="B721" s="37"/>
      <c r="C721" s="37"/>
      <c r="D721" s="37"/>
    </row>
    <row r="722" spans="1:4">
      <c r="A722" s="37"/>
      <c r="B722" s="37"/>
      <c r="C722" s="37"/>
      <c r="D722" s="37"/>
    </row>
    <row r="723" spans="1:4">
      <c r="A723" s="37"/>
      <c r="B723" s="37"/>
      <c r="C723" s="37"/>
      <c r="D723" s="37"/>
    </row>
    <row r="724" spans="1:4">
      <c r="A724" s="37"/>
      <c r="B724" s="37"/>
      <c r="C724" s="37"/>
      <c r="D724" s="37"/>
    </row>
    <row r="725" spans="1:4">
      <c r="A725" s="37"/>
      <c r="B725" s="37"/>
      <c r="C725" s="37"/>
      <c r="D725" s="37"/>
    </row>
    <row r="726" spans="1:4">
      <c r="A726" s="37"/>
      <c r="B726" s="37"/>
      <c r="C726" s="37"/>
      <c r="D726" s="37"/>
    </row>
    <row r="727" spans="1:4">
      <c r="A727" s="37"/>
      <c r="B727" s="37"/>
      <c r="C727" s="37"/>
      <c r="D727" s="37"/>
    </row>
    <row r="728" spans="1:4">
      <c r="A728" s="37"/>
      <c r="B728" s="37"/>
      <c r="C728" s="37"/>
      <c r="D728" s="37"/>
    </row>
    <row r="729" spans="1:4">
      <c r="A729" s="37"/>
      <c r="B729" s="37"/>
      <c r="C729" s="37"/>
      <c r="D729" s="37"/>
    </row>
    <row r="730" spans="1:4">
      <c r="A730" s="37"/>
      <c r="B730" s="37"/>
      <c r="C730" s="37"/>
      <c r="D730" s="37"/>
    </row>
    <row r="731" spans="1:4">
      <c r="A731" s="37"/>
      <c r="B731" s="37"/>
      <c r="C731" s="37"/>
      <c r="D731" s="37"/>
    </row>
    <row r="732" spans="1:4">
      <c r="A732" s="37"/>
      <c r="B732" s="37"/>
      <c r="C732" s="37"/>
      <c r="D732" s="37"/>
    </row>
    <row r="733" spans="1:4">
      <c r="A733" s="37"/>
      <c r="B733" s="37"/>
      <c r="C733" s="37"/>
      <c r="D733" s="37"/>
    </row>
    <row r="734" spans="1:4">
      <c r="A734" s="37"/>
      <c r="B734" s="37"/>
      <c r="C734" s="37"/>
      <c r="D734" s="37"/>
    </row>
    <row r="735" spans="1:4">
      <c r="A735" s="37"/>
      <c r="B735" s="37"/>
      <c r="C735" s="37"/>
      <c r="D735" s="37"/>
    </row>
    <row r="736" spans="1:4">
      <c r="A736" s="37"/>
      <c r="B736" s="37"/>
      <c r="C736" s="37"/>
      <c r="D736" s="37"/>
    </row>
    <row r="737" spans="1:4">
      <c r="A737" s="37"/>
      <c r="B737" s="37"/>
      <c r="C737" s="37"/>
      <c r="D737" s="37"/>
    </row>
    <row r="738" spans="1:4">
      <c r="A738" s="37"/>
      <c r="B738" s="37"/>
      <c r="C738" s="37"/>
      <c r="D738" s="37"/>
    </row>
    <row r="739" spans="1:4">
      <c r="A739" s="37"/>
      <c r="B739" s="37"/>
      <c r="C739" s="37"/>
      <c r="D739" s="37"/>
    </row>
    <row r="740" spans="1:4">
      <c r="A740" s="37"/>
      <c r="B740" s="37"/>
      <c r="C740" s="37"/>
      <c r="D740" s="37"/>
    </row>
    <row r="741" spans="1:4">
      <c r="A741" s="37"/>
      <c r="B741" s="37"/>
      <c r="C741" s="37"/>
      <c r="D741" s="37"/>
    </row>
    <row r="742" spans="1:4">
      <c r="A742" s="37"/>
      <c r="B742" s="37"/>
      <c r="C742" s="37"/>
      <c r="D742" s="37"/>
    </row>
    <row r="743" spans="1:4">
      <c r="A743" s="37"/>
      <c r="B743" s="37"/>
      <c r="C743" s="37"/>
      <c r="D743" s="37"/>
    </row>
    <row r="744" spans="1:4">
      <c r="A744" s="37"/>
      <c r="B744" s="37"/>
      <c r="C744" s="37"/>
      <c r="D744" s="37"/>
    </row>
    <row r="745" spans="1:4">
      <c r="A745" s="37"/>
      <c r="B745" s="37"/>
      <c r="C745" s="37"/>
      <c r="D745" s="37"/>
    </row>
    <row r="746" spans="1:4">
      <c r="A746" s="37"/>
      <c r="B746" s="37"/>
      <c r="C746" s="37"/>
      <c r="D746" s="37"/>
    </row>
    <row r="747" spans="1:4">
      <c r="A747" s="37"/>
      <c r="B747" s="37"/>
      <c r="C747" s="37"/>
      <c r="D747" s="37"/>
    </row>
    <row r="748" spans="1:4">
      <c r="A748" s="37"/>
      <c r="B748" s="37"/>
      <c r="C748" s="37"/>
      <c r="D748" s="37"/>
    </row>
    <row r="749" spans="1:4">
      <c r="A749" s="37"/>
      <c r="B749" s="37"/>
      <c r="C749" s="37"/>
      <c r="D749" s="37"/>
    </row>
    <row r="750" spans="1:4">
      <c r="A750" s="37"/>
      <c r="B750" s="37"/>
      <c r="C750" s="37"/>
      <c r="D750" s="37"/>
    </row>
    <row r="751" spans="1:4">
      <c r="A751" s="37"/>
      <c r="B751" s="37"/>
      <c r="C751" s="37"/>
      <c r="D751" s="37"/>
    </row>
    <row r="752" spans="1:4">
      <c r="A752" s="37"/>
      <c r="B752" s="37"/>
      <c r="C752" s="37"/>
      <c r="D752" s="37"/>
    </row>
    <row r="753" spans="1:4">
      <c r="A753" s="37"/>
      <c r="B753" s="37"/>
      <c r="C753" s="37"/>
      <c r="D753" s="37"/>
    </row>
    <row r="754" spans="1:4">
      <c r="A754" s="37"/>
      <c r="B754" s="37"/>
      <c r="C754" s="37"/>
      <c r="D754" s="37"/>
    </row>
    <row r="755" spans="1:4">
      <c r="A755" s="37"/>
      <c r="B755" s="37"/>
      <c r="C755" s="37"/>
      <c r="D755" s="37"/>
    </row>
    <row r="756" spans="1:4">
      <c r="A756" s="37"/>
      <c r="B756" s="37"/>
      <c r="C756" s="37"/>
      <c r="D756" s="37"/>
    </row>
    <row r="757" spans="1:4">
      <c r="A757" s="37"/>
      <c r="B757" s="37"/>
      <c r="C757" s="37"/>
      <c r="D757" s="37"/>
    </row>
    <row r="758" spans="1:4">
      <c r="A758" s="37"/>
      <c r="B758" s="37"/>
      <c r="C758" s="37"/>
      <c r="D758" s="37"/>
    </row>
    <row r="759" spans="1:4">
      <c r="A759" s="37"/>
      <c r="B759" s="37"/>
      <c r="C759" s="37"/>
      <c r="D759" s="37"/>
    </row>
    <row r="760" spans="1:4">
      <c r="A760" s="37"/>
      <c r="B760" s="37"/>
      <c r="C760" s="37"/>
      <c r="D760" s="37"/>
    </row>
    <row r="761" spans="1:4">
      <c r="A761" s="37"/>
      <c r="B761" s="37"/>
      <c r="C761" s="37"/>
      <c r="D761" s="37"/>
    </row>
    <row r="762" spans="1:4">
      <c r="A762" s="37"/>
      <c r="B762" s="37"/>
      <c r="C762" s="37"/>
      <c r="D762" s="37"/>
    </row>
    <row r="763" spans="1:4">
      <c r="A763" s="37"/>
      <c r="B763" s="37"/>
      <c r="C763" s="37"/>
      <c r="D763" s="37"/>
    </row>
    <row r="764" spans="1:4">
      <c r="A764" s="37"/>
      <c r="B764" s="37"/>
      <c r="C764" s="37"/>
      <c r="D764" s="37"/>
    </row>
    <row r="765" spans="1:4">
      <c r="A765" s="37"/>
      <c r="B765" s="37"/>
      <c r="C765" s="37"/>
      <c r="D765" s="37"/>
    </row>
    <row r="766" spans="1:4">
      <c r="A766" s="37"/>
      <c r="B766" s="37"/>
      <c r="C766" s="37"/>
      <c r="D766" s="37"/>
    </row>
    <row r="767" spans="1:4">
      <c r="A767" s="37"/>
      <c r="B767" s="37"/>
      <c r="C767" s="37"/>
      <c r="D767" s="37"/>
    </row>
    <row r="768" spans="1:4">
      <c r="A768" s="37"/>
      <c r="B768" s="37"/>
      <c r="C768" s="37"/>
      <c r="D768" s="37"/>
    </row>
    <row r="769" spans="1:4">
      <c r="A769" s="37"/>
      <c r="B769" s="37"/>
      <c r="C769" s="37"/>
      <c r="D769" s="37"/>
    </row>
    <row r="770" spans="1:4">
      <c r="A770" s="37"/>
      <c r="B770" s="37"/>
      <c r="C770" s="37"/>
      <c r="D770" s="37"/>
    </row>
    <row r="771" spans="1:4">
      <c r="A771" s="37"/>
      <c r="B771" s="37"/>
      <c r="C771" s="37"/>
      <c r="D771" s="37"/>
    </row>
    <row r="772" spans="1:4">
      <c r="A772" s="37"/>
      <c r="B772" s="37"/>
      <c r="C772" s="37"/>
      <c r="D772" s="37"/>
    </row>
    <row r="773" spans="1:4">
      <c r="A773" s="37"/>
      <c r="B773" s="37"/>
      <c r="C773" s="37"/>
      <c r="D773" s="37"/>
    </row>
    <row r="774" spans="1:4">
      <c r="A774" s="37"/>
      <c r="B774" s="37"/>
      <c r="C774" s="37"/>
      <c r="D774" s="37"/>
    </row>
    <row r="775" spans="1:4">
      <c r="A775" s="37"/>
      <c r="B775" s="37"/>
      <c r="C775" s="37"/>
      <c r="D775" s="37"/>
    </row>
    <row r="776" spans="1:4">
      <c r="A776" s="37"/>
      <c r="B776" s="37"/>
      <c r="C776" s="37"/>
      <c r="D776" s="37"/>
    </row>
    <row r="777" spans="1:4">
      <c r="A777" s="37"/>
      <c r="B777" s="37"/>
      <c r="C777" s="37"/>
      <c r="D777" s="37"/>
    </row>
    <row r="778" spans="1:4">
      <c r="A778" s="37"/>
      <c r="B778" s="37"/>
      <c r="C778" s="37"/>
      <c r="D778" s="37"/>
    </row>
    <row r="779" spans="1:4">
      <c r="A779" s="37"/>
      <c r="B779" s="37"/>
      <c r="C779" s="37"/>
      <c r="D779" s="37"/>
    </row>
    <row r="780" spans="1:4">
      <c r="A780" s="37"/>
      <c r="B780" s="37"/>
      <c r="C780" s="37"/>
      <c r="D780" s="37"/>
    </row>
    <row r="781" spans="1:4">
      <c r="A781" s="37"/>
      <c r="B781" s="37"/>
      <c r="C781" s="37"/>
      <c r="D781" s="37"/>
    </row>
    <row r="782" spans="1:4">
      <c r="A782" s="37"/>
      <c r="B782" s="37"/>
      <c r="C782" s="37"/>
      <c r="D782" s="37"/>
    </row>
    <row r="783" spans="1:4">
      <c r="A783" s="37"/>
      <c r="B783" s="37"/>
      <c r="C783" s="37"/>
      <c r="D783" s="37"/>
    </row>
    <row r="784" spans="1:4">
      <c r="A784" s="37"/>
      <c r="B784" s="37"/>
      <c r="C784" s="37"/>
      <c r="D784" s="37"/>
    </row>
    <row r="785" spans="1:4">
      <c r="A785" s="37"/>
      <c r="B785" s="37"/>
      <c r="C785" s="37"/>
      <c r="D785" s="37"/>
    </row>
    <row r="786" spans="1:4">
      <c r="A786" s="37"/>
      <c r="B786" s="37"/>
      <c r="C786" s="37"/>
      <c r="D786" s="37"/>
    </row>
    <row r="787" spans="1:4">
      <c r="A787" s="37"/>
      <c r="B787" s="37"/>
      <c r="C787" s="37"/>
      <c r="D787" s="37"/>
    </row>
    <row r="788" spans="1:4">
      <c r="A788" s="37"/>
      <c r="B788" s="37"/>
      <c r="C788" s="37"/>
      <c r="D788" s="37"/>
    </row>
    <row r="789" spans="1:4">
      <c r="A789" s="37"/>
      <c r="B789" s="37"/>
      <c r="C789" s="37"/>
      <c r="D789" s="37"/>
    </row>
    <row r="790" spans="1:4">
      <c r="A790" s="37"/>
      <c r="B790" s="37"/>
      <c r="C790" s="37"/>
      <c r="D790" s="37"/>
    </row>
    <row r="791" spans="1:4">
      <c r="A791" s="37"/>
      <c r="B791" s="37"/>
      <c r="C791" s="37"/>
      <c r="D791" s="37"/>
    </row>
    <row r="792" spans="1:4">
      <c r="A792" s="37"/>
      <c r="B792" s="37"/>
      <c r="C792" s="37"/>
      <c r="D792" s="37"/>
    </row>
    <row r="793" spans="1:4">
      <c r="A793" s="37"/>
      <c r="B793" s="37"/>
      <c r="C793" s="37"/>
      <c r="D793" s="37"/>
    </row>
    <row r="794" spans="1:4">
      <c r="A794" s="37"/>
      <c r="B794" s="37"/>
      <c r="C794" s="37"/>
      <c r="D794" s="37"/>
    </row>
    <row r="795" spans="1:4">
      <c r="A795" s="37"/>
      <c r="B795" s="37"/>
      <c r="C795" s="37"/>
      <c r="D795" s="37"/>
    </row>
    <row r="796" spans="1:4">
      <c r="A796" s="37"/>
      <c r="B796" s="37"/>
      <c r="C796" s="37"/>
      <c r="D796" s="37"/>
    </row>
    <row r="797" spans="1:4">
      <c r="A797" s="37"/>
      <c r="B797" s="37"/>
      <c r="C797" s="37"/>
      <c r="D797" s="37"/>
    </row>
    <row r="798" spans="1:4">
      <c r="A798" s="37"/>
      <c r="B798" s="37"/>
      <c r="C798" s="37"/>
      <c r="D798" s="37"/>
    </row>
    <row r="799" spans="1:4">
      <c r="A799" s="37"/>
      <c r="B799" s="37"/>
      <c r="C799" s="37"/>
      <c r="D799" s="37"/>
    </row>
    <row r="800" spans="1:4">
      <c r="A800" s="37"/>
      <c r="B800" s="37"/>
      <c r="C800" s="37"/>
      <c r="D800" s="37"/>
    </row>
    <row r="801" spans="1:4">
      <c r="A801" s="37"/>
      <c r="B801" s="37"/>
      <c r="C801" s="37"/>
      <c r="D801" s="37"/>
    </row>
    <row r="802" spans="1:4">
      <c r="A802" s="37"/>
      <c r="B802" s="37"/>
      <c r="C802" s="37"/>
      <c r="D802" s="37"/>
    </row>
    <row r="803" spans="1:4">
      <c r="A803" s="37"/>
      <c r="B803" s="37"/>
      <c r="C803" s="37"/>
      <c r="D803" s="37"/>
    </row>
    <row r="804" spans="1:4">
      <c r="A804" s="37"/>
      <c r="B804" s="37"/>
      <c r="C804" s="37"/>
      <c r="D804" s="37"/>
    </row>
    <row r="805" spans="1:4">
      <c r="A805" s="37"/>
      <c r="B805" s="37"/>
      <c r="C805" s="37"/>
      <c r="D805" s="37"/>
    </row>
    <row r="806" spans="1:4">
      <c r="A806" s="37"/>
      <c r="B806" s="37"/>
      <c r="C806" s="37"/>
      <c r="D806" s="37"/>
    </row>
    <row r="807" spans="1:4">
      <c r="A807" s="37"/>
      <c r="B807" s="37"/>
      <c r="C807" s="37"/>
      <c r="D807" s="37"/>
    </row>
    <row r="808" spans="1:4">
      <c r="A808" s="37"/>
      <c r="B808" s="37"/>
      <c r="C808" s="37"/>
      <c r="D808" s="37"/>
    </row>
    <row r="809" spans="1:4">
      <c r="A809" s="37"/>
      <c r="B809" s="37"/>
      <c r="C809" s="37"/>
      <c r="D809" s="37"/>
    </row>
    <row r="810" spans="1:4">
      <c r="A810" s="37"/>
      <c r="B810" s="37"/>
      <c r="C810" s="37"/>
      <c r="D810" s="37"/>
    </row>
    <row r="811" spans="1:4">
      <c r="A811" s="37"/>
      <c r="B811" s="37"/>
      <c r="C811" s="37"/>
      <c r="D811" s="37"/>
    </row>
    <row r="812" spans="1:4">
      <c r="A812" s="37"/>
      <c r="B812" s="37"/>
      <c r="C812" s="37"/>
      <c r="D812" s="37"/>
    </row>
    <row r="813" spans="1:4">
      <c r="A813" s="37"/>
      <c r="B813" s="37"/>
      <c r="C813" s="37"/>
      <c r="D813" s="37"/>
    </row>
    <row r="814" spans="1:4">
      <c r="A814" s="37"/>
      <c r="B814" s="37"/>
      <c r="C814" s="37"/>
      <c r="D814" s="37"/>
    </row>
    <row r="815" spans="1:4">
      <c r="A815" s="37"/>
      <c r="B815" s="37"/>
      <c r="C815" s="37"/>
      <c r="D815" s="37"/>
    </row>
    <row r="816" spans="1:4">
      <c r="A816" s="37"/>
      <c r="B816" s="37"/>
      <c r="C816" s="37"/>
      <c r="D816" s="37"/>
    </row>
    <row r="817" spans="1:4">
      <c r="A817" s="37"/>
      <c r="B817" s="37"/>
      <c r="C817" s="37"/>
      <c r="D817" s="37"/>
    </row>
    <row r="818" spans="1:4">
      <c r="A818" s="37"/>
      <c r="B818" s="37"/>
      <c r="C818" s="37"/>
      <c r="D818" s="37"/>
    </row>
    <row r="819" spans="1:4">
      <c r="A819" s="37"/>
      <c r="B819" s="37"/>
      <c r="C819" s="37"/>
      <c r="D819" s="37"/>
    </row>
    <row r="820" spans="1:4">
      <c r="A820" s="37"/>
      <c r="B820" s="37"/>
      <c r="C820" s="37"/>
      <c r="D820" s="37"/>
    </row>
    <row r="821" spans="1:4">
      <c r="A821" s="37"/>
      <c r="B821" s="37"/>
      <c r="C821" s="37"/>
      <c r="D821" s="37"/>
    </row>
    <row r="822" spans="1:4">
      <c r="A822" s="37"/>
      <c r="B822" s="37"/>
      <c r="C822" s="37"/>
      <c r="D822" s="37"/>
    </row>
    <row r="823" spans="1:4">
      <c r="A823" s="37"/>
      <c r="B823" s="37"/>
      <c r="C823" s="37"/>
      <c r="D823" s="37"/>
    </row>
    <row r="824" spans="1:4">
      <c r="A824" s="37"/>
      <c r="B824" s="37"/>
      <c r="C824" s="37"/>
      <c r="D824" s="37"/>
    </row>
    <row r="825" spans="1:4">
      <c r="A825" s="37"/>
      <c r="B825" s="37"/>
      <c r="C825" s="37"/>
      <c r="D825" s="37"/>
    </row>
    <row r="826" spans="1:4">
      <c r="A826" s="37"/>
      <c r="B826" s="37"/>
      <c r="C826" s="37"/>
      <c r="D826" s="37"/>
    </row>
    <row r="827" spans="1:4">
      <c r="A827" s="37"/>
      <c r="B827" s="37"/>
      <c r="C827" s="37"/>
      <c r="D827" s="37"/>
    </row>
    <row r="828" spans="1:4">
      <c r="A828" s="37"/>
      <c r="B828" s="37"/>
      <c r="C828" s="37"/>
      <c r="D828" s="37"/>
    </row>
    <row r="829" spans="1:4">
      <c r="A829" s="37"/>
      <c r="B829" s="37"/>
      <c r="C829" s="37"/>
      <c r="D829" s="37"/>
    </row>
    <row r="830" spans="1:4">
      <c r="A830" s="37"/>
      <c r="B830" s="37"/>
      <c r="C830" s="37"/>
      <c r="D830" s="37"/>
    </row>
    <row r="831" spans="1:4">
      <c r="A831" s="37"/>
      <c r="B831" s="37"/>
      <c r="C831" s="37"/>
      <c r="D831" s="37"/>
    </row>
    <row r="832" spans="1:4">
      <c r="A832" s="37"/>
      <c r="B832" s="37"/>
      <c r="C832" s="37"/>
      <c r="D832" s="37"/>
    </row>
    <row r="833" spans="1:4">
      <c r="A833" s="37"/>
      <c r="B833" s="37"/>
      <c r="C833" s="37"/>
      <c r="D833" s="37"/>
    </row>
    <row r="834" spans="1:4">
      <c r="A834" s="37"/>
      <c r="B834" s="37"/>
      <c r="C834" s="37"/>
      <c r="D834" s="37"/>
    </row>
    <row r="835" spans="1:4">
      <c r="A835" s="37"/>
      <c r="B835" s="37"/>
      <c r="C835" s="37"/>
      <c r="D835" s="37"/>
    </row>
    <row r="836" spans="1:4">
      <c r="A836" s="37"/>
      <c r="B836" s="37"/>
      <c r="C836" s="37"/>
      <c r="D836" s="37"/>
    </row>
    <row r="837" spans="1:4">
      <c r="A837" s="37"/>
      <c r="B837" s="37"/>
      <c r="C837" s="37"/>
      <c r="D837" s="37"/>
    </row>
    <row r="838" spans="1:4">
      <c r="A838" s="37"/>
      <c r="B838" s="37"/>
      <c r="C838" s="37"/>
      <c r="D838" s="37"/>
    </row>
    <row r="839" spans="1:4">
      <c r="A839" s="37"/>
      <c r="B839" s="37"/>
      <c r="C839" s="37"/>
      <c r="D839" s="37"/>
    </row>
    <row r="840" spans="1:4">
      <c r="A840" s="37"/>
      <c r="B840" s="37"/>
      <c r="C840" s="37"/>
      <c r="D840" s="37"/>
    </row>
    <row r="841" spans="1:4">
      <c r="A841" s="37"/>
      <c r="B841" s="37"/>
      <c r="C841" s="37"/>
      <c r="D841" s="37"/>
    </row>
    <row r="842" spans="1:4">
      <c r="A842" s="37"/>
      <c r="B842" s="37"/>
      <c r="C842" s="37"/>
      <c r="D842" s="37"/>
    </row>
    <row r="843" spans="1:4">
      <c r="A843" s="37"/>
      <c r="B843" s="37"/>
      <c r="C843" s="37"/>
      <c r="D843" s="37"/>
    </row>
    <row r="844" spans="1:4">
      <c r="A844" s="37"/>
      <c r="B844" s="37"/>
      <c r="C844" s="37"/>
      <c r="D844" s="37"/>
    </row>
    <row r="845" spans="1:4">
      <c r="A845" s="37"/>
      <c r="B845" s="37"/>
      <c r="C845" s="37"/>
      <c r="D845" s="37"/>
    </row>
    <row r="846" spans="1:4">
      <c r="A846" s="37"/>
      <c r="B846" s="37"/>
      <c r="C846" s="37"/>
      <c r="D846" s="37"/>
    </row>
    <row r="847" spans="1:4">
      <c r="A847" s="37"/>
      <c r="B847" s="37"/>
      <c r="C847" s="37"/>
      <c r="D847" s="37"/>
    </row>
    <row r="848" spans="1:4">
      <c r="A848" s="37"/>
      <c r="B848" s="37"/>
      <c r="C848" s="37"/>
      <c r="D848" s="37"/>
    </row>
    <row r="849" spans="1:4">
      <c r="A849" s="37"/>
      <c r="B849" s="37"/>
      <c r="C849" s="37"/>
      <c r="D849" s="37"/>
    </row>
    <row r="850" spans="1:4">
      <c r="A850" s="37"/>
      <c r="B850" s="37"/>
      <c r="C850" s="37"/>
      <c r="D850" s="37"/>
    </row>
    <row r="851" spans="1:4">
      <c r="A851" s="37"/>
      <c r="B851" s="37"/>
      <c r="C851" s="37"/>
      <c r="D851" s="37"/>
    </row>
    <row r="852" spans="1:4">
      <c r="A852" s="37"/>
      <c r="B852" s="37"/>
      <c r="C852" s="37"/>
      <c r="D852" s="37"/>
    </row>
    <row r="853" spans="1:4">
      <c r="A853" s="37"/>
      <c r="B853" s="37"/>
      <c r="C853" s="37"/>
      <c r="D853" s="37"/>
    </row>
    <row r="854" spans="1:4">
      <c r="A854" s="37"/>
      <c r="B854" s="37"/>
      <c r="C854" s="37"/>
      <c r="D854" s="37"/>
    </row>
    <row r="855" spans="1:4">
      <c r="A855" s="37"/>
      <c r="B855" s="37"/>
      <c r="C855" s="37"/>
      <c r="D855" s="37"/>
    </row>
    <row r="856" spans="1:4">
      <c r="A856" s="37"/>
      <c r="B856" s="37"/>
      <c r="C856" s="37"/>
      <c r="D856" s="37"/>
    </row>
    <row r="857" spans="1:4">
      <c r="A857" s="37"/>
      <c r="B857" s="37"/>
      <c r="C857" s="37"/>
      <c r="D857" s="37"/>
    </row>
    <row r="858" spans="1:4">
      <c r="A858" s="37"/>
      <c r="B858" s="37"/>
      <c r="C858" s="37"/>
      <c r="D858" s="37"/>
    </row>
    <row r="859" spans="1:4">
      <c r="A859" s="37"/>
      <c r="B859" s="37"/>
      <c r="C859" s="37"/>
      <c r="D859" s="37"/>
    </row>
    <row r="860" spans="1:4">
      <c r="A860" s="37"/>
      <c r="B860" s="37"/>
      <c r="C860" s="37"/>
      <c r="D860" s="37"/>
    </row>
    <row r="861" spans="1:4">
      <c r="A861" s="37"/>
      <c r="B861" s="37"/>
      <c r="C861" s="37"/>
      <c r="D861" s="37"/>
    </row>
    <row r="862" spans="1:4">
      <c r="A862" s="37"/>
      <c r="B862" s="37"/>
      <c r="C862" s="37"/>
      <c r="D862" s="37"/>
    </row>
    <row r="863" spans="1:4">
      <c r="A863" s="37"/>
      <c r="B863" s="37"/>
      <c r="C863" s="37"/>
      <c r="D863" s="37"/>
    </row>
    <row r="864" spans="1:4">
      <c r="A864" s="37"/>
      <c r="B864" s="37"/>
      <c r="C864" s="37"/>
      <c r="D864" s="37"/>
    </row>
    <row r="865" spans="1:4">
      <c r="A865" s="37"/>
      <c r="B865" s="37"/>
      <c r="C865" s="37"/>
      <c r="D865" s="37"/>
    </row>
    <row r="866" spans="1:4">
      <c r="A866" s="37"/>
      <c r="B866" s="37"/>
      <c r="C866" s="37"/>
      <c r="D866" s="37"/>
    </row>
    <row r="867" spans="1:4">
      <c r="A867" s="37"/>
      <c r="B867" s="37"/>
      <c r="C867" s="37"/>
      <c r="D867" s="37"/>
    </row>
    <row r="868" spans="1:4">
      <c r="A868" s="37"/>
      <c r="B868" s="37"/>
      <c r="C868" s="37"/>
      <c r="D868" s="37"/>
    </row>
    <row r="869" spans="1:4">
      <c r="A869" s="37"/>
      <c r="B869" s="37"/>
      <c r="C869" s="37"/>
      <c r="D869" s="37"/>
    </row>
    <row r="870" spans="1:4">
      <c r="A870" s="37"/>
      <c r="B870" s="37"/>
      <c r="C870" s="37"/>
      <c r="D870" s="37"/>
    </row>
    <row r="871" spans="1:4">
      <c r="A871" s="37"/>
      <c r="B871" s="37"/>
      <c r="C871" s="37"/>
      <c r="D871" s="37"/>
    </row>
    <row r="872" spans="1:4">
      <c r="A872" s="37"/>
      <c r="B872" s="37"/>
      <c r="C872" s="37"/>
      <c r="D872" s="37"/>
    </row>
    <row r="873" spans="1:4">
      <c r="A873" s="37"/>
      <c r="B873" s="37"/>
      <c r="C873" s="37"/>
      <c r="D873" s="37"/>
    </row>
    <row r="874" spans="1:4">
      <c r="A874" s="37"/>
      <c r="B874" s="37"/>
      <c r="C874" s="37"/>
      <c r="D874" s="37"/>
    </row>
    <row r="875" spans="1:4">
      <c r="A875" s="37"/>
      <c r="B875" s="37"/>
      <c r="C875" s="37"/>
      <c r="D875" s="37"/>
    </row>
    <row r="876" spans="1:4">
      <c r="A876" s="37"/>
      <c r="B876" s="37"/>
      <c r="C876" s="37"/>
      <c r="D876" s="37"/>
    </row>
    <row r="877" spans="1:4">
      <c r="A877" s="37"/>
      <c r="B877" s="37"/>
      <c r="C877" s="37"/>
      <c r="D877" s="37"/>
    </row>
    <row r="878" spans="1:4">
      <c r="A878" s="37"/>
      <c r="B878" s="37"/>
      <c r="C878" s="37"/>
      <c r="D878" s="37"/>
    </row>
    <row r="879" spans="1:4">
      <c r="A879" s="37"/>
      <c r="B879" s="37"/>
      <c r="C879" s="37"/>
      <c r="D879" s="37"/>
    </row>
    <row r="880" spans="1:4">
      <c r="A880" s="37"/>
      <c r="B880" s="37"/>
      <c r="C880" s="37"/>
      <c r="D880" s="37"/>
    </row>
    <row r="881" spans="1:4">
      <c r="A881" s="37"/>
      <c r="B881" s="37"/>
      <c r="C881" s="37"/>
      <c r="D881" s="37"/>
    </row>
    <row r="882" spans="1:4">
      <c r="A882" s="37"/>
      <c r="B882" s="37"/>
      <c r="C882" s="37"/>
      <c r="D882" s="37"/>
    </row>
    <row r="883" spans="1:4">
      <c r="A883" s="37"/>
      <c r="B883" s="37"/>
      <c r="C883" s="37"/>
      <c r="D883" s="37"/>
    </row>
    <row r="884" spans="1:4">
      <c r="A884" s="37"/>
      <c r="B884" s="37"/>
      <c r="C884" s="37"/>
      <c r="D884" s="37"/>
    </row>
    <row r="885" spans="1:4">
      <c r="A885" s="37"/>
      <c r="B885" s="37"/>
      <c r="C885" s="37"/>
      <c r="D885" s="37"/>
    </row>
    <row r="886" spans="1:4">
      <c r="A886" s="37"/>
      <c r="B886" s="37"/>
      <c r="C886" s="37"/>
      <c r="D886" s="37"/>
    </row>
    <row r="887" spans="1:4">
      <c r="A887" s="37"/>
      <c r="B887" s="37"/>
      <c r="C887" s="37"/>
      <c r="D887" s="37"/>
    </row>
    <row r="888" spans="1:4">
      <c r="A888" s="37"/>
      <c r="B888" s="37"/>
      <c r="C888" s="37"/>
      <c r="D888" s="37"/>
    </row>
    <row r="889" spans="1:4">
      <c r="A889" s="37"/>
      <c r="B889" s="37"/>
      <c r="C889" s="37"/>
      <c r="D889" s="37"/>
    </row>
    <row r="890" spans="1:4">
      <c r="A890" s="37"/>
      <c r="B890" s="37"/>
      <c r="C890" s="37"/>
      <c r="D890" s="37"/>
    </row>
    <row r="891" spans="1:4">
      <c r="A891" s="37"/>
      <c r="B891" s="37"/>
      <c r="C891" s="37"/>
      <c r="D891" s="37"/>
    </row>
    <row r="892" spans="1:4">
      <c r="A892" s="37"/>
      <c r="B892" s="37"/>
      <c r="C892" s="37"/>
      <c r="D892" s="37"/>
    </row>
    <row r="893" spans="1:4">
      <c r="A893" s="37"/>
      <c r="B893" s="37"/>
      <c r="C893" s="37"/>
      <c r="D893" s="37"/>
    </row>
    <row r="894" spans="1:4">
      <c r="A894" s="37"/>
      <c r="B894" s="37"/>
      <c r="C894" s="37"/>
      <c r="D894" s="37"/>
    </row>
    <row r="895" spans="1:4">
      <c r="A895" s="37"/>
      <c r="B895" s="37"/>
      <c r="C895" s="37"/>
      <c r="D895" s="37"/>
    </row>
    <row r="896" spans="1:4">
      <c r="A896" s="37"/>
      <c r="B896" s="37"/>
      <c r="C896" s="37"/>
      <c r="D896" s="37"/>
    </row>
    <row r="897" spans="1:4">
      <c r="A897" s="37"/>
      <c r="B897" s="37"/>
      <c r="C897" s="37"/>
      <c r="D897" s="37"/>
    </row>
    <row r="898" spans="1:4">
      <c r="A898" s="37"/>
      <c r="B898" s="37"/>
      <c r="C898" s="37"/>
      <c r="D898" s="37"/>
    </row>
    <row r="899" spans="1:4">
      <c r="A899" s="37"/>
      <c r="B899" s="37"/>
      <c r="C899" s="37"/>
      <c r="D899" s="37"/>
    </row>
    <row r="900" spans="1:4">
      <c r="A900" s="37"/>
      <c r="B900" s="37"/>
      <c r="C900" s="37"/>
      <c r="D900" s="37"/>
    </row>
    <row r="901" spans="1:4">
      <c r="A901" s="37"/>
      <c r="B901" s="37"/>
      <c r="C901" s="37"/>
      <c r="D901" s="37"/>
    </row>
    <row r="902" spans="1:4">
      <c r="A902" s="37"/>
      <c r="B902" s="37"/>
      <c r="C902" s="37"/>
      <c r="D902" s="37"/>
    </row>
    <row r="903" spans="1:4">
      <c r="A903" s="37"/>
      <c r="B903" s="37"/>
      <c r="C903" s="37"/>
      <c r="D903" s="37"/>
    </row>
    <row r="904" spans="1:4">
      <c r="A904" s="37"/>
      <c r="B904" s="37"/>
      <c r="C904" s="37"/>
      <c r="D904" s="37"/>
    </row>
    <row r="905" spans="1:4">
      <c r="A905" s="37"/>
      <c r="B905" s="37"/>
      <c r="C905" s="37"/>
      <c r="D905" s="37"/>
    </row>
    <row r="906" spans="1:4">
      <c r="A906" s="37"/>
      <c r="B906" s="37"/>
      <c r="C906" s="37"/>
      <c r="D906" s="37"/>
    </row>
    <row r="907" spans="1:4">
      <c r="A907" s="37"/>
      <c r="B907" s="37"/>
      <c r="C907" s="37"/>
      <c r="D907" s="37"/>
    </row>
    <row r="908" spans="1:4">
      <c r="A908" s="37"/>
      <c r="B908" s="37"/>
      <c r="C908" s="37"/>
      <c r="D908" s="37"/>
    </row>
    <row r="909" spans="1:4">
      <c r="A909" s="37"/>
      <c r="B909" s="37"/>
      <c r="C909" s="37"/>
      <c r="D909" s="37"/>
    </row>
    <row r="910" spans="1:4">
      <c r="A910" s="37"/>
      <c r="B910" s="37"/>
      <c r="C910" s="37"/>
      <c r="D910" s="37"/>
    </row>
    <row r="911" spans="1:4">
      <c r="A911" s="37"/>
      <c r="B911" s="37"/>
      <c r="C911" s="37"/>
      <c r="D911" s="37"/>
    </row>
    <row r="912" spans="1:4">
      <c r="A912" s="37"/>
      <c r="B912" s="37"/>
      <c r="C912" s="37"/>
      <c r="D912" s="37"/>
    </row>
    <row r="913" spans="1:4">
      <c r="A913" s="37"/>
      <c r="B913" s="37"/>
      <c r="C913" s="37"/>
      <c r="D913" s="37"/>
    </row>
    <row r="914" spans="1:4">
      <c r="A914" s="37"/>
      <c r="B914" s="37"/>
      <c r="C914" s="37"/>
      <c r="D914" s="37"/>
    </row>
    <row r="915" spans="1:4">
      <c r="A915" s="37"/>
      <c r="B915" s="37"/>
      <c r="C915" s="37"/>
      <c r="D915" s="37"/>
    </row>
    <row r="916" spans="1:4">
      <c r="A916" s="37"/>
      <c r="B916" s="37"/>
      <c r="C916" s="37"/>
      <c r="D916" s="37"/>
    </row>
    <row r="917" spans="1:4">
      <c r="A917" s="37"/>
      <c r="B917" s="37"/>
      <c r="C917" s="37"/>
      <c r="D917" s="37"/>
    </row>
    <row r="918" spans="1:4">
      <c r="A918" s="37"/>
      <c r="B918" s="37"/>
      <c r="C918" s="37"/>
      <c r="D918" s="37"/>
    </row>
    <row r="919" spans="1:4">
      <c r="A919" s="37"/>
      <c r="B919" s="37"/>
      <c r="C919" s="37"/>
      <c r="D919" s="37"/>
    </row>
    <row r="920" spans="1:4">
      <c r="A920" s="37"/>
      <c r="B920" s="37"/>
      <c r="C920" s="37"/>
      <c r="D920" s="37"/>
    </row>
    <row r="921" spans="1:4">
      <c r="A921" s="37"/>
      <c r="B921" s="37"/>
      <c r="C921" s="37"/>
      <c r="D921" s="37"/>
    </row>
    <row r="922" spans="1:4">
      <c r="A922" s="37"/>
      <c r="B922" s="37"/>
      <c r="C922" s="37"/>
      <c r="D922" s="37"/>
    </row>
    <row r="923" spans="1:4">
      <c r="A923" s="37"/>
      <c r="B923" s="37"/>
      <c r="C923" s="37"/>
      <c r="D923" s="37"/>
    </row>
    <row r="924" spans="1:4">
      <c r="A924" s="37"/>
      <c r="B924" s="37"/>
      <c r="C924" s="37"/>
      <c r="D924" s="37"/>
    </row>
    <row r="925" spans="1:4">
      <c r="A925" s="37"/>
      <c r="B925" s="37"/>
      <c r="C925" s="37"/>
      <c r="D925" s="37"/>
    </row>
    <row r="926" spans="1:4">
      <c r="A926" s="37"/>
      <c r="B926" s="37"/>
      <c r="C926" s="37"/>
      <c r="D926" s="37"/>
    </row>
    <row r="927" spans="1:4">
      <c r="A927" s="37"/>
      <c r="B927" s="37"/>
      <c r="C927" s="37"/>
      <c r="D927" s="37"/>
    </row>
    <row r="928" spans="1:4">
      <c r="A928" s="37"/>
      <c r="B928" s="37"/>
      <c r="C928" s="37"/>
      <c r="D928" s="37"/>
    </row>
    <row r="929" spans="1:4">
      <c r="A929" s="37"/>
      <c r="B929" s="37"/>
      <c r="C929" s="37"/>
      <c r="D929" s="37"/>
    </row>
    <row r="930" spans="1:4">
      <c r="A930" s="37"/>
      <c r="B930" s="37"/>
      <c r="C930" s="37"/>
      <c r="D930" s="37"/>
    </row>
    <row r="931" spans="1:4">
      <c r="A931" s="37"/>
      <c r="B931" s="37"/>
      <c r="C931" s="37"/>
      <c r="D931" s="37"/>
    </row>
    <row r="932" spans="1:4">
      <c r="A932" s="37"/>
      <c r="B932" s="37"/>
      <c r="C932" s="37"/>
      <c r="D932" s="37"/>
    </row>
    <row r="933" spans="1:4">
      <c r="A933" s="37"/>
      <c r="B933" s="37"/>
      <c r="C933" s="37"/>
      <c r="D933" s="37"/>
    </row>
    <row r="934" spans="1:4">
      <c r="A934" s="37"/>
      <c r="B934" s="37"/>
      <c r="C934" s="37"/>
      <c r="D934" s="37"/>
    </row>
    <row r="935" spans="1:4">
      <c r="A935" s="37"/>
      <c r="B935" s="37"/>
      <c r="C935" s="37"/>
      <c r="D935" s="37"/>
    </row>
    <row r="936" spans="1:4">
      <c r="A936" s="37"/>
      <c r="B936" s="37"/>
      <c r="C936" s="37"/>
      <c r="D936" s="37"/>
    </row>
    <row r="937" spans="1:4">
      <c r="A937" s="37"/>
      <c r="B937" s="37"/>
      <c r="C937" s="37"/>
      <c r="D937" s="37"/>
    </row>
    <row r="938" spans="1:4">
      <c r="A938" s="37"/>
      <c r="B938" s="37"/>
      <c r="C938" s="37"/>
      <c r="D938" s="37"/>
    </row>
    <row r="939" spans="1:4">
      <c r="A939" s="37"/>
      <c r="B939" s="37"/>
      <c r="C939" s="37"/>
      <c r="D939" s="37"/>
    </row>
    <row r="940" spans="1:4">
      <c r="A940" s="37"/>
      <c r="B940" s="37"/>
      <c r="C940" s="37"/>
      <c r="D940" s="37"/>
    </row>
    <row r="941" spans="1:4">
      <c r="A941" s="37"/>
      <c r="B941" s="37"/>
      <c r="C941" s="37"/>
      <c r="D941" s="37"/>
    </row>
    <row r="942" spans="1:4">
      <c r="A942" s="37"/>
      <c r="B942" s="37"/>
      <c r="C942" s="37"/>
      <c r="D942" s="37"/>
    </row>
    <row r="943" spans="1:4">
      <c r="A943" s="37"/>
      <c r="B943" s="37"/>
      <c r="C943" s="37"/>
      <c r="D943" s="37"/>
    </row>
    <row r="944" spans="1:4">
      <c r="A944" s="37"/>
      <c r="B944" s="37"/>
      <c r="C944" s="37"/>
      <c r="D944" s="37"/>
    </row>
    <row r="945" spans="1:4">
      <c r="A945" s="37"/>
      <c r="B945" s="37"/>
      <c r="C945" s="37"/>
      <c r="D945" s="37"/>
    </row>
    <row r="946" spans="1:4">
      <c r="A946" s="37"/>
      <c r="B946" s="37"/>
      <c r="C946" s="37"/>
      <c r="D946" s="37"/>
    </row>
    <row r="947" spans="1:4">
      <c r="A947" s="37"/>
      <c r="B947" s="37"/>
      <c r="C947" s="37"/>
      <c r="D947" s="37"/>
    </row>
    <row r="948" spans="1:4">
      <c r="A948" s="37"/>
      <c r="B948" s="37"/>
      <c r="C948" s="37"/>
      <c r="D948" s="37"/>
    </row>
    <row r="949" spans="1:4">
      <c r="A949" s="37"/>
      <c r="B949" s="37"/>
      <c r="C949" s="37"/>
      <c r="D949" s="37"/>
    </row>
    <row r="950" spans="1:4">
      <c r="A950" s="37"/>
      <c r="B950" s="37"/>
      <c r="C950" s="37"/>
      <c r="D950" s="37"/>
    </row>
    <row r="951" spans="1:4">
      <c r="A951" s="37"/>
      <c r="B951" s="37"/>
      <c r="C951" s="37"/>
      <c r="D951" s="37"/>
    </row>
    <row r="952" spans="1:4">
      <c r="A952" s="37"/>
      <c r="B952" s="37"/>
      <c r="C952" s="37"/>
      <c r="D952" s="37"/>
    </row>
    <row r="953" spans="1:4">
      <c r="A953" s="37"/>
      <c r="B953" s="37"/>
      <c r="C953" s="37"/>
      <c r="D953" s="37"/>
    </row>
    <row r="954" spans="1:4">
      <c r="A954" s="37"/>
      <c r="B954" s="37"/>
      <c r="C954" s="37"/>
      <c r="D954" s="37"/>
    </row>
    <row r="955" spans="1:4">
      <c r="A955" s="37"/>
      <c r="B955" s="37"/>
      <c r="C955" s="37"/>
      <c r="D955" s="37"/>
    </row>
    <row r="956" spans="1:4">
      <c r="A956" s="37"/>
      <c r="B956" s="37"/>
      <c r="C956" s="37"/>
      <c r="D956" s="37"/>
    </row>
    <row r="957" spans="1:4">
      <c r="A957" s="37"/>
      <c r="B957" s="37"/>
      <c r="C957" s="37"/>
      <c r="D957" s="37"/>
    </row>
    <row r="958" spans="1:4">
      <c r="A958" s="37"/>
      <c r="B958" s="37"/>
      <c r="C958" s="37"/>
      <c r="D958" s="37"/>
    </row>
    <row r="959" spans="1:4">
      <c r="A959" s="37"/>
      <c r="B959" s="37"/>
      <c r="C959" s="37"/>
      <c r="D959" s="37"/>
    </row>
    <row r="960" spans="1:4">
      <c r="A960" s="37"/>
      <c r="B960" s="37"/>
      <c r="C960" s="37"/>
      <c r="D960" s="37"/>
    </row>
    <row r="961" spans="1:4">
      <c r="A961" s="37"/>
      <c r="B961" s="37"/>
      <c r="C961" s="37"/>
      <c r="D961" s="37"/>
    </row>
    <row r="962" spans="1:4">
      <c r="A962" s="37"/>
      <c r="B962" s="37"/>
      <c r="C962" s="37"/>
      <c r="D962" s="37"/>
    </row>
    <row r="963" spans="1:4">
      <c r="A963" s="37"/>
      <c r="B963" s="37"/>
      <c r="C963" s="37"/>
      <c r="D963" s="37"/>
    </row>
    <row r="964" spans="1:4">
      <c r="A964" s="37"/>
      <c r="B964" s="37"/>
      <c r="C964" s="37"/>
      <c r="D964" s="37"/>
    </row>
    <row r="965" spans="1:4">
      <c r="A965" s="37"/>
      <c r="B965" s="37"/>
      <c r="C965" s="37"/>
      <c r="D965" s="37"/>
    </row>
    <row r="966" spans="1:4">
      <c r="A966" s="37"/>
      <c r="B966" s="37"/>
      <c r="C966" s="37"/>
      <c r="D966" s="37"/>
    </row>
    <row r="967" spans="1:4">
      <c r="A967" s="37"/>
      <c r="B967" s="37"/>
      <c r="C967" s="37"/>
      <c r="D967" s="37"/>
    </row>
    <row r="968" spans="1:4">
      <c r="A968" s="37"/>
      <c r="B968" s="37"/>
      <c r="C968" s="37"/>
      <c r="D968" s="37"/>
    </row>
    <row r="969" spans="1:4">
      <c r="A969" s="37"/>
      <c r="B969" s="37"/>
      <c r="C969" s="37"/>
      <c r="D969" s="37"/>
    </row>
    <row r="970" spans="1:4">
      <c r="A970" s="37"/>
      <c r="B970" s="37"/>
      <c r="C970" s="37"/>
      <c r="D970" s="37"/>
    </row>
    <row r="971" spans="1:4">
      <c r="A971" s="37"/>
      <c r="B971" s="37"/>
      <c r="C971" s="37"/>
      <c r="D971" s="37"/>
    </row>
    <row r="972" spans="1:4">
      <c r="A972" s="37"/>
      <c r="B972" s="37"/>
      <c r="C972" s="37"/>
      <c r="D972" s="37"/>
    </row>
    <row r="973" spans="1:4">
      <c r="A973" s="37"/>
      <c r="B973" s="37"/>
      <c r="C973" s="37"/>
      <c r="D973" s="37"/>
    </row>
    <row r="974" spans="1:4">
      <c r="A974" s="37"/>
      <c r="B974" s="37"/>
      <c r="C974" s="37"/>
      <c r="D974" s="37"/>
    </row>
    <row r="975" spans="1:4">
      <c r="A975" s="37"/>
      <c r="B975" s="37"/>
      <c r="C975" s="37"/>
      <c r="D975" s="37"/>
    </row>
    <row r="976" spans="1:4">
      <c r="A976" s="37"/>
      <c r="B976" s="37"/>
      <c r="C976" s="37"/>
      <c r="D976" s="37"/>
    </row>
    <row r="977" spans="1:4">
      <c r="A977" s="37"/>
      <c r="B977" s="37"/>
      <c r="C977" s="37"/>
      <c r="D977" s="37"/>
    </row>
    <row r="978" spans="1:4">
      <c r="A978" s="37"/>
      <c r="B978" s="37"/>
      <c r="C978" s="37"/>
      <c r="D978" s="37"/>
    </row>
    <row r="979" spans="1:4">
      <c r="A979" s="37"/>
      <c r="B979" s="37"/>
      <c r="C979" s="37"/>
      <c r="D979" s="37"/>
    </row>
    <row r="980" spans="1:4">
      <c r="A980" s="37"/>
      <c r="B980" s="37"/>
      <c r="C980" s="37"/>
      <c r="D980" s="37"/>
    </row>
    <row r="981" spans="1:4">
      <c r="A981" s="37"/>
      <c r="B981" s="37"/>
      <c r="C981" s="37"/>
      <c r="D981" s="37"/>
    </row>
    <row r="982" spans="1:4">
      <c r="A982" s="37"/>
      <c r="B982" s="37"/>
      <c r="C982" s="37"/>
      <c r="D982" s="37"/>
    </row>
    <row r="983" spans="1:4">
      <c r="A983" s="37"/>
      <c r="B983" s="37"/>
      <c r="C983" s="37"/>
      <c r="D983" s="37"/>
    </row>
    <row r="984" spans="1:4">
      <c r="A984" s="37"/>
      <c r="B984" s="37"/>
      <c r="C984" s="37"/>
      <c r="D984" s="37"/>
    </row>
    <row r="985" spans="1:4">
      <c r="A985" s="37"/>
      <c r="B985" s="37"/>
      <c r="C985" s="37"/>
      <c r="D985" s="37"/>
    </row>
    <row r="986" spans="1:4">
      <c r="A986" s="37"/>
      <c r="B986" s="37"/>
      <c r="C986" s="37"/>
      <c r="D986" s="37"/>
    </row>
    <row r="987" spans="1:4">
      <c r="A987" s="37"/>
      <c r="B987" s="37"/>
      <c r="C987" s="37"/>
      <c r="D987" s="37"/>
    </row>
    <row r="988" spans="1:4">
      <c r="A988" s="37"/>
      <c r="B988" s="37"/>
      <c r="C988" s="37"/>
      <c r="D988" s="37"/>
    </row>
    <row r="989" spans="1:4">
      <c r="A989" s="37"/>
      <c r="B989" s="37"/>
      <c r="C989" s="37"/>
      <c r="D989" s="37"/>
    </row>
    <row r="990" spans="1:4">
      <c r="A990" s="37"/>
      <c r="B990" s="37"/>
      <c r="C990" s="37"/>
      <c r="D990" s="37"/>
    </row>
    <row r="991" spans="1:4">
      <c r="A991" s="37"/>
      <c r="B991" s="37"/>
      <c r="C991" s="37"/>
      <c r="D991" s="37"/>
    </row>
    <row r="992" spans="1:4">
      <c r="A992" s="37"/>
      <c r="B992" s="37"/>
      <c r="C992" s="37"/>
      <c r="D992" s="37"/>
    </row>
    <row r="993" spans="1:4">
      <c r="A993" s="37"/>
      <c r="B993" s="37"/>
      <c r="C993" s="37"/>
      <c r="D993" s="37"/>
    </row>
    <row r="994" spans="1:4">
      <c r="A994" s="37"/>
      <c r="B994" s="37"/>
      <c r="C994" s="37"/>
      <c r="D994" s="37"/>
    </row>
    <row r="995" spans="1:4">
      <c r="A995" s="37"/>
      <c r="B995" s="37"/>
      <c r="C995" s="37"/>
      <c r="D995" s="37"/>
    </row>
    <row r="996" spans="1:4">
      <c r="A996" s="37"/>
      <c r="B996" s="37"/>
      <c r="C996" s="37"/>
      <c r="D996" s="37"/>
    </row>
    <row r="997" spans="1:4">
      <c r="A997" s="37"/>
      <c r="B997" s="37"/>
      <c r="C997" s="37"/>
      <c r="D997" s="37"/>
    </row>
    <row r="998" spans="1:4">
      <c r="A998" s="37"/>
      <c r="B998" s="37"/>
      <c r="C998" s="37"/>
      <c r="D998" s="37"/>
    </row>
    <row r="999" spans="1:4">
      <c r="A999" s="37"/>
      <c r="B999" s="37"/>
      <c r="C999" s="37"/>
      <c r="D999" s="37"/>
    </row>
    <row r="1000" spans="1:4">
      <c r="A1000" s="37"/>
      <c r="B1000" s="37"/>
      <c r="C1000" s="37"/>
      <c r="D1000" s="3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K94"/>
  <sheetViews>
    <sheetView tabSelected="1" workbookViewId="0"/>
  </sheetViews>
  <sheetFormatPr defaultColWidth="11.25" defaultRowHeight="15" customHeight="1"/>
  <cols>
    <col min="4" max="4" width="12.75" customWidth="1"/>
  </cols>
  <sheetData>
    <row r="1" spans="1:11">
      <c r="A1" s="468" t="s">
        <v>0</v>
      </c>
      <c r="B1" s="467" t="s">
        <v>910</v>
      </c>
      <c r="C1" s="467" t="s">
        <v>911</v>
      </c>
      <c r="D1" s="467" t="s">
        <v>912</v>
      </c>
      <c r="E1" s="467" t="s">
        <v>913</v>
      </c>
      <c r="F1" s="468"/>
      <c r="G1" s="468"/>
      <c r="H1" s="467" t="s">
        <v>914</v>
      </c>
      <c r="I1" s="469" t="s">
        <v>947</v>
      </c>
      <c r="J1" s="467" t="s">
        <v>917</v>
      </c>
      <c r="K1" s="469" t="s">
        <v>948</v>
      </c>
    </row>
    <row r="2" spans="1:11">
      <c r="A2" s="468" t="s">
        <v>920</v>
      </c>
      <c r="B2" s="467">
        <v>1</v>
      </c>
      <c r="C2" s="467">
        <v>921</v>
      </c>
      <c r="D2" s="468" t="s">
        <v>921</v>
      </c>
      <c r="E2" s="467">
        <v>0</v>
      </c>
      <c r="F2" s="467">
        <v>0</v>
      </c>
      <c r="G2" s="467">
        <v>0</v>
      </c>
      <c r="H2" s="470">
        <v>45358.714305555557</v>
      </c>
      <c r="I2" s="467">
        <v>2.133</v>
      </c>
      <c r="J2" s="467">
        <v>1</v>
      </c>
      <c r="K2" s="467">
        <v>2.133</v>
      </c>
    </row>
    <row r="3" spans="1:11">
      <c r="A3" s="468" t="s">
        <v>922</v>
      </c>
      <c r="B3" s="467">
        <v>2</v>
      </c>
      <c r="C3" s="467">
        <v>921</v>
      </c>
      <c r="D3" s="468" t="s">
        <v>923</v>
      </c>
      <c r="E3" s="467">
        <v>0</v>
      </c>
      <c r="F3" s="467">
        <v>0</v>
      </c>
      <c r="G3" s="467">
        <v>0</v>
      </c>
      <c r="H3" s="470">
        <v>45358.715231481481</v>
      </c>
      <c r="I3" s="467">
        <v>2.1739999999999999</v>
      </c>
      <c r="J3" s="467">
        <v>1</v>
      </c>
      <c r="K3" s="467">
        <v>2.1739999999999999</v>
      </c>
    </row>
    <row r="4" spans="1:11">
      <c r="A4" s="468">
        <v>2.2200000000000002</v>
      </c>
      <c r="B4" s="467">
        <v>3</v>
      </c>
      <c r="C4" s="467">
        <v>921</v>
      </c>
      <c r="D4" s="468" t="s">
        <v>924</v>
      </c>
      <c r="E4" s="467">
        <v>0</v>
      </c>
      <c r="F4" s="467">
        <v>0</v>
      </c>
      <c r="G4" s="467">
        <v>0</v>
      </c>
      <c r="H4" s="470">
        <v>45358.716157407405</v>
      </c>
      <c r="I4" s="467">
        <v>2.1440000000000001</v>
      </c>
      <c r="J4" s="467">
        <v>1</v>
      </c>
      <c r="K4" s="467">
        <v>2.1440000000000001</v>
      </c>
    </row>
    <row r="5" spans="1:11">
      <c r="A5" s="468">
        <v>1.66</v>
      </c>
      <c r="B5" s="467">
        <v>4</v>
      </c>
      <c r="C5" s="467">
        <v>901</v>
      </c>
      <c r="D5" s="468" t="s">
        <v>924</v>
      </c>
      <c r="E5" s="467">
        <v>0</v>
      </c>
      <c r="F5" s="467">
        <v>0</v>
      </c>
      <c r="G5" s="467">
        <v>0</v>
      </c>
      <c r="H5" s="470">
        <v>45358.717083333337</v>
      </c>
      <c r="I5" s="467">
        <v>1.7130000000000001</v>
      </c>
      <c r="J5" s="467">
        <v>1</v>
      </c>
      <c r="K5" s="467">
        <v>1.7130000000000001</v>
      </c>
    </row>
    <row r="6" spans="1:11">
      <c r="A6" s="468">
        <v>1.1100000000000001</v>
      </c>
      <c r="B6" s="467">
        <v>5</v>
      </c>
      <c r="C6" s="467">
        <v>902</v>
      </c>
      <c r="D6" s="468" t="s">
        <v>924</v>
      </c>
      <c r="E6" s="467">
        <v>0</v>
      </c>
      <c r="F6" s="467">
        <v>0</v>
      </c>
      <c r="G6" s="467">
        <v>0</v>
      </c>
      <c r="H6" s="470">
        <v>45358.718009259261</v>
      </c>
      <c r="I6" s="467">
        <v>1.165</v>
      </c>
      <c r="J6" s="467">
        <v>1</v>
      </c>
      <c r="K6" s="467">
        <v>1.165</v>
      </c>
    </row>
    <row r="7" spans="1:11">
      <c r="A7" s="468">
        <v>0.55000000000000004</v>
      </c>
      <c r="B7" s="467">
        <v>6</v>
      </c>
      <c r="C7" s="467">
        <v>903</v>
      </c>
      <c r="D7" s="468" t="s">
        <v>924</v>
      </c>
      <c r="E7" s="467">
        <v>0</v>
      </c>
      <c r="F7" s="467">
        <v>0</v>
      </c>
      <c r="G7" s="467">
        <v>0</v>
      </c>
      <c r="H7" s="470">
        <v>45358.718935185185</v>
      </c>
      <c r="I7" s="467">
        <v>0.63400000000000001</v>
      </c>
      <c r="J7" s="467">
        <v>1</v>
      </c>
      <c r="K7" s="467">
        <v>0.63400000000000001</v>
      </c>
    </row>
    <row r="8" spans="1:11">
      <c r="A8" s="468">
        <v>0.22</v>
      </c>
      <c r="B8" s="467">
        <v>7</v>
      </c>
      <c r="C8" s="467">
        <v>904</v>
      </c>
      <c r="D8" s="468" t="s">
        <v>924</v>
      </c>
      <c r="E8" s="467">
        <v>0</v>
      </c>
      <c r="F8" s="467">
        <v>0</v>
      </c>
      <c r="G8" s="467">
        <v>0</v>
      </c>
      <c r="H8" s="470">
        <v>45358.719861111109</v>
      </c>
      <c r="I8" s="467">
        <v>0.105</v>
      </c>
      <c r="J8" s="467">
        <v>1</v>
      </c>
      <c r="K8" s="467">
        <v>0.105</v>
      </c>
    </row>
    <row r="9" spans="1:11">
      <c r="A9" s="468" t="s">
        <v>16</v>
      </c>
      <c r="B9" s="467">
        <v>8</v>
      </c>
      <c r="C9" s="467">
        <v>905</v>
      </c>
      <c r="D9" s="468" t="s">
        <v>924</v>
      </c>
      <c r="E9" s="467">
        <v>0</v>
      </c>
      <c r="F9" s="467">
        <v>0</v>
      </c>
      <c r="G9" s="467">
        <v>0</v>
      </c>
      <c r="H9" s="470">
        <v>45358.72078703704</v>
      </c>
      <c r="I9" s="471">
        <v>-1E-3</v>
      </c>
      <c r="J9" s="467">
        <v>1</v>
      </c>
      <c r="K9" s="468" t="s">
        <v>949</v>
      </c>
    </row>
    <row r="10" spans="1:11">
      <c r="A10" s="468" t="s">
        <v>928</v>
      </c>
      <c r="B10" s="467">
        <v>9</v>
      </c>
      <c r="C10" s="467">
        <v>0</v>
      </c>
      <c r="D10" s="468" t="s">
        <v>929</v>
      </c>
      <c r="E10" s="467">
        <v>0</v>
      </c>
      <c r="F10" s="467">
        <v>0</v>
      </c>
      <c r="G10" s="467">
        <v>0</v>
      </c>
      <c r="H10" s="470">
        <v>45358.721712962964</v>
      </c>
      <c r="I10" s="471">
        <v>-0.13800000000000001</v>
      </c>
      <c r="J10" s="467">
        <v>1</v>
      </c>
      <c r="K10" s="468" t="s">
        <v>949</v>
      </c>
    </row>
    <row r="11" spans="1:11">
      <c r="A11" s="468" t="s">
        <v>930</v>
      </c>
      <c r="B11" s="467">
        <v>10</v>
      </c>
      <c r="C11" s="467">
        <v>921</v>
      </c>
      <c r="D11" s="468" t="s">
        <v>931</v>
      </c>
      <c r="E11" s="467">
        <v>0</v>
      </c>
      <c r="F11" s="467">
        <v>1</v>
      </c>
      <c r="G11" s="467">
        <v>1</v>
      </c>
      <c r="H11" s="470">
        <v>45358.724490740744</v>
      </c>
      <c r="I11" s="467">
        <v>2.1040000000000001</v>
      </c>
      <c r="J11" s="467">
        <v>1</v>
      </c>
      <c r="K11" s="467">
        <v>2.1040000000000001</v>
      </c>
    </row>
    <row r="12" spans="1:11">
      <c r="A12" s="468" t="s">
        <v>932</v>
      </c>
      <c r="B12" s="467">
        <v>11</v>
      </c>
      <c r="C12" s="467">
        <v>904</v>
      </c>
      <c r="D12" s="468" t="s">
        <v>933</v>
      </c>
      <c r="E12" s="467">
        <v>0</v>
      </c>
      <c r="F12" s="467">
        <v>1</v>
      </c>
      <c r="G12" s="467">
        <v>2</v>
      </c>
      <c r="H12" s="470">
        <v>45358.725416666668</v>
      </c>
      <c r="I12" s="467">
        <v>0.09</v>
      </c>
      <c r="J12" s="467">
        <v>1</v>
      </c>
      <c r="K12" s="467">
        <v>0.09</v>
      </c>
    </row>
    <row r="13" spans="1:11">
      <c r="A13" s="468" t="s">
        <v>932</v>
      </c>
      <c r="B13" s="467">
        <v>12</v>
      </c>
      <c r="C13" s="467">
        <v>904</v>
      </c>
      <c r="D13" s="468" t="s">
        <v>933</v>
      </c>
      <c r="E13" s="467">
        <v>0</v>
      </c>
      <c r="F13" s="467">
        <v>1</v>
      </c>
      <c r="G13" s="467">
        <v>3</v>
      </c>
      <c r="H13" s="470">
        <v>45358.726342592592</v>
      </c>
      <c r="I13" s="467">
        <v>9.8000000000000004E-2</v>
      </c>
      <c r="J13" s="467">
        <v>1</v>
      </c>
      <c r="K13" s="467">
        <v>9.8000000000000004E-2</v>
      </c>
    </row>
    <row r="14" spans="1:11">
      <c r="A14" s="468" t="s">
        <v>16</v>
      </c>
      <c r="B14" s="467">
        <v>13</v>
      </c>
      <c r="C14" s="467">
        <v>905</v>
      </c>
      <c r="D14" s="468" t="s">
        <v>934</v>
      </c>
      <c r="E14" s="467">
        <v>0</v>
      </c>
      <c r="F14" s="467">
        <v>0</v>
      </c>
      <c r="G14" s="467">
        <v>0</v>
      </c>
      <c r="H14" s="470">
        <v>45358.727268518516</v>
      </c>
      <c r="I14" s="471">
        <v>-2.7E-2</v>
      </c>
      <c r="J14" s="467">
        <v>1</v>
      </c>
      <c r="K14" s="468" t="s">
        <v>949</v>
      </c>
    </row>
    <row r="15" spans="1:11">
      <c r="A15" s="468" t="s">
        <v>950</v>
      </c>
      <c r="B15" s="467">
        <v>14</v>
      </c>
      <c r="C15" s="467">
        <v>906</v>
      </c>
      <c r="D15" s="468" t="s">
        <v>936</v>
      </c>
      <c r="E15" s="467">
        <v>0</v>
      </c>
      <c r="F15" s="467">
        <v>0</v>
      </c>
      <c r="G15" s="467">
        <v>1</v>
      </c>
      <c r="H15" s="470">
        <v>45358.728194444448</v>
      </c>
      <c r="I15" s="467">
        <v>0.91800000000000004</v>
      </c>
      <c r="J15" s="467">
        <v>1</v>
      </c>
      <c r="K15" s="467">
        <v>0.91800000000000004</v>
      </c>
    </row>
    <row r="16" spans="1:11">
      <c r="A16" s="468" t="s">
        <v>16</v>
      </c>
      <c r="B16" s="467">
        <v>15</v>
      </c>
      <c r="C16" s="467">
        <v>905</v>
      </c>
      <c r="D16" s="468" t="s">
        <v>934</v>
      </c>
      <c r="E16" s="467">
        <v>0</v>
      </c>
      <c r="F16" s="467">
        <v>0</v>
      </c>
      <c r="G16" s="467">
        <v>0</v>
      </c>
      <c r="H16" s="470">
        <v>45358.729120370372</v>
      </c>
      <c r="I16" s="471">
        <v>-6.8000000000000005E-2</v>
      </c>
      <c r="J16" s="467">
        <v>1</v>
      </c>
      <c r="K16" s="468" t="s">
        <v>949</v>
      </c>
    </row>
    <row r="17" spans="1:11">
      <c r="A17" s="468" t="s">
        <v>951</v>
      </c>
      <c r="B17" s="467">
        <v>16</v>
      </c>
      <c r="C17" s="467">
        <v>907</v>
      </c>
      <c r="D17" s="468" t="s">
        <v>936</v>
      </c>
      <c r="E17" s="467">
        <v>0</v>
      </c>
      <c r="F17" s="467">
        <v>0</v>
      </c>
      <c r="G17" s="467">
        <v>1</v>
      </c>
      <c r="H17" s="470">
        <v>45358.730046296296</v>
      </c>
      <c r="I17" s="467">
        <v>0.97299999999999998</v>
      </c>
      <c r="J17" s="467">
        <v>1</v>
      </c>
      <c r="K17" s="467">
        <v>0.97299999999999998</v>
      </c>
    </row>
    <row r="18" spans="1:11">
      <c r="A18" s="468" t="s">
        <v>952</v>
      </c>
      <c r="B18" s="467">
        <v>17</v>
      </c>
      <c r="C18" s="467">
        <v>908</v>
      </c>
      <c r="D18" s="468" t="s">
        <v>938</v>
      </c>
      <c r="E18" s="467">
        <v>0</v>
      </c>
      <c r="F18" s="467">
        <v>0</v>
      </c>
      <c r="G18" s="467">
        <v>0</v>
      </c>
      <c r="H18" s="470">
        <v>45358.73097222222</v>
      </c>
      <c r="I18" s="467">
        <v>1.35</v>
      </c>
      <c r="J18" s="467">
        <v>1</v>
      </c>
      <c r="K18" s="467">
        <v>1.35</v>
      </c>
    </row>
    <row r="19" spans="1:11">
      <c r="A19" s="468">
        <v>426</v>
      </c>
      <c r="B19" s="467">
        <v>18</v>
      </c>
      <c r="C19" s="467">
        <v>1</v>
      </c>
      <c r="D19" s="468" t="s">
        <v>934</v>
      </c>
      <c r="E19" s="467">
        <v>0</v>
      </c>
      <c r="F19" s="467">
        <v>0</v>
      </c>
      <c r="G19" s="467">
        <v>0</v>
      </c>
      <c r="H19" s="470">
        <v>45358.731898148151</v>
      </c>
      <c r="I19" s="467">
        <v>0.124</v>
      </c>
      <c r="J19" s="467">
        <v>1</v>
      </c>
      <c r="K19" s="467">
        <v>0.124</v>
      </c>
    </row>
    <row r="20" spans="1:11">
      <c r="A20" s="468">
        <v>231</v>
      </c>
      <c r="B20" s="467">
        <v>19</v>
      </c>
      <c r="C20" s="467">
        <v>2</v>
      </c>
      <c r="D20" s="468" t="s">
        <v>934</v>
      </c>
      <c r="E20" s="467">
        <v>0</v>
      </c>
      <c r="F20" s="467">
        <v>0</v>
      </c>
      <c r="G20" s="467">
        <v>0</v>
      </c>
      <c r="H20" s="470">
        <v>45358.732824074075</v>
      </c>
      <c r="I20" s="471">
        <v>3.7999999999999999E-2</v>
      </c>
      <c r="J20" s="467">
        <v>1</v>
      </c>
      <c r="K20" s="468" t="s">
        <v>949</v>
      </c>
    </row>
    <row r="21" spans="1:11">
      <c r="A21" s="468">
        <v>361</v>
      </c>
      <c r="B21" s="467">
        <v>20</v>
      </c>
      <c r="C21" s="467">
        <v>3</v>
      </c>
      <c r="D21" s="468" t="s">
        <v>934</v>
      </c>
      <c r="E21" s="467">
        <v>0</v>
      </c>
      <c r="F21" s="467">
        <v>0</v>
      </c>
      <c r="G21" s="467">
        <v>0</v>
      </c>
      <c r="H21" s="470">
        <v>45358.733749999999</v>
      </c>
      <c r="I21" s="471">
        <v>-1.7000000000000001E-2</v>
      </c>
      <c r="J21" s="467">
        <v>1</v>
      </c>
      <c r="K21" s="468" t="s">
        <v>949</v>
      </c>
    </row>
    <row r="22" spans="1:11">
      <c r="A22" s="468">
        <v>374</v>
      </c>
      <c r="B22" s="467">
        <v>21</v>
      </c>
      <c r="C22" s="467">
        <v>4</v>
      </c>
      <c r="D22" s="468" t="s">
        <v>934</v>
      </c>
      <c r="E22" s="467">
        <v>0</v>
      </c>
      <c r="F22" s="467">
        <v>0</v>
      </c>
      <c r="G22" s="467">
        <v>0</v>
      </c>
      <c r="H22" s="470">
        <v>45358.734675925924</v>
      </c>
      <c r="I22" s="471">
        <v>-6.5000000000000002E-2</v>
      </c>
      <c r="J22" s="467">
        <v>1</v>
      </c>
      <c r="K22" s="468" t="s">
        <v>949</v>
      </c>
    </row>
    <row r="23" spans="1:11">
      <c r="A23" s="468">
        <v>387</v>
      </c>
      <c r="B23" s="467">
        <v>22</v>
      </c>
      <c r="C23" s="467">
        <v>5</v>
      </c>
      <c r="D23" s="468" t="s">
        <v>934</v>
      </c>
      <c r="E23" s="467">
        <v>0</v>
      </c>
      <c r="F23" s="467">
        <v>0</v>
      </c>
      <c r="G23" s="467">
        <v>0</v>
      </c>
      <c r="H23" s="470">
        <v>45358.735601851855</v>
      </c>
      <c r="I23" s="471">
        <v>2.8000000000000001E-2</v>
      </c>
      <c r="J23" s="467">
        <v>1</v>
      </c>
      <c r="K23" s="468" t="s">
        <v>949</v>
      </c>
    </row>
    <row r="24" spans="1:11">
      <c r="A24" s="468">
        <v>270</v>
      </c>
      <c r="B24" s="467">
        <v>23</v>
      </c>
      <c r="C24" s="467">
        <v>6</v>
      </c>
      <c r="D24" s="468" t="s">
        <v>934</v>
      </c>
      <c r="E24" s="467">
        <v>0</v>
      </c>
      <c r="F24" s="467">
        <v>0</v>
      </c>
      <c r="G24" s="467">
        <v>0</v>
      </c>
      <c r="H24" s="470">
        <v>45358.736527777779</v>
      </c>
      <c r="I24" s="471">
        <v>-3.5000000000000003E-2</v>
      </c>
      <c r="J24" s="467">
        <v>1</v>
      </c>
      <c r="K24" s="468" t="s">
        <v>949</v>
      </c>
    </row>
    <row r="25" spans="1:11">
      <c r="A25" s="468">
        <v>296</v>
      </c>
      <c r="B25" s="467">
        <v>24</v>
      </c>
      <c r="C25" s="467">
        <v>7</v>
      </c>
      <c r="D25" s="468" t="s">
        <v>934</v>
      </c>
      <c r="E25" s="467">
        <v>0</v>
      </c>
      <c r="F25" s="467">
        <v>0</v>
      </c>
      <c r="G25" s="467">
        <v>0</v>
      </c>
      <c r="H25" s="470">
        <v>45358.737453703703</v>
      </c>
      <c r="I25" s="467">
        <v>0.51</v>
      </c>
      <c r="J25" s="467">
        <v>1</v>
      </c>
      <c r="K25" s="467">
        <v>0.51</v>
      </c>
    </row>
    <row r="26" spans="1:11">
      <c r="A26" s="468">
        <v>309</v>
      </c>
      <c r="B26" s="467">
        <v>25</v>
      </c>
      <c r="C26" s="467">
        <v>8</v>
      </c>
      <c r="D26" s="468" t="s">
        <v>934</v>
      </c>
      <c r="E26" s="467">
        <v>0</v>
      </c>
      <c r="F26" s="467">
        <v>0</v>
      </c>
      <c r="G26" s="467">
        <v>0</v>
      </c>
      <c r="H26" s="470">
        <v>45358.738379629627</v>
      </c>
      <c r="I26" s="467">
        <v>0.23</v>
      </c>
      <c r="J26" s="467">
        <v>1</v>
      </c>
      <c r="K26" s="467">
        <v>0.23</v>
      </c>
    </row>
    <row r="27" spans="1:11">
      <c r="A27" s="468">
        <v>400</v>
      </c>
      <c r="B27" s="467">
        <v>26</v>
      </c>
      <c r="C27" s="467">
        <v>9</v>
      </c>
      <c r="D27" s="468" t="s">
        <v>934</v>
      </c>
      <c r="E27" s="467">
        <v>0</v>
      </c>
      <c r="F27" s="467">
        <v>0</v>
      </c>
      <c r="G27" s="467">
        <v>0</v>
      </c>
      <c r="H27" s="470">
        <v>45358.739305555559</v>
      </c>
      <c r="I27" s="471">
        <v>-0.1</v>
      </c>
      <c r="J27" s="467">
        <v>1</v>
      </c>
      <c r="K27" s="468" t="s">
        <v>949</v>
      </c>
    </row>
    <row r="28" spans="1:11">
      <c r="A28" s="468">
        <v>322</v>
      </c>
      <c r="B28" s="467">
        <v>27</v>
      </c>
      <c r="C28" s="467">
        <v>10</v>
      </c>
      <c r="D28" s="468" t="s">
        <v>934</v>
      </c>
      <c r="E28" s="467">
        <v>0</v>
      </c>
      <c r="F28" s="467">
        <v>0</v>
      </c>
      <c r="G28" s="467">
        <v>0</v>
      </c>
      <c r="H28" s="470">
        <v>45358.740231481483</v>
      </c>
      <c r="I28" s="467">
        <v>0.41199999999999998</v>
      </c>
      <c r="J28" s="467">
        <v>1</v>
      </c>
      <c r="K28" s="467">
        <v>0.41199999999999998</v>
      </c>
    </row>
    <row r="29" spans="1:11">
      <c r="A29" s="468" t="s">
        <v>953</v>
      </c>
      <c r="B29" s="467">
        <v>28</v>
      </c>
      <c r="C29" s="467">
        <v>11</v>
      </c>
      <c r="D29" s="468" t="s">
        <v>936</v>
      </c>
      <c r="E29" s="467">
        <v>0</v>
      </c>
      <c r="F29" s="467">
        <v>0</v>
      </c>
      <c r="G29" s="467">
        <v>1</v>
      </c>
      <c r="H29" s="470">
        <v>45358.741157407407</v>
      </c>
      <c r="I29" s="467">
        <v>1.24</v>
      </c>
      <c r="J29" s="467">
        <v>1</v>
      </c>
      <c r="K29" s="467">
        <v>1.24</v>
      </c>
    </row>
    <row r="30" spans="1:11">
      <c r="A30" s="468" t="s">
        <v>952</v>
      </c>
      <c r="B30" s="467">
        <v>29</v>
      </c>
      <c r="C30" s="467">
        <v>908</v>
      </c>
      <c r="D30" s="468" t="s">
        <v>938</v>
      </c>
      <c r="E30" s="467">
        <v>0</v>
      </c>
      <c r="F30" s="467">
        <v>0</v>
      </c>
      <c r="G30" s="467">
        <v>0</v>
      </c>
      <c r="H30" s="470">
        <v>45358.742083333331</v>
      </c>
      <c r="I30" s="467">
        <v>1.4430000000000001</v>
      </c>
      <c r="J30" s="467">
        <v>1</v>
      </c>
      <c r="K30" s="467">
        <v>1.4430000000000001</v>
      </c>
    </row>
    <row r="31" spans="1:11">
      <c r="A31" s="468" t="s">
        <v>928</v>
      </c>
      <c r="B31" s="467">
        <v>30</v>
      </c>
      <c r="C31" s="467">
        <v>0</v>
      </c>
      <c r="D31" s="468" t="s">
        <v>929</v>
      </c>
      <c r="E31" s="467">
        <v>0</v>
      </c>
      <c r="F31" s="467">
        <v>0</v>
      </c>
      <c r="G31" s="467">
        <v>0</v>
      </c>
      <c r="H31" s="470">
        <v>45358.743009259262</v>
      </c>
      <c r="I31" s="471">
        <v>-0.13800000000000001</v>
      </c>
      <c r="J31" s="467">
        <v>1</v>
      </c>
      <c r="K31" s="468" t="s">
        <v>949</v>
      </c>
    </row>
    <row r="32" spans="1:11">
      <c r="A32" s="468">
        <v>166</v>
      </c>
      <c r="B32" s="467">
        <v>31</v>
      </c>
      <c r="C32" s="467">
        <v>12</v>
      </c>
      <c r="D32" s="468" t="s">
        <v>934</v>
      </c>
      <c r="E32" s="467">
        <v>0</v>
      </c>
      <c r="F32" s="467">
        <v>0</v>
      </c>
      <c r="G32" s="467">
        <v>0</v>
      </c>
      <c r="H32" s="470">
        <v>45358.745787037034</v>
      </c>
      <c r="I32" s="471">
        <v>7.0000000000000001E-3</v>
      </c>
      <c r="J32" s="467">
        <v>1</v>
      </c>
      <c r="K32" s="468" t="s">
        <v>949</v>
      </c>
    </row>
    <row r="33" spans="1:11">
      <c r="A33" s="468">
        <v>65</v>
      </c>
      <c r="B33" s="467">
        <v>32</v>
      </c>
      <c r="C33" s="467">
        <v>13</v>
      </c>
      <c r="D33" s="468" t="s">
        <v>934</v>
      </c>
      <c r="E33" s="467">
        <v>0</v>
      </c>
      <c r="F33" s="467">
        <v>0</v>
      </c>
      <c r="G33" s="467">
        <v>0</v>
      </c>
      <c r="H33" s="470">
        <v>45358.746712962966</v>
      </c>
      <c r="I33" s="471">
        <v>-1.9E-2</v>
      </c>
      <c r="J33" s="467">
        <v>1</v>
      </c>
      <c r="K33" s="468" t="s">
        <v>949</v>
      </c>
    </row>
    <row r="34" spans="1:11">
      <c r="A34" s="468">
        <v>192</v>
      </c>
      <c r="B34" s="467">
        <v>33</v>
      </c>
      <c r="C34" s="467">
        <v>14</v>
      </c>
      <c r="D34" s="468" t="s">
        <v>934</v>
      </c>
      <c r="E34" s="467">
        <v>0</v>
      </c>
      <c r="F34" s="467">
        <v>0</v>
      </c>
      <c r="G34" s="467">
        <v>0</v>
      </c>
      <c r="H34" s="470">
        <v>45358.74763888889</v>
      </c>
      <c r="I34" s="471">
        <v>-8.7999999999999995E-2</v>
      </c>
      <c r="J34" s="467">
        <v>1</v>
      </c>
      <c r="K34" s="468" t="s">
        <v>949</v>
      </c>
    </row>
    <row r="35" spans="1:11">
      <c r="A35" s="468">
        <v>76</v>
      </c>
      <c r="B35" s="467">
        <v>34</v>
      </c>
      <c r="C35" s="467">
        <v>15</v>
      </c>
      <c r="D35" s="468" t="s">
        <v>934</v>
      </c>
      <c r="E35" s="467">
        <v>0</v>
      </c>
      <c r="F35" s="467">
        <v>0</v>
      </c>
      <c r="G35" s="467">
        <v>0</v>
      </c>
      <c r="H35" s="470">
        <v>45358.748564814814</v>
      </c>
      <c r="I35" s="467">
        <v>0.106</v>
      </c>
      <c r="J35" s="467">
        <v>1</v>
      </c>
      <c r="K35" s="467">
        <v>0.106</v>
      </c>
    </row>
    <row r="36" spans="1:11">
      <c r="A36" s="468">
        <v>205</v>
      </c>
      <c r="B36" s="467">
        <v>35</v>
      </c>
      <c r="C36" s="467">
        <v>16</v>
      </c>
      <c r="D36" s="468" t="s">
        <v>934</v>
      </c>
      <c r="E36" s="467">
        <v>0</v>
      </c>
      <c r="F36" s="467">
        <v>0</v>
      </c>
      <c r="G36" s="467">
        <v>0</v>
      </c>
      <c r="H36" s="470">
        <v>45358.749490740738</v>
      </c>
      <c r="I36" s="471">
        <v>-0.152</v>
      </c>
      <c r="J36" s="467">
        <v>1</v>
      </c>
      <c r="K36" s="468" t="s">
        <v>949</v>
      </c>
    </row>
    <row r="37" spans="1:11">
      <c r="A37" s="468">
        <v>43</v>
      </c>
      <c r="B37" s="467">
        <v>36</v>
      </c>
      <c r="C37" s="467">
        <v>17</v>
      </c>
      <c r="D37" s="468" t="s">
        <v>934</v>
      </c>
      <c r="E37" s="467">
        <v>0</v>
      </c>
      <c r="F37" s="467">
        <v>0</v>
      </c>
      <c r="G37" s="467">
        <v>0</v>
      </c>
      <c r="H37" s="470">
        <v>45358.750416666669</v>
      </c>
      <c r="I37" s="471">
        <v>-1.0999999999999999E-2</v>
      </c>
      <c r="J37" s="467">
        <v>1</v>
      </c>
      <c r="K37" s="468" t="s">
        <v>949</v>
      </c>
    </row>
    <row r="38" spans="1:11">
      <c r="A38" s="468">
        <v>257</v>
      </c>
      <c r="B38" s="467">
        <v>37</v>
      </c>
      <c r="C38" s="467">
        <v>18</v>
      </c>
      <c r="D38" s="468" t="s">
        <v>934</v>
      </c>
      <c r="E38" s="467">
        <v>0</v>
      </c>
      <c r="F38" s="467">
        <v>0</v>
      </c>
      <c r="G38" s="467">
        <v>0</v>
      </c>
      <c r="H38" s="470">
        <v>45358.751342592594</v>
      </c>
      <c r="I38" s="471">
        <v>-6.0999999999999999E-2</v>
      </c>
      <c r="J38" s="467">
        <v>1</v>
      </c>
      <c r="K38" s="468" t="s">
        <v>949</v>
      </c>
    </row>
    <row r="39" spans="1:11">
      <c r="A39" s="468">
        <v>32</v>
      </c>
      <c r="B39" s="467">
        <v>38</v>
      </c>
      <c r="C39" s="467">
        <v>19</v>
      </c>
      <c r="D39" s="468" t="s">
        <v>934</v>
      </c>
      <c r="E39" s="467">
        <v>0</v>
      </c>
      <c r="F39" s="467">
        <v>0</v>
      </c>
      <c r="G39" s="467">
        <v>0</v>
      </c>
      <c r="H39" s="470">
        <v>45358.752268518518</v>
      </c>
      <c r="I39" s="471">
        <v>-8.9999999999999993E-3</v>
      </c>
      <c r="J39" s="467">
        <v>1</v>
      </c>
      <c r="K39" s="468" t="s">
        <v>949</v>
      </c>
    </row>
    <row r="40" spans="1:11">
      <c r="A40" s="468">
        <v>127</v>
      </c>
      <c r="B40" s="467">
        <v>39</v>
      </c>
      <c r="C40" s="467">
        <v>20</v>
      </c>
      <c r="D40" s="468" t="s">
        <v>934</v>
      </c>
      <c r="E40" s="467">
        <v>0</v>
      </c>
      <c r="F40" s="467">
        <v>0</v>
      </c>
      <c r="G40" s="467">
        <v>0</v>
      </c>
      <c r="H40" s="470">
        <v>45358.753194444442</v>
      </c>
      <c r="I40" s="471">
        <v>-0.13800000000000001</v>
      </c>
      <c r="J40" s="467">
        <v>1</v>
      </c>
      <c r="K40" s="468" t="s">
        <v>949</v>
      </c>
    </row>
    <row r="41" spans="1:11">
      <c r="A41" s="468">
        <v>283</v>
      </c>
      <c r="B41" s="467">
        <v>40</v>
      </c>
      <c r="C41" s="467">
        <v>21</v>
      </c>
      <c r="D41" s="468" t="s">
        <v>934</v>
      </c>
      <c r="E41" s="467">
        <v>0</v>
      </c>
      <c r="F41" s="467">
        <v>0</v>
      </c>
      <c r="G41" s="467">
        <v>0</v>
      </c>
      <c r="H41" s="470">
        <v>45358.754120370373</v>
      </c>
      <c r="I41" s="471">
        <v>-7.0000000000000007E-2</v>
      </c>
      <c r="J41" s="467">
        <v>1</v>
      </c>
      <c r="K41" s="468" t="s">
        <v>949</v>
      </c>
    </row>
    <row r="42" spans="1:11">
      <c r="A42" s="468" t="s">
        <v>954</v>
      </c>
      <c r="B42" s="467">
        <v>41</v>
      </c>
      <c r="C42" s="467">
        <v>22</v>
      </c>
      <c r="D42" s="468" t="s">
        <v>936</v>
      </c>
      <c r="E42" s="467">
        <v>0</v>
      </c>
      <c r="F42" s="467">
        <v>0</v>
      </c>
      <c r="G42" s="467">
        <v>1</v>
      </c>
      <c r="H42" s="470">
        <v>45358.755046296297</v>
      </c>
      <c r="I42" s="467">
        <v>0.89300000000000002</v>
      </c>
      <c r="J42" s="467">
        <v>1</v>
      </c>
      <c r="K42" s="467">
        <v>0.89300000000000002</v>
      </c>
    </row>
    <row r="43" spans="1:11">
      <c r="A43" s="468" t="s">
        <v>952</v>
      </c>
      <c r="B43" s="467">
        <v>42</v>
      </c>
      <c r="C43" s="467">
        <v>908</v>
      </c>
      <c r="D43" s="468" t="s">
        <v>938</v>
      </c>
      <c r="E43" s="467">
        <v>0</v>
      </c>
      <c r="F43" s="467">
        <v>0</v>
      </c>
      <c r="G43" s="467">
        <v>0</v>
      </c>
      <c r="H43" s="470">
        <v>45358.755972222221</v>
      </c>
      <c r="I43" s="467">
        <v>1.46</v>
      </c>
      <c r="J43" s="467">
        <v>1</v>
      </c>
      <c r="K43" s="467">
        <v>1.46</v>
      </c>
    </row>
    <row r="44" spans="1:11">
      <c r="A44" s="468" t="s">
        <v>928</v>
      </c>
      <c r="B44" s="467">
        <v>43</v>
      </c>
      <c r="C44" s="467">
        <v>0</v>
      </c>
      <c r="D44" s="468" t="s">
        <v>929</v>
      </c>
      <c r="E44" s="467">
        <v>0</v>
      </c>
      <c r="F44" s="467">
        <v>0</v>
      </c>
      <c r="G44" s="467">
        <v>0</v>
      </c>
      <c r="H44" s="470">
        <v>45358.756898148145</v>
      </c>
      <c r="I44" s="471">
        <v>-0.13800000000000001</v>
      </c>
      <c r="J44" s="467">
        <v>1</v>
      </c>
      <c r="K44" s="468" t="s">
        <v>949</v>
      </c>
    </row>
    <row r="45" spans="1:11">
      <c r="A45" s="468">
        <v>153</v>
      </c>
      <c r="B45" s="467">
        <v>44</v>
      </c>
      <c r="C45" s="467">
        <v>23</v>
      </c>
      <c r="D45" s="468" t="s">
        <v>934</v>
      </c>
      <c r="E45" s="467">
        <v>0</v>
      </c>
      <c r="F45" s="467">
        <v>0</v>
      </c>
      <c r="G45" s="467">
        <v>0</v>
      </c>
      <c r="H45" s="470">
        <v>45358.759675925925</v>
      </c>
      <c r="I45" s="471">
        <v>2.1000000000000001E-2</v>
      </c>
      <c r="J45" s="467">
        <v>1</v>
      </c>
      <c r="K45" s="468" t="s">
        <v>949</v>
      </c>
    </row>
    <row r="46" spans="1:11">
      <c r="A46" s="468">
        <v>87</v>
      </c>
      <c r="B46" s="467">
        <v>45</v>
      </c>
      <c r="C46" s="467">
        <v>24</v>
      </c>
      <c r="D46" s="468" t="s">
        <v>934</v>
      </c>
      <c r="E46" s="467">
        <v>0</v>
      </c>
      <c r="F46" s="467">
        <v>0</v>
      </c>
      <c r="G46" s="467">
        <v>0</v>
      </c>
      <c r="H46" s="470">
        <v>45358.760601851849</v>
      </c>
      <c r="I46" s="471">
        <v>-0.05</v>
      </c>
      <c r="J46" s="467">
        <v>1</v>
      </c>
      <c r="K46" s="468" t="s">
        <v>949</v>
      </c>
    </row>
    <row r="47" spans="1:11">
      <c r="A47" s="468">
        <v>54</v>
      </c>
      <c r="B47" s="467">
        <v>46</v>
      </c>
      <c r="C47" s="467">
        <v>25</v>
      </c>
      <c r="D47" s="468" t="s">
        <v>934</v>
      </c>
      <c r="E47" s="467">
        <v>0</v>
      </c>
      <c r="F47" s="467">
        <v>0</v>
      </c>
      <c r="G47" s="467">
        <v>0</v>
      </c>
      <c r="H47" s="470">
        <v>45358.76152777778</v>
      </c>
      <c r="I47" s="471">
        <v>-7.8E-2</v>
      </c>
      <c r="J47" s="467">
        <v>1</v>
      </c>
      <c r="K47" s="468" t="s">
        <v>949</v>
      </c>
    </row>
    <row r="48" spans="1:11">
      <c r="A48" s="468">
        <v>140</v>
      </c>
      <c r="B48" s="467">
        <v>47</v>
      </c>
      <c r="C48" s="467">
        <v>26</v>
      </c>
      <c r="D48" s="468" t="s">
        <v>934</v>
      </c>
      <c r="E48" s="467">
        <v>0</v>
      </c>
      <c r="F48" s="467">
        <v>0</v>
      </c>
      <c r="G48" s="467">
        <v>0</v>
      </c>
      <c r="H48" s="470">
        <v>45358.762453703705</v>
      </c>
      <c r="I48" s="471">
        <v>-0.10299999999999999</v>
      </c>
      <c r="J48" s="467">
        <v>1</v>
      </c>
      <c r="K48" s="468" t="s">
        <v>949</v>
      </c>
    </row>
    <row r="49" spans="1:11">
      <c r="A49" s="468">
        <v>10</v>
      </c>
      <c r="B49" s="467">
        <v>48</v>
      </c>
      <c r="C49" s="467">
        <v>27</v>
      </c>
      <c r="D49" s="468" t="s">
        <v>934</v>
      </c>
      <c r="E49" s="467">
        <v>0</v>
      </c>
      <c r="F49" s="467">
        <v>0</v>
      </c>
      <c r="G49" s="467">
        <v>0</v>
      </c>
      <c r="H49" s="470">
        <v>45358.763379629629</v>
      </c>
      <c r="I49" s="471">
        <v>8.3000000000000004E-2</v>
      </c>
      <c r="J49" s="467">
        <v>1</v>
      </c>
      <c r="K49" s="468" t="s">
        <v>949</v>
      </c>
    </row>
    <row r="50" spans="1:11">
      <c r="A50" s="468">
        <v>244</v>
      </c>
      <c r="B50" s="467">
        <v>49</v>
      </c>
      <c r="C50" s="467">
        <v>28</v>
      </c>
      <c r="D50" s="468" t="s">
        <v>934</v>
      </c>
      <c r="E50" s="467">
        <v>0</v>
      </c>
      <c r="F50" s="467">
        <v>0</v>
      </c>
      <c r="G50" s="467">
        <v>0</v>
      </c>
      <c r="H50" s="470">
        <v>45358.764305555553</v>
      </c>
      <c r="I50" s="471">
        <v>2.1000000000000001E-2</v>
      </c>
      <c r="J50" s="467">
        <v>1</v>
      </c>
      <c r="K50" s="468" t="s">
        <v>949</v>
      </c>
    </row>
    <row r="51" spans="1:11">
      <c r="A51" s="468">
        <v>218</v>
      </c>
      <c r="B51" s="467">
        <v>50</v>
      </c>
      <c r="C51" s="467">
        <v>29</v>
      </c>
      <c r="D51" s="468" t="s">
        <v>934</v>
      </c>
      <c r="E51" s="467">
        <v>0</v>
      </c>
      <c r="F51" s="467">
        <v>0</v>
      </c>
      <c r="G51" s="467">
        <v>0</v>
      </c>
      <c r="H51" s="470">
        <v>45358.765231481484</v>
      </c>
      <c r="I51" s="471">
        <v>-3.2000000000000001E-2</v>
      </c>
      <c r="J51" s="467">
        <v>1</v>
      </c>
      <c r="K51" s="468" t="s">
        <v>949</v>
      </c>
    </row>
    <row r="52" spans="1:11">
      <c r="A52" s="468">
        <v>335</v>
      </c>
      <c r="B52" s="467">
        <v>51</v>
      </c>
      <c r="C52" s="467">
        <v>30</v>
      </c>
      <c r="D52" s="468" t="s">
        <v>934</v>
      </c>
      <c r="E52" s="467">
        <v>0</v>
      </c>
      <c r="F52" s="467">
        <v>0</v>
      </c>
      <c r="G52" s="467">
        <v>0</v>
      </c>
      <c r="H52" s="470">
        <v>45358.766157407408</v>
      </c>
      <c r="I52" s="467">
        <v>0.72899999999999998</v>
      </c>
      <c r="J52" s="467">
        <v>1</v>
      </c>
      <c r="K52" s="467">
        <v>0.72899999999999998</v>
      </c>
    </row>
    <row r="53" spans="1:11">
      <c r="A53" s="468">
        <v>21</v>
      </c>
      <c r="B53" s="467">
        <v>52</v>
      </c>
      <c r="C53" s="467">
        <v>31</v>
      </c>
      <c r="D53" s="468" t="s">
        <v>934</v>
      </c>
      <c r="E53" s="467">
        <v>0</v>
      </c>
      <c r="F53" s="467">
        <v>0</v>
      </c>
      <c r="G53" s="467">
        <v>0</v>
      </c>
      <c r="H53" s="470">
        <v>45358.767083333332</v>
      </c>
      <c r="I53" s="471">
        <v>8.2000000000000003E-2</v>
      </c>
      <c r="J53" s="467">
        <v>1</v>
      </c>
      <c r="K53" s="468" t="s">
        <v>949</v>
      </c>
    </row>
    <row r="54" spans="1:11">
      <c r="A54" s="468">
        <v>98</v>
      </c>
      <c r="B54" s="467">
        <v>53</v>
      </c>
      <c r="C54" s="467">
        <v>32</v>
      </c>
      <c r="D54" s="468" t="s">
        <v>934</v>
      </c>
      <c r="E54" s="467">
        <v>0</v>
      </c>
      <c r="F54" s="467">
        <v>0</v>
      </c>
      <c r="G54" s="467">
        <v>0</v>
      </c>
      <c r="H54" s="470">
        <v>45358.768009259256</v>
      </c>
      <c r="I54" s="471">
        <v>-8.9999999999999993E-3</v>
      </c>
      <c r="J54" s="467">
        <v>1</v>
      </c>
      <c r="K54" s="468" t="s">
        <v>949</v>
      </c>
    </row>
    <row r="55" spans="1:11">
      <c r="A55" s="468" t="s">
        <v>955</v>
      </c>
      <c r="B55" s="467">
        <v>54</v>
      </c>
      <c r="C55" s="467">
        <v>33</v>
      </c>
      <c r="D55" s="468" t="s">
        <v>936</v>
      </c>
      <c r="E55" s="467">
        <v>0</v>
      </c>
      <c r="F55" s="467">
        <v>0</v>
      </c>
      <c r="G55" s="467">
        <v>1</v>
      </c>
      <c r="H55" s="470">
        <v>45358.768935185188</v>
      </c>
      <c r="I55" s="467">
        <v>0.92800000000000005</v>
      </c>
      <c r="J55" s="467">
        <v>1</v>
      </c>
      <c r="K55" s="467">
        <v>0.92800000000000005</v>
      </c>
    </row>
    <row r="56" spans="1:11">
      <c r="A56" s="468" t="s">
        <v>952</v>
      </c>
      <c r="B56" s="467">
        <v>55</v>
      </c>
      <c r="C56" s="467">
        <v>908</v>
      </c>
      <c r="D56" s="468" t="s">
        <v>938</v>
      </c>
      <c r="E56" s="467">
        <v>0</v>
      </c>
      <c r="F56" s="467">
        <v>0</v>
      </c>
      <c r="G56" s="467">
        <v>0</v>
      </c>
      <c r="H56" s="470">
        <v>45358.769861111112</v>
      </c>
      <c r="I56" s="467">
        <v>1.4259999999999999</v>
      </c>
      <c r="J56" s="467">
        <v>1</v>
      </c>
      <c r="K56" s="467">
        <v>1.4259999999999999</v>
      </c>
    </row>
    <row r="57" spans="1:11">
      <c r="A57" s="468" t="s">
        <v>928</v>
      </c>
      <c r="B57" s="467">
        <v>56</v>
      </c>
      <c r="C57" s="467">
        <v>0</v>
      </c>
      <c r="D57" s="468" t="s">
        <v>929</v>
      </c>
      <c r="E57" s="467">
        <v>0</v>
      </c>
      <c r="F57" s="467">
        <v>0</v>
      </c>
      <c r="G57" s="467">
        <v>0</v>
      </c>
      <c r="H57" s="470">
        <v>45358.770787037036</v>
      </c>
      <c r="I57" s="471">
        <v>-0.13800000000000001</v>
      </c>
      <c r="J57" s="467">
        <v>1</v>
      </c>
      <c r="K57" s="468" t="s">
        <v>949</v>
      </c>
    </row>
    <row r="58" spans="1:11">
      <c r="A58" s="468">
        <v>179</v>
      </c>
      <c r="B58" s="467">
        <v>57</v>
      </c>
      <c r="C58" s="467">
        <v>34</v>
      </c>
      <c r="D58" s="468" t="s">
        <v>934</v>
      </c>
      <c r="E58" s="467">
        <v>0</v>
      </c>
      <c r="F58" s="467">
        <v>0</v>
      </c>
      <c r="G58" s="467">
        <v>0</v>
      </c>
      <c r="H58" s="470">
        <v>45358.773564814815</v>
      </c>
      <c r="I58" s="467">
        <v>0.45600000000000002</v>
      </c>
      <c r="J58" s="467">
        <v>1</v>
      </c>
      <c r="K58" s="467">
        <v>0.45600000000000002</v>
      </c>
    </row>
    <row r="59" spans="1:11">
      <c r="A59" s="468">
        <v>348</v>
      </c>
      <c r="B59" s="467">
        <v>58</v>
      </c>
      <c r="C59" s="467">
        <v>35</v>
      </c>
      <c r="D59" s="468" t="s">
        <v>934</v>
      </c>
      <c r="E59" s="467">
        <v>0</v>
      </c>
      <c r="F59" s="467">
        <v>0</v>
      </c>
      <c r="G59" s="467">
        <v>0</v>
      </c>
      <c r="H59" s="470">
        <v>45358.77449074074</v>
      </c>
      <c r="I59" s="467">
        <v>0.16</v>
      </c>
      <c r="J59" s="467">
        <v>1</v>
      </c>
      <c r="K59" s="467">
        <v>0.16</v>
      </c>
    </row>
    <row r="60" spans="1:11">
      <c r="A60" s="468">
        <v>439</v>
      </c>
      <c r="B60" s="467">
        <v>59</v>
      </c>
      <c r="C60" s="467">
        <v>36</v>
      </c>
      <c r="D60" s="468" t="s">
        <v>934</v>
      </c>
      <c r="E60" s="467">
        <v>0</v>
      </c>
      <c r="F60" s="467">
        <v>0</v>
      </c>
      <c r="G60" s="467">
        <v>0</v>
      </c>
      <c r="H60" s="470">
        <v>45358.775416666664</v>
      </c>
      <c r="I60" s="467">
        <v>0.308</v>
      </c>
      <c r="J60" s="467">
        <v>1</v>
      </c>
      <c r="K60" s="467">
        <v>0.308</v>
      </c>
    </row>
    <row r="61" spans="1:11">
      <c r="A61" s="468">
        <v>491</v>
      </c>
      <c r="B61" s="467">
        <v>60</v>
      </c>
      <c r="C61" s="467">
        <v>37</v>
      </c>
      <c r="D61" s="468" t="s">
        <v>934</v>
      </c>
      <c r="E61" s="467">
        <v>0</v>
      </c>
      <c r="F61" s="467">
        <v>0</v>
      </c>
      <c r="G61" s="467">
        <v>0</v>
      </c>
      <c r="H61" s="470">
        <v>45358.776342592595</v>
      </c>
      <c r="I61" s="467">
        <v>0.30399999999999999</v>
      </c>
      <c r="J61" s="467">
        <v>1</v>
      </c>
      <c r="K61" s="467">
        <v>0.30399999999999999</v>
      </c>
    </row>
    <row r="62" spans="1:11">
      <c r="A62" s="468">
        <v>569</v>
      </c>
      <c r="B62" s="467">
        <v>61</v>
      </c>
      <c r="C62" s="467">
        <v>38</v>
      </c>
      <c r="D62" s="468" t="s">
        <v>934</v>
      </c>
      <c r="E62" s="467">
        <v>0</v>
      </c>
      <c r="F62" s="467">
        <v>0</v>
      </c>
      <c r="G62" s="467">
        <v>0</v>
      </c>
      <c r="H62" s="470">
        <v>45358.777268518519</v>
      </c>
      <c r="I62" s="467">
        <v>0.35499999999999998</v>
      </c>
      <c r="J62" s="467">
        <v>1</v>
      </c>
      <c r="K62" s="467">
        <v>0.35499999999999998</v>
      </c>
    </row>
    <row r="63" spans="1:11">
      <c r="A63" s="468">
        <v>517</v>
      </c>
      <c r="B63" s="467">
        <v>62</v>
      </c>
      <c r="C63" s="467">
        <v>39</v>
      </c>
      <c r="D63" s="468" t="s">
        <v>934</v>
      </c>
      <c r="E63" s="467">
        <v>0</v>
      </c>
      <c r="F63" s="467">
        <v>0</v>
      </c>
      <c r="G63" s="467">
        <v>0</v>
      </c>
      <c r="H63" s="470">
        <v>45358.778194444443</v>
      </c>
      <c r="I63" s="467">
        <v>0.14799999999999999</v>
      </c>
      <c r="J63" s="467">
        <v>1</v>
      </c>
      <c r="K63" s="467">
        <v>0.14799999999999999</v>
      </c>
    </row>
    <row r="64" spans="1:11">
      <c r="A64" s="468">
        <v>452</v>
      </c>
      <c r="B64" s="467">
        <v>63</v>
      </c>
      <c r="C64" s="467">
        <v>40</v>
      </c>
      <c r="D64" s="468" t="s">
        <v>934</v>
      </c>
      <c r="E64" s="467">
        <v>0</v>
      </c>
      <c r="F64" s="467">
        <v>0</v>
      </c>
      <c r="G64" s="467">
        <v>0</v>
      </c>
      <c r="H64" s="470">
        <v>45358.779120370367</v>
      </c>
      <c r="I64" s="471">
        <v>4.3999999999999997E-2</v>
      </c>
      <c r="J64" s="467">
        <v>1</v>
      </c>
      <c r="K64" s="468" t="s">
        <v>949</v>
      </c>
    </row>
    <row r="65" spans="1:11">
      <c r="A65" s="468">
        <v>504</v>
      </c>
      <c r="B65" s="467">
        <v>64</v>
      </c>
      <c r="C65" s="467">
        <v>41</v>
      </c>
      <c r="D65" s="468" t="s">
        <v>934</v>
      </c>
      <c r="E65" s="467">
        <v>0</v>
      </c>
      <c r="F65" s="467">
        <v>0</v>
      </c>
      <c r="G65" s="467">
        <v>0</v>
      </c>
      <c r="H65" s="470">
        <v>45358.780046296299</v>
      </c>
      <c r="I65" s="467">
        <v>0.109</v>
      </c>
      <c r="J65" s="467">
        <v>1</v>
      </c>
      <c r="K65" s="467">
        <v>0.109</v>
      </c>
    </row>
    <row r="66" spans="1:11">
      <c r="A66" s="468">
        <v>478</v>
      </c>
      <c r="B66" s="467">
        <v>65</v>
      </c>
      <c r="C66" s="467">
        <v>42</v>
      </c>
      <c r="D66" s="468" t="s">
        <v>934</v>
      </c>
      <c r="E66" s="467">
        <v>0</v>
      </c>
      <c r="F66" s="467">
        <v>0</v>
      </c>
      <c r="G66" s="467">
        <v>0</v>
      </c>
      <c r="H66" s="470">
        <v>45358.780972222223</v>
      </c>
      <c r="I66" s="471">
        <v>-3.0000000000000001E-3</v>
      </c>
      <c r="J66" s="467">
        <v>1</v>
      </c>
      <c r="K66" s="468" t="s">
        <v>949</v>
      </c>
    </row>
    <row r="67" spans="1:11">
      <c r="A67" s="468">
        <v>556</v>
      </c>
      <c r="B67" s="467">
        <v>66</v>
      </c>
      <c r="C67" s="467">
        <v>43</v>
      </c>
      <c r="D67" s="468" t="s">
        <v>934</v>
      </c>
      <c r="E67" s="467">
        <v>0</v>
      </c>
      <c r="F67" s="467">
        <v>0</v>
      </c>
      <c r="G67" s="467">
        <v>0</v>
      </c>
      <c r="H67" s="470">
        <v>45358.781898148147</v>
      </c>
      <c r="I67" s="467">
        <v>0.11600000000000001</v>
      </c>
      <c r="J67" s="467">
        <v>1</v>
      </c>
      <c r="K67" s="467">
        <v>0.11600000000000001</v>
      </c>
    </row>
    <row r="68" spans="1:11">
      <c r="A68" s="468" t="s">
        <v>956</v>
      </c>
      <c r="B68" s="467">
        <v>67</v>
      </c>
      <c r="C68" s="467">
        <v>44</v>
      </c>
      <c r="D68" s="468" t="s">
        <v>936</v>
      </c>
      <c r="E68" s="467">
        <v>0</v>
      </c>
      <c r="F68" s="467">
        <v>0</v>
      </c>
      <c r="G68" s="467">
        <v>1</v>
      </c>
      <c r="H68" s="470">
        <v>45358.782824074071</v>
      </c>
      <c r="I68" s="467">
        <v>1.137</v>
      </c>
      <c r="J68" s="467">
        <v>1</v>
      </c>
      <c r="K68" s="467">
        <v>1.137</v>
      </c>
    </row>
    <row r="69" spans="1:11">
      <c r="A69" s="468" t="s">
        <v>952</v>
      </c>
      <c r="B69" s="467">
        <v>68</v>
      </c>
      <c r="C69" s="467">
        <v>908</v>
      </c>
      <c r="D69" s="468" t="s">
        <v>938</v>
      </c>
      <c r="E69" s="467">
        <v>0</v>
      </c>
      <c r="F69" s="467">
        <v>0</v>
      </c>
      <c r="G69" s="467">
        <v>0</v>
      </c>
      <c r="H69" s="470">
        <v>45358.783750000002</v>
      </c>
      <c r="I69" s="467">
        <v>1.29</v>
      </c>
      <c r="J69" s="467">
        <v>1</v>
      </c>
      <c r="K69" s="467">
        <v>1.29</v>
      </c>
    </row>
    <row r="70" spans="1:11">
      <c r="A70" s="468" t="s">
        <v>928</v>
      </c>
      <c r="B70" s="467">
        <v>69</v>
      </c>
      <c r="C70" s="467">
        <v>0</v>
      </c>
      <c r="D70" s="468" t="s">
        <v>929</v>
      </c>
      <c r="E70" s="467">
        <v>0</v>
      </c>
      <c r="F70" s="467">
        <v>0</v>
      </c>
      <c r="G70" s="467">
        <v>0</v>
      </c>
      <c r="H70" s="470">
        <v>45358.784675925926</v>
      </c>
      <c r="I70" s="471">
        <v>-0.13800000000000001</v>
      </c>
      <c r="J70" s="467">
        <v>1</v>
      </c>
      <c r="K70" s="468" t="s">
        <v>949</v>
      </c>
    </row>
    <row r="71" spans="1:11">
      <c r="A71" s="468">
        <v>621</v>
      </c>
      <c r="B71" s="467">
        <v>70</v>
      </c>
      <c r="C71" s="467">
        <v>45</v>
      </c>
      <c r="D71" s="468" t="s">
        <v>934</v>
      </c>
      <c r="E71" s="467">
        <v>0</v>
      </c>
      <c r="F71" s="467">
        <v>0</v>
      </c>
      <c r="G71" s="467">
        <v>0</v>
      </c>
      <c r="H71" s="470">
        <v>45358.787453703706</v>
      </c>
      <c r="I71" s="467">
        <v>0.22600000000000001</v>
      </c>
      <c r="J71" s="467">
        <v>1</v>
      </c>
      <c r="K71" s="467">
        <v>0.22600000000000001</v>
      </c>
    </row>
    <row r="72" spans="1:11">
      <c r="A72" s="468">
        <v>634</v>
      </c>
      <c r="B72" s="467">
        <v>71</v>
      </c>
      <c r="C72" s="467">
        <v>46</v>
      </c>
      <c r="D72" s="468" t="s">
        <v>934</v>
      </c>
      <c r="E72" s="467">
        <v>0</v>
      </c>
      <c r="F72" s="467">
        <v>0</v>
      </c>
      <c r="G72" s="467">
        <v>0</v>
      </c>
      <c r="H72" s="470">
        <v>45358.78837962963</v>
      </c>
      <c r="I72" s="471">
        <v>5.7000000000000002E-2</v>
      </c>
      <c r="J72" s="467">
        <v>1</v>
      </c>
      <c r="K72" s="468" t="s">
        <v>949</v>
      </c>
    </row>
    <row r="73" spans="1:11">
      <c r="A73" s="468">
        <v>582</v>
      </c>
      <c r="B73" s="467">
        <v>72</v>
      </c>
      <c r="C73" s="467">
        <v>47</v>
      </c>
      <c r="D73" s="468" t="s">
        <v>934</v>
      </c>
      <c r="E73" s="467">
        <v>0</v>
      </c>
      <c r="F73" s="467">
        <v>0</v>
      </c>
      <c r="G73" s="467">
        <v>0</v>
      </c>
      <c r="H73" s="470">
        <v>45358.789305555554</v>
      </c>
      <c r="I73" s="467">
        <v>0.19700000000000001</v>
      </c>
      <c r="J73" s="467">
        <v>1</v>
      </c>
      <c r="K73" s="467">
        <v>0.19700000000000001</v>
      </c>
    </row>
    <row r="74" spans="1:11">
      <c r="A74" s="468">
        <v>530</v>
      </c>
      <c r="B74" s="467">
        <v>73</v>
      </c>
      <c r="C74" s="467">
        <v>48</v>
      </c>
      <c r="D74" s="468" t="s">
        <v>934</v>
      </c>
      <c r="E74" s="467">
        <v>0</v>
      </c>
      <c r="F74" s="467">
        <v>0</v>
      </c>
      <c r="G74" s="467">
        <v>0</v>
      </c>
      <c r="H74" s="470">
        <v>45358.790231481478</v>
      </c>
      <c r="I74" s="471">
        <v>-3.1E-2</v>
      </c>
      <c r="J74" s="467">
        <v>1</v>
      </c>
      <c r="K74" s="468" t="s">
        <v>949</v>
      </c>
    </row>
    <row r="75" spans="1:11">
      <c r="A75" s="468">
        <v>413</v>
      </c>
      <c r="B75" s="467">
        <v>74</v>
      </c>
      <c r="C75" s="467">
        <v>49</v>
      </c>
      <c r="D75" s="468" t="s">
        <v>934</v>
      </c>
      <c r="E75" s="467">
        <v>0</v>
      </c>
      <c r="F75" s="467">
        <v>0</v>
      </c>
      <c r="G75" s="467">
        <v>0</v>
      </c>
      <c r="H75" s="470">
        <v>45358.79115740741</v>
      </c>
      <c r="I75" s="471">
        <v>7.8E-2</v>
      </c>
      <c r="J75" s="467">
        <v>1</v>
      </c>
      <c r="K75" s="468" t="s">
        <v>949</v>
      </c>
    </row>
    <row r="76" spans="1:11">
      <c r="A76" s="468">
        <v>595</v>
      </c>
      <c r="B76" s="467">
        <v>75</v>
      </c>
      <c r="C76" s="467">
        <v>50</v>
      </c>
      <c r="D76" s="468" t="s">
        <v>934</v>
      </c>
      <c r="E76" s="467">
        <v>0</v>
      </c>
      <c r="F76" s="467">
        <v>0</v>
      </c>
      <c r="G76" s="467">
        <v>0</v>
      </c>
      <c r="H76" s="470">
        <v>45358.792083333334</v>
      </c>
      <c r="I76" s="467">
        <v>0.26400000000000001</v>
      </c>
      <c r="J76" s="467">
        <v>1</v>
      </c>
      <c r="K76" s="467">
        <v>0.26400000000000001</v>
      </c>
    </row>
    <row r="77" spans="1:11">
      <c r="A77" s="468">
        <v>543</v>
      </c>
      <c r="B77" s="467">
        <v>76</v>
      </c>
      <c r="C77" s="467">
        <v>51</v>
      </c>
      <c r="D77" s="468" t="s">
        <v>934</v>
      </c>
      <c r="E77" s="467">
        <v>0</v>
      </c>
      <c r="F77" s="467">
        <v>0</v>
      </c>
      <c r="G77" s="467">
        <v>0</v>
      </c>
      <c r="H77" s="470">
        <v>45358.793009259258</v>
      </c>
      <c r="I77" s="471">
        <v>-1.0999999999999999E-2</v>
      </c>
      <c r="J77" s="467">
        <v>1</v>
      </c>
      <c r="K77" s="468" t="s">
        <v>949</v>
      </c>
    </row>
    <row r="78" spans="1:11">
      <c r="A78" s="468" t="s">
        <v>957</v>
      </c>
      <c r="B78" s="467">
        <v>77</v>
      </c>
      <c r="C78" s="467">
        <v>52</v>
      </c>
      <c r="D78" s="468" t="s">
        <v>936</v>
      </c>
      <c r="E78" s="467">
        <v>0</v>
      </c>
      <c r="F78" s="467">
        <v>0</v>
      </c>
      <c r="G78" s="467">
        <v>1</v>
      </c>
      <c r="H78" s="470">
        <v>45358.793935185182</v>
      </c>
      <c r="I78" s="467">
        <v>0.98399999999999999</v>
      </c>
      <c r="J78" s="467">
        <v>1</v>
      </c>
      <c r="K78" s="467">
        <v>0.98399999999999999</v>
      </c>
    </row>
    <row r="79" spans="1:11">
      <c r="A79" s="468" t="s">
        <v>952</v>
      </c>
      <c r="B79" s="467">
        <v>78</v>
      </c>
      <c r="C79" s="467">
        <v>908</v>
      </c>
      <c r="D79" s="468" t="s">
        <v>938</v>
      </c>
      <c r="E79" s="467">
        <v>0</v>
      </c>
      <c r="F79" s="467">
        <v>0</v>
      </c>
      <c r="G79" s="467">
        <v>0</v>
      </c>
      <c r="H79" s="470">
        <v>45358.794861111113</v>
      </c>
      <c r="I79" s="467">
        <v>1.244</v>
      </c>
      <c r="J79" s="467">
        <v>1</v>
      </c>
      <c r="K79" s="467">
        <v>1.244</v>
      </c>
    </row>
    <row r="80" spans="1:11">
      <c r="A80" s="468" t="s">
        <v>928</v>
      </c>
      <c r="B80" s="467">
        <v>79</v>
      </c>
      <c r="C80" s="467">
        <v>0</v>
      </c>
      <c r="D80" s="468" t="s">
        <v>929</v>
      </c>
      <c r="E80" s="467">
        <v>0</v>
      </c>
      <c r="F80" s="467">
        <v>0</v>
      </c>
      <c r="G80" s="467">
        <v>0</v>
      </c>
      <c r="H80" s="470">
        <v>45358.795787037037</v>
      </c>
      <c r="I80" s="471">
        <v>-0.13800000000000001</v>
      </c>
      <c r="J80" s="467">
        <v>1</v>
      </c>
      <c r="K80" s="468" t="s">
        <v>949</v>
      </c>
    </row>
    <row r="81" spans="1:11">
      <c r="A81" s="468" t="s">
        <v>16</v>
      </c>
      <c r="B81" s="467">
        <v>80</v>
      </c>
      <c r="C81" s="467">
        <v>922</v>
      </c>
      <c r="D81" s="468" t="s">
        <v>934</v>
      </c>
      <c r="E81" s="467">
        <v>0</v>
      </c>
      <c r="F81" s="467">
        <v>0</v>
      </c>
      <c r="G81" s="467">
        <v>0</v>
      </c>
      <c r="H81" s="470">
        <v>45358.798564814817</v>
      </c>
      <c r="I81" s="471">
        <v>-8.1000000000000003E-2</v>
      </c>
      <c r="J81" s="467">
        <v>1</v>
      </c>
      <c r="K81" s="468" t="s">
        <v>949</v>
      </c>
    </row>
    <row r="82" spans="1:11">
      <c r="A82" s="468" t="s">
        <v>16</v>
      </c>
      <c r="B82" s="467">
        <v>81</v>
      </c>
      <c r="C82" s="467">
        <v>922</v>
      </c>
      <c r="D82" s="468" t="s">
        <v>934</v>
      </c>
      <c r="E82" s="467">
        <v>0</v>
      </c>
      <c r="F82" s="467">
        <v>0</v>
      </c>
      <c r="G82" s="467">
        <v>0</v>
      </c>
      <c r="H82" s="470">
        <v>45358.799490740741</v>
      </c>
      <c r="I82" s="471">
        <v>-0.114</v>
      </c>
      <c r="J82" s="467">
        <v>1</v>
      </c>
      <c r="K82" s="468" t="s">
        <v>949</v>
      </c>
    </row>
    <row r="83" spans="1:11">
      <c r="A83" s="468" t="s">
        <v>16</v>
      </c>
      <c r="B83" s="467">
        <v>82</v>
      </c>
      <c r="C83" s="467">
        <v>922</v>
      </c>
      <c r="D83" s="468" t="s">
        <v>934</v>
      </c>
      <c r="E83" s="467">
        <v>0</v>
      </c>
      <c r="F83" s="467">
        <v>0</v>
      </c>
      <c r="G83" s="467">
        <v>0</v>
      </c>
      <c r="H83" s="470">
        <v>45358.800416666665</v>
      </c>
      <c r="I83" s="471">
        <v>-0.13700000000000001</v>
      </c>
      <c r="J83" s="467">
        <v>1</v>
      </c>
      <c r="K83" s="468" t="s">
        <v>949</v>
      </c>
    </row>
    <row r="84" spans="1:11">
      <c r="A84" s="468" t="s">
        <v>16</v>
      </c>
      <c r="B84" s="467">
        <v>83</v>
      </c>
      <c r="C84" s="467">
        <v>922</v>
      </c>
      <c r="D84" s="468" t="s">
        <v>934</v>
      </c>
      <c r="E84" s="467">
        <v>0</v>
      </c>
      <c r="F84" s="467">
        <v>0</v>
      </c>
      <c r="G84" s="467">
        <v>0</v>
      </c>
      <c r="H84" s="470">
        <v>45358.801342592589</v>
      </c>
      <c r="I84" s="471">
        <v>-0.17899999999999999</v>
      </c>
      <c r="J84" s="467">
        <v>1</v>
      </c>
      <c r="K84" s="468" t="s">
        <v>949</v>
      </c>
    </row>
    <row r="85" spans="1:11">
      <c r="A85" s="468" t="s">
        <v>16</v>
      </c>
      <c r="B85" s="467">
        <v>84</v>
      </c>
      <c r="C85" s="467">
        <v>922</v>
      </c>
      <c r="D85" s="468" t="s">
        <v>934</v>
      </c>
      <c r="E85" s="467">
        <v>0</v>
      </c>
      <c r="F85" s="467">
        <v>0</v>
      </c>
      <c r="G85" s="467">
        <v>0</v>
      </c>
      <c r="H85" s="470">
        <v>45358.802268518521</v>
      </c>
      <c r="I85" s="471">
        <v>-0.13500000000000001</v>
      </c>
      <c r="J85" s="467">
        <v>1</v>
      </c>
      <c r="K85" s="468" t="s">
        <v>949</v>
      </c>
    </row>
    <row r="86" spans="1:11">
      <c r="A86" s="468" t="s">
        <v>16</v>
      </c>
      <c r="B86" s="467">
        <v>85</v>
      </c>
      <c r="C86" s="467">
        <v>922</v>
      </c>
      <c r="D86" s="468" t="s">
        <v>934</v>
      </c>
      <c r="E86" s="467">
        <v>0</v>
      </c>
      <c r="F86" s="467">
        <v>0</v>
      </c>
      <c r="G86" s="467">
        <v>0</v>
      </c>
      <c r="H86" s="470">
        <v>45358.803194444445</v>
      </c>
      <c r="I86" s="471">
        <v>-0.128</v>
      </c>
      <c r="J86" s="467">
        <v>1</v>
      </c>
      <c r="K86" s="468" t="s">
        <v>949</v>
      </c>
    </row>
    <row r="87" spans="1:11">
      <c r="A87" s="468" t="s">
        <v>16</v>
      </c>
      <c r="B87" s="467">
        <v>86</v>
      </c>
      <c r="C87" s="467">
        <v>922</v>
      </c>
      <c r="D87" s="468" t="s">
        <v>934</v>
      </c>
      <c r="E87" s="467">
        <v>0</v>
      </c>
      <c r="F87" s="467">
        <v>0</v>
      </c>
      <c r="G87" s="467">
        <v>0</v>
      </c>
      <c r="H87" s="470">
        <v>45358.804120370369</v>
      </c>
      <c r="I87" s="471">
        <v>-0.16400000000000001</v>
      </c>
      <c r="J87" s="467">
        <v>1</v>
      </c>
      <c r="K87" s="468" t="s">
        <v>949</v>
      </c>
    </row>
    <row r="88" spans="1:11">
      <c r="A88" s="468" t="s">
        <v>16</v>
      </c>
      <c r="B88" s="467">
        <v>87</v>
      </c>
      <c r="C88" s="467">
        <v>922</v>
      </c>
      <c r="D88" s="468" t="s">
        <v>934</v>
      </c>
      <c r="E88" s="467">
        <v>0</v>
      </c>
      <c r="F88" s="467">
        <v>0</v>
      </c>
      <c r="G88" s="467">
        <v>0</v>
      </c>
      <c r="H88" s="470">
        <v>45358.805046296293</v>
      </c>
      <c r="I88" s="471">
        <v>-0.124</v>
      </c>
      <c r="J88" s="467">
        <v>1</v>
      </c>
      <c r="K88" s="468" t="s">
        <v>949</v>
      </c>
    </row>
    <row r="89" spans="1:11">
      <c r="A89" s="468" t="s">
        <v>16</v>
      </c>
      <c r="B89" s="467">
        <v>88</v>
      </c>
      <c r="C89" s="467">
        <v>922</v>
      </c>
      <c r="D89" s="468" t="s">
        <v>934</v>
      </c>
      <c r="E89" s="467">
        <v>0</v>
      </c>
      <c r="F89" s="467">
        <v>0</v>
      </c>
      <c r="G89" s="467">
        <v>0</v>
      </c>
      <c r="H89" s="470">
        <v>45358.805972222224</v>
      </c>
      <c r="I89" s="471">
        <v>-0.14599999999999999</v>
      </c>
      <c r="J89" s="467">
        <v>1</v>
      </c>
      <c r="K89" s="468" t="s">
        <v>949</v>
      </c>
    </row>
    <row r="90" spans="1:11">
      <c r="A90" s="468" t="s">
        <v>16</v>
      </c>
      <c r="B90" s="467">
        <v>89</v>
      </c>
      <c r="C90" s="467">
        <v>922</v>
      </c>
      <c r="D90" s="468" t="s">
        <v>934</v>
      </c>
      <c r="E90" s="467">
        <v>0</v>
      </c>
      <c r="F90" s="467">
        <v>0</v>
      </c>
      <c r="G90" s="467">
        <v>0</v>
      </c>
      <c r="H90" s="470">
        <v>45358.806898148148</v>
      </c>
      <c r="I90" s="471">
        <v>-0.189</v>
      </c>
      <c r="J90" s="467">
        <v>1</v>
      </c>
      <c r="K90" s="468" t="s">
        <v>949</v>
      </c>
    </row>
    <row r="91" spans="1:11">
      <c r="A91" s="468" t="s">
        <v>952</v>
      </c>
      <c r="B91" s="467">
        <v>90</v>
      </c>
      <c r="C91" s="467">
        <v>908</v>
      </c>
      <c r="D91" s="468" t="s">
        <v>938</v>
      </c>
      <c r="E91" s="467">
        <v>0</v>
      </c>
      <c r="F91" s="467">
        <v>0</v>
      </c>
      <c r="G91" s="467">
        <v>0</v>
      </c>
      <c r="H91" s="470">
        <v>45358.807824074072</v>
      </c>
      <c r="I91" s="467">
        <v>1.282</v>
      </c>
      <c r="J91" s="467">
        <v>1</v>
      </c>
      <c r="K91" s="467">
        <v>1.282</v>
      </c>
    </row>
    <row r="92" spans="1:11">
      <c r="A92" s="468" t="s">
        <v>928</v>
      </c>
      <c r="B92" s="467">
        <v>91</v>
      </c>
      <c r="C92" s="467">
        <v>0</v>
      </c>
      <c r="D92" s="468" t="s">
        <v>929</v>
      </c>
      <c r="E92" s="467">
        <v>0</v>
      </c>
      <c r="F92" s="467">
        <v>0</v>
      </c>
      <c r="G92" s="467">
        <v>0</v>
      </c>
      <c r="H92" s="470">
        <v>45358.808749999997</v>
      </c>
      <c r="I92" s="471">
        <v>-0.13800000000000001</v>
      </c>
      <c r="J92" s="467">
        <v>1</v>
      </c>
      <c r="K92" s="468" t="s">
        <v>949</v>
      </c>
    </row>
    <row r="93" spans="1:11">
      <c r="A93" s="468" t="s">
        <v>922</v>
      </c>
      <c r="B93" s="467">
        <v>92</v>
      </c>
      <c r="C93" s="467">
        <v>921</v>
      </c>
      <c r="D93" s="468" t="s">
        <v>923</v>
      </c>
      <c r="E93" s="467">
        <v>0</v>
      </c>
      <c r="F93" s="467">
        <v>0</v>
      </c>
      <c r="G93" s="467">
        <v>0</v>
      </c>
      <c r="H93" s="470">
        <v>45358.811527777776</v>
      </c>
      <c r="I93" s="467">
        <v>2.1739999999999999</v>
      </c>
      <c r="J93" s="467">
        <v>1</v>
      </c>
      <c r="K93" s="467">
        <v>2.1739999999999999</v>
      </c>
    </row>
    <row r="94" spans="1:11">
      <c r="A94" s="468" t="s">
        <v>945</v>
      </c>
      <c r="B94" s="467">
        <v>93</v>
      </c>
      <c r="C94" s="467">
        <v>0</v>
      </c>
      <c r="D94" s="468" t="s">
        <v>946</v>
      </c>
      <c r="E94" s="467">
        <v>0</v>
      </c>
      <c r="F94" s="467">
        <v>0</v>
      </c>
      <c r="G94" s="467">
        <v>0</v>
      </c>
      <c r="H94" s="470">
        <v>45358.8124537037</v>
      </c>
      <c r="I94" s="471">
        <v>-0.13800000000000001</v>
      </c>
      <c r="J94" s="467">
        <v>1</v>
      </c>
      <c r="K94" s="468" t="s">
        <v>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TSS</vt:lpstr>
      <vt:lpstr>SS</vt:lpstr>
      <vt:lpstr>Ent</vt:lpstr>
      <vt:lpstr>BOD</vt:lpstr>
      <vt:lpstr>Chlor.a</vt:lpstr>
      <vt:lpstr>Turbidity</vt:lpstr>
      <vt:lpstr>All DIC raw data</vt:lpstr>
      <vt:lpstr>DIC Temperatures</vt:lpstr>
      <vt:lpstr>All TA raw data</vt:lpstr>
      <vt:lpstr>NOx_PO4</vt:lpstr>
      <vt:lpstr>TKN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Travis A Courtney</cp:lastModifiedBy>
  <dcterms:created xsi:type="dcterms:W3CDTF">2023-02-22T17:24:44Z</dcterms:created>
  <dcterms:modified xsi:type="dcterms:W3CDTF">2025-05-27T20:09:17Z</dcterms:modified>
</cp:coreProperties>
</file>