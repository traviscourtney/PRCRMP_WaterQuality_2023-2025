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isACourtney\Downloads\"/>
    </mc:Choice>
  </mc:AlternateContent>
  <xr:revisionPtr revIDLastSave="0" documentId="13_ncr:1_{2F889CC6-911C-4BCA-88CC-46DD0B583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0305_NP1_QCSettings_3CNull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6" i="1"/>
  <c r="J5" i="1"/>
  <c r="I5" i="1"/>
</calcChain>
</file>

<file path=xl/sharedStrings.xml><?xml version="1.0" encoding="utf-8"?>
<sst xmlns="http://schemas.openxmlformats.org/spreadsheetml/2006/main" count="338" uniqueCount="211">
  <si>
    <t>ANAL</t>
  </si>
  <si>
    <t>NOx_PO4.ANL</t>
  </si>
  <si>
    <t xml:space="preserve">RUN </t>
  </si>
  <si>
    <t>240305_NP1_QCSettings_3CNull.RUN</t>
  </si>
  <si>
    <t>DATE</t>
  </si>
  <si>
    <t>3/5/2024</t>
  </si>
  <si>
    <t>TIME</t>
  </si>
  <si>
    <t>6:44:36 PM</t>
  </si>
  <si>
    <t>OPER</t>
  </si>
  <si>
    <t>CLMR</t>
  </si>
  <si>
    <t>COMM</t>
  </si>
  <si>
    <t>Recalculate from Run240305_NP1_QCSettings.run</t>
  </si>
  <si>
    <t>CHAN</t>
  </si>
  <si>
    <t>METH</t>
  </si>
  <si>
    <t>NOx</t>
  </si>
  <si>
    <t>PO4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</si>
  <si>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</si>
  <si>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</si>
  <si>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</si>
  <si>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</si>
  <si>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</si>
  <si>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</si>
  <si>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</si>
  <si>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</si>
  <si>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</si>
  <si>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</si>
  <si>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</si>
  <si>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</si>
  <si>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</si>
  <si>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</si>
  <si>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2</t>
  </si>
  <si>
    <t>Primer</t>
  </si>
  <si>
    <t>PRIM</t>
  </si>
  <si>
    <t>3/5/2024 6:45:24 PM</t>
  </si>
  <si>
    <t>Drift</t>
  </si>
  <si>
    <t>DRIF</t>
  </si>
  <si>
    <t>3/5/2024 6:46:34 PM</t>
  </si>
  <si>
    <t>0.200</t>
  </si>
  <si>
    <t>CALB</t>
  </si>
  <si>
    <t>3/5/2024 6:47:44 PM</t>
  </si>
  <si>
    <t>0.100</t>
  </si>
  <si>
    <t>3/5/2024 6:48:54 PM</t>
  </si>
  <si>
    <t>Cal. (3)</t>
  </si>
  <si>
    <t>3/5/2024 6:50:04 PM</t>
  </si>
  <si>
    <t>0.025</t>
  </si>
  <si>
    <t>3/5/2024 6:51:14 PM</t>
  </si>
  <si>
    <t>0.010</t>
  </si>
  <si>
    <t>3/5/2024 6:52:24 PM</t>
  </si>
  <si>
    <t>0.005</t>
  </si>
  <si>
    <t>3/5/2024 6:53:34 PM</t>
  </si>
  <si>
    <t>Blank</t>
  </si>
  <si>
    <t>3/5/2024 6:54:44 PM</t>
  </si>
  <si>
    <t>Baseline</t>
  </si>
  <si>
    <t>BASL</t>
  </si>
  <si>
    <t>3/5/2024 6:55:54 PM</t>
  </si>
  <si>
    <t>High</t>
  </si>
  <si>
    <t>HIGH</t>
  </si>
  <si>
    <t>3/5/2024 6:59:24 PM</t>
  </si>
  <si>
    <t>Low</t>
  </si>
  <si>
    <t xml:space="preserve">LOW </t>
  </si>
  <si>
    <t>3/5/2024 7:00:34 PM</t>
  </si>
  <si>
    <t>3/5/2024 7:01:44 PM</t>
  </si>
  <si>
    <t>SAMP</t>
  </si>
  <si>
    <t>3/5/2024 7:02:54 PM</t>
  </si>
  <si>
    <t>Blank spiked</t>
  </si>
  <si>
    <t>SPIK</t>
  </si>
  <si>
    <t>3/5/2024 7:04:04 PM</t>
  </si>
  <si>
    <t>CRM NO3</t>
  </si>
  <si>
    <t>QUAL</t>
  </si>
  <si>
    <t>3/5/2024 7:05:14 PM</t>
  </si>
  <si>
    <t>CRM PO4</t>
  </si>
  <si>
    <t>3/5/2024 7:06:24 PM</t>
  </si>
  <si>
    <t>31</t>
  </si>
  <si>
    <t>3/5/2024 7:07:34 PM</t>
  </si>
  <si>
    <t>42</t>
  </si>
  <si>
    <t>3/5/2024 7:08:44 PM</t>
  </si>
  <si>
    <t>75</t>
  </si>
  <si>
    <t>3/5/2024 7:09:54 PM</t>
  </si>
  <si>
    <t>282</t>
  </si>
  <si>
    <t>3/5/2024 7:11:04 PM</t>
  </si>
  <si>
    <t>64</t>
  </si>
  <si>
    <t>3/5/2024 7:12:14 PM</t>
  </si>
  <si>
    <t>20</t>
  </si>
  <si>
    <t>3/5/2024 7:13:24 PM</t>
  </si>
  <si>
    <t>9</t>
  </si>
  <si>
    <t>3/5/2024 7:14:34 PM</t>
  </si>
  <si>
    <t>53</t>
  </si>
  <si>
    <t>3/5/2024 7:15:44 PM</t>
  </si>
  <si>
    <t>152</t>
  </si>
  <si>
    <t>3/5/2024 7:16:54 PM</t>
  </si>
  <si>
    <t>97</t>
  </si>
  <si>
    <t>3/5/2024 7:18:04 PM</t>
  </si>
  <si>
    <t>97 spiked</t>
  </si>
  <si>
    <t>3/5/2024 7:19:14 PM</t>
  </si>
  <si>
    <t>3/5/2024 7:20:24 PM</t>
  </si>
  <si>
    <t>3/5/2024 7:21:34 PM</t>
  </si>
  <si>
    <t>3/5/2024 7:22:44 PM</t>
  </si>
  <si>
    <t>126</t>
  </si>
  <si>
    <t>3/5/2024 7:26:14 PM</t>
  </si>
  <si>
    <t>334</t>
  </si>
  <si>
    <t>3/5/2024 7:27:24 PM</t>
  </si>
  <si>
    <t>243</t>
  </si>
  <si>
    <t>3/5/2024 7:28:34 PM</t>
  </si>
  <si>
    <t>139</t>
  </si>
  <si>
    <t>3/5/2024 7:29:44 PM</t>
  </si>
  <si>
    <t>217</t>
  </si>
  <si>
    <t>3/5/2024 7:30:54 PM</t>
  </si>
  <si>
    <t>191</t>
  </si>
  <si>
    <t>3/5/2024 7:32:04 PM</t>
  </si>
  <si>
    <t>256</t>
  </si>
  <si>
    <t>3/5/2024 7:33:14 PM</t>
  </si>
  <si>
    <t>204</t>
  </si>
  <si>
    <t>3/5/2024 7:34:24 PM</t>
  </si>
  <si>
    <t>269</t>
  </si>
  <si>
    <t>3/5/2024 7:35:34 PM</t>
  </si>
  <si>
    <t>269 spiked</t>
  </si>
  <si>
    <t>3/5/2024 7:36:44 PM</t>
  </si>
  <si>
    <t>3/5/2024 7:37:54 PM</t>
  </si>
  <si>
    <t>3/5/2024 7:39:04 PM</t>
  </si>
  <si>
    <t>3/5/2024 7:40:14 PM</t>
  </si>
  <si>
    <t>321</t>
  </si>
  <si>
    <t>3/5/2024 7:43:44 PM</t>
  </si>
  <si>
    <t>308</t>
  </si>
  <si>
    <t>3/5/2024 7:44:54 PM</t>
  </si>
  <si>
    <t>230</t>
  </si>
  <si>
    <t>3/5/2024 7:46:04 PM</t>
  </si>
  <si>
    <t>360</t>
  </si>
  <si>
    <t>3/5/2024 7:47:14 PM</t>
  </si>
  <si>
    <t>165</t>
  </si>
  <si>
    <t>3/5/2024 7:48:24 PM</t>
  </si>
  <si>
    <t>386</t>
  </si>
  <si>
    <t>3/5/2024 7:49:34 PM</t>
  </si>
  <si>
    <t>399</t>
  </si>
  <si>
    <t>3/5/2024 7:50:44 PM</t>
  </si>
  <si>
    <t>425</t>
  </si>
  <si>
    <t>3/5/2024 7:51:54 PM</t>
  </si>
  <si>
    <t>373</t>
  </si>
  <si>
    <t>3/5/2024 7:53:04 PM</t>
  </si>
  <si>
    <t>347</t>
  </si>
  <si>
    <t>3/5/2024 7:54:14 PM</t>
  </si>
  <si>
    <t>347 spiked</t>
  </si>
  <si>
    <t>3/5/2024 7:55:24 PM</t>
  </si>
  <si>
    <t>3/5/2024 7:56:34 PM</t>
  </si>
  <si>
    <t>3/5/2024 7:57:44 PM</t>
  </si>
  <si>
    <t>3/5/2024 7:58:54 PM</t>
  </si>
  <si>
    <t>438</t>
  </si>
  <si>
    <t>3/5/2024 8:02:24 PM</t>
  </si>
  <si>
    <t>178</t>
  </si>
  <si>
    <t>3/5/2024 8:03:34 PM</t>
  </si>
  <si>
    <t>516</t>
  </si>
  <si>
    <t>3/5/2024 8:04:44 PM</t>
  </si>
  <si>
    <t>503</t>
  </si>
  <si>
    <t>3/5/2024 8:05:54 PM</t>
  </si>
  <si>
    <t>451</t>
  </si>
  <si>
    <t>3/5/2024 8:07:04 PM</t>
  </si>
  <si>
    <t>477</t>
  </si>
  <si>
    <t>3/5/2024 8:08:14 PM</t>
  </si>
  <si>
    <t>555</t>
  </si>
  <si>
    <t>3/5/2024 8:09:24 PM</t>
  </si>
  <si>
    <t>412</t>
  </si>
  <si>
    <t>3/5/2024 8:10:34 PM</t>
  </si>
  <si>
    <t>529</t>
  </si>
  <si>
    <t>3/5/2024 8:11:44 PM</t>
  </si>
  <si>
    <t>568</t>
  </si>
  <si>
    <t>3/5/2024 8:12:54 PM</t>
  </si>
  <si>
    <t>568 spiked</t>
  </si>
  <si>
    <t>3/5/2024 8:14:04 PM</t>
  </si>
  <si>
    <t>3/5/2024 8:15:14 PM</t>
  </si>
  <si>
    <t>3/5/2024 8:16:24 PM</t>
  </si>
  <si>
    <t>3/5/2024 8:17:34 PM</t>
  </si>
  <si>
    <t>633</t>
  </si>
  <si>
    <t>3/5/2024 8:21:04 PM</t>
  </si>
  <si>
    <t>594</t>
  </si>
  <si>
    <t>3/5/2024 8:22:14 PM</t>
  </si>
  <si>
    <t>620</t>
  </si>
  <si>
    <t>3/5/2024 8:23:24 PM</t>
  </si>
  <si>
    <t>542</t>
  </si>
  <si>
    <t>3/5/2024 8:24:34 PM</t>
  </si>
  <si>
    <t>295</t>
  </si>
  <si>
    <t>3/5/2024 8:25:44 PM</t>
  </si>
  <si>
    <t>490</t>
  </si>
  <si>
    <t>3/5/2024 8:26:54 PM</t>
  </si>
  <si>
    <t>581</t>
  </si>
  <si>
    <t>3/5/2024 8:28:04 PM</t>
  </si>
  <si>
    <t>86</t>
  </si>
  <si>
    <t>3/5/2024 8:29:14 PM</t>
  </si>
  <si>
    <t>86 spiked</t>
  </si>
  <si>
    <t>3/5/2024 8:30:24 PM</t>
  </si>
  <si>
    <t>3/5/2024 8:31:34 PM</t>
  </si>
  <si>
    <t>3/5/2024 8:32:44 PM</t>
  </si>
  <si>
    <t>3/5/2024 8:33:54 PM</t>
  </si>
  <si>
    <t>3/5/2024 8:37:24 PM</t>
  </si>
  <si>
    <t>3/5/2024 8:38:34 PM</t>
  </si>
  <si>
    <t>3/5/2024 8:39:44 PM</t>
  </si>
  <si>
    <t>3/5/2024 8:40:54 PM</t>
  </si>
  <si>
    <t>3/5/2024 8:42:04 PM</t>
  </si>
  <si>
    <t>3/5/2024 8:43:14 PM</t>
  </si>
  <si>
    <t>3/5/2024 8:44:24 PM</t>
  </si>
  <si>
    <t>3/5/2024 8:45:34 PM</t>
  </si>
  <si>
    <t>3/5/2024 8:46:44 PM</t>
  </si>
  <si>
    <t>3/5/2024 8:47:54 PM</t>
  </si>
  <si>
    <t>3/5/2024 8:49:04 PM</t>
  </si>
  <si>
    <t>3/5/2024 8:50:14 PM</t>
  </si>
  <si>
    <t>3/5/2024 8:51:24 PM</t>
  </si>
  <si>
    <t>3/5/2024 8:54:54 PM</t>
  </si>
  <si>
    <t>End</t>
  </si>
  <si>
    <t xml:space="preserve">END </t>
  </si>
  <si>
    <t>3/5/2024 8:56:04 PM</t>
  </si>
  <si>
    <t>LOD</t>
  </si>
  <si>
    <t>NOx_LOD</t>
  </si>
  <si>
    <t>PO4_LOD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</si>
</sst>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8" fillId="4" borderId="10" xfId="8" applyBorder="1"/>
    <xf numFmtId="0" fontId="8" fillId="4" borderId="11" xfId="8" applyBorder="1"/>
    <xf numFmtId="0" fontId="8" fillId="4" borderId="12" xfId="8" applyBorder="1"/>
    <xf numFmtId="0" fontId="8" fillId="4" borderId="13" xfId="8" applyBorder="1"/>
    <xf numFmtId="0" fontId="8" fillId="4" borderId="14" xfId="8" applyBorder="1"/>
    <xf numFmtId="0" fontId="8" fillId="4" borderId="15" xfId="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4"/>
  <sheetViews>
    <sheetView tabSelected="1" workbookViewId="0">
      <selection activeCell="A15" sqref="A15:M114"/>
    </sheetView>
  </sheetViews>
  <sheetFormatPr defaultRowHeight="15" x14ac:dyDescent="0.25"/>
  <sheetData>
    <row r="2" spans="1:13" x14ac:dyDescent="0.25">
      <c r="A2" t="s">
        <v>0</v>
      </c>
      <c r="B2" t="s">
        <v>1</v>
      </c>
    </row>
    <row r="3" spans="1:13" ht="15.75" thickBot="1" x14ac:dyDescent="0.3">
      <c r="A3" t="s">
        <v>2</v>
      </c>
      <c r="B3" t="s">
        <v>3</v>
      </c>
    </row>
    <row r="4" spans="1:13" x14ac:dyDescent="0.25">
      <c r="A4" t="s">
        <v>4</v>
      </c>
      <c r="B4" t="s">
        <v>5</v>
      </c>
      <c r="H4" s="3"/>
      <c r="I4" s="4" t="s">
        <v>14</v>
      </c>
      <c r="J4" s="5" t="s">
        <v>15</v>
      </c>
    </row>
    <row r="5" spans="1:13" ht="15.75" thickBot="1" x14ac:dyDescent="0.3">
      <c r="A5" t="s">
        <v>6</v>
      </c>
      <c r="B5" t="s">
        <v>7</v>
      </c>
      <c r="H5" s="6" t="s">
        <v>208</v>
      </c>
      <c r="I5" s="7">
        <f>STDEV(I100:I109)*2.821+AVERAGE(I100:I109)</f>
        <v>2.981516565178166E-3</v>
      </c>
      <c r="J5" s="8">
        <f>STDEV(J100:J109)*2.821+AVERAGE(J100:J109)</f>
        <v>5.6626724600333479E-3</v>
      </c>
    </row>
    <row r="6" spans="1:13" x14ac:dyDescent="0.25">
      <c r="A6" t="s">
        <v>8</v>
      </c>
      <c r="B6" t="s">
        <v>9</v>
      </c>
    </row>
    <row r="7" spans="1:13" x14ac:dyDescent="0.25">
      <c r="A7" t="s">
        <v>10</v>
      </c>
      <c r="B7" t="s">
        <v>11</v>
      </c>
    </row>
    <row r="8" spans="1:13" x14ac:dyDescent="0.25">
      <c r="A8" t="s">
        <v>12</v>
      </c>
      <c r="B8">
        <v>1</v>
      </c>
      <c r="C8">
        <v>3</v>
      </c>
      <c r="D8">
        <v>2</v>
      </c>
    </row>
    <row r="9" spans="1:13" x14ac:dyDescent="0.25">
      <c r="A9" t="s">
        <v>13</v>
      </c>
      <c r="B9" s="1" t="s">
        <v>14</v>
      </c>
      <c r="C9" s="1" t="s">
        <v>15</v>
      </c>
      <c r="D9" s="1" t="s">
        <v>16</v>
      </c>
    </row>
    <row r="10" spans="1:13" x14ac:dyDescent="0.25">
      <c r="A10" t="s">
        <v>17</v>
      </c>
      <c r="B10" s="1" t="s">
        <v>18</v>
      </c>
      <c r="C10" s="1" t="s">
        <v>18</v>
      </c>
      <c r="D10" s="1" t="s">
        <v>18</v>
      </c>
    </row>
    <row r="11" spans="1:13" x14ac:dyDescent="0.25">
      <c r="A11" t="s">
        <v>19</v>
      </c>
      <c r="B11">
        <v>320</v>
      </c>
      <c r="C11">
        <v>5005</v>
      </c>
    </row>
    <row r="12" spans="1:13" x14ac:dyDescent="0.25">
      <c r="A12" t="s">
        <v>20</v>
      </c>
      <c r="J12">
        <v>25</v>
      </c>
      <c r="K12">
        <v>105</v>
      </c>
    </row>
    <row r="13" spans="1:13" x14ac:dyDescent="0.25">
      <c r="A13" t="s">
        <v>21</v>
      </c>
      <c r="B13" s="1" t="s">
        <v>22</v>
      </c>
      <c r="C13" s="1" t="s">
        <v>22</v>
      </c>
    </row>
    <row r="14" spans="1:13" x14ac:dyDescent="0.25">
      <c r="A14" t="s">
        <v>23</v>
      </c>
      <c r="B14" s="2">
        <v>0.99990000000000001</v>
      </c>
      <c r="C14" s="2">
        <v>0.99990000000000001</v>
      </c>
    </row>
    <row r="15" spans="1:13" x14ac:dyDescent="0.25">
      <c r="A15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H15" s="1" t="s">
        <v>29</v>
      </c>
      <c r="I15" s="1" t="s">
        <v>14</v>
      </c>
      <c r="J15" s="1" t="s">
        <v>15</v>
      </c>
      <c r="K15" s="1" t="s">
        <v>30</v>
      </c>
      <c r="L15" t="s">
        <v>209</v>
      </c>
      <c r="M15" t="s">
        <v>210</v>
      </c>
    </row>
    <row r="16" spans="1:13" x14ac:dyDescent="0.25">
      <c r="A16" t="s">
        <v>31</v>
      </c>
      <c r="B16">
        <v>1</v>
      </c>
      <c r="C16">
        <v>921</v>
      </c>
      <c r="D16" t="s">
        <v>32</v>
      </c>
      <c r="E16">
        <v>0</v>
      </c>
      <c r="F16">
        <v>0</v>
      </c>
      <c r="G16">
        <v>0</v>
      </c>
      <c r="H16" s="1" t="s">
        <v>33</v>
      </c>
      <c r="I16">
        <v>0.2</v>
      </c>
      <c r="J16">
        <v>0.19800000000000001</v>
      </c>
      <c r="K16">
        <v>1</v>
      </c>
      <c r="L16">
        <f>IF(I16&lt;=$I$5,"&lt;0.003",I16)</f>
        <v>0.2</v>
      </c>
      <c r="M16">
        <f>IF(J16&lt;=$J$5,"&lt;0.006",J16)</f>
        <v>0.19800000000000001</v>
      </c>
    </row>
    <row r="17" spans="1:13" x14ac:dyDescent="0.25">
      <c r="A17" t="s">
        <v>34</v>
      </c>
      <c r="B17">
        <v>2</v>
      </c>
      <c r="C17">
        <v>921</v>
      </c>
      <c r="D17" t="s">
        <v>35</v>
      </c>
      <c r="E17">
        <v>0</v>
      </c>
      <c r="F17">
        <v>0</v>
      </c>
      <c r="G17">
        <v>0</v>
      </c>
      <c r="H17" s="1" t="s">
        <v>36</v>
      </c>
      <c r="I17">
        <v>0.19900000000000001</v>
      </c>
      <c r="J17">
        <v>0.19900000000000001</v>
      </c>
      <c r="K17">
        <v>1</v>
      </c>
      <c r="L17">
        <f t="shared" ref="L17:L80" si="0">IF(I17&lt;=$I$5,"&lt;0.003",I17)</f>
        <v>0.19900000000000001</v>
      </c>
      <c r="M17">
        <f t="shared" ref="M17:M80" si="1">IF(J17&lt;=$J$5,"&lt;0.006",J17)</f>
        <v>0.19900000000000001</v>
      </c>
    </row>
    <row r="18" spans="1:13" x14ac:dyDescent="0.25">
      <c r="A18" t="s">
        <v>37</v>
      </c>
      <c r="B18">
        <v>3</v>
      </c>
      <c r="C18">
        <v>921</v>
      </c>
      <c r="D18" t="s">
        <v>38</v>
      </c>
      <c r="E18">
        <v>0</v>
      </c>
      <c r="F18">
        <v>0</v>
      </c>
      <c r="G18">
        <v>0</v>
      </c>
      <c r="H18" s="1" t="s">
        <v>39</v>
      </c>
      <c r="I18">
        <v>0.2</v>
      </c>
      <c r="J18">
        <v>0.19900000000000001</v>
      </c>
      <c r="K18">
        <v>1</v>
      </c>
      <c r="L18">
        <f t="shared" si="0"/>
        <v>0.2</v>
      </c>
      <c r="M18">
        <f t="shared" si="1"/>
        <v>0.19900000000000001</v>
      </c>
    </row>
    <row r="19" spans="1:13" x14ac:dyDescent="0.25">
      <c r="A19" t="s">
        <v>40</v>
      </c>
      <c r="B19">
        <v>4</v>
      </c>
      <c r="C19">
        <v>901</v>
      </c>
      <c r="D19" t="s">
        <v>38</v>
      </c>
      <c r="E19">
        <v>0</v>
      </c>
      <c r="F19">
        <v>0</v>
      </c>
      <c r="G19">
        <v>0</v>
      </c>
      <c r="H19" s="1" t="s">
        <v>41</v>
      </c>
      <c r="I19">
        <v>0.1</v>
      </c>
      <c r="J19">
        <v>0.10100000000000001</v>
      </c>
      <c r="K19">
        <v>1</v>
      </c>
      <c r="L19">
        <f t="shared" si="0"/>
        <v>0.1</v>
      </c>
      <c r="M19">
        <f t="shared" si="1"/>
        <v>0.10100000000000001</v>
      </c>
    </row>
    <row r="20" spans="1:13" x14ac:dyDescent="0.25">
      <c r="A20" t="s">
        <v>42</v>
      </c>
      <c r="B20">
        <v>5</v>
      </c>
      <c r="C20">
        <v>0</v>
      </c>
      <c r="D20" t="s">
        <v>38</v>
      </c>
      <c r="E20">
        <v>0</v>
      </c>
      <c r="F20">
        <v>0</v>
      </c>
      <c r="G20">
        <v>0</v>
      </c>
      <c r="H20" s="1" t="s">
        <v>43</v>
      </c>
      <c r="I20">
        <v>9.6000000000000002E-2</v>
      </c>
      <c r="J20">
        <v>5.0999999999999997E-2</v>
      </c>
      <c r="K20">
        <v>1</v>
      </c>
      <c r="L20">
        <f t="shared" si="0"/>
        <v>9.6000000000000002E-2</v>
      </c>
      <c r="M20">
        <f t="shared" si="1"/>
        <v>5.0999999999999997E-2</v>
      </c>
    </row>
    <row r="21" spans="1:13" x14ac:dyDescent="0.25">
      <c r="A21" t="s">
        <v>44</v>
      </c>
      <c r="B21">
        <v>6</v>
      </c>
      <c r="C21">
        <v>903</v>
      </c>
      <c r="D21" t="s">
        <v>38</v>
      </c>
      <c r="E21">
        <v>0</v>
      </c>
      <c r="F21">
        <v>0</v>
      </c>
      <c r="G21">
        <v>0</v>
      </c>
      <c r="H21" s="1" t="s">
        <v>45</v>
      </c>
      <c r="I21">
        <v>2.5000000000000001E-2</v>
      </c>
      <c r="J21">
        <v>2.7E-2</v>
      </c>
      <c r="K21">
        <v>1</v>
      </c>
      <c r="L21">
        <f t="shared" si="0"/>
        <v>2.5000000000000001E-2</v>
      </c>
      <c r="M21">
        <f t="shared" si="1"/>
        <v>2.7E-2</v>
      </c>
    </row>
    <row r="22" spans="1:13" x14ac:dyDescent="0.25">
      <c r="A22" t="s">
        <v>46</v>
      </c>
      <c r="B22">
        <v>7</v>
      </c>
      <c r="C22">
        <v>904</v>
      </c>
      <c r="D22" t="s">
        <v>38</v>
      </c>
      <c r="E22">
        <v>0</v>
      </c>
      <c r="F22">
        <v>0</v>
      </c>
      <c r="G22">
        <v>0</v>
      </c>
      <c r="H22" s="1" t="s">
        <v>47</v>
      </c>
      <c r="I22">
        <v>1.0999999999999999E-2</v>
      </c>
      <c r="J22">
        <v>8.9999999999999993E-3</v>
      </c>
      <c r="K22">
        <v>1</v>
      </c>
      <c r="L22">
        <f t="shared" si="0"/>
        <v>1.0999999999999999E-2</v>
      </c>
      <c r="M22">
        <f t="shared" si="1"/>
        <v>8.9999999999999993E-3</v>
      </c>
    </row>
    <row r="23" spans="1:13" x14ac:dyDescent="0.25">
      <c r="A23" t="s">
        <v>48</v>
      </c>
      <c r="B23">
        <v>8</v>
      </c>
      <c r="C23">
        <v>905</v>
      </c>
      <c r="D23" t="s">
        <v>38</v>
      </c>
      <c r="E23">
        <v>0</v>
      </c>
      <c r="F23">
        <v>0</v>
      </c>
      <c r="G23">
        <v>0</v>
      </c>
      <c r="H23" s="1" t="s">
        <v>49</v>
      </c>
      <c r="I23">
        <v>6.0000000000000001E-3</v>
      </c>
      <c r="J23">
        <v>4.0000000000000001E-3</v>
      </c>
      <c r="K23">
        <v>1</v>
      </c>
      <c r="L23">
        <f t="shared" si="0"/>
        <v>6.0000000000000001E-3</v>
      </c>
      <c r="M23" t="str">
        <f t="shared" si="1"/>
        <v>&lt;0.006</v>
      </c>
    </row>
    <row r="24" spans="1:13" x14ac:dyDescent="0.25">
      <c r="A24" t="s">
        <v>50</v>
      </c>
      <c r="B24">
        <v>9</v>
      </c>
      <c r="C24">
        <v>906</v>
      </c>
      <c r="D24" t="s">
        <v>38</v>
      </c>
      <c r="E24">
        <v>0</v>
      </c>
      <c r="F24">
        <v>0</v>
      </c>
      <c r="G24">
        <v>0</v>
      </c>
      <c r="H24" s="1" t="s">
        <v>51</v>
      </c>
      <c r="I24">
        <v>-2E-3</v>
      </c>
      <c r="J24">
        <v>-1E-3</v>
      </c>
      <c r="K24">
        <v>1</v>
      </c>
      <c r="L24" t="str">
        <f t="shared" si="0"/>
        <v>&lt;0.003</v>
      </c>
      <c r="M24" t="str">
        <f t="shared" si="1"/>
        <v>&lt;0.006</v>
      </c>
    </row>
    <row r="25" spans="1:13" x14ac:dyDescent="0.25">
      <c r="A25" t="s">
        <v>52</v>
      </c>
      <c r="B25">
        <v>10</v>
      </c>
      <c r="C25">
        <v>0</v>
      </c>
      <c r="D25" t="s">
        <v>53</v>
      </c>
      <c r="E25">
        <v>0</v>
      </c>
      <c r="F25">
        <v>0</v>
      </c>
      <c r="G25">
        <v>0</v>
      </c>
      <c r="H25" s="1" t="s">
        <v>54</v>
      </c>
      <c r="I25">
        <v>-2E-3</v>
      </c>
      <c r="J25">
        <v>5.0000000000000001E-3</v>
      </c>
      <c r="K25">
        <v>1</v>
      </c>
      <c r="L25" t="str">
        <f t="shared" si="0"/>
        <v>&lt;0.003</v>
      </c>
      <c r="M25" t="str">
        <f t="shared" si="1"/>
        <v>&lt;0.006</v>
      </c>
    </row>
    <row r="26" spans="1:13" x14ac:dyDescent="0.25">
      <c r="A26" t="s">
        <v>55</v>
      </c>
      <c r="B26">
        <v>11</v>
      </c>
      <c r="C26">
        <v>921</v>
      </c>
      <c r="D26" t="s">
        <v>56</v>
      </c>
      <c r="E26">
        <v>0</v>
      </c>
      <c r="F26">
        <v>1</v>
      </c>
      <c r="G26">
        <v>1</v>
      </c>
      <c r="H26" s="1" t="s">
        <v>57</v>
      </c>
      <c r="I26">
        <v>0.2</v>
      </c>
      <c r="J26">
        <v>0.19800000000000001</v>
      </c>
      <c r="K26">
        <v>1</v>
      </c>
      <c r="L26">
        <f t="shared" si="0"/>
        <v>0.2</v>
      </c>
      <c r="M26">
        <f t="shared" si="1"/>
        <v>0.19800000000000001</v>
      </c>
    </row>
    <row r="27" spans="1:13" x14ac:dyDescent="0.25">
      <c r="A27" t="s">
        <v>58</v>
      </c>
      <c r="B27">
        <v>12</v>
      </c>
      <c r="C27">
        <v>905</v>
      </c>
      <c r="D27" t="s">
        <v>59</v>
      </c>
      <c r="E27">
        <v>0</v>
      </c>
      <c r="F27">
        <v>1</v>
      </c>
      <c r="G27">
        <v>2</v>
      </c>
      <c r="H27" s="1" t="s">
        <v>60</v>
      </c>
      <c r="I27">
        <v>6.0000000000000001E-3</v>
      </c>
      <c r="J27">
        <v>4.0000000000000001E-3</v>
      </c>
      <c r="K27">
        <v>1</v>
      </c>
      <c r="L27">
        <f t="shared" si="0"/>
        <v>6.0000000000000001E-3</v>
      </c>
      <c r="M27" t="str">
        <f t="shared" si="1"/>
        <v>&lt;0.006</v>
      </c>
    </row>
    <row r="28" spans="1:13" x14ac:dyDescent="0.25">
      <c r="A28" t="s">
        <v>58</v>
      </c>
      <c r="B28">
        <v>13</v>
      </c>
      <c r="C28">
        <v>905</v>
      </c>
      <c r="D28" t="s">
        <v>59</v>
      </c>
      <c r="E28">
        <v>0</v>
      </c>
      <c r="F28">
        <v>1</v>
      </c>
      <c r="G28">
        <v>3</v>
      </c>
      <c r="H28" s="1" t="s">
        <v>61</v>
      </c>
      <c r="I28">
        <v>6.0000000000000001E-3</v>
      </c>
      <c r="J28">
        <v>4.0000000000000001E-3</v>
      </c>
      <c r="K28">
        <v>1</v>
      </c>
      <c r="L28">
        <f t="shared" si="0"/>
        <v>6.0000000000000001E-3</v>
      </c>
      <c r="M28" t="str">
        <f t="shared" si="1"/>
        <v>&lt;0.006</v>
      </c>
    </row>
    <row r="29" spans="1:13" x14ac:dyDescent="0.25">
      <c r="A29" t="s">
        <v>50</v>
      </c>
      <c r="B29">
        <v>14</v>
      </c>
      <c r="C29">
        <v>906</v>
      </c>
      <c r="D29" t="s">
        <v>62</v>
      </c>
      <c r="E29">
        <v>0</v>
      </c>
      <c r="F29">
        <v>0</v>
      </c>
      <c r="G29">
        <v>0</v>
      </c>
      <c r="H29" s="1" t="s">
        <v>63</v>
      </c>
      <c r="I29">
        <v>-1E-3</v>
      </c>
      <c r="J29">
        <v>-1E-3</v>
      </c>
      <c r="K29">
        <v>1</v>
      </c>
      <c r="L29" t="str">
        <f t="shared" si="0"/>
        <v>&lt;0.003</v>
      </c>
      <c r="M29" t="str">
        <f t="shared" si="1"/>
        <v>&lt;0.006</v>
      </c>
    </row>
    <row r="30" spans="1:13" x14ac:dyDescent="0.25">
      <c r="A30" t="s">
        <v>64</v>
      </c>
      <c r="B30">
        <v>15</v>
      </c>
      <c r="C30">
        <v>907</v>
      </c>
      <c r="D30" t="s">
        <v>65</v>
      </c>
      <c r="E30">
        <v>0</v>
      </c>
      <c r="F30">
        <v>0</v>
      </c>
      <c r="G30">
        <v>1</v>
      </c>
      <c r="H30" s="1" t="s">
        <v>66</v>
      </c>
      <c r="I30">
        <v>0.14399999999999999</v>
      </c>
      <c r="J30">
        <v>0.14399999999999999</v>
      </c>
      <c r="K30">
        <v>1</v>
      </c>
      <c r="L30">
        <f t="shared" si="0"/>
        <v>0.14399999999999999</v>
      </c>
      <c r="M30">
        <f t="shared" si="1"/>
        <v>0.14399999999999999</v>
      </c>
    </row>
    <row r="31" spans="1:13" x14ac:dyDescent="0.25">
      <c r="A31" t="s">
        <v>67</v>
      </c>
      <c r="B31">
        <v>16</v>
      </c>
      <c r="C31">
        <v>908</v>
      </c>
      <c r="D31" t="s">
        <v>68</v>
      </c>
      <c r="E31">
        <v>0</v>
      </c>
      <c r="F31">
        <v>0</v>
      </c>
      <c r="G31">
        <v>0</v>
      </c>
      <c r="H31" s="1" t="s">
        <v>69</v>
      </c>
      <c r="I31">
        <v>0.13300000000000001</v>
      </c>
      <c r="J31">
        <v>2.9000000000000001E-2</v>
      </c>
      <c r="K31">
        <v>1</v>
      </c>
      <c r="L31">
        <f t="shared" si="0"/>
        <v>0.13300000000000001</v>
      </c>
      <c r="M31">
        <f t="shared" si="1"/>
        <v>2.9000000000000001E-2</v>
      </c>
    </row>
    <row r="32" spans="1:13" x14ac:dyDescent="0.25">
      <c r="A32" t="s">
        <v>70</v>
      </c>
      <c r="B32">
        <v>17</v>
      </c>
      <c r="C32">
        <v>909</v>
      </c>
      <c r="D32" t="s">
        <v>68</v>
      </c>
      <c r="E32">
        <v>0</v>
      </c>
      <c r="F32">
        <v>0</v>
      </c>
      <c r="G32">
        <v>0</v>
      </c>
      <c r="H32" s="1" t="s">
        <v>71</v>
      </c>
      <c r="I32">
        <v>3.5999999999999997E-2</v>
      </c>
      <c r="J32">
        <v>8.0000000000000002E-3</v>
      </c>
      <c r="K32">
        <v>1</v>
      </c>
      <c r="L32">
        <f t="shared" si="0"/>
        <v>3.5999999999999997E-2</v>
      </c>
      <c r="M32">
        <f t="shared" si="1"/>
        <v>8.0000000000000002E-3</v>
      </c>
    </row>
    <row r="33" spans="1:13" x14ac:dyDescent="0.25">
      <c r="A33" t="s">
        <v>72</v>
      </c>
      <c r="B33">
        <v>18</v>
      </c>
      <c r="C33">
        <v>1</v>
      </c>
      <c r="D33" t="s">
        <v>62</v>
      </c>
      <c r="E33">
        <v>0</v>
      </c>
      <c r="F33">
        <v>0</v>
      </c>
      <c r="G33">
        <v>0</v>
      </c>
      <c r="H33" s="1" t="s">
        <v>73</v>
      </c>
      <c r="I33">
        <v>-3.0000000000000001E-3</v>
      </c>
      <c r="J33">
        <v>5.0000000000000001E-3</v>
      </c>
      <c r="K33">
        <v>1</v>
      </c>
      <c r="L33" t="str">
        <f t="shared" si="0"/>
        <v>&lt;0.003</v>
      </c>
      <c r="M33" t="str">
        <f t="shared" si="1"/>
        <v>&lt;0.006</v>
      </c>
    </row>
    <row r="34" spans="1:13" x14ac:dyDescent="0.25">
      <c r="A34" t="s">
        <v>74</v>
      </c>
      <c r="B34">
        <v>19</v>
      </c>
      <c r="C34">
        <v>2</v>
      </c>
      <c r="D34" t="s">
        <v>62</v>
      </c>
      <c r="E34">
        <v>0</v>
      </c>
      <c r="F34">
        <v>0</v>
      </c>
      <c r="G34">
        <v>0</v>
      </c>
      <c r="H34" s="1" t="s">
        <v>75</v>
      </c>
      <c r="I34">
        <v>7.0000000000000001E-3</v>
      </c>
      <c r="J34">
        <v>1E-3</v>
      </c>
      <c r="K34">
        <v>1</v>
      </c>
      <c r="L34">
        <f t="shared" si="0"/>
        <v>7.0000000000000001E-3</v>
      </c>
      <c r="M34" t="str">
        <f t="shared" si="1"/>
        <v>&lt;0.006</v>
      </c>
    </row>
    <row r="35" spans="1:13" x14ac:dyDescent="0.25">
      <c r="A35" t="s">
        <v>76</v>
      </c>
      <c r="B35">
        <v>20</v>
      </c>
      <c r="C35">
        <v>3</v>
      </c>
      <c r="D35" t="s">
        <v>62</v>
      </c>
      <c r="E35">
        <v>0</v>
      </c>
      <c r="F35">
        <v>0</v>
      </c>
      <c r="G35">
        <v>0</v>
      </c>
      <c r="H35" s="1" t="s">
        <v>77</v>
      </c>
      <c r="I35">
        <v>1.4E-2</v>
      </c>
      <c r="J35">
        <v>1E-3</v>
      </c>
      <c r="K35">
        <v>1</v>
      </c>
      <c r="L35">
        <f t="shared" si="0"/>
        <v>1.4E-2</v>
      </c>
      <c r="M35" t="str">
        <f t="shared" si="1"/>
        <v>&lt;0.006</v>
      </c>
    </row>
    <row r="36" spans="1:13" x14ac:dyDescent="0.25">
      <c r="A36" t="s">
        <v>78</v>
      </c>
      <c r="B36">
        <v>21</v>
      </c>
      <c r="C36">
        <v>4</v>
      </c>
      <c r="D36" t="s">
        <v>62</v>
      </c>
      <c r="E36">
        <v>0</v>
      </c>
      <c r="F36">
        <v>0</v>
      </c>
      <c r="G36">
        <v>0</v>
      </c>
      <c r="H36" s="1" t="s">
        <v>79</v>
      </c>
      <c r="I36">
        <v>4.0000000000000001E-3</v>
      </c>
      <c r="J36">
        <v>3.0000000000000001E-3</v>
      </c>
      <c r="K36">
        <v>1</v>
      </c>
      <c r="L36">
        <f t="shared" si="0"/>
        <v>4.0000000000000001E-3</v>
      </c>
      <c r="M36" t="str">
        <f t="shared" si="1"/>
        <v>&lt;0.006</v>
      </c>
    </row>
    <row r="37" spans="1:13" x14ac:dyDescent="0.25">
      <c r="A37" t="s">
        <v>80</v>
      </c>
      <c r="B37">
        <v>22</v>
      </c>
      <c r="C37">
        <v>5</v>
      </c>
      <c r="D37" t="s">
        <v>62</v>
      </c>
      <c r="E37">
        <v>0</v>
      </c>
      <c r="F37">
        <v>0</v>
      </c>
      <c r="G37">
        <v>0</v>
      </c>
      <c r="H37" s="1" t="s">
        <v>81</v>
      </c>
      <c r="I37">
        <v>-2E-3</v>
      </c>
      <c r="J37">
        <v>1E-3</v>
      </c>
      <c r="K37">
        <v>1</v>
      </c>
      <c r="L37" t="str">
        <f t="shared" si="0"/>
        <v>&lt;0.003</v>
      </c>
      <c r="M37" t="str">
        <f t="shared" si="1"/>
        <v>&lt;0.006</v>
      </c>
    </row>
    <row r="38" spans="1:13" x14ac:dyDescent="0.25">
      <c r="A38" t="s">
        <v>82</v>
      </c>
      <c r="B38">
        <v>23</v>
      </c>
      <c r="C38">
        <v>6</v>
      </c>
      <c r="D38" t="s">
        <v>62</v>
      </c>
      <c r="E38">
        <v>0</v>
      </c>
      <c r="F38">
        <v>0</v>
      </c>
      <c r="G38">
        <v>0</v>
      </c>
      <c r="H38" s="1" t="s">
        <v>83</v>
      </c>
      <c r="I38">
        <v>4.0000000000000001E-3</v>
      </c>
      <c r="J38">
        <v>1E-3</v>
      </c>
      <c r="K38">
        <v>1</v>
      </c>
      <c r="L38">
        <f t="shared" si="0"/>
        <v>4.0000000000000001E-3</v>
      </c>
      <c r="M38" t="str">
        <f t="shared" si="1"/>
        <v>&lt;0.006</v>
      </c>
    </row>
    <row r="39" spans="1:13" x14ac:dyDescent="0.25">
      <c r="A39" t="s">
        <v>84</v>
      </c>
      <c r="B39">
        <v>24</v>
      </c>
      <c r="C39">
        <v>7</v>
      </c>
      <c r="D39" t="s">
        <v>62</v>
      </c>
      <c r="E39">
        <v>0</v>
      </c>
      <c r="F39">
        <v>0</v>
      </c>
      <c r="G39">
        <v>0</v>
      </c>
      <c r="H39" s="1" t="s">
        <v>85</v>
      </c>
      <c r="I39">
        <v>5.0000000000000001E-3</v>
      </c>
      <c r="J39">
        <v>1E-3</v>
      </c>
      <c r="K39">
        <v>1</v>
      </c>
      <c r="L39">
        <f t="shared" si="0"/>
        <v>5.0000000000000001E-3</v>
      </c>
      <c r="M39" t="str">
        <f t="shared" si="1"/>
        <v>&lt;0.006</v>
      </c>
    </row>
    <row r="40" spans="1:13" x14ac:dyDescent="0.25">
      <c r="A40" t="s">
        <v>86</v>
      </c>
      <c r="B40">
        <v>25</v>
      </c>
      <c r="C40">
        <v>8</v>
      </c>
      <c r="D40" t="s">
        <v>62</v>
      </c>
      <c r="E40">
        <v>0</v>
      </c>
      <c r="F40">
        <v>0</v>
      </c>
      <c r="G40">
        <v>0</v>
      </c>
      <c r="H40" s="1" t="s">
        <v>87</v>
      </c>
      <c r="I40">
        <v>-1E-3</v>
      </c>
      <c r="J40">
        <v>1E-3</v>
      </c>
      <c r="K40">
        <v>1</v>
      </c>
      <c r="L40" t="str">
        <f t="shared" si="0"/>
        <v>&lt;0.003</v>
      </c>
      <c r="M40" t="str">
        <f t="shared" si="1"/>
        <v>&lt;0.006</v>
      </c>
    </row>
    <row r="41" spans="1:13" x14ac:dyDescent="0.25">
      <c r="A41" t="s">
        <v>88</v>
      </c>
      <c r="B41">
        <v>26</v>
      </c>
      <c r="C41">
        <v>9</v>
      </c>
      <c r="D41" t="s">
        <v>62</v>
      </c>
      <c r="E41">
        <v>0</v>
      </c>
      <c r="F41">
        <v>0</v>
      </c>
      <c r="G41">
        <v>0</v>
      </c>
      <c r="H41" s="1" t="s">
        <v>89</v>
      </c>
      <c r="I41">
        <v>2E-3</v>
      </c>
      <c r="J41">
        <v>1E-3</v>
      </c>
      <c r="K41">
        <v>1</v>
      </c>
      <c r="L41" t="str">
        <f t="shared" si="0"/>
        <v>&lt;0.003</v>
      </c>
      <c r="M41" t="str">
        <f t="shared" si="1"/>
        <v>&lt;0.006</v>
      </c>
    </row>
    <row r="42" spans="1:13" x14ac:dyDescent="0.25">
      <c r="A42" t="s">
        <v>90</v>
      </c>
      <c r="B42">
        <v>27</v>
      </c>
      <c r="C42">
        <v>10</v>
      </c>
      <c r="D42" t="s">
        <v>62</v>
      </c>
      <c r="E42">
        <v>0</v>
      </c>
      <c r="F42">
        <v>0</v>
      </c>
      <c r="G42">
        <v>0</v>
      </c>
      <c r="H42" s="1" t="s">
        <v>91</v>
      </c>
      <c r="I42">
        <v>-2E-3</v>
      </c>
      <c r="J42">
        <v>1E-3</v>
      </c>
      <c r="K42">
        <v>1</v>
      </c>
      <c r="L42" t="str">
        <f t="shared" si="0"/>
        <v>&lt;0.003</v>
      </c>
      <c r="M42" t="str">
        <f t="shared" si="1"/>
        <v>&lt;0.006</v>
      </c>
    </row>
    <row r="43" spans="1:13" x14ac:dyDescent="0.25">
      <c r="A43" t="s">
        <v>92</v>
      </c>
      <c r="B43">
        <v>28</v>
      </c>
      <c r="C43">
        <v>11</v>
      </c>
      <c r="D43" t="s">
        <v>65</v>
      </c>
      <c r="E43">
        <v>0</v>
      </c>
      <c r="F43">
        <v>0</v>
      </c>
      <c r="G43">
        <v>1</v>
      </c>
      <c r="H43" s="1" t="s">
        <v>93</v>
      </c>
      <c r="I43">
        <v>4.3999999999999997E-2</v>
      </c>
      <c r="J43">
        <v>0.15</v>
      </c>
      <c r="K43">
        <v>1</v>
      </c>
      <c r="L43">
        <f t="shared" si="0"/>
        <v>4.3999999999999997E-2</v>
      </c>
      <c r="M43">
        <f t="shared" si="1"/>
        <v>0.15</v>
      </c>
    </row>
    <row r="44" spans="1:13" x14ac:dyDescent="0.25">
      <c r="A44" t="s">
        <v>67</v>
      </c>
      <c r="B44">
        <v>29</v>
      </c>
      <c r="C44">
        <v>908</v>
      </c>
      <c r="D44" t="s">
        <v>68</v>
      </c>
      <c r="E44">
        <v>0</v>
      </c>
      <c r="F44">
        <v>0</v>
      </c>
      <c r="G44">
        <v>0</v>
      </c>
      <c r="H44" s="1" t="s">
        <v>94</v>
      </c>
      <c r="I44">
        <v>0.13300000000000001</v>
      </c>
      <c r="J44">
        <v>2.7E-2</v>
      </c>
      <c r="K44">
        <v>1</v>
      </c>
      <c r="L44">
        <f t="shared" si="0"/>
        <v>0.13300000000000001</v>
      </c>
      <c r="M44">
        <f t="shared" si="1"/>
        <v>2.7E-2</v>
      </c>
    </row>
    <row r="45" spans="1:13" x14ac:dyDescent="0.25">
      <c r="A45" t="s">
        <v>70</v>
      </c>
      <c r="B45">
        <v>30</v>
      </c>
      <c r="C45">
        <v>909</v>
      </c>
      <c r="D45" t="s">
        <v>68</v>
      </c>
      <c r="E45">
        <v>0</v>
      </c>
      <c r="F45">
        <v>0</v>
      </c>
      <c r="G45">
        <v>0</v>
      </c>
      <c r="H45" s="1" t="s">
        <v>95</v>
      </c>
      <c r="I45">
        <v>3.6999999999999998E-2</v>
      </c>
      <c r="J45">
        <v>7.0000000000000001E-3</v>
      </c>
      <c r="K45">
        <v>1</v>
      </c>
      <c r="L45">
        <f t="shared" si="0"/>
        <v>3.6999999999999998E-2</v>
      </c>
      <c r="M45">
        <f t="shared" si="1"/>
        <v>7.0000000000000001E-3</v>
      </c>
    </row>
    <row r="46" spans="1:13" x14ac:dyDescent="0.25">
      <c r="A46" t="s">
        <v>52</v>
      </c>
      <c r="B46">
        <v>31</v>
      </c>
      <c r="C46">
        <v>0</v>
      </c>
      <c r="D46" t="s">
        <v>53</v>
      </c>
      <c r="E46">
        <v>0</v>
      </c>
      <c r="F46">
        <v>0</v>
      </c>
      <c r="G46">
        <v>0</v>
      </c>
      <c r="H46" s="1" t="s">
        <v>96</v>
      </c>
      <c r="I46">
        <v>-2E-3</v>
      </c>
      <c r="J46">
        <v>5.0000000000000001E-3</v>
      </c>
      <c r="K46">
        <v>1</v>
      </c>
      <c r="L46" t="str">
        <f t="shared" si="0"/>
        <v>&lt;0.003</v>
      </c>
      <c r="M46" t="str">
        <f t="shared" si="1"/>
        <v>&lt;0.006</v>
      </c>
    </row>
    <row r="47" spans="1:13" x14ac:dyDescent="0.25">
      <c r="A47" t="s">
        <v>97</v>
      </c>
      <c r="B47">
        <v>32</v>
      </c>
      <c r="C47">
        <v>12</v>
      </c>
      <c r="D47" t="s">
        <v>62</v>
      </c>
      <c r="E47">
        <v>0</v>
      </c>
      <c r="F47">
        <v>0</v>
      </c>
      <c r="G47">
        <v>0</v>
      </c>
      <c r="H47" s="1" t="s">
        <v>98</v>
      </c>
      <c r="I47">
        <v>4.0000000000000001E-3</v>
      </c>
      <c r="J47">
        <v>2E-3</v>
      </c>
      <c r="K47">
        <v>1</v>
      </c>
      <c r="L47">
        <f t="shared" si="0"/>
        <v>4.0000000000000001E-3</v>
      </c>
      <c r="M47" t="str">
        <f t="shared" si="1"/>
        <v>&lt;0.006</v>
      </c>
    </row>
    <row r="48" spans="1:13" x14ac:dyDescent="0.25">
      <c r="A48" t="s">
        <v>99</v>
      </c>
      <c r="B48">
        <v>33</v>
      </c>
      <c r="C48">
        <v>13</v>
      </c>
      <c r="D48" t="s">
        <v>62</v>
      </c>
      <c r="E48">
        <v>0</v>
      </c>
      <c r="F48">
        <v>0</v>
      </c>
      <c r="G48">
        <v>0</v>
      </c>
      <c r="H48" s="1" t="s">
        <v>100</v>
      </c>
      <c r="I48">
        <v>0.01</v>
      </c>
      <c r="J48">
        <v>1E-3</v>
      </c>
      <c r="K48">
        <v>1</v>
      </c>
      <c r="L48">
        <f t="shared" si="0"/>
        <v>0.01</v>
      </c>
      <c r="M48" t="str">
        <f t="shared" si="1"/>
        <v>&lt;0.006</v>
      </c>
    </row>
    <row r="49" spans="1:13" x14ac:dyDescent="0.25">
      <c r="A49" t="s">
        <v>101</v>
      </c>
      <c r="B49">
        <v>34</v>
      </c>
      <c r="C49">
        <v>14</v>
      </c>
      <c r="D49" t="s">
        <v>62</v>
      </c>
      <c r="E49">
        <v>0</v>
      </c>
      <c r="F49">
        <v>0</v>
      </c>
      <c r="G49">
        <v>0</v>
      </c>
      <c r="H49" s="1" t="s">
        <v>102</v>
      </c>
      <c r="I49">
        <v>5.0000000000000001E-3</v>
      </c>
      <c r="J49">
        <v>0</v>
      </c>
      <c r="K49">
        <v>1</v>
      </c>
      <c r="L49">
        <f t="shared" si="0"/>
        <v>5.0000000000000001E-3</v>
      </c>
      <c r="M49" t="str">
        <f t="shared" si="1"/>
        <v>&lt;0.006</v>
      </c>
    </row>
    <row r="50" spans="1:13" x14ac:dyDescent="0.25">
      <c r="A50" t="s">
        <v>103</v>
      </c>
      <c r="B50">
        <v>35</v>
      </c>
      <c r="C50">
        <v>15</v>
      </c>
      <c r="D50" t="s">
        <v>62</v>
      </c>
      <c r="E50">
        <v>0</v>
      </c>
      <c r="F50">
        <v>0</v>
      </c>
      <c r="G50">
        <v>0</v>
      </c>
      <c r="H50" s="1" t="s">
        <v>104</v>
      </c>
      <c r="I50">
        <v>-2E-3</v>
      </c>
      <c r="J50">
        <v>1E-3</v>
      </c>
      <c r="K50">
        <v>1</v>
      </c>
      <c r="L50" t="str">
        <f t="shared" si="0"/>
        <v>&lt;0.003</v>
      </c>
      <c r="M50" t="str">
        <f t="shared" si="1"/>
        <v>&lt;0.006</v>
      </c>
    </row>
    <row r="51" spans="1:13" x14ac:dyDescent="0.25">
      <c r="A51" t="s">
        <v>105</v>
      </c>
      <c r="B51">
        <v>36</v>
      </c>
      <c r="C51">
        <v>16</v>
      </c>
      <c r="D51" t="s">
        <v>62</v>
      </c>
      <c r="E51">
        <v>0</v>
      </c>
      <c r="F51">
        <v>0</v>
      </c>
      <c r="G51">
        <v>0</v>
      </c>
      <c r="H51" s="1" t="s">
        <v>106</v>
      </c>
      <c r="I51">
        <v>6.0000000000000001E-3</v>
      </c>
      <c r="J51">
        <v>1E-3</v>
      </c>
      <c r="K51">
        <v>1</v>
      </c>
      <c r="L51">
        <f t="shared" si="0"/>
        <v>6.0000000000000001E-3</v>
      </c>
      <c r="M51" t="str">
        <f t="shared" si="1"/>
        <v>&lt;0.006</v>
      </c>
    </row>
    <row r="52" spans="1:13" x14ac:dyDescent="0.25">
      <c r="A52" t="s">
        <v>107</v>
      </c>
      <c r="B52">
        <v>37</v>
      </c>
      <c r="C52">
        <v>17</v>
      </c>
      <c r="D52" t="s">
        <v>62</v>
      </c>
      <c r="E52">
        <v>0</v>
      </c>
      <c r="F52">
        <v>0</v>
      </c>
      <c r="G52">
        <v>0</v>
      </c>
      <c r="H52" s="1" t="s">
        <v>108</v>
      </c>
      <c r="I52">
        <v>7.0000000000000001E-3</v>
      </c>
      <c r="J52">
        <v>1E-3</v>
      </c>
      <c r="K52">
        <v>1</v>
      </c>
      <c r="L52">
        <f t="shared" si="0"/>
        <v>7.0000000000000001E-3</v>
      </c>
      <c r="M52" t="str">
        <f t="shared" si="1"/>
        <v>&lt;0.006</v>
      </c>
    </row>
    <row r="53" spans="1:13" x14ac:dyDescent="0.25">
      <c r="A53" t="s">
        <v>109</v>
      </c>
      <c r="B53">
        <v>38</v>
      </c>
      <c r="C53">
        <v>18</v>
      </c>
      <c r="D53" t="s">
        <v>62</v>
      </c>
      <c r="E53">
        <v>0</v>
      </c>
      <c r="F53">
        <v>0</v>
      </c>
      <c r="G53">
        <v>0</v>
      </c>
      <c r="H53" s="1" t="s">
        <v>110</v>
      </c>
      <c r="I53">
        <v>6.0000000000000001E-3</v>
      </c>
      <c r="J53">
        <v>1E-3</v>
      </c>
      <c r="K53">
        <v>1</v>
      </c>
      <c r="L53">
        <f t="shared" si="0"/>
        <v>6.0000000000000001E-3</v>
      </c>
      <c r="M53" t="str">
        <f t="shared" si="1"/>
        <v>&lt;0.006</v>
      </c>
    </row>
    <row r="54" spans="1:13" x14ac:dyDescent="0.25">
      <c r="A54" t="s">
        <v>111</v>
      </c>
      <c r="B54">
        <v>39</v>
      </c>
      <c r="C54">
        <v>19</v>
      </c>
      <c r="D54" t="s">
        <v>62</v>
      </c>
      <c r="E54">
        <v>0</v>
      </c>
      <c r="F54">
        <v>0</v>
      </c>
      <c r="G54">
        <v>0</v>
      </c>
      <c r="H54" s="1" t="s">
        <v>112</v>
      </c>
      <c r="I54">
        <v>-3.0000000000000001E-3</v>
      </c>
      <c r="J54">
        <v>0</v>
      </c>
      <c r="K54">
        <v>1</v>
      </c>
      <c r="L54" t="str">
        <f t="shared" si="0"/>
        <v>&lt;0.003</v>
      </c>
      <c r="M54" t="str">
        <f t="shared" si="1"/>
        <v>&lt;0.006</v>
      </c>
    </row>
    <row r="55" spans="1:13" x14ac:dyDescent="0.25">
      <c r="A55" t="s">
        <v>113</v>
      </c>
      <c r="B55">
        <v>40</v>
      </c>
      <c r="C55">
        <v>20</v>
      </c>
      <c r="D55" t="s">
        <v>62</v>
      </c>
      <c r="E55">
        <v>0</v>
      </c>
      <c r="F55">
        <v>0</v>
      </c>
      <c r="G55">
        <v>0</v>
      </c>
      <c r="H55" s="1" t="s">
        <v>114</v>
      </c>
      <c r="I55">
        <v>3.0000000000000001E-3</v>
      </c>
      <c r="J55">
        <v>0</v>
      </c>
      <c r="K55">
        <v>1</v>
      </c>
      <c r="L55">
        <f t="shared" si="0"/>
        <v>3.0000000000000001E-3</v>
      </c>
      <c r="M55" t="str">
        <f t="shared" si="1"/>
        <v>&lt;0.006</v>
      </c>
    </row>
    <row r="56" spans="1:13" x14ac:dyDescent="0.25">
      <c r="A56" t="s">
        <v>115</v>
      </c>
      <c r="B56">
        <v>41</v>
      </c>
      <c r="C56">
        <v>21</v>
      </c>
      <c r="D56" t="s">
        <v>65</v>
      </c>
      <c r="E56">
        <v>0</v>
      </c>
      <c r="F56">
        <v>0</v>
      </c>
      <c r="G56">
        <v>1</v>
      </c>
      <c r="H56" s="1" t="s">
        <v>116</v>
      </c>
      <c r="I56">
        <v>0.13900000000000001</v>
      </c>
      <c r="J56">
        <v>0.14699999999999999</v>
      </c>
      <c r="K56">
        <v>1</v>
      </c>
      <c r="L56">
        <f t="shared" si="0"/>
        <v>0.13900000000000001</v>
      </c>
      <c r="M56">
        <f t="shared" si="1"/>
        <v>0.14699999999999999</v>
      </c>
    </row>
    <row r="57" spans="1:13" x14ac:dyDescent="0.25">
      <c r="A57" t="s">
        <v>67</v>
      </c>
      <c r="B57">
        <v>42</v>
      </c>
      <c r="C57">
        <v>908</v>
      </c>
      <c r="D57" t="s">
        <v>68</v>
      </c>
      <c r="E57">
        <v>0</v>
      </c>
      <c r="F57">
        <v>0</v>
      </c>
      <c r="G57">
        <v>0</v>
      </c>
      <c r="H57" s="1" t="s">
        <v>117</v>
      </c>
      <c r="I57">
        <v>0.13300000000000001</v>
      </c>
      <c r="J57">
        <v>2.7E-2</v>
      </c>
      <c r="K57">
        <v>1</v>
      </c>
      <c r="L57">
        <f t="shared" si="0"/>
        <v>0.13300000000000001</v>
      </c>
      <c r="M57">
        <f t="shared" si="1"/>
        <v>2.7E-2</v>
      </c>
    </row>
    <row r="58" spans="1:13" x14ac:dyDescent="0.25">
      <c r="A58" t="s">
        <v>70</v>
      </c>
      <c r="B58">
        <v>43</v>
      </c>
      <c r="C58">
        <v>909</v>
      </c>
      <c r="D58" t="s">
        <v>68</v>
      </c>
      <c r="E58">
        <v>0</v>
      </c>
      <c r="F58">
        <v>0</v>
      </c>
      <c r="G58">
        <v>0</v>
      </c>
      <c r="H58" s="1" t="s">
        <v>118</v>
      </c>
      <c r="I58">
        <v>3.6999999999999998E-2</v>
      </c>
      <c r="J58">
        <v>8.0000000000000002E-3</v>
      </c>
      <c r="K58">
        <v>1</v>
      </c>
      <c r="L58">
        <f t="shared" si="0"/>
        <v>3.6999999999999998E-2</v>
      </c>
      <c r="M58">
        <f t="shared" si="1"/>
        <v>8.0000000000000002E-3</v>
      </c>
    </row>
    <row r="59" spans="1:13" x14ac:dyDescent="0.25">
      <c r="A59" t="s">
        <v>52</v>
      </c>
      <c r="B59">
        <v>44</v>
      </c>
      <c r="C59">
        <v>0</v>
      </c>
      <c r="D59" t="s">
        <v>53</v>
      </c>
      <c r="E59">
        <v>0</v>
      </c>
      <c r="F59">
        <v>0</v>
      </c>
      <c r="G59">
        <v>0</v>
      </c>
      <c r="H59" s="1" t="s">
        <v>119</v>
      </c>
      <c r="I59">
        <v>-2E-3</v>
      </c>
      <c r="J59">
        <v>5.0000000000000001E-3</v>
      </c>
      <c r="K59">
        <v>1</v>
      </c>
      <c r="L59" t="str">
        <f t="shared" si="0"/>
        <v>&lt;0.003</v>
      </c>
      <c r="M59" t="str">
        <f t="shared" si="1"/>
        <v>&lt;0.006</v>
      </c>
    </row>
    <row r="60" spans="1:13" x14ac:dyDescent="0.25">
      <c r="A60" t="s">
        <v>120</v>
      </c>
      <c r="B60">
        <v>45</v>
      </c>
      <c r="C60">
        <v>22</v>
      </c>
      <c r="D60" t="s">
        <v>62</v>
      </c>
      <c r="E60">
        <v>0</v>
      </c>
      <c r="F60">
        <v>0</v>
      </c>
      <c r="G60">
        <v>0</v>
      </c>
      <c r="H60" s="1" t="s">
        <v>121</v>
      </c>
      <c r="I60">
        <v>1E-3</v>
      </c>
      <c r="J60">
        <v>1E-3</v>
      </c>
      <c r="K60">
        <v>1</v>
      </c>
      <c r="L60" t="str">
        <f t="shared" si="0"/>
        <v>&lt;0.003</v>
      </c>
      <c r="M60" t="str">
        <f t="shared" si="1"/>
        <v>&lt;0.006</v>
      </c>
    </row>
    <row r="61" spans="1:13" x14ac:dyDescent="0.25">
      <c r="A61" t="s">
        <v>122</v>
      </c>
      <c r="B61">
        <v>46</v>
      </c>
      <c r="C61">
        <v>23</v>
      </c>
      <c r="D61" t="s">
        <v>62</v>
      </c>
      <c r="E61">
        <v>0</v>
      </c>
      <c r="F61">
        <v>0</v>
      </c>
      <c r="G61">
        <v>0</v>
      </c>
      <c r="H61" s="1" t="s">
        <v>123</v>
      </c>
      <c r="I61">
        <v>0.01</v>
      </c>
      <c r="J61">
        <v>1E-3</v>
      </c>
      <c r="K61">
        <v>1</v>
      </c>
      <c r="L61">
        <f t="shared" si="0"/>
        <v>0.01</v>
      </c>
      <c r="M61" t="str">
        <f t="shared" si="1"/>
        <v>&lt;0.006</v>
      </c>
    </row>
    <row r="62" spans="1:13" x14ac:dyDescent="0.25">
      <c r="A62" t="s">
        <v>124</v>
      </c>
      <c r="B62">
        <v>47</v>
      </c>
      <c r="C62">
        <v>24</v>
      </c>
      <c r="D62" t="s">
        <v>62</v>
      </c>
      <c r="E62">
        <v>0</v>
      </c>
      <c r="F62">
        <v>0</v>
      </c>
      <c r="G62">
        <v>0</v>
      </c>
      <c r="H62" s="1" t="s">
        <v>125</v>
      </c>
      <c r="I62">
        <v>8.0000000000000002E-3</v>
      </c>
      <c r="J62">
        <v>1E-3</v>
      </c>
      <c r="K62">
        <v>1</v>
      </c>
      <c r="L62">
        <f t="shared" si="0"/>
        <v>8.0000000000000002E-3</v>
      </c>
      <c r="M62" t="str">
        <f t="shared" si="1"/>
        <v>&lt;0.006</v>
      </c>
    </row>
    <row r="63" spans="1:13" x14ac:dyDescent="0.25">
      <c r="A63" t="s">
        <v>126</v>
      </c>
      <c r="B63">
        <v>48</v>
      </c>
      <c r="C63">
        <v>25</v>
      </c>
      <c r="D63" t="s">
        <v>62</v>
      </c>
      <c r="E63">
        <v>0</v>
      </c>
      <c r="F63">
        <v>0</v>
      </c>
      <c r="G63">
        <v>0</v>
      </c>
      <c r="H63" s="1" t="s">
        <v>127</v>
      </c>
      <c r="I63">
        <v>8.9999999999999993E-3</v>
      </c>
      <c r="J63">
        <v>1E-3</v>
      </c>
      <c r="K63">
        <v>1</v>
      </c>
      <c r="L63">
        <f t="shared" si="0"/>
        <v>8.9999999999999993E-3</v>
      </c>
      <c r="M63" t="str">
        <f t="shared" si="1"/>
        <v>&lt;0.006</v>
      </c>
    </row>
    <row r="64" spans="1:13" x14ac:dyDescent="0.25">
      <c r="A64" t="s">
        <v>128</v>
      </c>
      <c r="B64">
        <v>49</v>
      </c>
      <c r="C64">
        <v>26</v>
      </c>
      <c r="D64" t="s">
        <v>62</v>
      </c>
      <c r="E64">
        <v>0</v>
      </c>
      <c r="F64">
        <v>0</v>
      </c>
      <c r="G64">
        <v>0</v>
      </c>
      <c r="H64" s="1" t="s">
        <v>129</v>
      </c>
      <c r="I64">
        <v>8.0000000000000002E-3</v>
      </c>
      <c r="J64">
        <v>0</v>
      </c>
      <c r="K64">
        <v>1</v>
      </c>
      <c r="L64">
        <f t="shared" si="0"/>
        <v>8.0000000000000002E-3</v>
      </c>
      <c r="M64" t="str">
        <f t="shared" si="1"/>
        <v>&lt;0.006</v>
      </c>
    </row>
    <row r="65" spans="1:13" x14ac:dyDescent="0.25">
      <c r="A65" t="s">
        <v>130</v>
      </c>
      <c r="B65">
        <v>50</v>
      </c>
      <c r="C65">
        <v>27</v>
      </c>
      <c r="D65" t="s">
        <v>62</v>
      </c>
      <c r="E65">
        <v>0</v>
      </c>
      <c r="F65">
        <v>0</v>
      </c>
      <c r="G65">
        <v>0</v>
      </c>
      <c r="H65" s="1" t="s">
        <v>131</v>
      </c>
      <c r="I65">
        <v>8.9999999999999993E-3</v>
      </c>
      <c r="J65">
        <v>1E-3</v>
      </c>
      <c r="K65">
        <v>1</v>
      </c>
      <c r="L65">
        <f t="shared" si="0"/>
        <v>8.9999999999999993E-3</v>
      </c>
      <c r="M65" t="str">
        <f t="shared" si="1"/>
        <v>&lt;0.006</v>
      </c>
    </row>
    <row r="66" spans="1:13" x14ac:dyDescent="0.25">
      <c r="A66" t="s">
        <v>132</v>
      </c>
      <c r="B66">
        <v>51</v>
      </c>
      <c r="C66">
        <v>28</v>
      </c>
      <c r="D66" t="s">
        <v>62</v>
      </c>
      <c r="E66">
        <v>0</v>
      </c>
      <c r="F66">
        <v>0</v>
      </c>
      <c r="G66">
        <v>0</v>
      </c>
      <c r="H66" s="1" t="s">
        <v>133</v>
      </c>
      <c r="I66">
        <v>4.0000000000000001E-3</v>
      </c>
      <c r="J66">
        <v>3.0000000000000001E-3</v>
      </c>
      <c r="K66">
        <v>1</v>
      </c>
      <c r="L66">
        <f t="shared" si="0"/>
        <v>4.0000000000000001E-3</v>
      </c>
      <c r="M66" t="str">
        <f t="shared" si="1"/>
        <v>&lt;0.006</v>
      </c>
    </row>
    <row r="67" spans="1:13" x14ac:dyDescent="0.25">
      <c r="A67" t="s">
        <v>134</v>
      </c>
      <c r="B67">
        <v>52</v>
      </c>
      <c r="C67">
        <v>29</v>
      </c>
      <c r="D67" t="s">
        <v>62</v>
      </c>
      <c r="E67">
        <v>0</v>
      </c>
      <c r="F67">
        <v>0</v>
      </c>
      <c r="G67">
        <v>0</v>
      </c>
      <c r="H67" s="1" t="s">
        <v>135</v>
      </c>
      <c r="I67">
        <v>0.126</v>
      </c>
      <c r="J67">
        <v>3.0000000000000001E-3</v>
      </c>
      <c r="K67">
        <v>1</v>
      </c>
      <c r="L67">
        <f t="shared" si="0"/>
        <v>0.126</v>
      </c>
      <c r="M67" t="str">
        <f t="shared" si="1"/>
        <v>&lt;0.006</v>
      </c>
    </row>
    <row r="68" spans="1:13" x14ac:dyDescent="0.25">
      <c r="A68" t="s">
        <v>136</v>
      </c>
      <c r="B68">
        <v>53</v>
      </c>
      <c r="C68">
        <v>30</v>
      </c>
      <c r="D68" t="s">
        <v>62</v>
      </c>
      <c r="E68">
        <v>0</v>
      </c>
      <c r="F68">
        <v>0</v>
      </c>
      <c r="G68">
        <v>0</v>
      </c>
      <c r="H68" s="1" t="s">
        <v>137</v>
      </c>
      <c r="I68">
        <v>4.0000000000000001E-3</v>
      </c>
      <c r="J68">
        <v>0</v>
      </c>
      <c r="K68">
        <v>1</v>
      </c>
      <c r="L68">
        <f t="shared" si="0"/>
        <v>4.0000000000000001E-3</v>
      </c>
      <c r="M68" t="str">
        <f t="shared" si="1"/>
        <v>&lt;0.006</v>
      </c>
    </row>
    <row r="69" spans="1:13" x14ac:dyDescent="0.25">
      <c r="A69" t="s">
        <v>138</v>
      </c>
      <c r="B69">
        <v>54</v>
      </c>
      <c r="C69">
        <v>31</v>
      </c>
      <c r="D69" t="s">
        <v>62</v>
      </c>
      <c r="E69">
        <v>0</v>
      </c>
      <c r="F69">
        <v>0</v>
      </c>
      <c r="G69">
        <v>0</v>
      </c>
      <c r="H69" s="1" t="s">
        <v>139</v>
      </c>
      <c r="I69">
        <v>3.4000000000000002E-2</v>
      </c>
      <c r="J69">
        <v>1E-3</v>
      </c>
      <c r="K69">
        <v>1</v>
      </c>
      <c r="L69">
        <f t="shared" si="0"/>
        <v>3.4000000000000002E-2</v>
      </c>
      <c r="M69" t="str">
        <f t="shared" si="1"/>
        <v>&lt;0.006</v>
      </c>
    </row>
    <row r="70" spans="1:13" x14ac:dyDescent="0.25">
      <c r="A70" t="s">
        <v>140</v>
      </c>
      <c r="B70">
        <v>55</v>
      </c>
      <c r="C70">
        <v>32</v>
      </c>
      <c r="D70" t="s">
        <v>65</v>
      </c>
      <c r="E70">
        <v>0</v>
      </c>
      <c r="F70">
        <v>0</v>
      </c>
      <c r="G70">
        <v>1</v>
      </c>
      <c r="H70" s="1" t="s">
        <v>141</v>
      </c>
      <c r="I70">
        <v>0.17799999999999999</v>
      </c>
      <c r="J70">
        <v>0.153</v>
      </c>
      <c r="K70">
        <v>1</v>
      </c>
      <c r="L70">
        <f t="shared" si="0"/>
        <v>0.17799999999999999</v>
      </c>
      <c r="M70">
        <f t="shared" si="1"/>
        <v>0.153</v>
      </c>
    </row>
    <row r="71" spans="1:13" x14ac:dyDescent="0.25">
      <c r="A71" t="s">
        <v>67</v>
      </c>
      <c r="B71">
        <v>56</v>
      </c>
      <c r="C71">
        <v>908</v>
      </c>
      <c r="D71" t="s">
        <v>68</v>
      </c>
      <c r="E71">
        <v>0</v>
      </c>
      <c r="F71">
        <v>0</v>
      </c>
      <c r="G71">
        <v>0</v>
      </c>
      <c r="H71" s="1" t="s">
        <v>142</v>
      </c>
      <c r="I71">
        <v>0.13300000000000001</v>
      </c>
      <c r="J71">
        <v>2.8000000000000001E-2</v>
      </c>
      <c r="K71">
        <v>1</v>
      </c>
      <c r="L71">
        <f t="shared" si="0"/>
        <v>0.13300000000000001</v>
      </c>
      <c r="M71">
        <f t="shared" si="1"/>
        <v>2.8000000000000001E-2</v>
      </c>
    </row>
    <row r="72" spans="1:13" x14ac:dyDescent="0.25">
      <c r="A72" t="s">
        <v>70</v>
      </c>
      <c r="B72">
        <v>57</v>
      </c>
      <c r="C72">
        <v>909</v>
      </c>
      <c r="D72" t="s">
        <v>68</v>
      </c>
      <c r="E72">
        <v>0</v>
      </c>
      <c r="F72">
        <v>0</v>
      </c>
      <c r="G72">
        <v>0</v>
      </c>
      <c r="H72" s="1" t="s">
        <v>143</v>
      </c>
      <c r="I72">
        <v>3.6999999999999998E-2</v>
      </c>
      <c r="J72">
        <v>7.0000000000000001E-3</v>
      </c>
      <c r="K72">
        <v>1</v>
      </c>
      <c r="L72">
        <f t="shared" si="0"/>
        <v>3.6999999999999998E-2</v>
      </c>
      <c r="M72">
        <f t="shared" si="1"/>
        <v>7.0000000000000001E-3</v>
      </c>
    </row>
    <row r="73" spans="1:13" x14ac:dyDescent="0.25">
      <c r="A73" t="s">
        <v>52</v>
      </c>
      <c r="B73">
        <v>58</v>
      </c>
      <c r="C73">
        <v>0</v>
      </c>
      <c r="D73" t="s">
        <v>53</v>
      </c>
      <c r="E73">
        <v>0</v>
      </c>
      <c r="F73">
        <v>0</v>
      </c>
      <c r="G73">
        <v>0</v>
      </c>
      <c r="H73" s="1" t="s">
        <v>144</v>
      </c>
      <c r="I73">
        <v>-2E-3</v>
      </c>
      <c r="J73">
        <v>5.0000000000000001E-3</v>
      </c>
      <c r="K73">
        <v>1</v>
      </c>
      <c r="L73" t="str">
        <f t="shared" si="0"/>
        <v>&lt;0.003</v>
      </c>
      <c r="M73" t="str">
        <f t="shared" si="1"/>
        <v>&lt;0.006</v>
      </c>
    </row>
    <row r="74" spans="1:13" x14ac:dyDescent="0.25">
      <c r="A74" t="s">
        <v>145</v>
      </c>
      <c r="B74">
        <v>59</v>
      </c>
      <c r="C74">
        <v>33</v>
      </c>
      <c r="D74" t="s">
        <v>62</v>
      </c>
      <c r="E74">
        <v>0</v>
      </c>
      <c r="F74">
        <v>0</v>
      </c>
      <c r="G74">
        <v>0</v>
      </c>
      <c r="H74" s="1" t="s">
        <v>146</v>
      </c>
      <c r="I74">
        <v>4.0000000000000001E-3</v>
      </c>
      <c r="J74">
        <v>5.0000000000000001E-3</v>
      </c>
      <c r="K74">
        <v>1</v>
      </c>
      <c r="L74">
        <f t="shared" si="0"/>
        <v>4.0000000000000001E-3</v>
      </c>
      <c r="M74" t="str">
        <f t="shared" si="1"/>
        <v>&lt;0.006</v>
      </c>
    </row>
    <row r="75" spans="1:13" x14ac:dyDescent="0.25">
      <c r="A75" t="s">
        <v>147</v>
      </c>
      <c r="B75">
        <v>60</v>
      </c>
      <c r="C75">
        <v>34</v>
      </c>
      <c r="D75" t="s">
        <v>62</v>
      </c>
      <c r="E75">
        <v>0</v>
      </c>
      <c r="F75">
        <v>0</v>
      </c>
      <c r="G75">
        <v>0</v>
      </c>
      <c r="H75" s="1" t="s">
        <v>148</v>
      </c>
      <c r="I75">
        <v>1E-3</v>
      </c>
      <c r="J75">
        <v>1E-3</v>
      </c>
      <c r="K75">
        <v>1</v>
      </c>
      <c r="L75" t="str">
        <f t="shared" si="0"/>
        <v>&lt;0.003</v>
      </c>
      <c r="M75" t="str">
        <f t="shared" si="1"/>
        <v>&lt;0.006</v>
      </c>
    </row>
    <row r="76" spans="1:13" x14ac:dyDescent="0.25">
      <c r="A76" t="s">
        <v>149</v>
      </c>
      <c r="B76">
        <v>61</v>
      </c>
      <c r="C76">
        <v>35</v>
      </c>
      <c r="D76" t="s">
        <v>62</v>
      </c>
      <c r="E76">
        <v>0</v>
      </c>
      <c r="F76">
        <v>0</v>
      </c>
      <c r="G76">
        <v>0</v>
      </c>
      <c r="H76" s="1" t="s">
        <v>150</v>
      </c>
      <c r="I76">
        <v>8.0000000000000002E-3</v>
      </c>
      <c r="J76">
        <v>5.0000000000000001E-3</v>
      </c>
      <c r="K76">
        <v>1</v>
      </c>
      <c r="L76">
        <f t="shared" si="0"/>
        <v>8.0000000000000002E-3</v>
      </c>
      <c r="M76" t="str">
        <f t="shared" si="1"/>
        <v>&lt;0.006</v>
      </c>
    </row>
    <row r="77" spans="1:13" x14ac:dyDescent="0.25">
      <c r="A77" t="s">
        <v>151</v>
      </c>
      <c r="B77">
        <v>62</v>
      </c>
      <c r="C77">
        <v>36</v>
      </c>
      <c r="D77" t="s">
        <v>62</v>
      </c>
      <c r="E77">
        <v>0</v>
      </c>
      <c r="F77">
        <v>0</v>
      </c>
      <c r="G77">
        <v>0</v>
      </c>
      <c r="H77" s="1" t="s">
        <v>152</v>
      </c>
      <c r="I77">
        <v>6.0000000000000001E-3</v>
      </c>
      <c r="J77">
        <v>3.0000000000000001E-3</v>
      </c>
      <c r="K77">
        <v>1</v>
      </c>
      <c r="L77">
        <f t="shared" si="0"/>
        <v>6.0000000000000001E-3</v>
      </c>
      <c r="M77" t="str">
        <f t="shared" si="1"/>
        <v>&lt;0.006</v>
      </c>
    </row>
    <row r="78" spans="1:13" x14ac:dyDescent="0.25">
      <c r="A78" t="s">
        <v>153</v>
      </c>
      <c r="B78">
        <v>63</v>
      </c>
      <c r="C78">
        <v>37</v>
      </c>
      <c r="D78" t="s">
        <v>62</v>
      </c>
      <c r="E78">
        <v>0</v>
      </c>
      <c r="F78">
        <v>0</v>
      </c>
      <c r="G78">
        <v>0</v>
      </c>
      <c r="H78" s="1" t="s">
        <v>154</v>
      </c>
      <c r="I78">
        <v>6.0000000000000001E-3</v>
      </c>
      <c r="J78">
        <v>3.0000000000000001E-3</v>
      </c>
      <c r="K78">
        <v>1</v>
      </c>
      <c r="L78">
        <f t="shared" si="0"/>
        <v>6.0000000000000001E-3</v>
      </c>
      <c r="M78" t="str">
        <f t="shared" si="1"/>
        <v>&lt;0.006</v>
      </c>
    </row>
    <row r="79" spans="1:13" x14ac:dyDescent="0.25">
      <c r="A79" t="s">
        <v>155</v>
      </c>
      <c r="B79">
        <v>64</v>
      </c>
      <c r="C79">
        <v>38</v>
      </c>
      <c r="D79" t="s">
        <v>62</v>
      </c>
      <c r="E79">
        <v>0</v>
      </c>
      <c r="F79">
        <v>0</v>
      </c>
      <c r="G79">
        <v>0</v>
      </c>
      <c r="H79" s="1" t="s">
        <v>156</v>
      </c>
      <c r="I79">
        <v>2.4E-2</v>
      </c>
      <c r="J79">
        <v>0</v>
      </c>
      <c r="K79">
        <v>1</v>
      </c>
      <c r="L79">
        <f t="shared" si="0"/>
        <v>2.4E-2</v>
      </c>
      <c r="M79" t="str">
        <f t="shared" si="1"/>
        <v>&lt;0.006</v>
      </c>
    </row>
    <row r="80" spans="1:13" x14ac:dyDescent="0.25">
      <c r="A80" t="s">
        <v>157</v>
      </c>
      <c r="B80">
        <v>65</v>
      </c>
      <c r="C80">
        <v>39</v>
      </c>
      <c r="D80" t="s">
        <v>62</v>
      </c>
      <c r="E80">
        <v>0</v>
      </c>
      <c r="F80">
        <v>0</v>
      </c>
      <c r="G80">
        <v>0</v>
      </c>
      <c r="H80" s="1" t="s">
        <v>158</v>
      </c>
      <c r="I80">
        <v>4.9000000000000002E-2</v>
      </c>
      <c r="J80">
        <v>2E-3</v>
      </c>
      <c r="K80">
        <v>1</v>
      </c>
      <c r="L80">
        <f t="shared" si="0"/>
        <v>4.9000000000000002E-2</v>
      </c>
      <c r="M80" t="str">
        <f t="shared" si="1"/>
        <v>&lt;0.006</v>
      </c>
    </row>
    <row r="81" spans="1:13" x14ac:dyDescent="0.25">
      <c r="A81" t="s">
        <v>159</v>
      </c>
      <c r="B81">
        <v>66</v>
      </c>
      <c r="C81">
        <v>40</v>
      </c>
      <c r="D81" t="s">
        <v>62</v>
      </c>
      <c r="E81">
        <v>0</v>
      </c>
      <c r="F81">
        <v>0</v>
      </c>
      <c r="G81">
        <v>0</v>
      </c>
      <c r="H81" s="1" t="s">
        <v>160</v>
      </c>
      <c r="I81">
        <v>6.0000000000000001E-3</v>
      </c>
      <c r="J81">
        <v>5.0000000000000001E-3</v>
      </c>
      <c r="K81">
        <v>1</v>
      </c>
      <c r="L81">
        <f t="shared" ref="L81:L114" si="2">IF(I81&lt;=$I$5,"&lt;0.003",I81)</f>
        <v>6.0000000000000001E-3</v>
      </c>
      <c r="M81" t="str">
        <f t="shared" ref="M81:M114" si="3">IF(J81&lt;=$J$5,"&lt;0.006",J81)</f>
        <v>&lt;0.006</v>
      </c>
    </row>
    <row r="82" spans="1:13" x14ac:dyDescent="0.25">
      <c r="A82" t="s">
        <v>161</v>
      </c>
      <c r="B82">
        <v>67</v>
      </c>
      <c r="C82">
        <v>41</v>
      </c>
      <c r="D82" t="s">
        <v>62</v>
      </c>
      <c r="E82">
        <v>0</v>
      </c>
      <c r="F82">
        <v>0</v>
      </c>
      <c r="G82">
        <v>0</v>
      </c>
      <c r="H82" s="1" t="s">
        <v>162</v>
      </c>
      <c r="I82">
        <v>4.0000000000000001E-3</v>
      </c>
      <c r="J82">
        <v>4.0000000000000001E-3</v>
      </c>
      <c r="K82">
        <v>1</v>
      </c>
      <c r="L82">
        <f t="shared" si="2"/>
        <v>4.0000000000000001E-3</v>
      </c>
      <c r="M82" t="str">
        <f t="shared" si="3"/>
        <v>&lt;0.006</v>
      </c>
    </row>
    <row r="83" spans="1:13" x14ac:dyDescent="0.25">
      <c r="A83" t="s">
        <v>163</v>
      </c>
      <c r="B83">
        <v>68</v>
      </c>
      <c r="C83">
        <v>42</v>
      </c>
      <c r="D83" t="s">
        <v>62</v>
      </c>
      <c r="E83">
        <v>0</v>
      </c>
      <c r="F83">
        <v>0</v>
      </c>
      <c r="G83">
        <v>0</v>
      </c>
      <c r="H83" s="1" t="s">
        <v>164</v>
      </c>
      <c r="I83">
        <v>0.01</v>
      </c>
      <c r="J83">
        <v>0</v>
      </c>
      <c r="K83">
        <v>1</v>
      </c>
      <c r="L83">
        <f t="shared" si="2"/>
        <v>0.01</v>
      </c>
      <c r="M83" t="str">
        <f t="shared" si="3"/>
        <v>&lt;0.006</v>
      </c>
    </row>
    <row r="84" spans="1:13" x14ac:dyDescent="0.25">
      <c r="A84" t="s">
        <v>165</v>
      </c>
      <c r="B84">
        <v>69</v>
      </c>
      <c r="C84">
        <v>43</v>
      </c>
      <c r="D84" t="s">
        <v>65</v>
      </c>
      <c r="E84">
        <v>0</v>
      </c>
      <c r="F84">
        <v>0</v>
      </c>
      <c r="G84">
        <v>1</v>
      </c>
      <c r="H84" s="1" t="s">
        <v>166</v>
      </c>
      <c r="I84">
        <v>0.16800000000000001</v>
      </c>
      <c r="J84">
        <v>0.152</v>
      </c>
      <c r="K84">
        <v>1</v>
      </c>
      <c r="L84">
        <f t="shared" si="2"/>
        <v>0.16800000000000001</v>
      </c>
      <c r="M84">
        <f t="shared" si="3"/>
        <v>0.152</v>
      </c>
    </row>
    <row r="85" spans="1:13" x14ac:dyDescent="0.25">
      <c r="A85" t="s">
        <v>67</v>
      </c>
      <c r="B85">
        <v>70</v>
      </c>
      <c r="C85">
        <v>908</v>
      </c>
      <c r="D85" t="s">
        <v>68</v>
      </c>
      <c r="E85">
        <v>0</v>
      </c>
      <c r="F85">
        <v>0</v>
      </c>
      <c r="G85">
        <v>0</v>
      </c>
      <c r="H85" s="1" t="s">
        <v>167</v>
      </c>
      <c r="I85">
        <v>0.13400000000000001</v>
      </c>
      <c r="J85">
        <v>2.7E-2</v>
      </c>
      <c r="K85">
        <v>1</v>
      </c>
      <c r="L85">
        <f t="shared" si="2"/>
        <v>0.13400000000000001</v>
      </c>
      <c r="M85">
        <f t="shared" si="3"/>
        <v>2.7E-2</v>
      </c>
    </row>
    <row r="86" spans="1:13" x14ac:dyDescent="0.25">
      <c r="A86" t="s">
        <v>70</v>
      </c>
      <c r="B86">
        <v>71</v>
      </c>
      <c r="C86">
        <v>909</v>
      </c>
      <c r="D86" t="s">
        <v>68</v>
      </c>
      <c r="E86">
        <v>0</v>
      </c>
      <c r="F86">
        <v>0</v>
      </c>
      <c r="G86">
        <v>0</v>
      </c>
      <c r="H86" s="1" t="s">
        <v>168</v>
      </c>
      <c r="I86">
        <v>3.5999999999999997E-2</v>
      </c>
      <c r="J86">
        <v>7.0000000000000001E-3</v>
      </c>
      <c r="K86">
        <v>1</v>
      </c>
      <c r="L86">
        <f t="shared" si="2"/>
        <v>3.5999999999999997E-2</v>
      </c>
      <c r="M86">
        <f t="shared" si="3"/>
        <v>7.0000000000000001E-3</v>
      </c>
    </row>
    <row r="87" spans="1:13" x14ac:dyDescent="0.25">
      <c r="A87" t="s">
        <v>52</v>
      </c>
      <c r="B87">
        <v>72</v>
      </c>
      <c r="C87">
        <v>0</v>
      </c>
      <c r="D87" t="s">
        <v>53</v>
      </c>
      <c r="E87">
        <v>0</v>
      </c>
      <c r="F87">
        <v>0</v>
      </c>
      <c r="G87">
        <v>0</v>
      </c>
      <c r="H87" s="1" t="s">
        <v>169</v>
      </c>
      <c r="I87">
        <v>-2E-3</v>
      </c>
      <c r="J87">
        <v>5.0000000000000001E-3</v>
      </c>
      <c r="K87">
        <v>1</v>
      </c>
      <c r="L87" t="str">
        <f t="shared" si="2"/>
        <v>&lt;0.003</v>
      </c>
      <c r="M87" t="str">
        <f t="shared" si="3"/>
        <v>&lt;0.006</v>
      </c>
    </row>
    <row r="88" spans="1:13" x14ac:dyDescent="0.25">
      <c r="A88" t="s">
        <v>170</v>
      </c>
      <c r="B88">
        <v>73</v>
      </c>
      <c r="C88">
        <v>44</v>
      </c>
      <c r="D88" t="s">
        <v>62</v>
      </c>
      <c r="E88">
        <v>0</v>
      </c>
      <c r="F88">
        <v>0</v>
      </c>
      <c r="G88">
        <v>0</v>
      </c>
      <c r="H88" s="1" t="s">
        <v>171</v>
      </c>
      <c r="I88">
        <v>4.0000000000000001E-3</v>
      </c>
      <c r="J88">
        <v>1E-3</v>
      </c>
      <c r="K88">
        <v>1</v>
      </c>
      <c r="L88">
        <f t="shared" si="2"/>
        <v>4.0000000000000001E-3</v>
      </c>
      <c r="M88" t="str">
        <f t="shared" si="3"/>
        <v>&lt;0.006</v>
      </c>
    </row>
    <row r="89" spans="1:13" x14ac:dyDescent="0.25">
      <c r="A89" t="s">
        <v>172</v>
      </c>
      <c r="B89">
        <v>74</v>
      </c>
      <c r="C89">
        <v>45</v>
      </c>
      <c r="D89" t="s">
        <v>62</v>
      </c>
      <c r="E89">
        <v>0</v>
      </c>
      <c r="F89">
        <v>0</v>
      </c>
      <c r="G89">
        <v>0</v>
      </c>
      <c r="H89" s="1" t="s">
        <v>173</v>
      </c>
      <c r="I89">
        <v>6.0000000000000001E-3</v>
      </c>
      <c r="J89">
        <v>1E-3</v>
      </c>
      <c r="K89">
        <v>1</v>
      </c>
      <c r="L89">
        <f t="shared" si="2"/>
        <v>6.0000000000000001E-3</v>
      </c>
      <c r="M89" t="str">
        <f t="shared" si="3"/>
        <v>&lt;0.006</v>
      </c>
    </row>
    <row r="90" spans="1:13" x14ac:dyDescent="0.25">
      <c r="A90" t="s">
        <v>174</v>
      </c>
      <c r="B90">
        <v>75</v>
      </c>
      <c r="C90">
        <v>46</v>
      </c>
      <c r="D90" t="s">
        <v>62</v>
      </c>
      <c r="E90">
        <v>0</v>
      </c>
      <c r="F90">
        <v>0</v>
      </c>
      <c r="G90">
        <v>0</v>
      </c>
      <c r="H90" s="1" t="s">
        <v>175</v>
      </c>
      <c r="I90">
        <v>7.0000000000000001E-3</v>
      </c>
      <c r="J90">
        <v>2E-3</v>
      </c>
      <c r="K90">
        <v>1</v>
      </c>
      <c r="L90">
        <f t="shared" si="2"/>
        <v>7.0000000000000001E-3</v>
      </c>
      <c r="M90" t="str">
        <f t="shared" si="3"/>
        <v>&lt;0.006</v>
      </c>
    </row>
    <row r="91" spans="1:13" x14ac:dyDescent="0.25">
      <c r="A91" t="s">
        <v>176</v>
      </c>
      <c r="B91">
        <v>76</v>
      </c>
      <c r="C91">
        <v>47</v>
      </c>
      <c r="D91" t="s">
        <v>62</v>
      </c>
      <c r="E91">
        <v>0</v>
      </c>
      <c r="F91">
        <v>0</v>
      </c>
      <c r="G91">
        <v>0</v>
      </c>
      <c r="H91" s="1" t="s">
        <v>177</v>
      </c>
      <c r="I91">
        <v>8.0000000000000002E-3</v>
      </c>
      <c r="J91">
        <v>2E-3</v>
      </c>
      <c r="K91">
        <v>1</v>
      </c>
      <c r="L91">
        <f t="shared" si="2"/>
        <v>8.0000000000000002E-3</v>
      </c>
      <c r="M91" t="str">
        <f t="shared" si="3"/>
        <v>&lt;0.006</v>
      </c>
    </row>
    <row r="92" spans="1:13" x14ac:dyDescent="0.25">
      <c r="A92" t="s">
        <v>178</v>
      </c>
      <c r="B92">
        <v>77</v>
      </c>
      <c r="C92">
        <v>48</v>
      </c>
      <c r="D92" t="s">
        <v>62</v>
      </c>
      <c r="E92">
        <v>0</v>
      </c>
      <c r="F92">
        <v>0</v>
      </c>
      <c r="G92">
        <v>0</v>
      </c>
      <c r="H92" s="1" t="s">
        <v>179</v>
      </c>
      <c r="I92">
        <v>3.0000000000000001E-3</v>
      </c>
      <c r="J92">
        <v>2E-3</v>
      </c>
      <c r="K92">
        <v>1</v>
      </c>
      <c r="L92">
        <f t="shared" si="2"/>
        <v>3.0000000000000001E-3</v>
      </c>
      <c r="M92" t="str">
        <f t="shared" si="3"/>
        <v>&lt;0.006</v>
      </c>
    </row>
    <row r="93" spans="1:13" x14ac:dyDescent="0.25">
      <c r="A93" t="s">
        <v>180</v>
      </c>
      <c r="B93">
        <v>78</v>
      </c>
      <c r="C93">
        <v>49</v>
      </c>
      <c r="D93" t="s">
        <v>62</v>
      </c>
      <c r="E93">
        <v>0</v>
      </c>
      <c r="F93">
        <v>0</v>
      </c>
      <c r="G93">
        <v>0</v>
      </c>
      <c r="H93" s="1" t="s">
        <v>181</v>
      </c>
      <c r="I93">
        <v>1.0999999999999999E-2</v>
      </c>
      <c r="J93">
        <v>3.0000000000000001E-3</v>
      </c>
      <c r="K93">
        <v>1</v>
      </c>
      <c r="L93">
        <f t="shared" si="2"/>
        <v>1.0999999999999999E-2</v>
      </c>
      <c r="M93" t="str">
        <f t="shared" si="3"/>
        <v>&lt;0.006</v>
      </c>
    </row>
    <row r="94" spans="1:13" x14ac:dyDescent="0.25">
      <c r="A94" t="s">
        <v>182</v>
      </c>
      <c r="B94">
        <v>79</v>
      </c>
      <c r="C94">
        <v>50</v>
      </c>
      <c r="D94" t="s">
        <v>62</v>
      </c>
      <c r="E94">
        <v>0</v>
      </c>
      <c r="F94">
        <v>0</v>
      </c>
      <c r="G94">
        <v>0</v>
      </c>
      <c r="H94" s="1" t="s">
        <v>183</v>
      </c>
      <c r="I94">
        <v>-4.0000000000000001E-3</v>
      </c>
      <c r="J94">
        <v>3.0000000000000001E-3</v>
      </c>
      <c r="K94">
        <v>1</v>
      </c>
      <c r="L94" t="str">
        <f t="shared" si="2"/>
        <v>&lt;0.003</v>
      </c>
      <c r="M94" t="str">
        <f t="shared" si="3"/>
        <v>&lt;0.006</v>
      </c>
    </row>
    <row r="95" spans="1:13" x14ac:dyDescent="0.25">
      <c r="A95" t="s">
        <v>184</v>
      </c>
      <c r="B95">
        <v>80</v>
      </c>
      <c r="C95">
        <v>51</v>
      </c>
      <c r="D95" t="s">
        <v>62</v>
      </c>
      <c r="E95">
        <v>0</v>
      </c>
      <c r="F95">
        <v>0</v>
      </c>
      <c r="G95">
        <v>0</v>
      </c>
      <c r="H95" s="1" t="s">
        <v>185</v>
      </c>
      <c r="I95">
        <v>5.0000000000000001E-3</v>
      </c>
      <c r="J95">
        <v>5.0000000000000001E-3</v>
      </c>
      <c r="K95">
        <v>1</v>
      </c>
      <c r="L95">
        <f t="shared" si="2"/>
        <v>5.0000000000000001E-3</v>
      </c>
      <c r="M95" t="str">
        <f t="shared" si="3"/>
        <v>&lt;0.006</v>
      </c>
    </row>
    <row r="96" spans="1:13" x14ac:dyDescent="0.25">
      <c r="A96" t="s">
        <v>186</v>
      </c>
      <c r="B96">
        <v>81</v>
      </c>
      <c r="C96">
        <v>52</v>
      </c>
      <c r="D96" t="s">
        <v>65</v>
      </c>
      <c r="E96">
        <v>0</v>
      </c>
      <c r="F96">
        <v>0</v>
      </c>
      <c r="G96">
        <v>1</v>
      </c>
      <c r="H96" s="1" t="s">
        <v>187</v>
      </c>
      <c r="I96">
        <v>0.14000000000000001</v>
      </c>
      <c r="J96">
        <v>0.157</v>
      </c>
      <c r="K96">
        <v>1</v>
      </c>
      <c r="L96">
        <f t="shared" si="2"/>
        <v>0.14000000000000001</v>
      </c>
      <c r="M96">
        <f t="shared" si="3"/>
        <v>0.157</v>
      </c>
    </row>
    <row r="97" spans="1:13" x14ac:dyDescent="0.25">
      <c r="A97" t="s">
        <v>67</v>
      </c>
      <c r="B97">
        <v>82</v>
      </c>
      <c r="C97">
        <v>908</v>
      </c>
      <c r="D97" t="s">
        <v>68</v>
      </c>
      <c r="E97">
        <v>0</v>
      </c>
      <c r="F97">
        <v>0</v>
      </c>
      <c r="G97">
        <v>0</v>
      </c>
      <c r="H97" s="1" t="s">
        <v>188</v>
      </c>
      <c r="I97">
        <v>0.13500000000000001</v>
      </c>
      <c r="J97">
        <v>3.2000000000000001E-2</v>
      </c>
      <c r="K97">
        <v>1</v>
      </c>
      <c r="L97">
        <f t="shared" si="2"/>
        <v>0.13500000000000001</v>
      </c>
      <c r="M97">
        <f t="shared" si="3"/>
        <v>3.2000000000000001E-2</v>
      </c>
    </row>
    <row r="98" spans="1:13" x14ac:dyDescent="0.25">
      <c r="A98" t="s">
        <v>70</v>
      </c>
      <c r="B98">
        <v>83</v>
      </c>
      <c r="C98">
        <v>909</v>
      </c>
      <c r="D98" t="s">
        <v>68</v>
      </c>
      <c r="E98">
        <v>0</v>
      </c>
      <c r="F98">
        <v>0</v>
      </c>
      <c r="G98">
        <v>0</v>
      </c>
      <c r="H98" s="1" t="s">
        <v>189</v>
      </c>
      <c r="I98">
        <v>3.5000000000000003E-2</v>
      </c>
      <c r="J98">
        <v>1.2E-2</v>
      </c>
      <c r="K98">
        <v>1</v>
      </c>
      <c r="L98">
        <f t="shared" si="2"/>
        <v>3.5000000000000003E-2</v>
      </c>
      <c r="M98">
        <f t="shared" si="3"/>
        <v>1.2E-2</v>
      </c>
    </row>
    <row r="99" spans="1:13" x14ac:dyDescent="0.25">
      <c r="A99" t="s">
        <v>52</v>
      </c>
      <c r="B99">
        <v>84</v>
      </c>
      <c r="C99">
        <v>0</v>
      </c>
      <c r="D99" t="s">
        <v>53</v>
      </c>
      <c r="E99">
        <v>0</v>
      </c>
      <c r="F99">
        <v>0</v>
      </c>
      <c r="G99">
        <v>0</v>
      </c>
      <c r="H99" s="1" t="s">
        <v>190</v>
      </c>
      <c r="I99">
        <v>-2E-3</v>
      </c>
      <c r="J99">
        <v>5.0000000000000001E-3</v>
      </c>
      <c r="K99">
        <v>1</v>
      </c>
      <c r="L99" t="str">
        <f t="shared" si="2"/>
        <v>&lt;0.003</v>
      </c>
      <c r="M99" t="str">
        <f t="shared" si="3"/>
        <v>&lt;0.006</v>
      </c>
    </row>
    <row r="100" spans="1:13" x14ac:dyDescent="0.25">
      <c r="A100" t="s">
        <v>50</v>
      </c>
      <c r="B100">
        <v>85</v>
      </c>
      <c r="C100">
        <v>910</v>
      </c>
      <c r="D100" t="s">
        <v>62</v>
      </c>
      <c r="E100">
        <v>0</v>
      </c>
      <c r="F100">
        <v>0</v>
      </c>
      <c r="G100">
        <v>0</v>
      </c>
      <c r="H100" s="1" t="s">
        <v>191</v>
      </c>
      <c r="I100">
        <v>2E-3</v>
      </c>
      <c r="J100">
        <v>5.0000000000000001E-3</v>
      </c>
      <c r="K100">
        <v>1</v>
      </c>
      <c r="L100" t="str">
        <f t="shared" si="2"/>
        <v>&lt;0.003</v>
      </c>
      <c r="M100" t="str">
        <f t="shared" si="3"/>
        <v>&lt;0.006</v>
      </c>
    </row>
    <row r="101" spans="1:13" x14ac:dyDescent="0.25">
      <c r="A101" t="s">
        <v>50</v>
      </c>
      <c r="B101">
        <v>86</v>
      </c>
      <c r="C101">
        <v>910</v>
      </c>
      <c r="D101" t="s">
        <v>62</v>
      </c>
      <c r="E101">
        <v>0</v>
      </c>
      <c r="F101">
        <v>0</v>
      </c>
      <c r="G101">
        <v>0</v>
      </c>
      <c r="H101" s="1" t="s">
        <v>192</v>
      </c>
      <c r="I101">
        <v>2E-3</v>
      </c>
      <c r="J101">
        <v>5.0000000000000001E-3</v>
      </c>
      <c r="K101">
        <v>1</v>
      </c>
      <c r="L101" t="str">
        <f t="shared" si="2"/>
        <v>&lt;0.003</v>
      </c>
      <c r="M101" t="str">
        <f t="shared" si="3"/>
        <v>&lt;0.006</v>
      </c>
    </row>
    <row r="102" spans="1:13" x14ac:dyDescent="0.25">
      <c r="A102" t="s">
        <v>50</v>
      </c>
      <c r="B102">
        <v>87</v>
      </c>
      <c r="C102">
        <v>910</v>
      </c>
      <c r="D102" t="s">
        <v>62</v>
      </c>
      <c r="E102">
        <v>0</v>
      </c>
      <c r="F102">
        <v>0</v>
      </c>
      <c r="G102">
        <v>0</v>
      </c>
      <c r="H102" s="1" t="s">
        <v>193</v>
      </c>
      <c r="I102">
        <v>1E-3</v>
      </c>
      <c r="J102">
        <v>5.0000000000000001E-3</v>
      </c>
      <c r="K102">
        <v>1</v>
      </c>
      <c r="L102" t="str">
        <f t="shared" si="2"/>
        <v>&lt;0.003</v>
      </c>
      <c r="M102" t="str">
        <f t="shared" si="3"/>
        <v>&lt;0.006</v>
      </c>
    </row>
    <row r="103" spans="1:13" x14ac:dyDescent="0.25">
      <c r="A103" t="s">
        <v>50</v>
      </c>
      <c r="B103">
        <v>88</v>
      </c>
      <c r="C103">
        <v>910</v>
      </c>
      <c r="D103" t="s">
        <v>62</v>
      </c>
      <c r="E103">
        <v>0</v>
      </c>
      <c r="F103">
        <v>0</v>
      </c>
      <c r="G103">
        <v>0</v>
      </c>
      <c r="H103" s="1" t="s">
        <v>194</v>
      </c>
      <c r="I103">
        <v>1E-3</v>
      </c>
      <c r="J103">
        <v>4.0000000000000001E-3</v>
      </c>
      <c r="K103">
        <v>1</v>
      </c>
      <c r="L103" t="str">
        <f t="shared" si="2"/>
        <v>&lt;0.003</v>
      </c>
      <c r="M103" t="str">
        <f t="shared" si="3"/>
        <v>&lt;0.006</v>
      </c>
    </row>
    <row r="104" spans="1:13" x14ac:dyDescent="0.25">
      <c r="A104" t="s">
        <v>50</v>
      </c>
      <c r="B104">
        <v>89</v>
      </c>
      <c r="C104">
        <v>910</v>
      </c>
      <c r="D104" t="s">
        <v>62</v>
      </c>
      <c r="E104">
        <v>0</v>
      </c>
      <c r="F104">
        <v>0</v>
      </c>
      <c r="G104">
        <v>0</v>
      </c>
      <c r="H104" s="1" t="s">
        <v>195</v>
      </c>
      <c r="I104">
        <v>1E-3</v>
      </c>
      <c r="J104">
        <v>4.0000000000000001E-3</v>
      </c>
      <c r="K104">
        <v>1</v>
      </c>
      <c r="L104" t="str">
        <f t="shared" si="2"/>
        <v>&lt;0.003</v>
      </c>
      <c r="M104" t="str">
        <f t="shared" si="3"/>
        <v>&lt;0.006</v>
      </c>
    </row>
    <row r="105" spans="1:13" x14ac:dyDescent="0.25">
      <c r="A105" t="s">
        <v>50</v>
      </c>
      <c r="B105">
        <v>90</v>
      </c>
      <c r="C105">
        <v>910</v>
      </c>
      <c r="D105" t="s">
        <v>62</v>
      </c>
      <c r="E105">
        <v>0</v>
      </c>
      <c r="F105">
        <v>0</v>
      </c>
      <c r="G105">
        <v>0</v>
      </c>
      <c r="H105" s="1" t="s">
        <v>196</v>
      </c>
      <c r="I105">
        <v>0</v>
      </c>
      <c r="J105">
        <v>4.0000000000000001E-3</v>
      </c>
      <c r="K105">
        <v>1</v>
      </c>
      <c r="L105" t="str">
        <f t="shared" si="2"/>
        <v>&lt;0.003</v>
      </c>
      <c r="M105" t="str">
        <f t="shared" si="3"/>
        <v>&lt;0.006</v>
      </c>
    </row>
    <row r="106" spans="1:13" x14ac:dyDescent="0.25">
      <c r="A106" t="s">
        <v>50</v>
      </c>
      <c r="B106">
        <v>91</v>
      </c>
      <c r="C106">
        <v>910</v>
      </c>
      <c r="D106" t="s">
        <v>62</v>
      </c>
      <c r="E106">
        <v>0</v>
      </c>
      <c r="F106">
        <v>0</v>
      </c>
      <c r="G106">
        <v>0</v>
      </c>
      <c r="H106" s="1" t="s">
        <v>197</v>
      </c>
      <c r="I106">
        <v>1E-3</v>
      </c>
      <c r="J106">
        <v>4.0000000000000001E-3</v>
      </c>
      <c r="K106">
        <v>1</v>
      </c>
      <c r="L106" t="str">
        <f t="shared" si="2"/>
        <v>&lt;0.003</v>
      </c>
      <c r="M106" t="str">
        <f t="shared" si="3"/>
        <v>&lt;0.006</v>
      </c>
    </row>
    <row r="107" spans="1:13" x14ac:dyDescent="0.25">
      <c r="A107" t="s">
        <v>50</v>
      </c>
      <c r="B107">
        <v>92</v>
      </c>
      <c r="C107">
        <v>910</v>
      </c>
      <c r="D107" t="s">
        <v>62</v>
      </c>
      <c r="E107">
        <v>0</v>
      </c>
      <c r="F107">
        <v>0</v>
      </c>
      <c r="G107">
        <v>0</v>
      </c>
      <c r="H107" s="1" t="s">
        <v>198</v>
      </c>
      <c r="I107">
        <v>0</v>
      </c>
      <c r="J107">
        <v>4.0000000000000001E-3</v>
      </c>
      <c r="K107">
        <v>1</v>
      </c>
      <c r="L107" t="str">
        <f t="shared" si="2"/>
        <v>&lt;0.003</v>
      </c>
      <c r="M107" t="str">
        <f t="shared" si="3"/>
        <v>&lt;0.006</v>
      </c>
    </row>
    <row r="108" spans="1:13" x14ac:dyDescent="0.25">
      <c r="A108" t="s">
        <v>50</v>
      </c>
      <c r="B108">
        <v>93</v>
      </c>
      <c r="C108">
        <v>910</v>
      </c>
      <c r="D108" t="s">
        <v>62</v>
      </c>
      <c r="E108">
        <v>0</v>
      </c>
      <c r="F108">
        <v>0</v>
      </c>
      <c r="G108">
        <v>0</v>
      </c>
      <c r="H108" s="1" t="s">
        <v>199</v>
      </c>
      <c r="I108">
        <v>1E-3</v>
      </c>
      <c r="J108">
        <v>4.0000000000000001E-3</v>
      </c>
      <c r="K108">
        <v>1</v>
      </c>
      <c r="L108" t="str">
        <f t="shared" si="2"/>
        <v>&lt;0.003</v>
      </c>
      <c r="M108" t="str">
        <f t="shared" si="3"/>
        <v>&lt;0.006</v>
      </c>
    </row>
    <row r="109" spans="1:13" x14ac:dyDescent="0.25">
      <c r="A109" t="s">
        <v>50</v>
      </c>
      <c r="B109">
        <v>94</v>
      </c>
      <c r="C109">
        <v>910</v>
      </c>
      <c r="D109" t="s">
        <v>62</v>
      </c>
      <c r="E109">
        <v>0</v>
      </c>
      <c r="F109">
        <v>0</v>
      </c>
      <c r="G109">
        <v>0</v>
      </c>
      <c r="H109" s="1" t="s">
        <v>200</v>
      </c>
      <c r="I109">
        <v>0</v>
      </c>
      <c r="J109">
        <v>4.0000000000000001E-3</v>
      </c>
      <c r="K109">
        <v>1</v>
      </c>
      <c r="L109" t="str">
        <f t="shared" si="2"/>
        <v>&lt;0.003</v>
      </c>
      <c r="M109" t="str">
        <f t="shared" si="3"/>
        <v>&lt;0.006</v>
      </c>
    </row>
    <row r="110" spans="1:13" x14ac:dyDescent="0.25">
      <c r="A110" t="s">
        <v>67</v>
      </c>
      <c r="B110">
        <v>95</v>
      </c>
      <c r="C110">
        <v>908</v>
      </c>
      <c r="D110" t="s">
        <v>68</v>
      </c>
      <c r="E110">
        <v>0</v>
      </c>
      <c r="F110">
        <v>0</v>
      </c>
      <c r="G110">
        <v>0</v>
      </c>
      <c r="H110" s="1" t="s">
        <v>201</v>
      </c>
      <c r="I110">
        <v>0.13500000000000001</v>
      </c>
      <c r="J110">
        <v>3.4000000000000002E-2</v>
      </c>
      <c r="K110">
        <v>1</v>
      </c>
      <c r="L110">
        <f t="shared" si="2"/>
        <v>0.13500000000000001</v>
      </c>
      <c r="M110">
        <f t="shared" si="3"/>
        <v>3.4000000000000002E-2</v>
      </c>
    </row>
    <row r="111" spans="1:13" x14ac:dyDescent="0.25">
      <c r="A111" t="s">
        <v>70</v>
      </c>
      <c r="B111">
        <v>96</v>
      </c>
      <c r="C111">
        <v>909</v>
      </c>
      <c r="D111" t="s">
        <v>68</v>
      </c>
      <c r="E111">
        <v>0</v>
      </c>
      <c r="F111">
        <v>0</v>
      </c>
      <c r="G111">
        <v>0</v>
      </c>
      <c r="H111" s="1" t="s">
        <v>202</v>
      </c>
      <c r="I111">
        <v>3.5000000000000003E-2</v>
      </c>
      <c r="J111">
        <v>1.2999999999999999E-2</v>
      </c>
      <c r="K111">
        <v>1</v>
      </c>
      <c r="L111">
        <f t="shared" si="2"/>
        <v>3.5000000000000003E-2</v>
      </c>
      <c r="M111">
        <f t="shared" si="3"/>
        <v>1.2999999999999999E-2</v>
      </c>
    </row>
    <row r="112" spans="1:13" x14ac:dyDescent="0.25">
      <c r="A112" t="s">
        <v>52</v>
      </c>
      <c r="B112">
        <v>97</v>
      </c>
      <c r="C112">
        <v>0</v>
      </c>
      <c r="D112" t="s">
        <v>53</v>
      </c>
      <c r="E112">
        <v>0</v>
      </c>
      <c r="F112">
        <v>0</v>
      </c>
      <c r="G112">
        <v>0</v>
      </c>
      <c r="H112" s="1" t="s">
        <v>203</v>
      </c>
      <c r="I112">
        <v>-2E-3</v>
      </c>
      <c r="J112">
        <v>5.0000000000000001E-3</v>
      </c>
      <c r="K112">
        <v>1</v>
      </c>
      <c r="L112" t="str">
        <f t="shared" si="2"/>
        <v>&lt;0.003</v>
      </c>
      <c r="M112" t="str">
        <f t="shared" si="3"/>
        <v>&lt;0.006</v>
      </c>
    </row>
    <row r="113" spans="1:13" x14ac:dyDescent="0.25">
      <c r="A113" t="s">
        <v>34</v>
      </c>
      <c r="B113">
        <v>98</v>
      </c>
      <c r="C113">
        <v>921</v>
      </c>
      <c r="D113" t="s">
        <v>35</v>
      </c>
      <c r="E113">
        <v>0</v>
      </c>
      <c r="F113">
        <v>0</v>
      </c>
      <c r="G113">
        <v>0</v>
      </c>
      <c r="H113" s="1" t="s">
        <v>204</v>
      </c>
      <c r="I113">
        <v>0.20200000000000001</v>
      </c>
      <c r="J113">
        <v>0.20499999999999999</v>
      </c>
      <c r="K113">
        <v>1</v>
      </c>
      <c r="L113">
        <f t="shared" si="2"/>
        <v>0.20200000000000001</v>
      </c>
      <c r="M113">
        <f t="shared" si="3"/>
        <v>0.20499999999999999</v>
      </c>
    </row>
    <row r="114" spans="1:13" x14ac:dyDescent="0.25">
      <c r="A114" t="s">
        <v>205</v>
      </c>
      <c r="B114">
        <v>99</v>
      </c>
      <c r="C114">
        <v>0</v>
      </c>
      <c r="D114" t="s">
        <v>206</v>
      </c>
      <c r="E114">
        <v>0</v>
      </c>
      <c r="F114">
        <v>0</v>
      </c>
      <c r="G114">
        <v>0</v>
      </c>
      <c r="H114" s="1" t="s">
        <v>207</v>
      </c>
      <c r="I114">
        <v>-2E-3</v>
      </c>
      <c r="J114">
        <v>5.0000000000000001E-3</v>
      </c>
      <c r="K114">
        <v>1</v>
      </c>
      <c r="L114" t="str">
        <f t="shared" si="2"/>
        <v>&lt;0.003</v>
      </c>
      <c r="M114" t="str">
        <f t="shared" si="3"/>
        <v>&lt;0.006</v>
      </c>
    </row>
  </sheetData>
  <conditionalFormatting sqref="I15:I114">
    <cfRule type="cellIs" dxfId="2" priority="2" operator="lessThan">
      <formula>$I$5</formula>
    </cfRule>
  </conditionalFormatting>
  <conditionalFormatting sqref="J15:J114">
    <cfRule type="cellIs" dxfId="0" priority="1" operator="lessThan">
      <formula>$J$5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240305_NP1_QCSettings_3CNull(1)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2024-03-13T12:30:18Z</dcterms:created>
  <dcterms:modified xsi:type="dcterms:W3CDTF">2024-03-13T12:49:00Z</dcterms:modified>
</cp:coreProperties>
</file>