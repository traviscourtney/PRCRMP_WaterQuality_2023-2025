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visACourtney\Downloads\"/>
    </mc:Choice>
  </mc:AlternateContent>
  <xr:revisionPtr revIDLastSave="0" documentId="13_ncr:1_{326DE684-FBE0-4082-9D22-97BFEC414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0307_Q3_TKN1R1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6" i="1"/>
  <c r="I5" i="1"/>
</calcChain>
</file>

<file path=xl/sharedStrings.xml><?xml version="1.0" encoding="utf-8"?>
<sst xmlns="http://schemas.openxmlformats.org/spreadsheetml/2006/main" count="313" uniqueCount="202">
  <si>
    <t>ANAL</t>
  </si>
  <si>
    <t>TKN.ANL</t>
  </si>
  <si>
    <t xml:space="preserve">RUN </t>
  </si>
  <si>
    <t>240307_Q3_TKN1R1.RUN</t>
  </si>
  <si>
    <t>DATE</t>
  </si>
  <si>
    <t>3/7/2024</t>
  </si>
  <si>
    <t>TIME</t>
  </si>
  <si>
    <t>5:07:41 PM</t>
  </si>
  <si>
    <t>OPER</t>
  </si>
  <si>
    <t>CLMR</t>
  </si>
  <si>
    <t>COMM</t>
  </si>
  <si>
    <t>CHAN</t>
  </si>
  <si>
    <t>METH</t>
  </si>
  <si>
    <t>TKN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</si>
  <si>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</si>
  <si>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</si>
  <si>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</si>
  <si>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</si>
  <si>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</si>
  <si>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</si>
  <si>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</si>
  <si>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</si>
  <si>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</si>
  <si>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</si>
  <si>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</si>
  <si>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</si>
  <si>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</si>
  <si>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</si>
  <si>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</si>
  <si>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Results 2</t>
  </si>
  <si>
    <t>Primer</t>
  </si>
  <si>
    <t>PRIM</t>
  </si>
  <si>
    <t>3/7/2024 5:08:36 PM</t>
  </si>
  <si>
    <t>Drift</t>
  </si>
  <si>
    <t>DRIF</t>
  </si>
  <si>
    <t>3/7/2024 5:09:56 PM</t>
  </si>
  <si>
    <t>2.22</t>
  </si>
  <si>
    <t>CALB</t>
  </si>
  <si>
    <t>3/7/2024 5:11:16 PM</t>
  </si>
  <si>
    <t>1.66</t>
  </si>
  <si>
    <t>3/7/2024 5:12:36 PM</t>
  </si>
  <si>
    <t>1.11</t>
  </si>
  <si>
    <t>3/7/2024 5:13:56 PM</t>
  </si>
  <si>
    <t>0.55</t>
  </si>
  <si>
    <t>3/7/2024 5:15:16 PM</t>
  </si>
  <si>
    <t>0.22</t>
  </si>
  <si>
    <t>3/7/2024 5:16:36 PM</t>
  </si>
  <si>
    <t>Blank</t>
  </si>
  <si>
    <t>3/7/2024 5:17:56 PM</t>
  </si>
  <si>
    <t>Baseline</t>
  </si>
  <si>
    <t>BASL</t>
  </si>
  <si>
    <t>3/7/2024 5:19:16 PM</t>
  </si>
  <si>
    <t>High</t>
  </si>
  <si>
    <t>HIGH</t>
  </si>
  <si>
    <t>3/7/2024 5:23:16 PM</t>
  </si>
  <si>
    <t>Low</t>
  </si>
  <si>
    <t xml:space="preserve">LOW </t>
  </si>
  <si>
    <t>3/7/2024 5:24:36 PM</t>
  </si>
  <si>
    <t>3/7/2024 5:25:56 PM</t>
  </si>
  <si>
    <t>SAMP</t>
  </si>
  <si>
    <t>3/7/2024 5:27:16 PM</t>
  </si>
  <si>
    <t>Blank spiked (No Acid Stock B)</t>
  </si>
  <si>
    <t>SPIK</t>
  </si>
  <si>
    <t>3/7/2024 5:28:36 PM</t>
  </si>
  <si>
    <t>3/7/2024 5:29:56 PM</t>
  </si>
  <si>
    <t>Blank spiked (Acid Stock B)</t>
  </si>
  <si>
    <t>3/7/2024 5:31:16 PM</t>
  </si>
  <si>
    <t>CRM [1.5 mg/L]</t>
  </si>
  <si>
    <t>QUAL</t>
  </si>
  <si>
    <t>3/7/2024 5:32:36 PM</t>
  </si>
  <si>
    <t>426</t>
  </si>
  <si>
    <t>3/7/2024 5:33:56 PM</t>
  </si>
  <si>
    <t>231</t>
  </si>
  <si>
    <t>3/7/2024 5:35:16 PM</t>
  </si>
  <si>
    <t>361</t>
  </si>
  <si>
    <t>3/7/2024 5:36:36 PM</t>
  </si>
  <si>
    <t>374</t>
  </si>
  <si>
    <t>3/7/2024 5:37:56 PM</t>
  </si>
  <si>
    <t>387</t>
  </si>
  <si>
    <t>3/7/2024 5:39:16 PM</t>
  </si>
  <si>
    <t>270</t>
  </si>
  <si>
    <t>3/7/2024 5:40:36 PM</t>
  </si>
  <si>
    <t>296</t>
  </si>
  <si>
    <t>3/7/2024 5:41:56 PM</t>
  </si>
  <si>
    <t>309</t>
  </si>
  <si>
    <t>3/7/2024 5:43:16 PM</t>
  </si>
  <si>
    <t>400</t>
  </si>
  <si>
    <t>3/7/2024 5:44:36 PM</t>
  </si>
  <si>
    <t>322</t>
  </si>
  <si>
    <t>3/7/2024 5:45:56 PM</t>
  </si>
  <si>
    <t>322 spiked</t>
  </si>
  <si>
    <t>3/7/2024 5:47:16 PM</t>
  </si>
  <si>
    <t>3/7/2024 5:48:36 PM</t>
  </si>
  <si>
    <t>3/7/2024 5:49:56 PM</t>
  </si>
  <si>
    <t>166</t>
  </si>
  <si>
    <t>3/7/2024 5:53:56 PM</t>
  </si>
  <si>
    <t>65</t>
  </si>
  <si>
    <t>3/7/2024 5:55:16 PM</t>
  </si>
  <si>
    <t>192</t>
  </si>
  <si>
    <t>3/7/2024 5:56:36 PM</t>
  </si>
  <si>
    <t>76</t>
  </si>
  <si>
    <t>3/7/2024 5:57:56 PM</t>
  </si>
  <si>
    <t>205</t>
  </si>
  <si>
    <t>3/7/2024 5:59:16 PM</t>
  </si>
  <si>
    <t>43</t>
  </si>
  <si>
    <t>3/7/2024 6:00:36 PM</t>
  </si>
  <si>
    <t>257</t>
  </si>
  <si>
    <t>3/7/2024 6:01:56 PM</t>
  </si>
  <si>
    <t>32</t>
  </si>
  <si>
    <t>3/7/2024 6:03:16 PM</t>
  </si>
  <si>
    <t>127</t>
  </si>
  <si>
    <t>3/7/2024 6:04:36 PM</t>
  </si>
  <si>
    <t>283</t>
  </si>
  <si>
    <t>3/7/2024 6:05:56 PM</t>
  </si>
  <si>
    <t>283 spiked</t>
  </si>
  <si>
    <t>3/7/2024 6:07:16 PM</t>
  </si>
  <si>
    <t>3/7/2024 6:08:36 PM</t>
  </si>
  <si>
    <t>3/7/2024 6:09:56 PM</t>
  </si>
  <si>
    <t>153</t>
  </si>
  <si>
    <t>3/7/2024 6:13:56 PM</t>
  </si>
  <si>
    <t>87</t>
  </si>
  <si>
    <t>3/7/2024 6:15:16 PM</t>
  </si>
  <si>
    <t>54</t>
  </si>
  <si>
    <t>3/7/2024 6:16:36 PM</t>
  </si>
  <si>
    <t>140</t>
  </si>
  <si>
    <t>3/7/2024 6:17:56 PM</t>
  </si>
  <si>
    <t>10</t>
  </si>
  <si>
    <t>3/7/2024 6:19:16 PM</t>
  </si>
  <si>
    <t>244</t>
  </si>
  <si>
    <t>3/7/2024 6:20:36 PM</t>
  </si>
  <si>
    <t>218</t>
  </si>
  <si>
    <t>3/7/2024 6:21:56 PM</t>
  </si>
  <si>
    <t>335</t>
  </si>
  <si>
    <t>3/7/2024 6:23:16 PM</t>
  </si>
  <si>
    <t>21</t>
  </si>
  <si>
    <t>3/7/2024 6:24:36 PM</t>
  </si>
  <si>
    <t>98</t>
  </si>
  <si>
    <t>3/7/2024 6:25:56 PM</t>
  </si>
  <si>
    <t>98 spiked</t>
  </si>
  <si>
    <t>3/7/2024 6:27:16 PM</t>
  </si>
  <si>
    <t>3/7/2024 6:28:36 PM</t>
  </si>
  <si>
    <t>3/7/2024 6:29:56 PM</t>
  </si>
  <si>
    <t>179</t>
  </si>
  <si>
    <t>3/7/2024 6:33:56 PM</t>
  </si>
  <si>
    <t>348</t>
  </si>
  <si>
    <t>3/7/2024 6:35:16 PM</t>
  </si>
  <si>
    <t>439</t>
  </si>
  <si>
    <t>3/7/2024 6:36:36 PM</t>
  </si>
  <si>
    <t>491</t>
  </si>
  <si>
    <t>3/7/2024 6:37:56 PM</t>
  </si>
  <si>
    <t>569</t>
  </si>
  <si>
    <t>3/7/2024 6:39:16 PM</t>
  </si>
  <si>
    <t>517</t>
  </si>
  <si>
    <t>3/7/2024 6:40:36 PM</t>
  </si>
  <si>
    <t>452</t>
  </si>
  <si>
    <t>3/7/2024 6:41:56 PM</t>
  </si>
  <si>
    <t>504</t>
  </si>
  <si>
    <t>3/7/2024 6:43:16 PM</t>
  </si>
  <si>
    <t>478</t>
  </si>
  <si>
    <t>3/7/2024 6:44:36 PM</t>
  </si>
  <si>
    <t>556</t>
  </si>
  <si>
    <t>3/7/2024 6:45:56 PM</t>
  </si>
  <si>
    <t>556 spiked</t>
  </si>
  <si>
    <t>3/7/2024 6:47:16 PM</t>
  </si>
  <si>
    <t>3/7/2024 6:48:36 PM</t>
  </si>
  <si>
    <t>3/7/2024 6:49:56 PM</t>
  </si>
  <si>
    <t>621</t>
  </si>
  <si>
    <t>3/7/2024 6:53:56 PM</t>
  </si>
  <si>
    <t>634</t>
  </si>
  <si>
    <t>3/7/2024 6:55:16 PM</t>
  </si>
  <si>
    <t>582</t>
  </si>
  <si>
    <t>3/7/2024 6:56:36 PM</t>
  </si>
  <si>
    <t>530</t>
  </si>
  <si>
    <t>3/7/2024 6:57:56 PM</t>
  </si>
  <si>
    <t>413</t>
  </si>
  <si>
    <t>3/7/2024 6:59:16 PM</t>
  </si>
  <si>
    <t>595</t>
  </si>
  <si>
    <t>3/7/2024 7:00:36 PM</t>
  </si>
  <si>
    <t>543</t>
  </si>
  <si>
    <t>3/7/2024 7:01:56 PM</t>
  </si>
  <si>
    <t>543 spiked</t>
  </si>
  <si>
    <t>3/7/2024 7:03:16 PM</t>
  </si>
  <si>
    <t>3/7/2024 7:04:36 PM</t>
  </si>
  <si>
    <t>3/7/2024 7:05:56 PM</t>
  </si>
  <si>
    <t>3/7/2024 7:09:56 PM</t>
  </si>
  <si>
    <t>3/7/2024 7:11:16 PM</t>
  </si>
  <si>
    <t>3/7/2024 7:12:36 PM</t>
  </si>
  <si>
    <t>3/7/2024 7:13:56 PM</t>
  </si>
  <si>
    <t>3/7/2024 7:15:16 PM</t>
  </si>
  <si>
    <t>3/7/2024 7:16:36 PM</t>
  </si>
  <si>
    <t>3/7/2024 7:17:56 PM</t>
  </si>
  <si>
    <t>3/7/2024 7:19:16 PM</t>
  </si>
  <si>
    <t>3/7/2024 7:20:36 PM</t>
  </si>
  <si>
    <t>3/7/2024 7:21:56 PM</t>
  </si>
  <si>
    <t>3/7/2024 7:23:16 PM</t>
  </si>
  <si>
    <t>3/7/2024 7:24:36 PM</t>
  </si>
  <si>
    <t>3/7/2024 7:28:36 PM</t>
  </si>
  <si>
    <t>End</t>
  </si>
  <si>
    <t xml:space="preserve">END </t>
  </si>
  <si>
    <t>3/7/2024 7:29:56 PM</t>
  </si>
  <si>
    <t>LOD</t>
  </si>
  <si>
    <t>Results 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</si>
</sst>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8" fillId="4" borderId="10" xfId="8" applyBorder="1"/>
    <xf numFmtId="0" fontId="8" fillId="4" borderId="11" xfId="8" applyBorder="1"/>
    <xf numFmtId="0" fontId="8" fillId="4" borderId="12" xfId="8" applyBorder="1"/>
    <xf numFmtId="0" fontId="8" fillId="4" borderId="13" xfId="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8"/>
  <sheetViews>
    <sheetView tabSelected="1" topLeftCell="A78" workbookViewId="0">
      <selection activeCell="N7" sqref="N7"/>
    </sheetView>
  </sheetViews>
  <sheetFormatPr defaultRowHeight="15" x14ac:dyDescent="0.25"/>
  <cols>
    <col min="11" max="11" width="11.5703125" bestFit="1" customWidth="1"/>
  </cols>
  <sheetData>
    <row r="2" spans="1:11" x14ac:dyDescent="0.25">
      <c r="A2" t="s">
        <v>0</v>
      </c>
      <c r="B2" t="s">
        <v>1</v>
      </c>
    </row>
    <row r="3" spans="1:11" ht="15.75" thickBot="1" x14ac:dyDescent="0.3">
      <c r="A3" t="s">
        <v>2</v>
      </c>
      <c r="B3" t="s">
        <v>3</v>
      </c>
    </row>
    <row r="4" spans="1:11" x14ac:dyDescent="0.25">
      <c r="A4" t="s">
        <v>4</v>
      </c>
      <c r="B4" t="s">
        <v>5</v>
      </c>
      <c r="H4" s="3"/>
      <c r="I4" s="4" t="s">
        <v>13</v>
      </c>
    </row>
    <row r="5" spans="1:11" ht="15.75" thickBot="1" x14ac:dyDescent="0.3">
      <c r="A5" t="s">
        <v>6</v>
      </c>
      <c r="B5" t="s">
        <v>7</v>
      </c>
      <c r="H5" s="5" t="s">
        <v>200</v>
      </c>
      <c r="I5" s="6">
        <f>STDEV(I95:I104)*2.821</f>
        <v>8.9820785696420075E-2</v>
      </c>
    </row>
    <row r="6" spans="1:11" x14ac:dyDescent="0.25">
      <c r="A6" t="s">
        <v>8</v>
      </c>
      <c r="B6" t="s">
        <v>9</v>
      </c>
    </row>
    <row r="7" spans="1:11" x14ac:dyDescent="0.25">
      <c r="A7" t="s">
        <v>10</v>
      </c>
    </row>
    <row r="8" spans="1:11" x14ac:dyDescent="0.25">
      <c r="A8" t="s">
        <v>11</v>
      </c>
      <c r="B8">
        <v>1</v>
      </c>
      <c r="C8">
        <v>2</v>
      </c>
    </row>
    <row r="9" spans="1:11" x14ac:dyDescent="0.25">
      <c r="A9" t="s">
        <v>12</v>
      </c>
      <c r="B9" s="1" t="s">
        <v>13</v>
      </c>
      <c r="C9" s="1" t="s">
        <v>14</v>
      </c>
    </row>
    <row r="10" spans="1:11" x14ac:dyDescent="0.25">
      <c r="A10" t="s">
        <v>15</v>
      </c>
      <c r="B10" s="1" t="s">
        <v>16</v>
      </c>
      <c r="C10" s="1" t="s">
        <v>16</v>
      </c>
    </row>
    <row r="11" spans="1:11" x14ac:dyDescent="0.25">
      <c r="A11" t="s">
        <v>17</v>
      </c>
      <c r="B11">
        <v>-1982</v>
      </c>
    </row>
    <row r="12" spans="1:11" x14ac:dyDescent="0.25">
      <c r="A12" t="s">
        <v>18</v>
      </c>
      <c r="J12">
        <v>56</v>
      </c>
    </row>
    <row r="13" spans="1:11" x14ac:dyDescent="0.25">
      <c r="A13" t="s">
        <v>19</v>
      </c>
      <c r="B13" s="1" t="s">
        <v>20</v>
      </c>
    </row>
    <row r="14" spans="1:11" x14ac:dyDescent="0.25">
      <c r="A14" t="s">
        <v>21</v>
      </c>
      <c r="B14" s="2">
        <v>0.99580000000000002</v>
      </c>
    </row>
    <row r="15" spans="1:11" x14ac:dyDescent="0.25">
      <c r="A15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H15" s="1" t="s">
        <v>27</v>
      </c>
      <c r="I15" s="1" t="s">
        <v>28</v>
      </c>
      <c r="J15" s="1" t="s">
        <v>29</v>
      </c>
      <c r="K15" s="1" t="s">
        <v>201</v>
      </c>
    </row>
    <row r="16" spans="1:11" x14ac:dyDescent="0.25">
      <c r="A16" t="s">
        <v>30</v>
      </c>
      <c r="B16">
        <v>1</v>
      </c>
      <c r="C16">
        <v>921</v>
      </c>
      <c r="D16" t="s">
        <v>31</v>
      </c>
      <c r="E16">
        <v>0</v>
      </c>
      <c r="F16">
        <v>0</v>
      </c>
      <c r="G16">
        <v>0</v>
      </c>
      <c r="H16" s="1" t="s">
        <v>32</v>
      </c>
      <c r="I16">
        <v>2.133</v>
      </c>
      <c r="J16">
        <v>1</v>
      </c>
      <c r="K16">
        <f>IF(I16&lt;=$I$5,"&lt;0.09",I16)</f>
        <v>2.133</v>
      </c>
    </row>
    <row r="17" spans="1:11" x14ac:dyDescent="0.25">
      <c r="A17" t="s">
        <v>33</v>
      </c>
      <c r="B17">
        <v>2</v>
      </c>
      <c r="C17">
        <v>921</v>
      </c>
      <c r="D17" t="s">
        <v>34</v>
      </c>
      <c r="E17">
        <v>0</v>
      </c>
      <c r="F17">
        <v>0</v>
      </c>
      <c r="G17">
        <v>0</v>
      </c>
      <c r="H17" s="1" t="s">
        <v>35</v>
      </c>
      <c r="I17">
        <v>2.1739999999999999</v>
      </c>
      <c r="J17">
        <v>1</v>
      </c>
      <c r="K17">
        <f t="shared" ref="K17:K80" si="0">IF(I17&lt;=$I$5,"&lt;0.09",I17)</f>
        <v>2.1739999999999999</v>
      </c>
    </row>
    <row r="18" spans="1:11" x14ac:dyDescent="0.25">
      <c r="A18" t="s">
        <v>36</v>
      </c>
      <c r="B18">
        <v>3</v>
      </c>
      <c r="C18">
        <v>921</v>
      </c>
      <c r="D18" t="s">
        <v>37</v>
      </c>
      <c r="E18">
        <v>0</v>
      </c>
      <c r="F18">
        <v>0</v>
      </c>
      <c r="G18">
        <v>0</v>
      </c>
      <c r="H18" s="1" t="s">
        <v>38</v>
      </c>
      <c r="I18">
        <v>2.1440000000000001</v>
      </c>
      <c r="J18">
        <v>1</v>
      </c>
      <c r="K18">
        <f t="shared" si="0"/>
        <v>2.1440000000000001</v>
      </c>
    </row>
    <row r="19" spans="1:11" x14ac:dyDescent="0.25">
      <c r="A19" t="s">
        <v>39</v>
      </c>
      <c r="B19">
        <v>4</v>
      </c>
      <c r="C19">
        <v>901</v>
      </c>
      <c r="D19" t="s">
        <v>37</v>
      </c>
      <c r="E19">
        <v>0</v>
      </c>
      <c r="F19">
        <v>0</v>
      </c>
      <c r="G19">
        <v>0</v>
      </c>
      <c r="H19" s="1" t="s">
        <v>40</v>
      </c>
      <c r="I19">
        <v>1.7130000000000001</v>
      </c>
      <c r="J19">
        <v>1</v>
      </c>
      <c r="K19">
        <f t="shared" si="0"/>
        <v>1.7130000000000001</v>
      </c>
    </row>
    <row r="20" spans="1:11" x14ac:dyDescent="0.25">
      <c r="A20" t="s">
        <v>41</v>
      </c>
      <c r="B20">
        <v>5</v>
      </c>
      <c r="C20">
        <v>902</v>
      </c>
      <c r="D20" t="s">
        <v>37</v>
      </c>
      <c r="E20">
        <v>0</v>
      </c>
      <c r="F20">
        <v>0</v>
      </c>
      <c r="G20">
        <v>0</v>
      </c>
      <c r="H20" s="1" t="s">
        <v>42</v>
      </c>
      <c r="I20">
        <v>1.165</v>
      </c>
      <c r="J20">
        <v>1</v>
      </c>
      <c r="K20">
        <f t="shared" si="0"/>
        <v>1.165</v>
      </c>
    </row>
    <row r="21" spans="1:11" x14ac:dyDescent="0.25">
      <c r="A21" t="s">
        <v>43</v>
      </c>
      <c r="B21">
        <v>6</v>
      </c>
      <c r="C21">
        <v>903</v>
      </c>
      <c r="D21" t="s">
        <v>37</v>
      </c>
      <c r="E21">
        <v>0</v>
      </c>
      <c r="F21">
        <v>0</v>
      </c>
      <c r="G21">
        <v>0</v>
      </c>
      <c r="H21" s="1" t="s">
        <v>44</v>
      </c>
      <c r="I21">
        <v>0.63400000000000001</v>
      </c>
      <c r="J21">
        <v>1</v>
      </c>
      <c r="K21">
        <f t="shared" si="0"/>
        <v>0.63400000000000001</v>
      </c>
    </row>
    <row r="22" spans="1:11" x14ac:dyDescent="0.25">
      <c r="A22" t="s">
        <v>45</v>
      </c>
      <c r="B22">
        <v>7</v>
      </c>
      <c r="C22">
        <v>904</v>
      </c>
      <c r="D22" t="s">
        <v>37</v>
      </c>
      <c r="E22">
        <v>0</v>
      </c>
      <c r="F22">
        <v>0</v>
      </c>
      <c r="G22">
        <v>0</v>
      </c>
      <c r="H22" s="1" t="s">
        <v>46</v>
      </c>
      <c r="I22">
        <v>0.105</v>
      </c>
      <c r="J22">
        <v>1</v>
      </c>
      <c r="K22">
        <f t="shared" si="0"/>
        <v>0.105</v>
      </c>
    </row>
    <row r="23" spans="1:11" x14ac:dyDescent="0.25">
      <c r="A23" t="s">
        <v>47</v>
      </c>
      <c r="B23">
        <v>8</v>
      </c>
      <c r="C23">
        <v>905</v>
      </c>
      <c r="D23" t="s">
        <v>37</v>
      </c>
      <c r="E23">
        <v>0</v>
      </c>
      <c r="F23">
        <v>0</v>
      </c>
      <c r="G23">
        <v>0</v>
      </c>
      <c r="H23" s="1" t="s">
        <v>48</v>
      </c>
      <c r="I23">
        <v>-1E-3</v>
      </c>
      <c r="J23">
        <v>1</v>
      </c>
      <c r="K23" t="str">
        <f t="shared" si="0"/>
        <v>&lt;0.09</v>
      </c>
    </row>
    <row r="24" spans="1:11" x14ac:dyDescent="0.25">
      <c r="A24" t="s">
        <v>49</v>
      </c>
      <c r="B24">
        <v>9</v>
      </c>
      <c r="C24">
        <v>0</v>
      </c>
      <c r="D24" t="s">
        <v>50</v>
      </c>
      <c r="E24">
        <v>0</v>
      </c>
      <c r="F24">
        <v>0</v>
      </c>
      <c r="G24">
        <v>0</v>
      </c>
      <c r="H24" s="1" t="s">
        <v>51</v>
      </c>
      <c r="I24">
        <v>-0.13800000000000001</v>
      </c>
      <c r="J24">
        <v>1</v>
      </c>
      <c r="K24" t="str">
        <f t="shared" si="0"/>
        <v>&lt;0.09</v>
      </c>
    </row>
    <row r="25" spans="1:11" x14ac:dyDescent="0.25">
      <c r="A25" t="s">
        <v>52</v>
      </c>
      <c r="B25">
        <v>10</v>
      </c>
      <c r="C25">
        <v>921</v>
      </c>
      <c r="D25" t="s">
        <v>53</v>
      </c>
      <c r="E25">
        <v>0</v>
      </c>
      <c r="F25">
        <v>1</v>
      </c>
      <c r="G25">
        <v>1</v>
      </c>
      <c r="H25" s="1" t="s">
        <v>54</v>
      </c>
      <c r="I25">
        <v>2.1040000000000001</v>
      </c>
      <c r="J25">
        <v>1</v>
      </c>
      <c r="K25">
        <f t="shared" si="0"/>
        <v>2.1040000000000001</v>
      </c>
    </row>
    <row r="26" spans="1:11" x14ac:dyDescent="0.25">
      <c r="A26" t="s">
        <v>55</v>
      </c>
      <c r="B26">
        <v>11</v>
      </c>
      <c r="C26">
        <v>904</v>
      </c>
      <c r="D26" t="s">
        <v>56</v>
      </c>
      <c r="E26">
        <v>0</v>
      </c>
      <c r="F26">
        <v>1</v>
      </c>
      <c r="G26">
        <v>2</v>
      </c>
      <c r="H26" s="1" t="s">
        <v>57</v>
      </c>
      <c r="I26">
        <v>0.09</v>
      </c>
      <c r="J26">
        <v>1</v>
      </c>
      <c r="K26">
        <f t="shared" si="0"/>
        <v>0.09</v>
      </c>
    </row>
    <row r="27" spans="1:11" x14ac:dyDescent="0.25">
      <c r="A27" t="s">
        <v>55</v>
      </c>
      <c r="B27">
        <v>12</v>
      </c>
      <c r="C27">
        <v>904</v>
      </c>
      <c r="D27" t="s">
        <v>56</v>
      </c>
      <c r="E27">
        <v>0</v>
      </c>
      <c r="F27">
        <v>1</v>
      </c>
      <c r="G27">
        <v>3</v>
      </c>
      <c r="H27" s="1" t="s">
        <v>58</v>
      </c>
      <c r="I27">
        <v>9.8000000000000004E-2</v>
      </c>
      <c r="J27">
        <v>1</v>
      </c>
      <c r="K27">
        <f t="shared" si="0"/>
        <v>9.8000000000000004E-2</v>
      </c>
    </row>
    <row r="28" spans="1:11" x14ac:dyDescent="0.25">
      <c r="A28" t="s">
        <v>47</v>
      </c>
      <c r="B28">
        <v>13</v>
      </c>
      <c r="C28">
        <v>905</v>
      </c>
      <c r="D28" t="s">
        <v>59</v>
      </c>
      <c r="E28">
        <v>0</v>
      </c>
      <c r="F28">
        <v>0</v>
      </c>
      <c r="G28">
        <v>0</v>
      </c>
      <c r="H28" s="1" t="s">
        <v>60</v>
      </c>
      <c r="I28">
        <v>-2.7E-2</v>
      </c>
      <c r="J28">
        <v>1</v>
      </c>
      <c r="K28" t="str">
        <f t="shared" si="0"/>
        <v>&lt;0.09</v>
      </c>
    </row>
    <row r="29" spans="1:11" x14ac:dyDescent="0.25">
      <c r="A29" t="s">
        <v>61</v>
      </c>
      <c r="B29">
        <v>14</v>
      </c>
      <c r="C29">
        <v>906</v>
      </c>
      <c r="D29" t="s">
        <v>62</v>
      </c>
      <c r="E29">
        <v>0</v>
      </c>
      <c r="F29">
        <v>0</v>
      </c>
      <c r="G29">
        <v>1</v>
      </c>
      <c r="H29" s="1" t="s">
        <v>63</v>
      </c>
      <c r="I29">
        <v>0.91800000000000004</v>
      </c>
      <c r="J29">
        <v>1</v>
      </c>
      <c r="K29">
        <f t="shared" si="0"/>
        <v>0.91800000000000004</v>
      </c>
    </row>
    <row r="30" spans="1:11" x14ac:dyDescent="0.25">
      <c r="A30" t="s">
        <v>47</v>
      </c>
      <c r="B30">
        <v>15</v>
      </c>
      <c r="C30">
        <v>905</v>
      </c>
      <c r="D30" t="s">
        <v>59</v>
      </c>
      <c r="E30">
        <v>0</v>
      </c>
      <c r="F30">
        <v>0</v>
      </c>
      <c r="G30">
        <v>0</v>
      </c>
      <c r="H30" s="1" t="s">
        <v>64</v>
      </c>
      <c r="I30">
        <v>-6.8000000000000005E-2</v>
      </c>
      <c r="J30">
        <v>1</v>
      </c>
      <c r="K30" t="str">
        <f t="shared" si="0"/>
        <v>&lt;0.09</v>
      </c>
    </row>
    <row r="31" spans="1:11" x14ac:dyDescent="0.25">
      <c r="A31" t="s">
        <v>65</v>
      </c>
      <c r="B31">
        <v>16</v>
      </c>
      <c r="C31">
        <v>907</v>
      </c>
      <c r="D31" t="s">
        <v>62</v>
      </c>
      <c r="E31">
        <v>0</v>
      </c>
      <c r="F31">
        <v>0</v>
      </c>
      <c r="G31">
        <v>1</v>
      </c>
      <c r="H31" s="1" t="s">
        <v>66</v>
      </c>
      <c r="I31">
        <v>0.97299999999999998</v>
      </c>
      <c r="J31">
        <v>1</v>
      </c>
      <c r="K31">
        <f t="shared" si="0"/>
        <v>0.97299999999999998</v>
      </c>
    </row>
    <row r="32" spans="1:11" x14ac:dyDescent="0.25">
      <c r="A32" t="s">
        <v>67</v>
      </c>
      <c r="B32">
        <v>17</v>
      </c>
      <c r="C32">
        <v>908</v>
      </c>
      <c r="D32" t="s">
        <v>68</v>
      </c>
      <c r="E32">
        <v>0</v>
      </c>
      <c r="F32">
        <v>0</v>
      </c>
      <c r="G32">
        <v>0</v>
      </c>
      <c r="H32" s="1" t="s">
        <v>69</v>
      </c>
      <c r="I32">
        <v>1.35</v>
      </c>
      <c r="J32">
        <v>1</v>
      </c>
      <c r="K32">
        <f t="shared" si="0"/>
        <v>1.35</v>
      </c>
    </row>
    <row r="33" spans="1:11" x14ac:dyDescent="0.25">
      <c r="A33" t="s">
        <v>70</v>
      </c>
      <c r="B33">
        <v>18</v>
      </c>
      <c r="C33">
        <v>1</v>
      </c>
      <c r="D33" t="s">
        <v>59</v>
      </c>
      <c r="E33">
        <v>0</v>
      </c>
      <c r="F33">
        <v>0</v>
      </c>
      <c r="G33">
        <v>0</v>
      </c>
      <c r="H33" s="1" t="s">
        <v>71</v>
      </c>
      <c r="I33">
        <v>0.124</v>
      </c>
      <c r="J33">
        <v>1</v>
      </c>
      <c r="K33">
        <f t="shared" si="0"/>
        <v>0.124</v>
      </c>
    </row>
    <row r="34" spans="1:11" x14ac:dyDescent="0.25">
      <c r="A34" t="s">
        <v>72</v>
      </c>
      <c r="B34">
        <v>19</v>
      </c>
      <c r="C34">
        <v>2</v>
      </c>
      <c r="D34" t="s">
        <v>59</v>
      </c>
      <c r="E34">
        <v>0</v>
      </c>
      <c r="F34">
        <v>0</v>
      </c>
      <c r="G34">
        <v>0</v>
      </c>
      <c r="H34" s="1" t="s">
        <v>73</v>
      </c>
      <c r="I34">
        <v>3.7999999999999999E-2</v>
      </c>
      <c r="J34">
        <v>1</v>
      </c>
      <c r="K34" t="str">
        <f t="shared" si="0"/>
        <v>&lt;0.09</v>
      </c>
    </row>
    <row r="35" spans="1:11" x14ac:dyDescent="0.25">
      <c r="A35" t="s">
        <v>74</v>
      </c>
      <c r="B35">
        <v>20</v>
      </c>
      <c r="C35">
        <v>3</v>
      </c>
      <c r="D35" t="s">
        <v>59</v>
      </c>
      <c r="E35">
        <v>0</v>
      </c>
      <c r="F35">
        <v>0</v>
      </c>
      <c r="G35">
        <v>0</v>
      </c>
      <c r="H35" s="1" t="s">
        <v>75</v>
      </c>
      <c r="I35">
        <v>-1.7000000000000001E-2</v>
      </c>
      <c r="J35">
        <v>1</v>
      </c>
      <c r="K35" t="str">
        <f t="shared" si="0"/>
        <v>&lt;0.09</v>
      </c>
    </row>
    <row r="36" spans="1:11" x14ac:dyDescent="0.25">
      <c r="A36" t="s">
        <v>76</v>
      </c>
      <c r="B36">
        <v>21</v>
      </c>
      <c r="C36">
        <v>4</v>
      </c>
      <c r="D36" t="s">
        <v>59</v>
      </c>
      <c r="E36">
        <v>0</v>
      </c>
      <c r="F36">
        <v>0</v>
      </c>
      <c r="G36">
        <v>0</v>
      </c>
      <c r="H36" s="1" t="s">
        <v>77</v>
      </c>
      <c r="I36">
        <v>-6.5000000000000002E-2</v>
      </c>
      <c r="J36">
        <v>1</v>
      </c>
      <c r="K36" t="str">
        <f t="shared" si="0"/>
        <v>&lt;0.09</v>
      </c>
    </row>
    <row r="37" spans="1:11" x14ac:dyDescent="0.25">
      <c r="A37" t="s">
        <v>78</v>
      </c>
      <c r="B37">
        <v>22</v>
      </c>
      <c r="C37">
        <v>5</v>
      </c>
      <c r="D37" t="s">
        <v>59</v>
      </c>
      <c r="E37">
        <v>0</v>
      </c>
      <c r="F37">
        <v>0</v>
      </c>
      <c r="G37">
        <v>0</v>
      </c>
      <c r="H37" s="1" t="s">
        <v>79</v>
      </c>
      <c r="I37">
        <v>2.8000000000000001E-2</v>
      </c>
      <c r="J37">
        <v>1</v>
      </c>
      <c r="K37" t="str">
        <f t="shared" si="0"/>
        <v>&lt;0.09</v>
      </c>
    </row>
    <row r="38" spans="1:11" x14ac:dyDescent="0.25">
      <c r="A38" t="s">
        <v>80</v>
      </c>
      <c r="B38">
        <v>23</v>
      </c>
      <c r="C38">
        <v>6</v>
      </c>
      <c r="D38" t="s">
        <v>59</v>
      </c>
      <c r="E38">
        <v>0</v>
      </c>
      <c r="F38">
        <v>0</v>
      </c>
      <c r="G38">
        <v>0</v>
      </c>
      <c r="H38" s="1" t="s">
        <v>81</v>
      </c>
      <c r="I38">
        <v>-3.5000000000000003E-2</v>
      </c>
      <c r="J38">
        <v>1</v>
      </c>
      <c r="K38" t="str">
        <f t="shared" si="0"/>
        <v>&lt;0.09</v>
      </c>
    </row>
    <row r="39" spans="1:11" x14ac:dyDescent="0.25">
      <c r="A39" t="s">
        <v>82</v>
      </c>
      <c r="B39">
        <v>24</v>
      </c>
      <c r="C39">
        <v>7</v>
      </c>
      <c r="D39" t="s">
        <v>59</v>
      </c>
      <c r="E39">
        <v>0</v>
      </c>
      <c r="F39">
        <v>0</v>
      </c>
      <c r="G39">
        <v>0</v>
      </c>
      <c r="H39" s="1" t="s">
        <v>83</v>
      </c>
      <c r="I39">
        <v>0.51</v>
      </c>
      <c r="J39">
        <v>1</v>
      </c>
      <c r="K39">
        <f t="shared" si="0"/>
        <v>0.51</v>
      </c>
    </row>
    <row r="40" spans="1:11" x14ac:dyDescent="0.25">
      <c r="A40" t="s">
        <v>84</v>
      </c>
      <c r="B40">
        <v>25</v>
      </c>
      <c r="C40">
        <v>8</v>
      </c>
      <c r="D40" t="s">
        <v>59</v>
      </c>
      <c r="E40">
        <v>0</v>
      </c>
      <c r="F40">
        <v>0</v>
      </c>
      <c r="G40">
        <v>0</v>
      </c>
      <c r="H40" s="1" t="s">
        <v>85</v>
      </c>
      <c r="I40">
        <v>0.23</v>
      </c>
      <c r="J40">
        <v>1</v>
      </c>
      <c r="K40">
        <f t="shared" si="0"/>
        <v>0.23</v>
      </c>
    </row>
    <row r="41" spans="1:11" x14ac:dyDescent="0.25">
      <c r="A41" t="s">
        <v>86</v>
      </c>
      <c r="B41">
        <v>26</v>
      </c>
      <c r="C41">
        <v>9</v>
      </c>
      <c r="D41" t="s">
        <v>59</v>
      </c>
      <c r="E41">
        <v>0</v>
      </c>
      <c r="F41">
        <v>0</v>
      </c>
      <c r="G41">
        <v>0</v>
      </c>
      <c r="H41" s="1" t="s">
        <v>87</v>
      </c>
      <c r="I41">
        <v>-0.1</v>
      </c>
      <c r="J41">
        <v>1</v>
      </c>
      <c r="K41" t="str">
        <f t="shared" si="0"/>
        <v>&lt;0.09</v>
      </c>
    </row>
    <row r="42" spans="1:11" x14ac:dyDescent="0.25">
      <c r="A42" t="s">
        <v>88</v>
      </c>
      <c r="B42">
        <v>27</v>
      </c>
      <c r="C42">
        <v>10</v>
      </c>
      <c r="D42" t="s">
        <v>59</v>
      </c>
      <c r="E42">
        <v>0</v>
      </c>
      <c r="F42">
        <v>0</v>
      </c>
      <c r="G42">
        <v>0</v>
      </c>
      <c r="H42" s="1" t="s">
        <v>89</v>
      </c>
      <c r="I42">
        <v>0.41199999999999998</v>
      </c>
      <c r="J42">
        <v>1</v>
      </c>
      <c r="K42">
        <f t="shared" si="0"/>
        <v>0.41199999999999998</v>
      </c>
    </row>
    <row r="43" spans="1:11" x14ac:dyDescent="0.25">
      <c r="A43" t="s">
        <v>90</v>
      </c>
      <c r="B43">
        <v>28</v>
      </c>
      <c r="C43">
        <v>11</v>
      </c>
      <c r="D43" t="s">
        <v>62</v>
      </c>
      <c r="E43">
        <v>0</v>
      </c>
      <c r="F43">
        <v>0</v>
      </c>
      <c r="G43">
        <v>1</v>
      </c>
      <c r="H43" s="1" t="s">
        <v>91</v>
      </c>
      <c r="I43">
        <v>1.24</v>
      </c>
      <c r="J43">
        <v>1</v>
      </c>
      <c r="K43">
        <f t="shared" si="0"/>
        <v>1.24</v>
      </c>
    </row>
    <row r="44" spans="1:11" x14ac:dyDescent="0.25">
      <c r="A44" t="s">
        <v>67</v>
      </c>
      <c r="B44">
        <v>29</v>
      </c>
      <c r="C44">
        <v>908</v>
      </c>
      <c r="D44" t="s">
        <v>68</v>
      </c>
      <c r="E44">
        <v>0</v>
      </c>
      <c r="F44">
        <v>0</v>
      </c>
      <c r="G44">
        <v>0</v>
      </c>
      <c r="H44" s="1" t="s">
        <v>92</v>
      </c>
      <c r="I44">
        <v>1.4430000000000001</v>
      </c>
      <c r="J44">
        <v>1</v>
      </c>
      <c r="K44">
        <f t="shared" si="0"/>
        <v>1.4430000000000001</v>
      </c>
    </row>
    <row r="45" spans="1:11" x14ac:dyDescent="0.25">
      <c r="A45" t="s">
        <v>49</v>
      </c>
      <c r="B45">
        <v>30</v>
      </c>
      <c r="C45">
        <v>0</v>
      </c>
      <c r="D45" t="s">
        <v>50</v>
      </c>
      <c r="E45">
        <v>0</v>
      </c>
      <c r="F45">
        <v>0</v>
      </c>
      <c r="G45">
        <v>0</v>
      </c>
      <c r="H45" s="1" t="s">
        <v>93</v>
      </c>
      <c r="I45">
        <v>-0.13800000000000001</v>
      </c>
      <c r="J45">
        <v>1</v>
      </c>
      <c r="K45" t="str">
        <f t="shared" si="0"/>
        <v>&lt;0.09</v>
      </c>
    </row>
    <row r="46" spans="1:11" x14ac:dyDescent="0.25">
      <c r="A46" t="s">
        <v>94</v>
      </c>
      <c r="B46">
        <v>31</v>
      </c>
      <c r="C46">
        <v>12</v>
      </c>
      <c r="D46" t="s">
        <v>59</v>
      </c>
      <c r="E46">
        <v>0</v>
      </c>
      <c r="F46">
        <v>0</v>
      </c>
      <c r="G46">
        <v>0</v>
      </c>
      <c r="H46" s="1" t="s">
        <v>95</v>
      </c>
      <c r="I46">
        <v>7.0000000000000001E-3</v>
      </c>
      <c r="J46">
        <v>1</v>
      </c>
      <c r="K46" t="str">
        <f t="shared" si="0"/>
        <v>&lt;0.09</v>
      </c>
    </row>
    <row r="47" spans="1:11" x14ac:dyDescent="0.25">
      <c r="A47" t="s">
        <v>96</v>
      </c>
      <c r="B47">
        <v>32</v>
      </c>
      <c r="C47">
        <v>13</v>
      </c>
      <c r="D47" t="s">
        <v>59</v>
      </c>
      <c r="E47">
        <v>0</v>
      </c>
      <c r="F47">
        <v>0</v>
      </c>
      <c r="G47">
        <v>0</v>
      </c>
      <c r="H47" s="1" t="s">
        <v>97</v>
      </c>
      <c r="I47">
        <v>-1.9E-2</v>
      </c>
      <c r="J47">
        <v>1</v>
      </c>
      <c r="K47" t="str">
        <f t="shared" si="0"/>
        <v>&lt;0.09</v>
      </c>
    </row>
    <row r="48" spans="1:11" x14ac:dyDescent="0.25">
      <c r="A48" t="s">
        <v>98</v>
      </c>
      <c r="B48">
        <v>33</v>
      </c>
      <c r="C48">
        <v>14</v>
      </c>
      <c r="D48" t="s">
        <v>59</v>
      </c>
      <c r="E48">
        <v>0</v>
      </c>
      <c r="F48">
        <v>0</v>
      </c>
      <c r="G48">
        <v>0</v>
      </c>
      <c r="H48" s="1" t="s">
        <v>99</v>
      </c>
      <c r="I48">
        <v>-8.7999999999999995E-2</v>
      </c>
      <c r="J48">
        <v>1</v>
      </c>
      <c r="K48" t="str">
        <f t="shared" si="0"/>
        <v>&lt;0.09</v>
      </c>
    </row>
    <row r="49" spans="1:11" x14ac:dyDescent="0.25">
      <c r="A49" t="s">
        <v>100</v>
      </c>
      <c r="B49">
        <v>34</v>
      </c>
      <c r="C49">
        <v>15</v>
      </c>
      <c r="D49" t="s">
        <v>59</v>
      </c>
      <c r="E49">
        <v>0</v>
      </c>
      <c r="F49">
        <v>0</v>
      </c>
      <c r="G49">
        <v>0</v>
      </c>
      <c r="H49" s="1" t="s">
        <v>101</v>
      </c>
      <c r="I49">
        <v>0.106</v>
      </c>
      <c r="J49">
        <v>1</v>
      </c>
      <c r="K49">
        <f t="shared" si="0"/>
        <v>0.106</v>
      </c>
    </row>
    <row r="50" spans="1:11" x14ac:dyDescent="0.25">
      <c r="A50" t="s">
        <v>102</v>
      </c>
      <c r="B50">
        <v>35</v>
      </c>
      <c r="C50">
        <v>16</v>
      </c>
      <c r="D50" t="s">
        <v>59</v>
      </c>
      <c r="E50">
        <v>0</v>
      </c>
      <c r="F50">
        <v>0</v>
      </c>
      <c r="G50">
        <v>0</v>
      </c>
      <c r="H50" s="1" t="s">
        <v>103</v>
      </c>
      <c r="I50">
        <v>-0.152</v>
      </c>
      <c r="J50">
        <v>1</v>
      </c>
      <c r="K50" t="str">
        <f t="shared" si="0"/>
        <v>&lt;0.09</v>
      </c>
    </row>
    <row r="51" spans="1:11" x14ac:dyDescent="0.25">
      <c r="A51" t="s">
        <v>104</v>
      </c>
      <c r="B51">
        <v>36</v>
      </c>
      <c r="C51">
        <v>17</v>
      </c>
      <c r="D51" t="s">
        <v>59</v>
      </c>
      <c r="E51">
        <v>0</v>
      </c>
      <c r="F51">
        <v>0</v>
      </c>
      <c r="G51">
        <v>0</v>
      </c>
      <c r="H51" s="1" t="s">
        <v>105</v>
      </c>
      <c r="I51">
        <v>-1.0999999999999999E-2</v>
      </c>
      <c r="J51">
        <v>1</v>
      </c>
      <c r="K51" t="str">
        <f t="shared" si="0"/>
        <v>&lt;0.09</v>
      </c>
    </row>
    <row r="52" spans="1:11" x14ac:dyDescent="0.25">
      <c r="A52" t="s">
        <v>106</v>
      </c>
      <c r="B52">
        <v>37</v>
      </c>
      <c r="C52">
        <v>18</v>
      </c>
      <c r="D52" t="s">
        <v>59</v>
      </c>
      <c r="E52">
        <v>0</v>
      </c>
      <c r="F52">
        <v>0</v>
      </c>
      <c r="G52">
        <v>0</v>
      </c>
      <c r="H52" s="1" t="s">
        <v>107</v>
      </c>
      <c r="I52">
        <v>-6.0999999999999999E-2</v>
      </c>
      <c r="J52">
        <v>1</v>
      </c>
      <c r="K52" t="str">
        <f t="shared" si="0"/>
        <v>&lt;0.09</v>
      </c>
    </row>
    <row r="53" spans="1:11" x14ac:dyDescent="0.25">
      <c r="A53" t="s">
        <v>108</v>
      </c>
      <c r="B53">
        <v>38</v>
      </c>
      <c r="C53">
        <v>19</v>
      </c>
      <c r="D53" t="s">
        <v>59</v>
      </c>
      <c r="E53">
        <v>0</v>
      </c>
      <c r="F53">
        <v>0</v>
      </c>
      <c r="G53">
        <v>0</v>
      </c>
      <c r="H53" s="1" t="s">
        <v>109</v>
      </c>
      <c r="I53">
        <v>-8.9999999999999993E-3</v>
      </c>
      <c r="J53">
        <v>1</v>
      </c>
      <c r="K53" t="str">
        <f t="shared" si="0"/>
        <v>&lt;0.09</v>
      </c>
    </row>
    <row r="54" spans="1:11" x14ac:dyDescent="0.25">
      <c r="A54" t="s">
        <v>110</v>
      </c>
      <c r="B54">
        <v>39</v>
      </c>
      <c r="C54">
        <v>20</v>
      </c>
      <c r="D54" t="s">
        <v>59</v>
      </c>
      <c r="E54">
        <v>0</v>
      </c>
      <c r="F54">
        <v>0</v>
      </c>
      <c r="G54">
        <v>0</v>
      </c>
      <c r="H54" s="1" t="s">
        <v>111</v>
      </c>
      <c r="I54">
        <v>-0.13800000000000001</v>
      </c>
      <c r="J54">
        <v>1</v>
      </c>
      <c r="K54" t="str">
        <f t="shared" si="0"/>
        <v>&lt;0.09</v>
      </c>
    </row>
    <row r="55" spans="1:11" x14ac:dyDescent="0.25">
      <c r="A55" t="s">
        <v>112</v>
      </c>
      <c r="B55">
        <v>40</v>
      </c>
      <c r="C55">
        <v>21</v>
      </c>
      <c r="D55" t="s">
        <v>59</v>
      </c>
      <c r="E55">
        <v>0</v>
      </c>
      <c r="F55">
        <v>0</v>
      </c>
      <c r="G55">
        <v>0</v>
      </c>
      <c r="H55" s="1" t="s">
        <v>113</v>
      </c>
      <c r="I55">
        <v>-7.0000000000000007E-2</v>
      </c>
      <c r="J55">
        <v>1</v>
      </c>
      <c r="K55" t="str">
        <f t="shared" si="0"/>
        <v>&lt;0.09</v>
      </c>
    </row>
    <row r="56" spans="1:11" x14ac:dyDescent="0.25">
      <c r="A56" t="s">
        <v>114</v>
      </c>
      <c r="B56">
        <v>41</v>
      </c>
      <c r="C56">
        <v>22</v>
      </c>
      <c r="D56" t="s">
        <v>62</v>
      </c>
      <c r="E56">
        <v>0</v>
      </c>
      <c r="F56">
        <v>0</v>
      </c>
      <c r="G56">
        <v>1</v>
      </c>
      <c r="H56" s="1" t="s">
        <v>115</v>
      </c>
      <c r="I56">
        <v>0.89300000000000002</v>
      </c>
      <c r="J56">
        <v>1</v>
      </c>
      <c r="K56">
        <f t="shared" si="0"/>
        <v>0.89300000000000002</v>
      </c>
    </row>
    <row r="57" spans="1:11" x14ac:dyDescent="0.25">
      <c r="A57" t="s">
        <v>67</v>
      </c>
      <c r="B57">
        <v>42</v>
      </c>
      <c r="C57">
        <v>908</v>
      </c>
      <c r="D57" t="s">
        <v>68</v>
      </c>
      <c r="E57">
        <v>0</v>
      </c>
      <c r="F57">
        <v>0</v>
      </c>
      <c r="G57">
        <v>0</v>
      </c>
      <c r="H57" s="1" t="s">
        <v>116</v>
      </c>
      <c r="I57">
        <v>1.46</v>
      </c>
      <c r="J57">
        <v>1</v>
      </c>
      <c r="K57">
        <f t="shared" si="0"/>
        <v>1.46</v>
      </c>
    </row>
    <row r="58" spans="1:11" x14ac:dyDescent="0.25">
      <c r="A58" t="s">
        <v>49</v>
      </c>
      <c r="B58">
        <v>43</v>
      </c>
      <c r="C58">
        <v>0</v>
      </c>
      <c r="D58" t="s">
        <v>50</v>
      </c>
      <c r="E58">
        <v>0</v>
      </c>
      <c r="F58">
        <v>0</v>
      </c>
      <c r="G58">
        <v>0</v>
      </c>
      <c r="H58" s="1" t="s">
        <v>117</v>
      </c>
      <c r="I58">
        <v>-0.13800000000000001</v>
      </c>
      <c r="J58">
        <v>1</v>
      </c>
      <c r="K58" t="str">
        <f t="shared" si="0"/>
        <v>&lt;0.09</v>
      </c>
    </row>
    <row r="59" spans="1:11" x14ac:dyDescent="0.25">
      <c r="A59" t="s">
        <v>118</v>
      </c>
      <c r="B59">
        <v>44</v>
      </c>
      <c r="C59">
        <v>23</v>
      </c>
      <c r="D59" t="s">
        <v>59</v>
      </c>
      <c r="E59">
        <v>0</v>
      </c>
      <c r="F59">
        <v>0</v>
      </c>
      <c r="G59">
        <v>0</v>
      </c>
      <c r="H59" s="1" t="s">
        <v>119</v>
      </c>
      <c r="I59">
        <v>2.1000000000000001E-2</v>
      </c>
      <c r="J59">
        <v>1</v>
      </c>
      <c r="K59" t="str">
        <f t="shared" si="0"/>
        <v>&lt;0.09</v>
      </c>
    </row>
    <row r="60" spans="1:11" x14ac:dyDescent="0.25">
      <c r="A60" t="s">
        <v>120</v>
      </c>
      <c r="B60">
        <v>45</v>
      </c>
      <c r="C60">
        <v>24</v>
      </c>
      <c r="D60" t="s">
        <v>59</v>
      </c>
      <c r="E60">
        <v>0</v>
      </c>
      <c r="F60">
        <v>0</v>
      </c>
      <c r="G60">
        <v>0</v>
      </c>
      <c r="H60" s="1" t="s">
        <v>121</v>
      </c>
      <c r="I60">
        <v>-0.05</v>
      </c>
      <c r="J60">
        <v>1</v>
      </c>
      <c r="K60" t="str">
        <f t="shared" si="0"/>
        <v>&lt;0.09</v>
      </c>
    </row>
    <row r="61" spans="1:11" x14ac:dyDescent="0.25">
      <c r="A61" t="s">
        <v>122</v>
      </c>
      <c r="B61">
        <v>46</v>
      </c>
      <c r="C61">
        <v>25</v>
      </c>
      <c r="D61" t="s">
        <v>59</v>
      </c>
      <c r="E61">
        <v>0</v>
      </c>
      <c r="F61">
        <v>0</v>
      </c>
      <c r="G61">
        <v>0</v>
      </c>
      <c r="H61" s="1" t="s">
        <v>123</v>
      </c>
      <c r="I61">
        <v>-7.8E-2</v>
      </c>
      <c r="J61">
        <v>1</v>
      </c>
      <c r="K61" t="str">
        <f t="shared" si="0"/>
        <v>&lt;0.09</v>
      </c>
    </row>
    <row r="62" spans="1:11" x14ac:dyDescent="0.25">
      <c r="A62" t="s">
        <v>124</v>
      </c>
      <c r="B62">
        <v>47</v>
      </c>
      <c r="C62">
        <v>26</v>
      </c>
      <c r="D62" t="s">
        <v>59</v>
      </c>
      <c r="E62">
        <v>0</v>
      </c>
      <c r="F62">
        <v>0</v>
      </c>
      <c r="G62">
        <v>0</v>
      </c>
      <c r="H62" s="1" t="s">
        <v>125</v>
      </c>
      <c r="I62">
        <v>-0.10299999999999999</v>
      </c>
      <c r="J62">
        <v>1</v>
      </c>
      <c r="K62" t="str">
        <f t="shared" si="0"/>
        <v>&lt;0.09</v>
      </c>
    </row>
    <row r="63" spans="1:11" x14ac:dyDescent="0.25">
      <c r="A63" t="s">
        <v>126</v>
      </c>
      <c r="B63">
        <v>48</v>
      </c>
      <c r="C63">
        <v>27</v>
      </c>
      <c r="D63" t="s">
        <v>59</v>
      </c>
      <c r="E63">
        <v>0</v>
      </c>
      <c r="F63">
        <v>0</v>
      </c>
      <c r="G63">
        <v>0</v>
      </c>
      <c r="H63" s="1" t="s">
        <v>127</v>
      </c>
      <c r="I63">
        <v>8.3000000000000004E-2</v>
      </c>
      <c r="J63">
        <v>1</v>
      </c>
      <c r="K63" t="str">
        <f t="shared" si="0"/>
        <v>&lt;0.09</v>
      </c>
    </row>
    <row r="64" spans="1:11" x14ac:dyDescent="0.25">
      <c r="A64" t="s">
        <v>128</v>
      </c>
      <c r="B64">
        <v>49</v>
      </c>
      <c r="C64">
        <v>28</v>
      </c>
      <c r="D64" t="s">
        <v>59</v>
      </c>
      <c r="E64">
        <v>0</v>
      </c>
      <c r="F64">
        <v>0</v>
      </c>
      <c r="G64">
        <v>0</v>
      </c>
      <c r="H64" s="1" t="s">
        <v>129</v>
      </c>
      <c r="I64">
        <v>2.1000000000000001E-2</v>
      </c>
      <c r="J64">
        <v>1</v>
      </c>
      <c r="K64" t="str">
        <f t="shared" si="0"/>
        <v>&lt;0.09</v>
      </c>
    </row>
    <row r="65" spans="1:11" x14ac:dyDescent="0.25">
      <c r="A65" t="s">
        <v>130</v>
      </c>
      <c r="B65">
        <v>50</v>
      </c>
      <c r="C65">
        <v>29</v>
      </c>
      <c r="D65" t="s">
        <v>59</v>
      </c>
      <c r="E65">
        <v>0</v>
      </c>
      <c r="F65">
        <v>0</v>
      </c>
      <c r="G65">
        <v>0</v>
      </c>
      <c r="H65" s="1" t="s">
        <v>131</v>
      </c>
      <c r="I65">
        <v>-3.2000000000000001E-2</v>
      </c>
      <c r="J65">
        <v>1</v>
      </c>
      <c r="K65" t="str">
        <f t="shared" si="0"/>
        <v>&lt;0.09</v>
      </c>
    </row>
    <row r="66" spans="1:11" x14ac:dyDescent="0.25">
      <c r="A66" t="s">
        <v>132</v>
      </c>
      <c r="B66">
        <v>51</v>
      </c>
      <c r="C66">
        <v>30</v>
      </c>
      <c r="D66" t="s">
        <v>59</v>
      </c>
      <c r="E66">
        <v>0</v>
      </c>
      <c r="F66">
        <v>0</v>
      </c>
      <c r="G66">
        <v>0</v>
      </c>
      <c r="H66" s="1" t="s">
        <v>133</v>
      </c>
      <c r="I66">
        <v>0.72899999999999998</v>
      </c>
      <c r="J66">
        <v>1</v>
      </c>
      <c r="K66">
        <f t="shared" si="0"/>
        <v>0.72899999999999998</v>
      </c>
    </row>
    <row r="67" spans="1:11" x14ac:dyDescent="0.25">
      <c r="A67" t="s">
        <v>134</v>
      </c>
      <c r="B67">
        <v>52</v>
      </c>
      <c r="C67">
        <v>31</v>
      </c>
      <c r="D67" t="s">
        <v>59</v>
      </c>
      <c r="E67">
        <v>0</v>
      </c>
      <c r="F67">
        <v>0</v>
      </c>
      <c r="G67">
        <v>0</v>
      </c>
      <c r="H67" s="1" t="s">
        <v>135</v>
      </c>
      <c r="I67">
        <v>8.2000000000000003E-2</v>
      </c>
      <c r="J67">
        <v>1</v>
      </c>
      <c r="K67" t="str">
        <f t="shared" si="0"/>
        <v>&lt;0.09</v>
      </c>
    </row>
    <row r="68" spans="1:11" x14ac:dyDescent="0.25">
      <c r="A68" t="s">
        <v>136</v>
      </c>
      <c r="B68">
        <v>53</v>
      </c>
      <c r="C68">
        <v>32</v>
      </c>
      <c r="D68" t="s">
        <v>59</v>
      </c>
      <c r="E68">
        <v>0</v>
      </c>
      <c r="F68">
        <v>0</v>
      </c>
      <c r="G68">
        <v>0</v>
      </c>
      <c r="H68" s="1" t="s">
        <v>137</v>
      </c>
      <c r="I68">
        <v>-8.9999999999999993E-3</v>
      </c>
      <c r="J68">
        <v>1</v>
      </c>
      <c r="K68" t="str">
        <f t="shared" si="0"/>
        <v>&lt;0.09</v>
      </c>
    </row>
    <row r="69" spans="1:11" x14ac:dyDescent="0.25">
      <c r="A69" t="s">
        <v>138</v>
      </c>
      <c r="B69">
        <v>54</v>
      </c>
      <c r="C69">
        <v>33</v>
      </c>
      <c r="D69" t="s">
        <v>62</v>
      </c>
      <c r="E69">
        <v>0</v>
      </c>
      <c r="F69">
        <v>0</v>
      </c>
      <c r="G69">
        <v>1</v>
      </c>
      <c r="H69" s="1" t="s">
        <v>139</v>
      </c>
      <c r="I69">
        <v>0.92800000000000005</v>
      </c>
      <c r="J69">
        <v>1</v>
      </c>
      <c r="K69">
        <f t="shared" si="0"/>
        <v>0.92800000000000005</v>
      </c>
    </row>
    <row r="70" spans="1:11" x14ac:dyDescent="0.25">
      <c r="A70" t="s">
        <v>67</v>
      </c>
      <c r="B70">
        <v>55</v>
      </c>
      <c r="C70">
        <v>908</v>
      </c>
      <c r="D70" t="s">
        <v>68</v>
      </c>
      <c r="E70">
        <v>0</v>
      </c>
      <c r="F70">
        <v>0</v>
      </c>
      <c r="G70">
        <v>0</v>
      </c>
      <c r="H70" s="1" t="s">
        <v>140</v>
      </c>
      <c r="I70">
        <v>1.4259999999999999</v>
      </c>
      <c r="J70">
        <v>1</v>
      </c>
      <c r="K70">
        <f t="shared" si="0"/>
        <v>1.4259999999999999</v>
      </c>
    </row>
    <row r="71" spans="1:11" x14ac:dyDescent="0.25">
      <c r="A71" t="s">
        <v>49</v>
      </c>
      <c r="B71">
        <v>56</v>
      </c>
      <c r="C71">
        <v>0</v>
      </c>
      <c r="D71" t="s">
        <v>50</v>
      </c>
      <c r="E71">
        <v>0</v>
      </c>
      <c r="F71">
        <v>0</v>
      </c>
      <c r="G71">
        <v>0</v>
      </c>
      <c r="H71" s="1" t="s">
        <v>141</v>
      </c>
      <c r="I71">
        <v>-0.13800000000000001</v>
      </c>
      <c r="J71">
        <v>1</v>
      </c>
      <c r="K71" t="str">
        <f t="shared" si="0"/>
        <v>&lt;0.09</v>
      </c>
    </row>
    <row r="72" spans="1:11" x14ac:dyDescent="0.25">
      <c r="A72" t="s">
        <v>142</v>
      </c>
      <c r="B72">
        <v>57</v>
      </c>
      <c r="C72">
        <v>34</v>
      </c>
      <c r="D72" t="s">
        <v>59</v>
      </c>
      <c r="E72">
        <v>0</v>
      </c>
      <c r="F72">
        <v>0</v>
      </c>
      <c r="G72">
        <v>0</v>
      </c>
      <c r="H72" s="1" t="s">
        <v>143</v>
      </c>
      <c r="I72">
        <v>0.45600000000000002</v>
      </c>
      <c r="J72">
        <v>1</v>
      </c>
      <c r="K72">
        <f t="shared" si="0"/>
        <v>0.45600000000000002</v>
      </c>
    </row>
    <row r="73" spans="1:11" x14ac:dyDescent="0.25">
      <c r="A73" t="s">
        <v>144</v>
      </c>
      <c r="B73">
        <v>58</v>
      </c>
      <c r="C73">
        <v>35</v>
      </c>
      <c r="D73" t="s">
        <v>59</v>
      </c>
      <c r="E73">
        <v>0</v>
      </c>
      <c r="F73">
        <v>0</v>
      </c>
      <c r="G73">
        <v>0</v>
      </c>
      <c r="H73" s="1" t="s">
        <v>145</v>
      </c>
      <c r="I73">
        <v>0.16</v>
      </c>
      <c r="J73">
        <v>1</v>
      </c>
      <c r="K73">
        <f t="shared" si="0"/>
        <v>0.16</v>
      </c>
    </row>
    <row r="74" spans="1:11" x14ac:dyDescent="0.25">
      <c r="A74" t="s">
        <v>146</v>
      </c>
      <c r="B74">
        <v>59</v>
      </c>
      <c r="C74">
        <v>36</v>
      </c>
      <c r="D74" t="s">
        <v>59</v>
      </c>
      <c r="E74">
        <v>0</v>
      </c>
      <c r="F74">
        <v>0</v>
      </c>
      <c r="G74">
        <v>0</v>
      </c>
      <c r="H74" s="1" t="s">
        <v>147</v>
      </c>
      <c r="I74">
        <v>0.308</v>
      </c>
      <c r="J74">
        <v>1</v>
      </c>
      <c r="K74">
        <f t="shared" si="0"/>
        <v>0.308</v>
      </c>
    </row>
    <row r="75" spans="1:11" x14ac:dyDescent="0.25">
      <c r="A75" t="s">
        <v>148</v>
      </c>
      <c r="B75">
        <v>60</v>
      </c>
      <c r="C75">
        <v>37</v>
      </c>
      <c r="D75" t="s">
        <v>59</v>
      </c>
      <c r="E75">
        <v>0</v>
      </c>
      <c r="F75">
        <v>0</v>
      </c>
      <c r="G75">
        <v>0</v>
      </c>
      <c r="H75" s="1" t="s">
        <v>149</v>
      </c>
      <c r="I75">
        <v>0.30399999999999999</v>
      </c>
      <c r="J75">
        <v>1</v>
      </c>
      <c r="K75">
        <f t="shared" si="0"/>
        <v>0.30399999999999999</v>
      </c>
    </row>
    <row r="76" spans="1:11" x14ac:dyDescent="0.25">
      <c r="A76" t="s">
        <v>150</v>
      </c>
      <c r="B76">
        <v>61</v>
      </c>
      <c r="C76">
        <v>38</v>
      </c>
      <c r="D76" t="s">
        <v>59</v>
      </c>
      <c r="E76">
        <v>0</v>
      </c>
      <c r="F76">
        <v>0</v>
      </c>
      <c r="G76">
        <v>0</v>
      </c>
      <c r="H76" s="1" t="s">
        <v>151</v>
      </c>
      <c r="I76">
        <v>0.35499999999999998</v>
      </c>
      <c r="J76">
        <v>1</v>
      </c>
      <c r="K76">
        <f t="shared" si="0"/>
        <v>0.35499999999999998</v>
      </c>
    </row>
    <row r="77" spans="1:11" x14ac:dyDescent="0.25">
      <c r="A77" t="s">
        <v>152</v>
      </c>
      <c r="B77">
        <v>62</v>
      </c>
      <c r="C77">
        <v>39</v>
      </c>
      <c r="D77" t="s">
        <v>59</v>
      </c>
      <c r="E77">
        <v>0</v>
      </c>
      <c r="F77">
        <v>0</v>
      </c>
      <c r="G77">
        <v>0</v>
      </c>
      <c r="H77" s="1" t="s">
        <v>153</v>
      </c>
      <c r="I77">
        <v>0.14799999999999999</v>
      </c>
      <c r="J77">
        <v>1</v>
      </c>
      <c r="K77">
        <f t="shared" si="0"/>
        <v>0.14799999999999999</v>
      </c>
    </row>
    <row r="78" spans="1:11" x14ac:dyDescent="0.25">
      <c r="A78" t="s">
        <v>154</v>
      </c>
      <c r="B78">
        <v>63</v>
      </c>
      <c r="C78">
        <v>40</v>
      </c>
      <c r="D78" t="s">
        <v>59</v>
      </c>
      <c r="E78">
        <v>0</v>
      </c>
      <c r="F78">
        <v>0</v>
      </c>
      <c r="G78">
        <v>0</v>
      </c>
      <c r="H78" s="1" t="s">
        <v>155</v>
      </c>
      <c r="I78">
        <v>4.3999999999999997E-2</v>
      </c>
      <c r="J78">
        <v>1</v>
      </c>
      <c r="K78" t="str">
        <f t="shared" si="0"/>
        <v>&lt;0.09</v>
      </c>
    </row>
    <row r="79" spans="1:11" x14ac:dyDescent="0.25">
      <c r="A79" t="s">
        <v>156</v>
      </c>
      <c r="B79">
        <v>64</v>
      </c>
      <c r="C79">
        <v>41</v>
      </c>
      <c r="D79" t="s">
        <v>59</v>
      </c>
      <c r="E79">
        <v>0</v>
      </c>
      <c r="F79">
        <v>0</v>
      </c>
      <c r="G79">
        <v>0</v>
      </c>
      <c r="H79" s="1" t="s">
        <v>157</v>
      </c>
      <c r="I79">
        <v>0.109</v>
      </c>
      <c r="J79">
        <v>1</v>
      </c>
      <c r="K79">
        <f t="shared" si="0"/>
        <v>0.109</v>
      </c>
    </row>
    <row r="80" spans="1:11" x14ac:dyDescent="0.25">
      <c r="A80" t="s">
        <v>158</v>
      </c>
      <c r="B80">
        <v>65</v>
      </c>
      <c r="C80">
        <v>42</v>
      </c>
      <c r="D80" t="s">
        <v>59</v>
      </c>
      <c r="E80">
        <v>0</v>
      </c>
      <c r="F80">
        <v>0</v>
      </c>
      <c r="G80">
        <v>0</v>
      </c>
      <c r="H80" s="1" t="s">
        <v>159</v>
      </c>
      <c r="I80">
        <v>-3.0000000000000001E-3</v>
      </c>
      <c r="J80">
        <v>1</v>
      </c>
      <c r="K80" t="str">
        <f t="shared" si="0"/>
        <v>&lt;0.09</v>
      </c>
    </row>
    <row r="81" spans="1:11" x14ac:dyDescent="0.25">
      <c r="A81" t="s">
        <v>160</v>
      </c>
      <c r="B81">
        <v>66</v>
      </c>
      <c r="C81">
        <v>43</v>
      </c>
      <c r="D81" t="s">
        <v>59</v>
      </c>
      <c r="E81">
        <v>0</v>
      </c>
      <c r="F81">
        <v>0</v>
      </c>
      <c r="G81">
        <v>0</v>
      </c>
      <c r="H81" s="1" t="s">
        <v>161</v>
      </c>
      <c r="I81">
        <v>0.11600000000000001</v>
      </c>
      <c r="J81">
        <v>1</v>
      </c>
      <c r="K81">
        <f t="shared" ref="K81:K108" si="1">IF(I81&lt;=$I$5,"&lt;0.09",I81)</f>
        <v>0.11600000000000001</v>
      </c>
    </row>
    <row r="82" spans="1:11" x14ac:dyDescent="0.25">
      <c r="A82" t="s">
        <v>162</v>
      </c>
      <c r="B82">
        <v>67</v>
      </c>
      <c r="C82">
        <v>44</v>
      </c>
      <c r="D82" t="s">
        <v>62</v>
      </c>
      <c r="E82">
        <v>0</v>
      </c>
      <c r="F82">
        <v>0</v>
      </c>
      <c r="G82">
        <v>1</v>
      </c>
      <c r="H82" s="1" t="s">
        <v>163</v>
      </c>
      <c r="I82">
        <v>1.137</v>
      </c>
      <c r="J82">
        <v>1</v>
      </c>
      <c r="K82">
        <f t="shared" si="1"/>
        <v>1.137</v>
      </c>
    </row>
    <row r="83" spans="1:11" x14ac:dyDescent="0.25">
      <c r="A83" t="s">
        <v>67</v>
      </c>
      <c r="B83">
        <v>68</v>
      </c>
      <c r="C83">
        <v>908</v>
      </c>
      <c r="D83" t="s">
        <v>68</v>
      </c>
      <c r="E83">
        <v>0</v>
      </c>
      <c r="F83">
        <v>0</v>
      </c>
      <c r="G83">
        <v>0</v>
      </c>
      <c r="H83" s="1" t="s">
        <v>164</v>
      </c>
      <c r="I83">
        <v>1.29</v>
      </c>
      <c r="J83">
        <v>1</v>
      </c>
      <c r="K83">
        <f t="shared" si="1"/>
        <v>1.29</v>
      </c>
    </row>
    <row r="84" spans="1:11" x14ac:dyDescent="0.25">
      <c r="A84" t="s">
        <v>49</v>
      </c>
      <c r="B84">
        <v>69</v>
      </c>
      <c r="C84">
        <v>0</v>
      </c>
      <c r="D84" t="s">
        <v>50</v>
      </c>
      <c r="E84">
        <v>0</v>
      </c>
      <c r="F84">
        <v>0</v>
      </c>
      <c r="G84">
        <v>0</v>
      </c>
      <c r="H84" s="1" t="s">
        <v>165</v>
      </c>
      <c r="I84">
        <v>-0.13800000000000001</v>
      </c>
      <c r="J84">
        <v>1</v>
      </c>
      <c r="K84" t="str">
        <f t="shared" si="1"/>
        <v>&lt;0.09</v>
      </c>
    </row>
    <row r="85" spans="1:11" x14ac:dyDescent="0.25">
      <c r="A85" t="s">
        <v>166</v>
      </c>
      <c r="B85">
        <v>70</v>
      </c>
      <c r="C85">
        <v>45</v>
      </c>
      <c r="D85" t="s">
        <v>59</v>
      </c>
      <c r="E85">
        <v>0</v>
      </c>
      <c r="F85">
        <v>0</v>
      </c>
      <c r="G85">
        <v>0</v>
      </c>
      <c r="H85" s="1" t="s">
        <v>167</v>
      </c>
      <c r="I85">
        <v>0.22600000000000001</v>
      </c>
      <c r="J85">
        <v>1</v>
      </c>
      <c r="K85">
        <f t="shared" si="1"/>
        <v>0.22600000000000001</v>
      </c>
    </row>
    <row r="86" spans="1:11" x14ac:dyDescent="0.25">
      <c r="A86" t="s">
        <v>168</v>
      </c>
      <c r="B86">
        <v>71</v>
      </c>
      <c r="C86">
        <v>46</v>
      </c>
      <c r="D86" t="s">
        <v>59</v>
      </c>
      <c r="E86">
        <v>0</v>
      </c>
      <c r="F86">
        <v>0</v>
      </c>
      <c r="G86">
        <v>0</v>
      </c>
      <c r="H86" s="1" t="s">
        <v>169</v>
      </c>
      <c r="I86">
        <v>5.7000000000000002E-2</v>
      </c>
      <c r="J86">
        <v>1</v>
      </c>
      <c r="K86" t="str">
        <f t="shared" si="1"/>
        <v>&lt;0.09</v>
      </c>
    </row>
    <row r="87" spans="1:11" x14ac:dyDescent="0.25">
      <c r="A87" t="s">
        <v>170</v>
      </c>
      <c r="B87">
        <v>72</v>
      </c>
      <c r="C87">
        <v>47</v>
      </c>
      <c r="D87" t="s">
        <v>59</v>
      </c>
      <c r="E87">
        <v>0</v>
      </c>
      <c r="F87">
        <v>0</v>
      </c>
      <c r="G87">
        <v>0</v>
      </c>
      <c r="H87" s="1" t="s">
        <v>171</v>
      </c>
      <c r="I87">
        <v>0.19700000000000001</v>
      </c>
      <c r="J87">
        <v>1</v>
      </c>
      <c r="K87">
        <f t="shared" si="1"/>
        <v>0.19700000000000001</v>
      </c>
    </row>
    <row r="88" spans="1:11" x14ac:dyDescent="0.25">
      <c r="A88" t="s">
        <v>172</v>
      </c>
      <c r="B88">
        <v>73</v>
      </c>
      <c r="C88">
        <v>48</v>
      </c>
      <c r="D88" t="s">
        <v>59</v>
      </c>
      <c r="E88">
        <v>0</v>
      </c>
      <c r="F88">
        <v>0</v>
      </c>
      <c r="G88">
        <v>0</v>
      </c>
      <c r="H88" s="1" t="s">
        <v>173</v>
      </c>
      <c r="I88">
        <v>-3.1E-2</v>
      </c>
      <c r="J88">
        <v>1</v>
      </c>
      <c r="K88" t="str">
        <f t="shared" si="1"/>
        <v>&lt;0.09</v>
      </c>
    </row>
    <row r="89" spans="1:11" x14ac:dyDescent="0.25">
      <c r="A89" t="s">
        <v>174</v>
      </c>
      <c r="B89">
        <v>74</v>
      </c>
      <c r="C89">
        <v>49</v>
      </c>
      <c r="D89" t="s">
        <v>59</v>
      </c>
      <c r="E89">
        <v>0</v>
      </c>
      <c r="F89">
        <v>0</v>
      </c>
      <c r="G89">
        <v>0</v>
      </c>
      <c r="H89" s="1" t="s">
        <v>175</v>
      </c>
      <c r="I89">
        <v>7.8E-2</v>
      </c>
      <c r="J89">
        <v>1</v>
      </c>
      <c r="K89" t="str">
        <f t="shared" si="1"/>
        <v>&lt;0.09</v>
      </c>
    </row>
    <row r="90" spans="1:11" x14ac:dyDescent="0.25">
      <c r="A90" t="s">
        <v>176</v>
      </c>
      <c r="B90">
        <v>75</v>
      </c>
      <c r="C90">
        <v>50</v>
      </c>
      <c r="D90" t="s">
        <v>59</v>
      </c>
      <c r="E90">
        <v>0</v>
      </c>
      <c r="F90">
        <v>0</v>
      </c>
      <c r="G90">
        <v>0</v>
      </c>
      <c r="H90" s="1" t="s">
        <v>177</v>
      </c>
      <c r="I90">
        <v>0.26400000000000001</v>
      </c>
      <c r="J90">
        <v>1</v>
      </c>
      <c r="K90">
        <f t="shared" si="1"/>
        <v>0.26400000000000001</v>
      </c>
    </row>
    <row r="91" spans="1:11" x14ac:dyDescent="0.25">
      <c r="A91" t="s">
        <v>178</v>
      </c>
      <c r="B91">
        <v>76</v>
      </c>
      <c r="C91">
        <v>51</v>
      </c>
      <c r="D91" t="s">
        <v>59</v>
      </c>
      <c r="E91">
        <v>0</v>
      </c>
      <c r="F91">
        <v>0</v>
      </c>
      <c r="G91">
        <v>0</v>
      </c>
      <c r="H91" s="1" t="s">
        <v>179</v>
      </c>
      <c r="I91">
        <v>-1.0999999999999999E-2</v>
      </c>
      <c r="J91">
        <v>1</v>
      </c>
      <c r="K91" t="str">
        <f t="shared" si="1"/>
        <v>&lt;0.09</v>
      </c>
    </row>
    <row r="92" spans="1:11" x14ac:dyDescent="0.25">
      <c r="A92" t="s">
        <v>180</v>
      </c>
      <c r="B92">
        <v>77</v>
      </c>
      <c r="C92">
        <v>52</v>
      </c>
      <c r="D92" t="s">
        <v>62</v>
      </c>
      <c r="E92">
        <v>0</v>
      </c>
      <c r="F92">
        <v>0</v>
      </c>
      <c r="G92">
        <v>1</v>
      </c>
      <c r="H92" s="1" t="s">
        <v>181</v>
      </c>
      <c r="I92">
        <v>0.98399999999999999</v>
      </c>
      <c r="J92">
        <v>1</v>
      </c>
      <c r="K92">
        <f t="shared" si="1"/>
        <v>0.98399999999999999</v>
      </c>
    </row>
    <row r="93" spans="1:11" x14ac:dyDescent="0.25">
      <c r="A93" t="s">
        <v>67</v>
      </c>
      <c r="B93">
        <v>78</v>
      </c>
      <c r="C93">
        <v>908</v>
      </c>
      <c r="D93" t="s">
        <v>68</v>
      </c>
      <c r="E93">
        <v>0</v>
      </c>
      <c r="F93">
        <v>0</v>
      </c>
      <c r="G93">
        <v>0</v>
      </c>
      <c r="H93" s="1" t="s">
        <v>182</v>
      </c>
      <c r="I93">
        <v>1.244</v>
      </c>
      <c r="J93">
        <v>1</v>
      </c>
      <c r="K93">
        <f t="shared" si="1"/>
        <v>1.244</v>
      </c>
    </row>
    <row r="94" spans="1:11" x14ac:dyDescent="0.25">
      <c r="A94" t="s">
        <v>49</v>
      </c>
      <c r="B94">
        <v>79</v>
      </c>
      <c r="C94">
        <v>0</v>
      </c>
      <c r="D94" t="s">
        <v>50</v>
      </c>
      <c r="E94">
        <v>0</v>
      </c>
      <c r="F94">
        <v>0</v>
      </c>
      <c r="G94">
        <v>0</v>
      </c>
      <c r="H94" s="1" t="s">
        <v>183</v>
      </c>
      <c r="I94">
        <v>-0.13800000000000001</v>
      </c>
      <c r="J94">
        <v>1</v>
      </c>
      <c r="K94" t="str">
        <f t="shared" si="1"/>
        <v>&lt;0.09</v>
      </c>
    </row>
    <row r="95" spans="1:11" x14ac:dyDescent="0.25">
      <c r="A95" t="s">
        <v>47</v>
      </c>
      <c r="B95">
        <v>80</v>
      </c>
      <c r="C95">
        <v>922</v>
      </c>
      <c r="D95" t="s">
        <v>59</v>
      </c>
      <c r="E95">
        <v>0</v>
      </c>
      <c r="F95">
        <v>0</v>
      </c>
      <c r="G95">
        <v>0</v>
      </c>
      <c r="H95" s="1" t="s">
        <v>184</v>
      </c>
      <c r="I95">
        <v>-8.1000000000000003E-2</v>
      </c>
      <c r="J95">
        <v>1</v>
      </c>
      <c r="K95" t="str">
        <f t="shared" si="1"/>
        <v>&lt;0.09</v>
      </c>
    </row>
    <row r="96" spans="1:11" x14ac:dyDescent="0.25">
      <c r="A96" t="s">
        <v>47</v>
      </c>
      <c r="B96">
        <v>81</v>
      </c>
      <c r="C96">
        <v>922</v>
      </c>
      <c r="D96" t="s">
        <v>59</v>
      </c>
      <c r="E96">
        <v>0</v>
      </c>
      <c r="F96">
        <v>0</v>
      </c>
      <c r="G96">
        <v>0</v>
      </c>
      <c r="H96" s="1" t="s">
        <v>185</v>
      </c>
      <c r="I96">
        <v>-0.114</v>
      </c>
      <c r="J96">
        <v>1</v>
      </c>
      <c r="K96" t="str">
        <f t="shared" si="1"/>
        <v>&lt;0.09</v>
      </c>
    </row>
    <row r="97" spans="1:11" x14ac:dyDescent="0.25">
      <c r="A97" t="s">
        <v>47</v>
      </c>
      <c r="B97">
        <v>82</v>
      </c>
      <c r="C97">
        <v>922</v>
      </c>
      <c r="D97" t="s">
        <v>59</v>
      </c>
      <c r="E97">
        <v>0</v>
      </c>
      <c r="F97">
        <v>0</v>
      </c>
      <c r="G97">
        <v>0</v>
      </c>
      <c r="H97" s="1" t="s">
        <v>186</v>
      </c>
      <c r="I97">
        <v>-0.13700000000000001</v>
      </c>
      <c r="J97">
        <v>1</v>
      </c>
      <c r="K97" t="str">
        <f t="shared" si="1"/>
        <v>&lt;0.09</v>
      </c>
    </row>
    <row r="98" spans="1:11" x14ac:dyDescent="0.25">
      <c r="A98" t="s">
        <v>47</v>
      </c>
      <c r="B98">
        <v>83</v>
      </c>
      <c r="C98">
        <v>922</v>
      </c>
      <c r="D98" t="s">
        <v>59</v>
      </c>
      <c r="E98">
        <v>0</v>
      </c>
      <c r="F98">
        <v>0</v>
      </c>
      <c r="G98">
        <v>0</v>
      </c>
      <c r="H98" s="1" t="s">
        <v>187</v>
      </c>
      <c r="I98">
        <v>-0.17899999999999999</v>
      </c>
      <c r="J98">
        <v>1</v>
      </c>
      <c r="K98" t="str">
        <f t="shared" si="1"/>
        <v>&lt;0.09</v>
      </c>
    </row>
    <row r="99" spans="1:11" x14ac:dyDescent="0.25">
      <c r="A99" t="s">
        <v>47</v>
      </c>
      <c r="B99">
        <v>84</v>
      </c>
      <c r="C99">
        <v>922</v>
      </c>
      <c r="D99" t="s">
        <v>59</v>
      </c>
      <c r="E99">
        <v>0</v>
      </c>
      <c r="F99">
        <v>0</v>
      </c>
      <c r="G99">
        <v>0</v>
      </c>
      <c r="H99" s="1" t="s">
        <v>188</v>
      </c>
      <c r="I99">
        <v>-0.13500000000000001</v>
      </c>
      <c r="J99">
        <v>1</v>
      </c>
      <c r="K99" t="str">
        <f t="shared" si="1"/>
        <v>&lt;0.09</v>
      </c>
    </row>
    <row r="100" spans="1:11" x14ac:dyDescent="0.25">
      <c r="A100" t="s">
        <v>47</v>
      </c>
      <c r="B100">
        <v>85</v>
      </c>
      <c r="C100">
        <v>922</v>
      </c>
      <c r="D100" t="s">
        <v>59</v>
      </c>
      <c r="E100">
        <v>0</v>
      </c>
      <c r="F100">
        <v>0</v>
      </c>
      <c r="G100">
        <v>0</v>
      </c>
      <c r="H100" s="1" t="s">
        <v>189</v>
      </c>
      <c r="I100">
        <v>-0.128</v>
      </c>
      <c r="J100">
        <v>1</v>
      </c>
      <c r="K100" t="str">
        <f t="shared" si="1"/>
        <v>&lt;0.09</v>
      </c>
    </row>
    <row r="101" spans="1:11" x14ac:dyDescent="0.25">
      <c r="A101" t="s">
        <v>47</v>
      </c>
      <c r="B101">
        <v>86</v>
      </c>
      <c r="C101">
        <v>922</v>
      </c>
      <c r="D101" t="s">
        <v>59</v>
      </c>
      <c r="E101">
        <v>0</v>
      </c>
      <c r="F101">
        <v>0</v>
      </c>
      <c r="G101">
        <v>0</v>
      </c>
      <c r="H101" s="1" t="s">
        <v>190</v>
      </c>
      <c r="I101">
        <v>-0.16400000000000001</v>
      </c>
      <c r="J101">
        <v>1</v>
      </c>
      <c r="K101" t="str">
        <f t="shared" si="1"/>
        <v>&lt;0.09</v>
      </c>
    </row>
    <row r="102" spans="1:11" x14ac:dyDescent="0.25">
      <c r="A102" t="s">
        <v>47</v>
      </c>
      <c r="B102">
        <v>87</v>
      </c>
      <c r="C102">
        <v>922</v>
      </c>
      <c r="D102" t="s">
        <v>59</v>
      </c>
      <c r="E102">
        <v>0</v>
      </c>
      <c r="F102">
        <v>0</v>
      </c>
      <c r="G102">
        <v>0</v>
      </c>
      <c r="H102" s="1" t="s">
        <v>191</v>
      </c>
      <c r="I102">
        <v>-0.124</v>
      </c>
      <c r="J102">
        <v>1</v>
      </c>
      <c r="K102" t="str">
        <f t="shared" si="1"/>
        <v>&lt;0.09</v>
      </c>
    </row>
    <row r="103" spans="1:11" x14ac:dyDescent="0.25">
      <c r="A103" t="s">
        <v>47</v>
      </c>
      <c r="B103">
        <v>88</v>
      </c>
      <c r="C103">
        <v>922</v>
      </c>
      <c r="D103" t="s">
        <v>59</v>
      </c>
      <c r="E103">
        <v>0</v>
      </c>
      <c r="F103">
        <v>0</v>
      </c>
      <c r="G103">
        <v>0</v>
      </c>
      <c r="H103" s="1" t="s">
        <v>192</v>
      </c>
      <c r="I103">
        <v>-0.14599999999999999</v>
      </c>
      <c r="J103">
        <v>1</v>
      </c>
      <c r="K103" t="str">
        <f t="shared" si="1"/>
        <v>&lt;0.09</v>
      </c>
    </row>
    <row r="104" spans="1:11" x14ac:dyDescent="0.25">
      <c r="A104" t="s">
        <v>47</v>
      </c>
      <c r="B104">
        <v>89</v>
      </c>
      <c r="C104">
        <v>922</v>
      </c>
      <c r="D104" t="s">
        <v>59</v>
      </c>
      <c r="E104">
        <v>0</v>
      </c>
      <c r="F104">
        <v>0</v>
      </c>
      <c r="G104">
        <v>0</v>
      </c>
      <c r="H104" s="1" t="s">
        <v>193</v>
      </c>
      <c r="I104">
        <v>-0.189</v>
      </c>
      <c r="J104">
        <v>1</v>
      </c>
      <c r="K104" t="str">
        <f t="shared" si="1"/>
        <v>&lt;0.09</v>
      </c>
    </row>
    <row r="105" spans="1:11" x14ac:dyDescent="0.25">
      <c r="A105" t="s">
        <v>67</v>
      </c>
      <c r="B105">
        <v>90</v>
      </c>
      <c r="C105">
        <v>908</v>
      </c>
      <c r="D105" t="s">
        <v>68</v>
      </c>
      <c r="E105">
        <v>0</v>
      </c>
      <c r="F105">
        <v>0</v>
      </c>
      <c r="G105">
        <v>0</v>
      </c>
      <c r="H105" s="1" t="s">
        <v>194</v>
      </c>
      <c r="I105">
        <v>1.282</v>
      </c>
      <c r="J105">
        <v>1</v>
      </c>
      <c r="K105">
        <f t="shared" si="1"/>
        <v>1.282</v>
      </c>
    </row>
    <row r="106" spans="1:11" x14ac:dyDescent="0.25">
      <c r="A106" t="s">
        <v>49</v>
      </c>
      <c r="B106">
        <v>91</v>
      </c>
      <c r="C106">
        <v>0</v>
      </c>
      <c r="D106" t="s">
        <v>50</v>
      </c>
      <c r="E106">
        <v>0</v>
      </c>
      <c r="F106">
        <v>0</v>
      </c>
      <c r="G106">
        <v>0</v>
      </c>
      <c r="H106" s="1" t="s">
        <v>195</v>
      </c>
      <c r="I106">
        <v>-0.13800000000000001</v>
      </c>
      <c r="J106">
        <v>1</v>
      </c>
      <c r="K106" t="str">
        <f t="shared" si="1"/>
        <v>&lt;0.09</v>
      </c>
    </row>
    <row r="107" spans="1:11" x14ac:dyDescent="0.25">
      <c r="A107" t="s">
        <v>33</v>
      </c>
      <c r="B107">
        <v>92</v>
      </c>
      <c r="C107">
        <v>921</v>
      </c>
      <c r="D107" t="s">
        <v>34</v>
      </c>
      <c r="E107">
        <v>0</v>
      </c>
      <c r="F107">
        <v>0</v>
      </c>
      <c r="G107">
        <v>0</v>
      </c>
      <c r="H107" s="1" t="s">
        <v>196</v>
      </c>
      <c r="I107">
        <v>2.1739999999999999</v>
      </c>
      <c r="J107">
        <v>1</v>
      </c>
      <c r="K107">
        <f t="shared" si="1"/>
        <v>2.1739999999999999</v>
      </c>
    </row>
    <row r="108" spans="1:11" x14ac:dyDescent="0.25">
      <c r="A108" t="s">
        <v>197</v>
      </c>
      <c r="B108">
        <v>93</v>
      </c>
      <c r="C108">
        <v>0</v>
      </c>
      <c r="D108" t="s">
        <v>198</v>
      </c>
      <c r="E108">
        <v>0</v>
      </c>
      <c r="F108">
        <v>0</v>
      </c>
      <c r="G108">
        <v>0</v>
      </c>
      <c r="H108" s="1" t="s">
        <v>199</v>
      </c>
      <c r="I108">
        <v>-0.13800000000000001</v>
      </c>
      <c r="J108">
        <v>1</v>
      </c>
      <c r="K108" t="str">
        <f t="shared" si="1"/>
        <v>&lt;0.09</v>
      </c>
    </row>
  </sheetData>
  <conditionalFormatting sqref="I16:I108">
    <cfRule type="cellIs" dxfId="0" priority="1" operator="lessThan">
      <formula>$I$5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240307_Q3_TKN1R1(1)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2024-03-13T12:28:36Z</dcterms:created>
  <dcterms:modified xsi:type="dcterms:W3CDTF">2024-03-13T12:49:04Z</dcterms:modified>
</cp:coreProperties>
</file>