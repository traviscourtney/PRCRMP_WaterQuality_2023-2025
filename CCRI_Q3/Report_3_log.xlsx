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3/"/>
    </mc:Choice>
  </mc:AlternateContent>
  <xr:revisionPtr revIDLastSave="2" documentId="11_65F269A4A3757B6EFD6574DB9A271779F0B2D8B7" xr6:coauthVersionLast="47" xr6:coauthVersionMax="47" xr10:uidLastSave="{FA75870D-C4CD-4A36-9CF4-E62F3C6C6158}"/>
  <bookViews>
    <workbookView xWindow="-120" yWindow="-120" windowWidth="29040" windowHeight="15720" xr2:uid="{00000000-000D-0000-FFFF-FFFF00000000}"/>
  </bookViews>
  <sheets>
    <sheet name="Raw Data" sheetId="1" r:id="rId1"/>
    <sheet name="Table 1" sheetId="2" r:id="rId2"/>
    <sheet name="Table 2_Sampling_Stats" sheetId="3" r:id="rId3"/>
    <sheet name="Table 3_HydroLab QAQC" sheetId="4" r:id="rId4"/>
    <sheet name="Table 4" sheetId="5" r:id="rId5"/>
    <sheet name="Site_Me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RpuieO6lcyOGeosGJ97odL1L+zywhKpGsFVp4t5/rYM="/>
    </ext>
  </extLst>
</workbook>
</file>

<file path=xl/calcChain.xml><?xml version="1.0" encoding="utf-8"?>
<calcChain xmlns="http://schemas.openxmlformats.org/spreadsheetml/2006/main">
  <c r="M48" i="1" l="1"/>
  <c r="I48" i="1"/>
  <c r="H48" i="1"/>
  <c r="G48" i="1"/>
  <c r="F48" i="1"/>
  <c r="E48" i="1"/>
  <c r="C48" i="1"/>
  <c r="B48" i="1"/>
  <c r="M47" i="1"/>
  <c r="I47" i="1"/>
  <c r="H47" i="1"/>
  <c r="G47" i="1"/>
  <c r="F47" i="1"/>
  <c r="E47" i="1"/>
  <c r="C47" i="1"/>
  <c r="B47" i="1"/>
  <c r="M46" i="1"/>
  <c r="I46" i="1"/>
  <c r="H46" i="1"/>
  <c r="G46" i="1"/>
  <c r="F46" i="1"/>
  <c r="E46" i="1"/>
  <c r="C46" i="1"/>
  <c r="B46" i="1"/>
  <c r="M45" i="1"/>
  <c r="I45" i="1"/>
  <c r="H45" i="1"/>
  <c r="G45" i="1"/>
  <c r="F45" i="1"/>
  <c r="E45" i="1"/>
  <c r="C45" i="1"/>
  <c r="B45" i="1"/>
  <c r="M44" i="1"/>
  <c r="I44" i="1"/>
  <c r="H44" i="1"/>
  <c r="G44" i="1"/>
  <c r="F44" i="1"/>
  <c r="E44" i="1"/>
  <c r="C44" i="1"/>
  <c r="B44" i="1"/>
  <c r="M43" i="1"/>
  <c r="I43" i="1"/>
  <c r="H43" i="1"/>
  <c r="G43" i="1"/>
  <c r="F43" i="1"/>
  <c r="E43" i="1"/>
  <c r="C43" i="1"/>
  <c r="B43" i="1"/>
  <c r="M42" i="1"/>
  <c r="I42" i="1"/>
  <c r="H42" i="1"/>
  <c r="G42" i="1"/>
  <c r="F42" i="1"/>
  <c r="E42" i="1"/>
  <c r="C42" i="1"/>
  <c r="B42" i="1"/>
  <c r="M41" i="1"/>
  <c r="I41" i="1"/>
  <c r="H41" i="1"/>
  <c r="G41" i="1"/>
  <c r="F41" i="1"/>
  <c r="E41" i="1"/>
  <c r="C41" i="1"/>
  <c r="B41" i="1"/>
  <c r="M40" i="1"/>
  <c r="I40" i="1"/>
  <c r="H40" i="1"/>
  <c r="G40" i="1"/>
  <c r="F40" i="1"/>
  <c r="E40" i="1"/>
  <c r="C40" i="1"/>
  <c r="B40" i="1"/>
  <c r="AM39" i="1"/>
  <c r="M39" i="1"/>
  <c r="I39" i="1"/>
  <c r="H39" i="1"/>
  <c r="G39" i="1"/>
  <c r="F39" i="1"/>
  <c r="E39" i="1"/>
  <c r="C39" i="1"/>
  <c r="B39" i="1"/>
  <c r="M38" i="1"/>
  <c r="I38" i="1"/>
  <c r="H38" i="1"/>
  <c r="G38" i="1"/>
  <c r="F38" i="1"/>
  <c r="E38" i="1"/>
  <c r="C38" i="1"/>
  <c r="B38" i="1"/>
  <c r="M37" i="1"/>
  <c r="I37" i="1"/>
  <c r="H37" i="1"/>
  <c r="G37" i="1"/>
  <c r="F37" i="1"/>
  <c r="E37" i="1"/>
  <c r="C37" i="1"/>
  <c r="B37" i="1"/>
  <c r="M36" i="1"/>
  <c r="I36" i="1"/>
  <c r="H36" i="1"/>
  <c r="G36" i="1"/>
  <c r="F36" i="1"/>
  <c r="E36" i="1"/>
  <c r="C36" i="1"/>
  <c r="B36" i="1"/>
  <c r="M35" i="1"/>
  <c r="I35" i="1"/>
  <c r="H35" i="1"/>
  <c r="G35" i="1"/>
  <c r="F35" i="1"/>
  <c r="E35" i="1"/>
  <c r="C35" i="1"/>
  <c r="B35" i="1"/>
  <c r="M34" i="1"/>
  <c r="I34" i="1"/>
  <c r="H34" i="1"/>
  <c r="G34" i="1"/>
  <c r="F34" i="1"/>
  <c r="E34" i="1"/>
  <c r="C34" i="1"/>
  <c r="B34" i="1"/>
  <c r="M33" i="1"/>
  <c r="I33" i="1"/>
  <c r="H33" i="1"/>
  <c r="G33" i="1"/>
  <c r="F33" i="1"/>
  <c r="E33" i="1"/>
  <c r="C33" i="1"/>
  <c r="B33" i="1"/>
  <c r="M32" i="1"/>
  <c r="I32" i="1"/>
  <c r="H32" i="1"/>
  <c r="G32" i="1"/>
  <c r="F32" i="1"/>
  <c r="E32" i="1"/>
  <c r="C32" i="1"/>
  <c r="B32" i="1"/>
  <c r="M31" i="1"/>
  <c r="I31" i="1"/>
  <c r="H31" i="1"/>
  <c r="G31" i="1"/>
  <c r="F31" i="1"/>
  <c r="E31" i="1"/>
  <c r="C31" i="1"/>
  <c r="B31" i="1"/>
  <c r="M30" i="1"/>
  <c r="I30" i="1"/>
  <c r="H30" i="1"/>
  <c r="G30" i="1"/>
  <c r="F30" i="1"/>
  <c r="E30" i="1"/>
  <c r="C30" i="1"/>
  <c r="B30" i="1"/>
  <c r="M29" i="1"/>
  <c r="I29" i="1"/>
  <c r="H29" i="1"/>
  <c r="G29" i="1"/>
  <c r="F29" i="1"/>
  <c r="E29" i="1"/>
  <c r="C29" i="1"/>
  <c r="B29" i="1"/>
  <c r="M28" i="1"/>
  <c r="I28" i="1"/>
  <c r="H28" i="1"/>
  <c r="G28" i="1"/>
  <c r="F28" i="1"/>
  <c r="E28" i="1"/>
  <c r="C28" i="1"/>
  <c r="B28" i="1"/>
  <c r="M27" i="1"/>
  <c r="I27" i="1"/>
  <c r="H27" i="1"/>
  <c r="G27" i="1"/>
  <c r="F27" i="1"/>
  <c r="E27" i="1"/>
  <c r="C27" i="1"/>
  <c r="B27" i="1"/>
  <c r="M26" i="1"/>
  <c r="I26" i="1"/>
  <c r="H26" i="1"/>
  <c r="G26" i="1"/>
  <c r="F26" i="1"/>
  <c r="E26" i="1"/>
  <c r="C26" i="1"/>
  <c r="B26" i="1"/>
  <c r="AM25" i="1"/>
  <c r="M25" i="1"/>
  <c r="I25" i="1"/>
  <c r="H25" i="1"/>
  <c r="G25" i="1"/>
  <c r="F25" i="1"/>
  <c r="E25" i="1"/>
  <c r="C25" i="1"/>
  <c r="B25" i="1"/>
  <c r="M24" i="1"/>
  <c r="I24" i="1"/>
  <c r="H24" i="1"/>
  <c r="G24" i="1"/>
  <c r="F24" i="1"/>
  <c r="E24" i="1"/>
  <c r="C24" i="1"/>
  <c r="B24" i="1"/>
  <c r="AM23" i="1"/>
  <c r="M23" i="1"/>
  <c r="I23" i="1"/>
  <c r="H23" i="1"/>
  <c r="G23" i="1"/>
  <c r="F23" i="1"/>
  <c r="E23" i="1"/>
  <c r="C23" i="1"/>
  <c r="B23" i="1"/>
  <c r="M22" i="1"/>
  <c r="I22" i="1"/>
  <c r="H22" i="1"/>
  <c r="G22" i="1"/>
  <c r="F22" i="1"/>
  <c r="E22" i="1"/>
  <c r="C22" i="1"/>
  <c r="B22" i="1"/>
  <c r="M21" i="1"/>
  <c r="I21" i="1"/>
  <c r="H21" i="1"/>
  <c r="G21" i="1"/>
  <c r="F21" i="1"/>
  <c r="E21" i="1"/>
  <c r="C21" i="1"/>
  <c r="B21" i="1"/>
  <c r="M20" i="1"/>
  <c r="I20" i="1"/>
  <c r="H20" i="1"/>
  <c r="G20" i="1"/>
  <c r="F20" i="1"/>
  <c r="E20" i="1"/>
  <c r="C20" i="1"/>
  <c r="B20" i="1"/>
  <c r="M19" i="1"/>
  <c r="I19" i="1"/>
  <c r="H19" i="1"/>
  <c r="G19" i="1"/>
  <c r="F19" i="1"/>
  <c r="E19" i="1"/>
  <c r="C19" i="1"/>
  <c r="B19" i="1"/>
  <c r="M18" i="1"/>
  <c r="I18" i="1"/>
  <c r="H18" i="1"/>
  <c r="G18" i="1"/>
  <c r="F18" i="1"/>
  <c r="E18" i="1"/>
  <c r="C18" i="1"/>
  <c r="B18" i="1"/>
  <c r="AM17" i="1"/>
  <c r="M17" i="1"/>
  <c r="I17" i="1"/>
  <c r="H17" i="1"/>
  <c r="G17" i="1"/>
  <c r="F17" i="1"/>
  <c r="E17" i="1"/>
  <c r="C17" i="1"/>
  <c r="B17" i="1"/>
  <c r="M16" i="1"/>
  <c r="I16" i="1"/>
  <c r="H16" i="1"/>
  <c r="G16" i="1"/>
  <c r="F16" i="1"/>
  <c r="E16" i="1"/>
  <c r="C16" i="1"/>
  <c r="B16" i="1"/>
  <c r="M15" i="1"/>
  <c r="I15" i="1"/>
  <c r="H15" i="1"/>
  <c r="G15" i="1"/>
  <c r="F15" i="1"/>
  <c r="E15" i="1"/>
  <c r="C15" i="1"/>
  <c r="B15" i="1"/>
  <c r="M14" i="1"/>
  <c r="I14" i="1"/>
  <c r="H14" i="1"/>
  <c r="G14" i="1"/>
  <c r="F14" i="1"/>
  <c r="E14" i="1"/>
  <c r="C14" i="1"/>
  <c r="B14" i="1"/>
  <c r="M13" i="1"/>
  <c r="I13" i="1"/>
  <c r="H13" i="1"/>
  <c r="G13" i="1"/>
  <c r="F13" i="1"/>
  <c r="E13" i="1"/>
  <c r="C13" i="1"/>
  <c r="B13" i="1"/>
  <c r="AM12" i="1"/>
  <c r="M12" i="1"/>
  <c r="I12" i="1"/>
  <c r="H12" i="1"/>
  <c r="G12" i="1"/>
  <c r="F12" i="1"/>
  <c r="E12" i="1"/>
  <c r="C12" i="1"/>
  <c r="B12" i="1"/>
  <c r="AM11" i="1"/>
  <c r="M11" i="1"/>
  <c r="I11" i="1"/>
  <c r="H11" i="1"/>
  <c r="G11" i="1"/>
  <c r="F11" i="1"/>
  <c r="E11" i="1"/>
  <c r="C11" i="1"/>
  <c r="B11" i="1"/>
  <c r="AM10" i="1"/>
  <c r="M10" i="1"/>
  <c r="I10" i="1"/>
  <c r="H10" i="1"/>
  <c r="G10" i="1"/>
  <c r="F10" i="1"/>
  <c r="E10" i="1"/>
  <c r="C10" i="1"/>
  <c r="B10" i="1"/>
  <c r="AM9" i="1"/>
  <c r="M9" i="1"/>
  <c r="I9" i="1"/>
  <c r="H9" i="1"/>
  <c r="G9" i="1"/>
  <c r="F9" i="1"/>
  <c r="E9" i="1"/>
  <c r="C9" i="1"/>
  <c r="B9" i="1"/>
  <c r="M8" i="1"/>
  <c r="I8" i="1"/>
  <c r="H8" i="1"/>
  <c r="G8" i="1"/>
  <c r="F8" i="1"/>
  <c r="E8" i="1"/>
  <c r="C8" i="1"/>
  <c r="B8" i="1"/>
  <c r="AM7" i="1"/>
  <c r="M7" i="1"/>
  <c r="I7" i="1"/>
  <c r="H7" i="1"/>
  <c r="G7" i="1"/>
  <c r="F7" i="1"/>
  <c r="E7" i="1"/>
  <c r="C7" i="1"/>
  <c r="B7" i="1"/>
  <c r="AM6" i="1"/>
  <c r="M6" i="1"/>
  <c r="I6" i="1"/>
  <c r="H6" i="1"/>
  <c r="G6" i="1"/>
  <c r="F6" i="1"/>
  <c r="E6" i="1"/>
  <c r="C6" i="1"/>
  <c r="B6" i="1"/>
  <c r="M5" i="1"/>
  <c r="I5" i="1"/>
  <c r="H5" i="1"/>
  <c r="G5" i="1"/>
  <c r="F5" i="1"/>
  <c r="E5" i="1"/>
  <c r="C5" i="1"/>
  <c r="B5" i="1"/>
  <c r="AM4" i="1"/>
  <c r="M4" i="1"/>
  <c r="I4" i="1"/>
  <c r="H4" i="1"/>
  <c r="G4" i="1"/>
  <c r="F4" i="1"/>
  <c r="E4" i="1"/>
  <c r="C4" i="1"/>
  <c r="B4" i="1"/>
  <c r="M3" i="1"/>
  <c r="I3" i="1"/>
  <c r="H3" i="1"/>
  <c r="G3" i="1"/>
  <c r="F3" i="1"/>
  <c r="E3" i="1"/>
  <c r="C3" i="1"/>
  <c r="B3" i="1"/>
  <c r="M2" i="1"/>
  <c r="I2" i="1"/>
  <c r="H2" i="1"/>
  <c r="G2" i="1"/>
  <c r="F2" i="1"/>
  <c r="E2" i="1"/>
  <c r="C2" i="1"/>
  <c r="B2" i="1"/>
</calcChain>
</file>

<file path=xl/sharedStrings.xml><?xml version="1.0" encoding="utf-8"?>
<sst xmlns="http://schemas.openxmlformats.org/spreadsheetml/2006/main" count="816" uniqueCount="298">
  <si>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</si>
  <si>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</si>
  <si>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</si>
  <si>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</si>
  <si>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</si>
  <si>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</si>
  <si>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</si>
  <si>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</si>
  <si>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</si>
  <si>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</si>
  <si>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</si>
  <si>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</si>
  <si>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</si>
  <si>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</si>
  <si>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</si>
  <si>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</si>
  <si>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</si>
  <si>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</si>
  <si>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</si>
  <si>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</si>
  <si>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</si>
  <si>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</si>
  <si>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</si>
  <si>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</si>
  <si>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</si>
  <si>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</si>
  <si>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</si>
  <si>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</si>
  <si>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</si>
  <si>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</si>
  <si>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</si>
  <si>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</si>
  <si>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</si>
  <si>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</si>
  <si>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</si>
  <si>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</si>
  <si>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</si>
  <si>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</si>
  <si>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</si>
  <si>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</si>
  <si>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</si>
  <si>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Surface_TA_DIC</t>
  </si>
  <si>
    <t>Bottom_TA_DIC</t>
  </si>
  <si>
    <t>Surface_BOD</t>
  </si>
  <si>
    <t>Bottom_BOD</t>
  </si>
  <si>
    <t>Chl_a</t>
  </si>
  <si>
    <t>Turbidity_NTU</t>
  </si>
  <si>
    <t>Settleable_Solids</t>
  </si>
  <si>
    <t>Total_Suspended_Solids</t>
  </si>
  <si>
    <t>POx_NOx</t>
  </si>
  <si>
    <t>TKN</t>
  </si>
  <si>
    <t>Enterococcus</t>
  </si>
  <si>
    <t>TA/DIC_Surf_R</t>
  </si>
  <si>
    <t>TA/DIC_Bttm_R</t>
  </si>
  <si>
    <t>Note</t>
  </si>
  <si>
    <t>AURO05</t>
  </si>
  <si>
    <t>Orlando</t>
  </si>
  <si>
    <t>Manuel</t>
  </si>
  <si>
    <t>Ana</t>
  </si>
  <si>
    <t>&gt; 4.5</t>
  </si>
  <si>
    <t>CORA10</t>
  </si>
  <si>
    <t>&gt; 8.5</t>
  </si>
  <si>
    <t>TOUR30</t>
  </si>
  <si>
    <t>Catherine</t>
  </si>
  <si>
    <t>TOUR20</t>
  </si>
  <si>
    <t>&gt; 14.5</t>
  </si>
  <si>
    <t>TOUR10</t>
  </si>
  <si>
    <t>NEGR10</t>
  </si>
  <si>
    <t>NEGR05</t>
  </si>
  <si>
    <t>&gt; 3.0</t>
  </si>
  <si>
    <t>MLAN20</t>
  </si>
  <si>
    <t>Anibal</t>
  </si>
  <si>
    <t>Idalmis</t>
  </si>
  <si>
    <t>MLAN10</t>
  </si>
  <si>
    <t>MLAN10-R</t>
  </si>
  <si>
    <t>MLAN05</t>
  </si>
  <si>
    <t>EWAL20</t>
  </si>
  <si>
    <t>Frank</t>
  </si>
  <si>
    <t>&gt; 18</t>
  </si>
  <si>
    <t>BOYA20</t>
  </si>
  <si>
    <t>MLUN10</t>
  </si>
  <si>
    <t>&gt; 5</t>
  </si>
  <si>
    <t>MLUN05</t>
  </si>
  <si>
    <t>&gt; 3</t>
  </si>
  <si>
    <t>SECO30</t>
  </si>
  <si>
    <t>Tyrone</t>
  </si>
  <si>
    <t>ESPE10</t>
  </si>
  <si>
    <t>&gt; 9.5</t>
  </si>
  <si>
    <t>ESPE10-R</t>
  </si>
  <si>
    <t>CANJ15</t>
  </si>
  <si>
    <t>DIAB05</t>
  </si>
  <si>
    <t>PALT10</t>
  </si>
  <si>
    <t>PALN20</t>
  </si>
  <si>
    <t>CABE05</t>
  </si>
  <si>
    <t>&gt; 6</t>
  </si>
  <si>
    <t>DAKI20</t>
  </si>
  <si>
    <t>LPEN05</t>
  </si>
  <si>
    <t>CROS10</t>
  </si>
  <si>
    <t>&gt; 10.5</t>
  </si>
  <si>
    <t>CARI10</t>
  </si>
  <si>
    <t>&gt; 10</t>
  </si>
  <si>
    <t>RATO05</t>
  </si>
  <si>
    <t>&gt; 3.5</t>
  </si>
  <si>
    <t>CDMU10</t>
  </si>
  <si>
    <t>&gt; 8</t>
  </si>
  <si>
    <t>DERR20</t>
  </si>
  <si>
    <t>GALL05</t>
  </si>
  <si>
    <t>GALL05-R</t>
  </si>
  <si>
    <t>RODR05</t>
  </si>
  <si>
    <t>&gt; 4</t>
  </si>
  <si>
    <t>RESU10</t>
  </si>
  <si>
    <t>&gt; 6.5</t>
  </si>
  <si>
    <t>CIBU05</t>
  </si>
  <si>
    <t>Rodolfo</t>
  </si>
  <si>
    <t>DOMI05</t>
  </si>
  <si>
    <t>&gt; 2</t>
  </si>
  <si>
    <t>DOMI05-R</t>
  </si>
  <si>
    <t>MEXT20</t>
  </si>
  <si>
    <t>Johann</t>
  </si>
  <si>
    <t>MEXT10</t>
  </si>
  <si>
    <t>&gt; 7.5</t>
  </si>
  <si>
    <t>GUAN20</t>
  </si>
  <si>
    <t>&gt; 17.5</t>
  </si>
  <si>
    <t>GUAN20-R</t>
  </si>
  <si>
    <t>CANO30</t>
  </si>
  <si>
    <t>&gt; 30</t>
  </si>
  <si>
    <t>BOTE20</t>
  </si>
  <si>
    <t>&gt; 19</t>
  </si>
  <si>
    <t>BOTE15</t>
  </si>
  <si>
    <t>&gt; 17</t>
  </si>
  <si>
    <t>TRES20</t>
  </si>
  <si>
    <t>&gt; 19.5</t>
  </si>
  <si>
    <t>TRES10</t>
  </si>
  <si>
    <t>TRES05</t>
  </si>
  <si>
    <t>&gt; 2.5</t>
  </si>
  <si>
    <t>Parameter</t>
  </si>
  <si>
    <t>Method</t>
  </si>
  <si>
    <t>Depth of Measurement</t>
  </si>
  <si>
    <t>Holding Time (hr)</t>
  </si>
  <si>
    <t>Accuracy</t>
  </si>
  <si>
    <t>Precision</t>
  </si>
  <si>
    <t>Temperature (°C)</t>
  </si>
  <si>
    <t>SM 2550 B</t>
  </si>
  <si>
    <t>S+B</t>
  </si>
  <si>
    <t>N/A</t>
  </si>
  <si>
    <t>± 0.1</t>
  </si>
  <si>
    <t>&lt;20%</t>
  </si>
  <si>
    <t>Salinity (psu)</t>
  </si>
  <si>
    <t>SM 2520 B</t>
  </si>
  <si>
    <t>± 0.50</t>
  </si>
  <si>
    <t>DO (mg/L)</t>
  </si>
  <si>
    <t>SM 4500-O H</t>
  </si>
  <si>
    <t>± 0.2</t>
  </si>
  <si>
    <t>pH</t>
  </si>
  <si>
    <t>EPA 150.2</t>
  </si>
  <si>
    <t>± 0.002</t>
  </si>
  <si>
    <t>&lt;10%</t>
  </si>
  <si>
    <t>Secchi Depth (m)</t>
  </si>
  <si>
    <t>Secchi Disk</t>
  </si>
  <si>
    <t>NA</t>
  </si>
  <si>
    <t>± 20%</t>
  </si>
  <si>
    <t>BOD (mg/L)</t>
  </si>
  <si>
    <t>SM 5210 B</t>
  </si>
  <si>
    <t>TA (µmol/kg)</t>
  </si>
  <si>
    <t>Dickson et al., 2007</t>
  </si>
  <si>
    <t>± 3</t>
  </si>
  <si>
    <t>DIC (µmol/kg)</t>
  </si>
  <si>
    <t>Chlorophyll-a (µg/L)</t>
  </si>
  <si>
    <t>SM 10200 H</t>
  </si>
  <si>
    <t>B</t>
  </si>
  <si>
    <t>Enterococcus (MPN)</t>
  </si>
  <si>
    <t>SM 9230 B/C/D</t>
  </si>
  <si>
    <t>&lt; 8</t>
  </si>
  <si>
    <t>&lt;60%</t>
  </si>
  <si>
    <t>Turbidity (NTU)</t>
  </si>
  <si>
    <t>EPA 180.1</t>
  </si>
  <si>
    <t>Settleable Solids (mg/L)</t>
  </si>
  <si>
    <t>SM 2540-F</t>
  </si>
  <si>
    <t>±20%</t>
  </si>
  <si>
    <t>TSS (mg/L)</t>
  </si>
  <si>
    <t>SM 2540-D</t>
  </si>
  <si>
    <t>± 5</t>
  </si>
  <si>
    <t>TP (mg/L)</t>
  </si>
  <si>
    <t>EPA 365.4</t>
  </si>
  <si>
    <t>± 0.05</t>
  </si>
  <si>
    <t>TKN (mg/L)</t>
  </si>
  <si>
    <t>EPA 351.21</t>
  </si>
  <si>
    <t>± 0.5</t>
  </si>
  <si>
    <t>Nitrate + Nitrite (mg/L)</t>
  </si>
  <si>
    <t>EPA 353.2</t>
  </si>
  <si>
    <t>Data Points</t>
  </si>
  <si>
    <t>Sampling %</t>
  </si>
  <si>
    <t>List</t>
  </si>
  <si>
    <t>Count</t>
  </si>
  <si>
    <t>&gt; 91-100%</t>
  </si>
  <si>
    <t>&lt;91%</t>
  </si>
  <si>
    <t>Replicates</t>
  </si>
  <si>
    <t>Surface Temp (°C)</t>
  </si>
  <si>
    <t>Surface Sal (psu)</t>
  </si>
  <si>
    <t>Surface DO (mg/L)</t>
  </si>
  <si>
    <t>Surface pH</t>
  </si>
  <si>
    <t>± 0.10</t>
  </si>
  <si>
    <t>Bottom Temp (°C)</t>
  </si>
  <si>
    <t>Bottom Sal (psu)</t>
  </si>
  <si>
    <t>Bottom DO (mg/L))</t>
  </si>
  <si>
    <t>Bottom pH</t>
  </si>
  <si>
    <t>Surface BOD (mg/L)</t>
  </si>
  <si>
    <t>Bottom BOD (mg/L)</t>
  </si>
  <si>
    <t>Surface TA (µmol/kg)</t>
  </si>
  <si>
    <t>Bottom TA (µmol/kg)</t>
  </si>
  <si>
    <t>Surface DIC (µmol/kg)</t>
  </si>
  <si>
    <t>Bottom DIC (µmol/kg)</t>
  </si>
  <si>
    <t>%</t>
  </si>
  <si>
    <t>&lt; limit</t>
  </si>
  <si>
    <t>% &lt; limit</t>
  </si>
  <si>
    <t>Min</t>
  </si>
  <si>
    <t>Max</t>
  </si>
  <si>
    <t>Average</t>
  </si>
  <si>
    <t>SD</t>
  </si>
  <si>
    <t>Bottom DO (mg/L)</t>
  </si>
  <si>
    <t>Surface TA (umol/kg)</t>
  </si>
  <si>
    <t>Bottom TA (umol/kg)</t>
  </si>
  <si>
    <t>Surface DIC (umol/kg)</t>
  </si>
  <si>
    <t>Bottom DIC (umol/kg)</t>
  </si>
  <si>
    <t>SS (mg/L)</t>
  </si>
  <si>
    <t>Chl-a (µg/L)</t>
  </si>
  <si>
    <t>NOx (mg/L)</t>
  </si>
  <si>
    <t>Cayo Aurora 5m</t>
  </si>
  <si>
    <t>Guanica</t>
  </si>
  <si>
    <t>Southwest</t>
  </si>
  <si>
    <t>SW</t>
  </si>
  <si>
    <t>Sampled</t>
  </si>
  <si>
    <t>Puerto Botes 15m</t>
  </si>
  <si>
    <t>Isla Desecheo</t>
  </si>
  <si>
    <t>Mona/Desecheo</t>
  </si>
  <si>
    <t>W</t>
  </si>
  <si>
    <t>Planned</t>
  </si>
  <si>
    <t>Puerto Botes 20m</t>
  </si>
  <si>
    <t>Pending</t>
  </si>
  <si>
    <t>Boya Vieja 20m</t>
  </si>
  <si>
    <t>La Parguera</t>
  </si>
  <si>
    <t>Cabezas de San Juan 5m</t>
  </si>
  <si>
    <t>Fajardo</t>
  </si>
  <si>
    <t>North/Northeast</t>
  </si>
  <si>
    <t>E</t>
  </si>
  <si>
    <t>Canjilones 15m</t>
  </si>
  <si>
    <t>Isla Vieques</t>
  </si>
  <si>
    <t>Vieques/Culebra</t>
  </si>
  <si>
    <t>Puerto Canoas 30m</t>
  </si>
  <si>
    <t>Cayo Caribes 10m</t>
  </si>
  <si>
    <t>Salinas</t>
  </si>
  <si>
    <t>Southeast</t>
  </si>
  <si>
    <t>S</t>
  </si>
  <si>
    <t>West Reef 10m</t>
  </si>
  <si>
    <t>Ponce</t>
  </si>
  <si>
    <t>South</t>
  </si>
  <si>
    <t>Cibuco 05m</t>
  </si>
  <si>
    <t>Vega Baja</t>
  </si>
  <si>
    <t>N</t>
  </si>
  <si>
    <t>Cayo Coral 10m</t>
  </si>
  <si>
    <t>Carlos Rosario 10m</t>
  </si>
  <si>
    <t>Isla Culebra</t>
  </si>
  <si>
    <t>Dakiti 20m</t>
  </si>
  <si>
    <t>Derrumbadero 20m</t>
  </si>
  <si>
    <t>Cayo Diablo 5m</t>
  </si>
  <si>
    <t>Dominos 5m</t>
  </si>
  <si>
    <t>San Juan</t>
  </si>
  <si>
    <t>Esperanza 10m</t>
  </si>
  <si>
    <t>Efras Wall 20m</t>
  </si>
  <si>
    <t>Gallardo 5m</t>
  </si>
  <si>
    <t>Cabo Rojo</t>
  </si>
  <si>
    <t>West</t>
  </si>
  <si>
    <t>Guanajibo 20m</t>
  </si>
  <si>
    <t>Mayaguez</t>
  </si>
  <si>
    <t>Canal Luis Pena 5m</t>
  </si>
  <si>
    <t>Manchas Exteriores 10m</t>
  </si>
  <si>
    <t>Manchas Exteriores 20m</t>
  </si>
  <si>
    <t>Maria Langa 5m</t>
  </si>
  <si>
    <t>Guayanilla</t>
  </si>
  <si>
    <t>Maria Langa 10m</t>
  </si>
  <si>
    <t>Maria Langa 20m</t>
  </si>
  <si>
    <t>Media Luna 5m</t>
  </si>
  <si>
    <t>Media Luna 10m</t>
  </si>
  <si>
    <t>El Negro 5m</t>
  </si>
  <si>
    <t>El Negro 10m</t>
  </si>
  <si>
    <t>Palominos 20m</t>
  </si>
  <si>
    <t>Palominitos 10m</t>
  </si>
  <si>
    <t>Cayo Ratones 5m</t>
  </si>
  <si>
    <t>Resuellos 10m</t>
  </si>
  <si>
    <t>Cayo Rodriguez 5m</t>
  </si>
  <si>
    <t>El Seco 30m</t>
  </si>
  <si>
    <t>Tourmaline 10m</t>
  </si>
  <si>
    <t>Tourmaline 20m</t>
  </si>
  <si>
    <t>Tourmaline 30m</t>
  </si>
  <si>
    <t>Tres Palmas 05m</t>
  </si>
  <si>
    <t>Rincon</t>
  </si>
  <si>
    <t>Tres Palmas 10m</t>
  </si>
  <si>
    <t>Tres Palmas 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</si>
</sst>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b/>
      <sz val="10"/>
      <color rgb="FF000000"/>
      <name val="Arial"/>
    </font>
    <font>
      <b/>
      <sz val="12"/>
      <color theme="1"/>
      <name val="Arial"/>
    </font>
    <font>
      <sz val="1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19" fontId="3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14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/>
    </xf>
    <xf numFmtId="9" fontId="1" fillId="0" borderId="0" xfId="0" applyNumberFormat="1" applyFont="1"/>
    <xf numFmtId="9" fontId="11" fillId="0" borderId="1" xfId="0" applyNumberFormat="1" applyFont="1" applyBorder="1" applyAlignment="1">
      <alignment horizontal="center"/>
    </xf>
    <xf numFmtId="2" fontId="1" fillId="0" borderId="0" xfId="0" applyNumberFormat="1" applyFont="1"/>
    <xf numFmtId="2" fontId="3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2" fontId="4" fillId="0" borderId="0" xfId="0" applyNumberFormat="1" applyFont="1"/>
    <xf numFmtId="1" fontId="3" fillId="0" borderId="0" xfId="0" applyNumberFormat="1" applyFont="1"/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9" fontId="9" fillId="0" borderId="6" xfId="0" applyNumberFormat="1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10" fillId="0" borderId="7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0" borderId="11" xfId="0" applyFont="1" applyBorder="1" applyAlignment="1">
      <alignment horizontal="center"/>
    </xf>
    <xf numFmtId="0" fontId="14" fillId="2" borderId="11" xfId="0" applyFont="1" applyFill="1" applyBorder="1" applyAlignment="1">
      <alignment horizontal="center" wrapText="1"/>
    </xf>
    <xf numFmtId="0" fontId="6" fillId="0" borderId="0" xfId="0" applyFont="1"/>
    <xf numFmtId="14" fontId="6" fillId="0" borderId="0" xfId="0" applyNumberFormat="1" applyFont="1"/>
    <xf numFmtId="0" fontId="14" fillId="3" borderId="11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12" fillId="0" borderId="4" xfId="0" applyFont="1" applyBorder="1"/>
    <xf numFmtId="0" fontId="12" fillId="0" borderId="5" xfId="0" applyFont="1" applyBorder="1"/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951"/>
  <sheetViews>
    <sheetView tabSelected="1" workbookViewId="0">
      <pane xSplit="4" ySplit="1" topLeftCell="Q2" activePane="bottomRight" state="frozen"/>
      <selection pane="topRight" activeCell="E1" sqref="E1"/>
      <selection pane="bottomLeft" activeCell="A2" sqref="A2"/>
      <selection pane="bottomRight" activeCell="T16" sqref="T16"/>
    </sheetView>
  </sheetViews>
  <sheetFormatPr defaultColWidth="12.5703125" defaultRowHeight="15" customHeight="1" x14ac:dyDescent="0.2"/>
  <cols>
    <col min="2" max="2" width="25.7109375" customWidth="1"/>
    <col min="13" max="13" width="9.85546875" customWidth="1"/>
    <col min="32" max="32" width="18.42578125" customWidth="1"/>
    <col min="53" max="53" width="12.42578125" customWidth="1"/>
    <col min="54" max="54" width="12.85546875" customWidth="1"/>
    <col min="55" max="55" width="4.42578125" customWidth="1"/>
  </cols>
  <sheetData>
    <row r="1" spans="1:55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</row>
    <row r="2" spans="1:55" ht="15.75" customHeight="1" x14ac:dyDescent="0.2">
      <c r="A2" s="4">
        <v>3</v>
      </c>
      <c r="B2" s="5" t="str">
        <f>LOOKUP($D2,Site_Meta!$C$2:$C$43,Site_Meta!A$2:A$43)</f>
        <v>Cayo Aurora 5m</v>
      </c>
      <c r="C2" s="5" t="str">
        <f>LOOKUP($D2,Site_Meta!$C$2:$C$43,Site_Meta!B$2:B$43)</f>
        <v>Guanica</v>
      </c>
      <c r="D2" s="5" t="s">
        <v>55</v>
      </c>
      <c r="E2" s="5" t="str">
        <f>LOOKUP($D2,Site_Meta!$C$2:$C$43,Site_Meta!D$2:D$43)</f>
        <v>Southwest</v>
      </c>
      <c r="F2" s="5" t="str">
        <f>LOOKUP($D2,Site_Meta!$C$2:$C$43,Site_Meta!E$2:E$43)</f>
        <v>SW</v>
      </c>
      <c r="G2" s="5">
        <f>LOOKUP($D2,Site_Meta!$C$2:$C$43,Site_Meta!F$2:F$43)</f>
        <v>17.936900000000001</v>
      </c>
      <c r="H2" s="5">
        <f>LOOKUP($D2,Site_Meta!$C$2:$C$43,Site_Meta!G$2:G$43)</f>
        <v>-66.873800000000003</v>
      </c>
      <c r="I2" s="5">
        <f>LOOKUP($D2,Site_Meta!$C$2:$C$43,Site_Meta!H$2:H$43)</f>
        <v>5</v>
      </c>
      <c r="J2" s="6">
        <v>1</v>
      </c>
      <c r="K2" s="6">
        <v>22</v>
      </c>
      <c r="L2" s="6">
        <v>24</v>
      </c>
      <c r="M2" s="7" t="str">
        <f t="shared" ref="M2:M48" si="0">CONCATENATE(J2,"/",K2,"/",L2)</f>
        <v>1/22/24</v>
      </c>
      <c r="N2" s="6" t="s">
        <v>56</v>
      </c>
      <c r="O2" s="6" t="s">
        <v>57</v>
      </c>
      <c r="P2" s="6" t="s">
        <v>58</v>
      </c>
      <c r="Q2" s="6"/>
      <c r="R2" s="8">
        <v>0.40625</v>
      </c>
      <c r="S2" s="8">
        <v>0.4465277777777778</v>
      </c>
      <c r="T2" s="6">
        <v>27.6</v>
      </c>
      <c r="U2" s="6">
        <v>0.57999999999999996</v>
      </c>
      <c r="V2" s="6">
        <v>35.99</v>
      </c>
      <c r="W2" s="6">
        <v>0.52</v>
      </c>
      <c r="X2" s="6">
        <v>6.31</v>
      </c>
      <c r="Y2" s="6">
        <v>0.48</v>
      </c>
      <c r="Z2" s="6">
        <v>8.15</v>
      </c>
      <c r="AA2" s="6">
        <v>0.4</v>
      </c>
      <c r="AB2" s="6">
        <v>27.61</v>
      </c>
      <c r="AC2" s="6">
        <v>4.3600000000000003</v>
      </c>
      <c r="AD2" s="6">
        <v>36.04</v>
      </c>
      <c r="AE2" s="6">
        <v>4</v>
      </c>
      <c r="AF2" s="6">
        <v>6.2</v>
      </c>
      <c r="AG2" s="6">
        <v>4.12</v>
      </c>
      <c r="AH2" s="6">
        <v>8.18</v>
      </c>
      <c r="AI2" s="6">
        <v>4.16</v>
      </c>
      <c r="AJ2" s="6" t="s">
        <v>59</v>
      </c>
      <c r="AK2" s="6" t="s">
        <v>59</v>
      </c>
      <c r="AL2" s="6" t="s">
        <v>59</v>
      </c>
      <c r="AM2" s="6" t="s">
        <v>59</v>
      </c>
      <c r="AN2" s="6">
        <v>0.5</v>
      </c>
      <c r="AO2" s="6">
        <v>4</v>
      </c>
      <c r="AP2" s="6">
        <v>24</v>
      </c>
      <c r="AQ2" s="6">
        <v>23</v>
      </c>
      <c r="AR2" s="6">
        <v>25</v>
      </c>
      <c r="AS2" s="6">
        <v>26</v>
      </c>
      <c r="AT2" s="6">
        <v>27</v>
      </c>
      <c r="AU2" s="6">
        <v>28</v>
      </c>
      <c r="AV2" s="6">
        <v>29</v>
      </c>
      <c r="AW2" s="6">
        <v>30</v>
      </c>
      <c r="AX2" s="6">
        <v>31</v>
      </c>
      <c r="AY2" s="6">
        <v>32</v>
      </c>
      <c r="AZ2" s="6">
        <v>11</v>
      </c>
      <c r="BA2" s="5">
        <v>104</v>
      </c>
      <c r="BB2" s="5">
        <v>105</v>
      </c>
      <c r="BC2" s="9"/>
    </row>
    <row r="3" spans="1:55" ht="15.75" customHeight="1" x14ac:dyDescent="0.2">
      <c r="A3" s="4">
        <v>3</v>
      </c>
      <c r="B3" s="5" t="str">
        <f>LOOKUP($D3,Site_Meta!$C$2:$C$43,Site_Meta!A$2:A$43)</f>
        <v>Cayo Coral 10m</v>
      </c>
      <c r="C3" s="5" t="str">
        <f>LOOKUP($D3,Site_Meta!$C$2:$C$43,Site_Meta!B$2:B$43)</f>
        <v>Guanica</v>
      </c>
      <c r="D3" s="5" t="s">
        <v>60</v>
      </c>
      <c r="E3" s="5" t="str">
        <f>LOOKUP($D3,Site_Meta!$C$2:$C$43,Site_Meta!D$2:D$43)</f>
        <v>Southwest</v>
      </c>
      <c r="F3" s="5" t="str">
        <f>LOOKUP($D3,Site_Meta!$C$2:$C$43,Site_Meta!E$2:E$43)</f>
        <v>SW</v>
      </c>
      <c r="G3" s="5">
        <f>LOOKUP($D3,Site_Meta!$C$2:$C$43,Site_Meta!F$2:F$43)</f>
        <v>17.936199999999999</v>
      </c>
      <c r="H3" s="5">
        <f>LOOKUP($D3,Site_Meta!$C$2:$C$43,Site_Meta!G$2:G$43)</f>
        <v>-66.888400000000004</v>
      </c>
      <c r="I3" s="5">
        <f>LOOKUP($D3,Site_Meta!$C$2:$C$43,Site_Meta!H$2:H$43)</f>
        <v>10</v>
      </c>
      <c r="J3" s="6">
        <v>1</v>
      </c>
      <c r="K3" s="6">
        <v>22</v>
      </c>
      <c r="L3" s="6">
        <v>24</v>
      </c>
      <c r="M3" s="7" t="str">
        <f t="shared" si="0"/>
        <v>1/22/24</v>
      </c>
      <c r="N3" s="6" t="s">
        <v>56</v>
      </c>
      <c r="O3" s="6" t="s">
        <v>57</v>
      </c>
      <c r="P3" s="6" t="s">
        <v>58</v>
      </c>
      <c r="Q3" s="6"/>
      <c r="R3" s="8">
        <v>0.4513888888888889</v>
      </c>
      <c r="S3" s="8">
        <v>0.48194444444444445</v>
      </c>
      <c r="T3" s="6">
        <v>27.64</v>
      </c>
      <c r="U3" s="6">
        <v>0.44</v>
      </c>
      <c r="V3" s="6">
        <v>35.99</v>
      </c>
      <c r="W3" s="6">
        <v>0.56000000000000005</v>
      </c>
      <c r="X3" s="6">
        <v>6.32</v>
      </c>
      <c r="Y3" s="6">
        <v>0.51</v>
      </c>
      <c r="Z3" s="6">
        <v>8.16</v>
      </c>
      <c r="AA3" s="6">
        <v>0.49</v>
      </c>
      <c r="AB3" s="6">
        <v>27.64</v>
      </c>
      <c r="AC3" s="6">
        <v>8.52</v>
      </c>
      <c r="AD3" s="6">
        <v>35.99</v>
      </c>
      <c r="AE3" s="6">
        <v>8.64</v>
      </c>
      <c r="AF3" s="6">
        <v>6.25</v>
      </c>
      <c r="AG3" s="6">
        <v>8.69</v>
      </c>
      <c r="AH3" s="10">
        <v>8.1999999999999993</v>
      </c>
      <c r="AI3" s="10">
        <v>8.7200000000000006</v>
      </c>
      <c r="AJ3" s="6" t="s">
        <v>61</v>
      </c>
      <c r="AK3" s="6" t="s">
        <v>61</v>
      </c>
      <c r="AL3" s="6" t="s">
        <v>61</v>
      </c>
      <c r="AM3" s="6" t="s">
        <v>61</v>
      </c>
      <c r="AN3" s="6">
        <v>0.5</v>
      </c>
      <c r="AO3" s="6">
        <v>8</v>
      </c>
      <c r="AP3" s="6">
        <v>34</v>
      </c>
      <c r="AQ3" s="6">
        <v>35</v>
      </c>
      <c r="AR3" s="6">
        <v>36</v>
      </c>
      <c r="AS3" s="6">
        <v>37</v>
      </c>
      <c r="AT3" s="6">
        <v>38</v>
      </c>
      <c r="AU3" s="6">
        <v>39</v>
      </c>
      <c r="AV3" s="6">
        <v>40</v>
      </c>
      <c r="AW3" s="6">
        <v>41</v>
      </c>
      <c r="AX3" s="6">
        <v>42</v>
      </c>
      <c r="AY3" s="6">
        <v>43</v>
      </c>
      <c r="AZ3" s="6">
        <v>33</v>
      </c>
      <c r="BA3" s="5">
        <v>106</v>
      </c>
      <c r="BB3" s="5">
        <v>107</v>
      </c>
      <c r="BC3" s="9"/>
    </row>
    <row r="4" spans="1:55" ht="15.75" customHeight="1" x14ac:dyDescent="0.2">
      <c r="A4" s="4">
        <v>3</v>
      </c>
      <c r="B4" s="5" t="str">
        <f>LOOKUP($D4,Site_Meta!$C$2:$C$43,Site_Meta!A$2:A$43)</f>
        <v>Tourmaline 30m</v>
      </c>
      <c r="C4" s="5" t="str">
        <f>LOOKUP($D4,Site_Meta!$C$2:$C$43,Site_Meta!B$2:B$43)</f>
        <v>Cabo Rojo</v>
      </c>
      <c r="D4" s="5" t="s">
        <v>62</v>
      </c>
      <c r="E4" s="5" t="str">
        <f>LOOKUP($D4,Site_Meta!$C$2:$C$43,Site_Meta!D$2:D$43)</f>
        <v>West</v>
      </c>
      <c r="F4" s="5" t="str">
        <f>LOOKUP($D4,Site_Meta!$C$2:$C$43,Site_Meta!E$2:E$43)</f>
        <v>W</v>
      </c>
      <c r="G4" s="5">
        <f>LOOKUP($D4,Site_Meta!$C$2:$C$43,Site_Meta!F$2:F$43)</f>
        <v>18.166370000000001</v>
      </c>
      <c r="H4" s="5">
        <f>LOOKUP($D4,Site_Meta!$C$2:$C$43,Site_Meta!G$2:G$43)</f>
        <v>-67.276300000000006</v>
      </c>
      <c r="I4" s="5">
        <f>LOOKUP($D4,Site_Meta!$C$2:$C$43,Site_Meta!H$2:H$43)</f>
        <v>30</v>
      </c>
      <c r="J4" s="6">
        <v>1</v>
      </c>
      <c r="K4" s="6">
        <v>23</v>
      </c>
      <c r="L4" s="6">
        <v>24</v>
      </c>
      <c r="M4" s="7" t="str">
        <f t="shared" si="0"/>
        <v>1/23/24</v>
      </c>
      <c r="N4" s="6" t="s">
        <v>56</v>
      </c>
      <c r="O4" s="6" t="s">
        <v>57</v>
      </c>
      <c r="P4" s="6" t="s">
        <v>63</v>
      </c>
      <c r="Q4" s="6"/>
      <c r="R4" s="8">
        <v>0.3347222222222222</v>
      </c>
      <c r="S4" s="8">
        <v>0.3611111111111111</v>
      </c>
      <c r="T4" s="6">
        <v>27.65</v>
      </c>
      <c r="U4" s="6">
        <v>0.5</v>
      </c>
      <c r="V4" s="6">
        <v>36.26</v>
      </c>
      <c r="W4" s="6">
        <v>0.52</v>
      </c>
      <c r="X4" s="6">
        <v>6.44</v>
      </c>
      <c r="Y4" s="6">
        <v>0.43</v>
      </c>
      <c r="Z4" s="6">
        <v>8.17</v>
      </c>
      <c r="AA4" s="6">
        <v>0.52</v>
      </c>
      <c r="AB4" s="6">
        <v>27.31</v>
      </c>
      <c r="AC4" s="6">
        <v>23.12</v>
      </c>
      <c r="AD4" s="6">
        <v>36.58</v>
      </c>
      <c r="AE4" s="6">
        <v>23.27</v>
      </c>
      <c r="AF4" s="6">
        <v>6.25</v>
      </c>
      <c r="AG4" s="6">
        <v>23.46</v>
      </c>
      <c r="AH4" s="6">
        <v>8.1999999999999993</v>
      </c>
      <c r="AI4" s="6">
        <v>23.48</v>
      </c>
      <c r="AJ4" s="6">
        <v>16.5</v>
      </c>
      <c r="AK4" s="6">
        <v>17</v>
      </c>
      <c r="AL4" s="6">
        <v>16.75</v>
      </c>
      <c r="AM4" s="6">
        <f>AVERAGE(AJ4:AL4)</f>
        <v>16.75</v>
      </c>
      <c r="AN4" s="6">
        <v>0.5</v>
      </c>
      <c r="AO4" s="6">
        <v>23.5</v>
      </c>
      <c r="AP4" s="6">
        <v>67</v>
      </c>
      <c r="AQ4" s="6">
        <v>68</v>
      </c>
      <c r="AR4" s="6">
        <v>69</v>
      </c>
      <c r="AS4" s="6">
        <v>70</v>
      </c>
      <c r="AT4" s="6">
        <v>71</v>
      </c>
      <c r="AU4" s="6">
        <v>72</v>
      </c>
      <c r="AV4" s="6">
        <v>73</v>
      </c>
      <c r="AW4" s="6">
        <v>74</v>
      </c>
      <c r="AX4" s="6">
        <v>75</v>
      </c>
      <c r="AY4" s="6">
        <v>76</v>
      </c>
      <c r="AZ4" s="6">
        <v>44</v>
      </c>
      <c r="BA4" s="5">
        <v>112</v>
      </c>
      <c r="BB4" s="5">
        <v>113</v>
      </c>
      <c r="BC4" s="9"/>
    </row>
    <row r="5" spans="1:55" ht="15.75" customHeight="1" x14ac:dyDescent="0.2">
      <c r="A5" s="4">
        <v>3</v>
      </c>
      <c r="B5" s="5" t="str">
        <f>LOOKUP($D5,Site_Meta!$C$2:$C$43,Site_Meta!A$2:A$43)</f>
        <v>Tourmaline 20m</v>
      </c>
      <c r="C5" s="5" t="str">
        <f>LOOKUP($D5,Site_Meta!$C$2:$C$43,Site_Meta!B$2:B$43)</f>
        <v>Cabo Rojo</v>
      </c>
      <c r="D5" s="5" t="s">
        <v>64</v>
      </c>
      <c r="E5" s="5" t="str">
        <f>LOOKUP($D5,Site_Meta!$C$2:$C$43,Site_Meta!D$2:D$43)</f>
        <v>West</v>
      </c>
      <c r="F5" s="5" t="str">
        <f>LOOKUP($D5,Site_Meta!$C$2:$C$43,Site_Meta!E$2:E$43)</f>
        <v>W</v>
      </c>
      <c r="G5" s="5">
        <f>LOOKUP($D5,Site_Meta!$C$2:$C$43,Site_Meta!F$2:F$43)</f>
        <v>18.16517</v>
      </c>
      <c r="H5" s="5">
        <f>LOOKUP($D5,Site_Meta!$C$2:$C$43,Site_Meta!G$2:G$43)</f>
        <v>-67.275199999999998</v>
      </c>
      <c r="I5" s="5">
        <f>LOOKUP($D5,Site_Meta!$C$2:$C$43,Site_Meta!H$2:H$43)</f>
        <v>20</v>
      </c>
      <c r="J5" s="6">
        <v>1</v>
      </c>
      <c r="K5" s="6">
        <v>23</v>
      </c>
      <c r="L5" s="6">
        <v>24</v>
      </c>
      <c r="M5" s="7" t="str">
        <f t="shared" si="0"/>
        <v>1/23/24</v>
      </c>
      <c r="N5" s="6" t="s">
        <v>56</v>
      </c>
      <c r="O5" s="6" t="s">
        <v>57</v>
      </c>
      <c r="P5" s="6" t="s">
        <v>63</v>
      </c>
      <c r="Q5" s="6"/>
      <c r="R5" s="8">
        <v>0.37777777777777777</v>
      </c>
      <c r="S5" s="8">
        <v>0.4</v>
      </c>
      <c r="T5" s="6">
        <v>27.67</v>
      </c>
      <c r="U5" s="6">
        <v>0.5</v>
      </c>
      <c r="V5" s="6">
        <v>36.32</v>
      </c>
      <c r="W5" s="6">
        <v>0.47</v>
      </c>
      <c r="X5" s="6">
        <v>6.37</v>
      </c>
      <c r="Y5" s="6">
        <v>0.51</v>
      </c>
      <c r="Z5" s="6">
        <v>8.2100000000000009</v>
      </c>
      <c r="AA5" s="6">
        <v>0.56000000000000005</v>
      </c>
      <c r="AB5" s="6">
        <v>27.58</v>
      </c>
      <c r="AC5" s="6">
        <v>14.22</v>
      </c>
      <c r="AD5" s="6">
        <v>36.43</v>
      </c>
      <c r="AE5" s="6">
        <v>14.18</v>
      </c>
      <c r="AF5" s="6">
        <v>6.29</v>
      </c>
      <c r="AG5" s="6">
        <v>14.23</v>
      </c>
      <c r="AH5" s="6">
        <v>8.2200000000000006</v>
      </c>
      <c r="AI5" s="6">
        <v>14</v>
      </c>
      <c r="AJ5" s="6" t="s">
        <v>65</v>
      </c>
      <c r="AK5" s="6" t="s">
        <v>65</v>
      </c>
      <c r="AL5" s="6" t="s">
        <v>65</v>
      </c>
      <c r="AM5" s="6" t="s">
        <v>65</v>
      </c>
      <c r="AN5" s="6">
        <v>0.5</v>
      </c>
      <c r="AO5" s="6">
        <v>14.5</v>
      </c>
      <c r="AP5" s="6">
        <v>56</v>
      </c>
      <c r="AQ5" s="6">
        <v>57</v>
      </c>
      <c r="AR5" s="6">
        <v>58</v>
      </c>
      <c r="AS5" s="6">
        <v>59</v>
      </c>
      <c r="AT5" s="6">
        <v>60</v>
      </c>
      <c r="AU5" s="6">
        <v>61</v>
      </c>
      <c r="AV5" s="6">
        <v>62</v>
      </c>
      <c r="AW5" s="6">
        <v>63</v>
      </c>
      <c r="AX5" s="6">
        <v>64</v>
      </c>
      <c r="AY5" s="6">
        <v>65</v>
      </c>
      <c r="AZ5" s="6">
        <v>55</v>
      </c>
      <c r="BA5" s="5">
        <v>110</v>
      </c>
      <c r="BB5" s="5">
        <v>111</v>
      </c>
      <c r="BC5" s="9"/>
    </row>
    <row r="6" spans="1:55" ht="15.75" customHeight="1" x14ac:dyDescent="0.2">
      <c r="A6" s="4">
        <v>3</v>
      </c>
      <c r="B6" s="5" t="str">
        <f>LOOKUP($D6,Site_Meta!$C$2:$C$43,Site_Meta!A$2:A$43)</f>
        <v>Tourmaline 10m</v>
      </c>
      <c r="C6" s="5" t="str">
        <f>LOOKUP($D6,Site_Meta!$C$2:$C$43,Site_Meta!B$2:B$43)</f>
        <v>Cabo Rojo</v>
      </c>
      <c r="D6" s="5" t="s">
        <v>66</v>
      </c>
      <c r="E6" s="5" t="str">
        <f>LOOKUP($D6,Site_Meta!$C$2:$C$43,Site_Meta!D$2:D$43)</f>
        <v>West</v>
      </c>
      <c r="F6" s="5" t="str">
        <f>LOOKUP($D6,Site_Meta!$C$2:$C$43,Site_Meta!E$2:E$43)</f>
        <v>W</v>
      </c>
      <c r="G6" s="5">
        <f>LOOKUP($D6,Site_Meta!$C$2:$C$43,Site_Meta!F$2:F$43)</f>
        <v>18.163039999999999</v>
      </c>
      <c r="H6" s="5">
        <f>LOOKUP($D6,Site_Meta!$C$2:$C$43,Site_Meta!G$2:G$43)</f>
        <v>-67.273700000000005</v>
      </c>
      <c r="I6" s="5">
        <f>LOOKUP($D6,Site_Meta!$C$2:$C$43,Site_Meta!H$2:H$43)</f>
        <v>10</v>
      </c>
      <c r="J6" s="6">
        <v>1</v>
      </c>
      <c r="K6" s="6">
        <v>23</v>
      </c>
      <c r="L6" s="6">
        <v>24</v>
      </c>
      <c r="M6" s="7" t="str">
        <f t="shared" si="0"/>
        <v>1/23/24</v>
      </c>
      <c r="N6" s="6" t="s">
        <v>56</v>
      </c>
      <c r="O6" s="6" t="s">
        <v>57</v>
      </c>
      <c r="P6" s="6" t="s">
        <v>63</v>
      </c>
      <c r="Q6" s="6"/>
      <c r="R6" s="8">
        <v>0.40902777777777777</v>
      </c>
      <c r="S6" s="8">
        <v>0.43055555555555558</v>
      </c>
      <c r="T6" s="6">
        <v>27.72</v>
      </c>
      <c r="U6" s="6">
        <v>0.48</v>
      </c>
      <c r="V6" s="6">
        <v>36.229999999999997</v>
      </c>
      <c r="W6" s="6">
        <v>0.54</v>
      </c>
      <c r="X6" s="6">
        <v>6.37</v>
      </c>
      <c r="Y6" s="6">
        <v>0.42</v>
      </c>
      <c r="Z6" s="6">
        <v>8.2100000000000009</v>
      </c>
      <c r="AA6" s="6">
        <v>0.46</v>
      </c>
      <c r="AB6" s="6">
        <v>27.65</v>
      </c>
      <c r="AC6" s="6">
        <v>9.5399999999999991</v>
      </c>
      <c r="AD6" s="6">
        <v>36.32</v>
      </c>
      <c r="AE6" s="6">
        <v>9.48</v>
      </c>
      <c r="AF6" s="6">
        <v>6.3</v>
      </c>
      <c r="AG6" s="6">
        <v>9.5500000000000007</v>
      </c>
      <c r="AH6" s="6">
        <v>8.2200000000000006</v>
      </c>
      <c r="AI6" s="6">
        <v>9.6199999999999992</v>
      </c>
      <c r="AJ6" s="6">
        <v>11.75</v>
      </c>
      <c r="AK6" s="6">
        <v>11.75</v>
      </c>
      <c r="AL6" s="6">
        <v>12</v>
      </c>
      <c r="AM6" s="6">
        <f t="shared" ref="AM6:AM7" si="1">AVERAGE(AJ6:AL6)</f>
        <v>11.833333333333334</v>
      </c>
      <c r="AN6" s="6">
        <v>0.5</v>
      </c>
      <c r="AO6" s="6">
        <v>9.5</v>
      </c>
      <c r="AP6" s="6">
        <v>12</v>
      </c>
      <c r="AQ6" s="6">
        <v>13</v>
      </c>
      <c r="AR6" s="6">
        <v>14</v>
      </c>
      <c r="AS6" s="6">
        <v>15</v>
      </c>
      <c r="AT6" s="6">
        <v>16</v>
      </c>
      <c r="AU6" s="6">
        <v>17</v>
      </c>
      <c r="AV6" s="6">
        <v>18</v>
      </c>
      <c r="AW6" s="6">
        <v>19</v>
      </c>
      <c r="AX6" s="6">
        <v>20</v>
      </c>
      <c r="AY6" s="6">
        <v>21</v>
      </c>
      <c r="AZ6" s="6">
        <v>66</v>
      </c>
      <c r="BA6" s="5">
        <v>102</v>
      </c>
      <c r="BB6" s="5">
        <v>103</v>
      </c>
      <c r="BC6" s="9"/>
    </row>
    <row r="7" spans="1:55" ht="15.75" customHeight="1" x14ac:dyDescent="0.2">
      <c r="A7" s="4">
        <v>3</v>
      </c>
      <c r="B7" s="5" t="str">
        <f>LOOKUP($D7,Site_Meta!$C$2:$C$43,Site_Meta!A$2:A$43)</f>
        <v>El Negro 10m</v>
      </c>
      <c r="C7" s="5" t="str">
        <f>LOOKUP($D7,Site_Meta!$C$2:$C$43,Site_Meta!B$2:B$43)</f>
        <v>Cabo Rojo</v>
      </c>
      <c r="D7" s="5" t="s">
        <v>67</v>
      </c>
      <c r="E7" s="5" t="str">
        <f>LOOKUP($D7,Site_Meta!$C$2:$C$43,Site_Meta!D$2:D$43)</f>
        <v>West</v>
      </c>
      <c r="F7" s="5" t="str">
        <f>LOOKUP($D7,Site_Meta!$C$2:$C$43,Site_Meta!E$2:E$43)</f>
        <v>W</v>
      </c>
      <c r="G7" s="5">
        <f>LOOKUP($D7,Site_Meta!$C$2:$C$43,Site_Meta!F$2:F$43)</f>
        <v>18.146529999999998</v>
      </c>
      <c r="H7" s="5">
        <f>LOOKUP($D7,Site_Meta!$C$2:$C$43,Site_Meta!G$2:G$43)</f>
        <v>-67.248000000000005</v>
      </c>
      <c r="I7" s="5">
        <f>LOOKUP($D7,Site_Meta!$C$2:$C$43,Site_Meta!H$2:H$43)</f>
        <v>10</v>
      </c>
      <c r="J7" s="6">
        <v>1</v>
      </c>
      <c r="K7" s="6">
        <v>23</v>
      </c>
      <c r="L7" s="6">
        <v>24</v>
      </c>
      <c r="M7" s="7" t="str">
        <f t="shared" si="0"/>
        <v>1/23/24</v>
      </c>
      <c r="N7" s="6" t="s">
        <v>56</v>
      </c>
      <c r="O7" s="6" t="s">
        <v>57</v>
      </c>
      <c r="P7" s="6" t="s">
        <v>63</v>
      </c>
      <c r="Q7" s="6"/>
      <c r="R7" s="8">
        <v>0.44722222222222224</v>
      </c>
      <c r="S7" s="8">
        <v>0.47291666666666665</v>
      </c>
      <c r="T7" s="6">
        <v>27.66</v>
      </c>
      <c r="U7" s="6">
        <v>0.52</v>
      </c>
      <c r="V7" s="6">
        <v>36.17</v>
      </c>
      <c r="W7" s="6">
        <v>0.48</v>
      </c>
      <c r="X7" s="6">
        <v>6.3</v>
      </c>
      <c r="Y7" s="6">
        <v>0.48</v>
      </c>
      <c r="Z7" s="6">
        <v>8.2100000000000009</v>
      </c>
      <c r="AA7" s="6">
        <v>0.47</v>
      </c>
      <c r="AB7" s="6">
        <v>27.62</v>
      </c>
      <c r="AC7" s="6">
        <v>15.99</v>
      </c>
      <c r="AD7" s="6">
        <v>36.24</v>
      </c>
      <c r="AE7" s="6">
        <v>16.14</v>
      </c>
      <c r="AF7" s="6">
        <v>6.1</v>
      </c>
      <c r="AG7" s="6">
        <v>16.04</v>
      </c>
      <c r="AH7" s="6">
        <v>8.2100000000000009</v>
      </c>
      <c r="AI7" s="6">
        <v>16</v>
      </c>
      <c r="AJ7" s="6">
        <v>8.25</v>
      </c>
      <c r="AK7" s="6">
        <v>8.25</v>
      </c>
      <c r="AL7" s="6">
        <v>8.25</v>
      </c>
      <c r="AM7" s="6">
        <f t="shared" si="1"/>
        <v>8.25</v>
      </c>
      <c r="AN7" s="6">
        <v>0.5</v>
      </c>
      <c r="AO7" s="6">
        <v>16</v>
      </c>
      <c r="AP7" s="6">
        <v>1</v>
      </c>
      <c r="AQ7" s="6">
        <v>2</v>
      </c>
      <c r="AR7" s="6">
        <v>3</v>
      </c>
      <c r="AS7" s="6">
        <v>4</v>
      </c>
      <c r="AT7" s="6">
        <v>5</v>
      </c>
      <c r="AU7" s="6">
        <v>6</v>
      </c>
      <c r="AV7" s="6">
        <v>7</v>
      </c>
      <c r="AW7" s="6">
        <v>8</v>
      </c>
      <c r="AX7" s="6">
        <v>9</v>
      </c>
      <c r="AY7" s="6">
        <v>10</v>
      </c>
      <c r="AZ7" s="6">
        <v>77</v>
      </c>
      <c r="BA7" s="5">
        <v>100</v>
      </c>
      <c r="BB7" s="5">
        <v>101</v>
      </c>
      <c r="BC7" s="9"/>
    </row>
    <row r="8" spans="1:55" ht="15.75" customHeight="1" x14ac:dyDescent="0.2">
      <c r="A8" s="4">
        <v>3</v>
      </c>
      <c r="B8" s="5" t="str">
        <f>LOOKUP($D8,Site_Meta!$C$2:$C$43,Site_Meta!A$2:A$43)</f>
        <v>El Negro 5m</v>
      </c>
      <c r="C8" s="5" t="str">
        <f>LOOKUP($D8,Site_Meta!$C$2:$C$43,Site_Meta!B$2:B$43)</f>
        <v>Cabo Rojo</v>
      </c>
      <c r="D8" s="5" t="s">
        <v>68</v>
      </c>
      <c r="E8" s="5" t="str">
        <f>LOOKUP($D8,Site_Meta!$C$2:$C$43,Site_Meta!D$2:D$43)</f>
        <v>West</v>
      </c>
      <c r="F8" s="5" t="str">
        <f>LOOKUP($D8,Site_Meta!$C$2:$C$43,Site_Meta!E$2:E$43)</f>
        <v>W</v>
      </c>
      <c r="G8" s="5">
        <f>LOOKUP($D8,Site_Meta!$C$2:$C$43,Site_Meta!F$2:F$43)</f>
        <v>18.14658</v>
      </c>
      <c r="H8" s="5">
        <f>LOOKUP($D8,Site_Meta!$C$2:$C$43,Site_Meta!G$2:G$43)</f>
        <v>-67.247600000000006</v>
      </c>
      <c r="I8" s="5">
        <f>LOOKUP($D8,Site_Meta!$C$2:$C$43,Site_Meta!H$2:H$43)</f>
        <v>5</v>
      </c>
      <c r="J8" s="6">
        <v>1</v>
      </c>
      <c r="K8" s="6">
        <v>23</v>
      </c>
      <c r="L8" s="6">
        <v>24</v>
      </c>
      <c r="M8" s="7" t="str">
        <f t="shared" si="0"/>
        <v>1/23/24</v>
      </c>
      <c r="N8" s="6" t="s">
        <v>56</v>
      </c>
      <c r="O8" s="6" t="s">
        <v>57</v>
      </c>
      <c r="P8" s="6" t="s">
        <v>63</v>
      </c>
      <c r="Q8" s="6"/>
      <c r="R8" s="8">
        <v>0.47291666666666665</v>
      </c>
      <c r="S8" s="8">
        <v>0.48680555555555555</v>
      </c>
      <c r="T8" s="6">
        <v>27.68</v>
      </c>
      <c r="U8" s="6">
        <v>0.5</v>
      </c>
      <c r="V8" s="6">
        <v>36.19</v>
      </c>
      <c r="W8" s="6">
        <v>0.51</v>
      </c>
      <c r="X8" s="6">
        <v>6.2</v>
      </c>
      <c r="Y8" s="6">
        <v>0.49</v>
      </c>
      <c r="Z8" s="6">
        <v>8.2100000000000009</v>
      </c>
      <c r="AA8" s="6">
        <v>0.52</v>
      </c>
      <c r="AB8" s="6">
        <v>27.67</v>
      </c>
      <c r="AC8" s="6">
        <v>3.1</v>
      </c>
      <c r="AD8" s="6">
        <v>36.270000000000003</v>
      </c>
      <c r="AE8" s="6">
        <v>3.05</v>
      </c>
      <c r="AF8" s="6">
        <v>6.18</v>
      </c>
      <c r="AG8" s="6">
        <v>3.08</v>
      </c>
      <c r="AH8" s="6">
        <v>8.2100000000000009</v>
      </c>
      <c r="AI8" s="6">
        <v>3.11</v>
      </c>
      <c r="AJ8" s="6" t="s">
        <v>69</v>
      </c>
      <c r="AK8" s="6" t="s">
        <v>69</v>
      </c>
      <c r="AL8" s="6" t="s">
        <v>69</v>
      </c>
      <c r="AM8" s="6" t="s">
        <v>69</v>
      </c>
      <c r="AN8" s="6">
        <v>0.5</v>
      </c>
      <c r="AO8" s="6">
        <v>3</v>
      </c>
      <c r="AP8" s="6">
        <v>45</v>
      </c>
      <c r="AQ8" s="6">
        <v>46</v>
      </c>
      <c r="AR8" s="6">
        <v>47</v>
      </c>
      <c r="AS8" s="6">
        <v>48</v>
      </c>
      <c r="AT8" s="6">
        <v>49</v>
      </c>
      <c r="AU8" s="6">
        <v>50</v>
      </c>
      <c r="AV8" s="6">
        <v>51</v>
      </c>
      <c r="AW8" s="6">
        <v>52</v>
      </c>
      <c r="AX8" s="6">
        <v>53</v>
      </c>
      <c r="AY8" s="6">
        <v>54</v>
      </c>
      <c r="AZ8" s="6">
        <v>88</v>
      </c>
      <c r="BA8" s="5">
        <v>108</v>
      </c>
      <c r="BB8" s="5">
        <v>109</v>
      </c>
      <c r="BC8" s="9"/>
    </row>
    <row r="9" spans="1:55" ht="15.75" customHeight="1" x14ac:dyDescent="0.2">
      <c r="A9" s="4">
        <v>3</v>
      </c>
      <c r="B9" s="5" t="str">
        <f>LOOKUP($D9,Site_Meta!$C$2:$C$43,Site_Meta!A$2:A$43)</f>
        <v>Maria Langa 20m</v>
      </c>
      <c r="C9" s="5" t="str">
        <f>LOOKUP($D9,Site_Meta!$C$2:$C$43,Site_Meta!B$2:B$43)</f>
        <v>Guayanilla</v>
      </c>
      <c r="D9" s="5" t="s">
        <v>70</v>
      </c>
      <c r="E9" s="5" t="str">
        <f>LOOKUP($D9,Site_Meta!$C$2:$C$43,Site_Meta!D$2:D$43)</f>
        <v>South</v>
      </c>
      <c r="F9" s="5" t="str">
        <f>LOOKUP($D9,Site_Meta!$C$2:$C$43,Site_Meta!E$2:E$43)</f>
        <v>S</v>
      </c>
      <c r="G9" s="5">
        <f>LOOKUP($D9,Site_Meta!$C$2:$C$43,Site_Meta!F$2:F$43)</f>
        <v>17.959530000000001</v>
      </c>
      <c r="H9" s="5">
        <f>LOOKUP($D9,Site_Meta!$C$2:$C$43,Site_Meta!G$2:G$43)</f>
        <v>-66.747</v>
      </c>
      <c r="I9" s="5">
        <f>LOOKUP($D9,Site_Meta!$C$2:$C$43,Site_Meta!H$2:H$43)</f>
        <v>20</v>
      </c>
      <c r="J9" s="6">
        <v>1</v>
      </c>
      <c r="K9" s="6">
        <v>25</v>
      </c>
      <c r="L9" s="6">
        <v>24</v>
      </c>
      <c r="M9" s="7" t="str">
        <f t="shared" si="0"/>
        <v>1/25/24</v>
      </c>
      <c r="N9" s="6" t="s">
        <v>71</v>
      </c>
      <c r="O9" s="6" t="s">
        <v>57</v>
      </c>
      <c r="P9" s="6" t="s">
        <v>72</v>
      </c>
      <c r="Q9" s="6"/>
      <c r="R9" s="8">
        <v>0.33333333333333331</v>
      </c>
      <c r="S9" s="8">
        <v>0.35208333333333336</v>
      </c>
      <c r="T9" s="6">
        <v>27.29</v>
      </c>
      <c r="U9" s="6">
        <v>0.5</v>
      </c>
      <c r="V9" s="6">
        <v>36.200000000000003</v>
      </c>
      <c r="W9" s="6">
        <v>0.47</v>
      </c>
      <c r="X9" s="6">
        <v>6.43</v>
      </c>
      <c r="Y9" s="6">
        <v>0.49</v>
      </c>
      <c r="Z9" s="6">
        <v>8.18</v>
      </c>
      <c r="AA9" s="6">
        <v>0.56999999999999995</v>
      </c>
      <c r="AB9" s="6">
        <v>27.34</v>
      </c>
      <c r="AC9" s="6">
        <v>14.92</v>
      </c>
      <c r="AD9" s="6">
        <v>36.26</v>
      </c>
      <c r="AE9" s="6">
        <v>15</v>
      </c>
      <c r="AF9" s="6">
        <v>6.21</v>
      </c>
      <c r="AG9" s="6">
        <v>15.07</v>
      </c>
      <c r="AH9" s="6">
        <v>8.19</v>
      </c>
      <c r="AI9" s="6">
        <v>15.13</v>
      </c>
      <c r="AJ9" s="6">
        <v>5.25</v>
      </c>
      <c r="AK9" s="6">
        <v>5.25</v>
      </c>
      <c r="AL9" s="6">
        <v>5.25</v>
      </c>
      <c r="AM9" s="6">
        <f t="shared" ref="AM9:AM12" si="2">AVERAGE(AJ9:AL9)</f>
        <v>5.25</v>
      </c>
      <c r="AN9" s="6">
        <v>0.5</v>
      </c>
      <c r="AO9" s="6">
        <v>15</v>
      </c>
      <c r="AP9" s="6">
        <v>144</v>
      </c>
      <c r="AQ9" s="6">
        <v>145</v>
      </c>
      <c r="AR9" s="6">
        <v>146</v>
      </c>
      <c r="AS9" s="6">
        <v>147</v>
      </c>
      <c r="AT9" s="6">
        <v>148</v>
      </c>
      <c r="AU9" s="6">
        <v>149</v>
      </c>
      <c r="AV9" s="6">
        <v>150</v>
      </c>
      <c r="AW9" s="6">
        <v>151</v>
      </c>
      <c r="AX9" s="6">
        <v>152</v>
      </c>
      <c r="AY9" s="6">
        <v>153</v>
      </c>
      <c r="AZ9" s="6">
        <v>167</v>
      </c>
      <c r="BA9" s="5">
        <v>155</v>
      </c>
      <c r="BB9" s="5">
        <v>156</v>
      </c>
      <c r="BC9" s="9"/>
    </row>
    <row r="10" spans="1:55" ht="15.75" customHeight="1" x14ac:dyDescent="0.2">
      <c r="A10" s="4">
        <v>3</v>
      </c>
      <c r="B10" s="5" t="str">
        <f>LOOKUP($D10,Site_Meta!$C$2:$C$43,Site_Meta!A$2:A$43)</f>
        <v>Maria Langa 10m</v>
      </c>
      <c r="C10" s="5" t="str">
        <f>LOOKUP($D10,Site_Meta!$C$2:$C$43,Site_Meta!B$2:B$43)</f>
        <v>Guayanilla</v>
      </c>
      <c r="D10" s="5" t="s">
        <v>73</v>
      </c>
      <c r="E10" s="5" t="str">
        <f>LOOKUP($D10,Site_Meta!$C$2:$C$43,Site_Meta!D$2:D$43)</f>
        <v>South</v>
      </c>
      <c r="F10" s="5" t="str">
        <f>LOOKUP($D10,Site_Meta!$C$2:$C$43,Site_Meta!E$2:E$43)</f>
        <v>S</v>
      </c>
      <c r="G10" s="5">
        <f>LOOKUP($D10,Site_Meta!$C$2:$C$43,Site_Meta!F$2:F$43)</f>
        <v>17.960930000000001</v>
      </c>
      <c r="H10" s="5">
        <f>LOOKUP($D10,Site_Meta!$C$2:$C$43,Site_Meta!G$2:G$43)</f>
        <v>-66.752899999999997</v>
      </c>
      <c r="I10" s="5">
        <f>LOOKUP($D10,Site_Meta!$C$2:$C$43,Site_Meta!H$2:H$43)</f>
        <v>10</v>
      </c>
      <c r="J10" s="6">
        <v>1</v>
      </c>
      <c r="K10" s="6">
        <v>25</v>
      </c>
      <c r="L10" s="6">
        <v>24</v>
      </c>
      <c r="M10" s="7" t="str">
        <f t="shared" si="0"/>
        <v>1/25/24</v>
      </c>
      <c r="N10" s="6" t="s">
        <v>71</v>
      </c>
      <c r="O10" s="6" t="s">
        <v>57</v>
      </c>
      <c r="P10" s="6" t="s">
        <v>72</v>
      </c>
      <c r="Q10" s="6"/>
      <c r="R10" s="8">
        <v>0.35833333333333334</v>
      </c>
      <c r="S10" s="8">
        <v>0.37708333333333333</v>
      </c>
      <c r="T10" s="11">
        <v>27.31</v>
      </c>
      <c r="U10" s="11">
        <v>0.45</v>
      </c>
      <c r="V10" s="11">
        <v>36.24</v>
      </c>
      <c r="W10" s="11">
        <v>0.53</v>
      </c>
      <c r="X10" s="11">
        <v>6.46</v>
      </c>
      <c r="Y10" s="11">
        <v>0.51</v>
      </c>
      <c r="Z10" s="11">
        <v>8.2100000000000009</v>
      </c>
      <c r="AA10" s="11">
        <v>0.5</v>
      </c>
      <c r="AB10" s="11">
        <v>27.32</v>
      </c>
      <c r="AC10" s="11">
        <v>9</v>
      </c>
      <c r="AD10" s="11">
        <v>36.159999999999997</v>
      </c>
      <c r="AE10" s="11">
        <v>8.6</v>
      </c>
      <c r="AF10" s="11">
        <v>6.19</v>
      </c>
      <c r="AG10" s="11">
        <v>8.84</v>
      </c>
      <c r="AH10" s="11">
        <v>8.1999999999999993</v>
      </c>
      <c r="AI10" s="11">
        <v>9</v>
      </c>
      <c r="AJ10" s="11">
        <v>5.5</v>
      </c>
      <c r="AK10" s="11">
        <v>5.5</v>
      </c>
      <c r="AL10" s="11">
        <v>5.5</v>
      </c>
      <c r="AM10" s="11">
        <f t="shared" si="2"/>
        <v>5.5</v>
      </c>
      <c r="AN10" s="6">
        <v>0.5</v>
      </c>
      <c r="AO10" s="6">
        <v>9</v>
      </c>
      <c r="AP10" s="6">
        <v>89</v>
      </c>
      <c r="AQ10" s="6">
        <v>90</v>
      </c>
      <c r="AR10" s="6">
        <v>91</v>
      </c>
      <c r="AS10" s="6">
        <v>92</v>
      </c>
      <c r="AT10" s="6">
        <v>93</v>
      </c>
      <c r="AU10" s="6">
        <v>94</v>
      </c>
      <c r="AV10" s="6">
        <v>95</v>
      </c>
      <c r="AW10" s="6">
        <v>96</v>
      </c>
      <c r="AX10" s="6">
        <v>97</v>
      </c>
      <c r="AY10" s="6">
        <v>98</v>
      </c>
      <c r="AZ10" s="6">
        <v>180</v>
      </c>
      <c r="BA10" s="5">
        <v>116</v>
      </c>
      <c r="BB10" s="5">
        <v>117</v>
      </c>
      <c r="BC10" s="9"/>
    </row>
    <row r="11" spans="1:55" ht="15.75" customHeight="1" x14ac:dyDescent="0.2">
      <c r="A11" s="4">
        <v>3</v>
      </c>
      <c r="B11" s="5" t="str">
        <f>LOOKUP($D11,Site_Meta!$C$2:$C$43,Site_Meta!A$2:A$43)</f>
        <v>Maria Langa 10m</v>
      </c>
      <c r="C11" s="5" t="str">
        <f>LOOKUP($D11,Site_Meta!$C$2:$C$43,Site_Meta!B$2:B$43)</f>
        <v>Guayanilla</v>
      </c>
      <c r="D11" s="5" t="s">
        <v>74</v>
      </c>
      <c r="E11" s="5" t="str">
        <f>LOOKUP($D11,Site_Meta!$C$2:$C$43,Site_Meta!D$2:D$43)</f>
        <v>South</v>
      </c>
      <c r="F11" s="5" t="str">
        <f>LOOKUP($D11,Site_Meta!$C$2:$C$43,Site_Meta!E$2:E$43)</f>
        <v>S</v>
      </c>
      <c r="G11" s="5">
        <f>LOOKUP($D11,Site_Meta!$C$2:$C$43,Site_Meta!F$2:F$43)</f>
        <v>17.960930000000001</v>
      </c>
      <c r="H11" s="5">
        <f>LOOKUP($D11,Site_Meta!$C$2:$C$43,Site_Meta!G$2:G$43)</f>
        <v>-66.752899999999997</v>
      </c>
      <c r="I11" s="5">
        <f>LOOKUP($D11,Site_Meta!$C$2:$C$43,Site_Meta!H$2:H$43)</f>
        <v>10</v>
      </c>
      <c r="J11" s="6">
        <v>1</v>
      </c>
      <c r="K11" s="6">
        <v>25</v>
      </c>
      <c r="L11" s="6">
        <v>24</v>
      </c>
      <c r="M11" s="7" t="str">
        <f t="shared" si="0"/>
        <v>1/25/24</v>
      </c>
      <c r="N11" s="6" t="s">
        <v>71</v>
      </c>
      <c r="O11" s="6" t="s">
        <v>57</v>
      </c>
      <c r="P11" s="6" t="s">
        <v>72</v>
      </c>
      <c r="Q11" s="6"/>
      <c r="R11" s="8">
        <v>0.38194444444444442</v>
      </c>
      <c r="S11" s="8">
        <v>0.4</v>
      </c>
      <c r="T11" s="6">
        <v>27.32</v>
      </c>
      <c r="U11" s="6">
        <v>0.45</v>
      </c>
      <c r="V11" s="12">
        <v>36.18</v>
      </c>
      <c r="W11" s="6">
        <v>0.32</v>
      </c>
      <c r="X11" s="6">
        <v>6.48</v>
      </c>
      <c r="Y11" s="6">
        <v>0.57999999999999996</v>
      </c>
      <c r="Z11" s="6">
        <v>8.2200000000000006</v>
      </c>
      <c r="AA11" s="6">
        <v>0.41</v>
      </c>
      <c r="AB11" s="6">
        <v>27.33</v>
      </c>
      <c r="AC11" s="6">
        <v>8.94</v>
      </c>
      <c r="AD11" s="6">
        <v>36.26</v>
      </c>
      <c r="AE11" s="6">
        <v>8.99</v>
      </c>
      <c r="AF11" s="6">
        <v>6.26</v>
      </c>
      <c r="AG11" s="6">
        <v>8.89</v>
      </c>
      <c r="AH11" s="6">
        <v>8.2100000000000009</v>
      </c>
      <c r="AI11" s="6">
        <v>8.6</v>
      </c>
      <c r="AJ11" s="6">
        <v>5.25</v>
      </c>
      <c r="AK11" s="6">
        <v>5.25</v>
      </c>
      <c r="AL11" s="6">
        <v>5.25</v>
      </c>
      <c r="AM11" s="6">
        <f t="shared" si="2"/>
        <v>5.25</v>
      </c>
      <c r="AN11" s="6">
        <v>0.5</v>
      </c>
      <c r="AO11" s="6">
        <v>9</v>
      </c>
      <c r="AP11" s="6">
        <v>78</v>
      </c>
      <c r="AQ11" s="6">
        <v>79</v>
      </c>
      <c r="AR11" s="6">
        <v>80</v>
      </c>
      <c r="AS11" s="6">
        <v>81</v>
      </c>
      <c r="AT11" s="6">
        <v>82</v>
      </c>
      <c r="AU11" s="6">
        <v>83</v>
      </c>
      <c r="AV11" s="6">
        <v>84</v>
      </c>
      <c r="AW11" s="6">
        <v>85</v>
      </c>
      <c r="AX11" s="6">
        <v>86</v>
      </c>
      <c r="AY11" s="6">
        <v>87</v>
      </c>
      <c r="AZ11" s="6">
        <v>193</v>
      </c>
      <c r="BA11" s="5">
        <v>114</v>
      </c>
      <c r="BB11" s="5">
        <v>115</v>
      </c>
      <c r="BC11" s="9"/>
    </row>
    <row r="12" spans="1:55" ht="15.75" customHeight="1" x14ac:dyDescent="0.2">
      <c r="A12" s="4">
        <v>3</v>
      </c>
      <c r="B12" s="5" t="str">
        <f>LOOKUP($D12,Site_Meta!$C$2:$C$43,Site_Meta!A$2:A$43)</f>
        <v>Maria Langa 5m</v>
      </c>
      <c r="C12" s="5" t="str">
        <f>LOOKUP($D12,Site_Meta!$C$2:$C$43,Site_Meta!B$2:B$43)</f>
        <v>Guayanilla</v>
      </c>
      <c r="D12" s="5" t="s">
        <v>75</v>
      </c>
      <c r="E12" s="5" t="str">
        <f>LOOKUP($D12,Site_Meta!$C$2:$C$43,Site_Meta!D$2:D$43)</f>
        <v>South</v>
      </c>
      <c r="F12" s="5" t="str">
        <f>LOOKUP($D12,Site_Meta!$C$2:$C$43,Site_Meta!E$2:E$43)</f>
        <v>S</v>
      </c>
      <c r="G12" s="5">
        <f>LOOKUP($D12,Site_Meta!$C$2:$C$43,Site_Meta!F$2:F$43)</f>
        <v>17.964880000000001</v>
      </c>
      <c r="H12" s="5">
        <f>LOOKUP($D12,Site_Meta!$C$2:$C$43,Site_Meta!G$2:G$43)</f>
        <v>-66.756500000000003</v>
      </c>
      <c r="I12" s="5">
        <f>LOOKUP($D12,Site_Meta!$C$2:$C$43,Site_Meta!H$2:H$43)</f>
        <v>5</v>
      </c>
      <c r="J12" s="6">
        <v>1</v>
      </c>
      <c r="K12" s="6">
        <v>25</v>
      </c>
      <c r="L12" s="6">
        <v>24</v>
      </c>
      <c r="M12" s="7" t="str">
        <f t="shared" si="0"/>
        <v>1/25/24</v>
      </c>
      <c r="N12" s="6" t="s">
        <v>71</v>
      </c>
      <c r="O12" s="6" t="s">
        <v>57</v>
      </c>
      <c r="P12" s="6" t="s">
        <v>72</v>
      </c>
      <c r="Q12" s="6"/>
      <c r="R12" s="8">
        <v>0.40625</v>
      </c>
      <c r="S12" s="8">
        <v>0.42222222222222222</v>
      </c>
      <c r="T12" s="6">
        <v>27.34</v>
      </c>
      <c r="U12" s="6">
        <v>0.56999999999999995</v>
      </c>
      <c r="V12" s="6">
        <v>36.119999999999997</v>
      </c>
      <c r="W12" s="6">
        <v>0.47</v>
      </c>
      <c r="X12" s="6">
        <v>6.43</v>
      </c>
      <c r="Y12" s="6">
        <v>0.62</v>
      </c>
      <c r="Z12" s="6">
        <v>8.2200000000000006</v>
      </c>
      <c r="AA12" s="6">
        <v>0.57999999999999996</v>
      </c>
      <c r="AB12" s="6">
        <v>27.33</v>
      </c>
      <c r="AC12" s="6">
        <v>4.43</v>
      </c>
      <c r="AD12" s="6">
        <v>36.270000000000003</v>
      </c>
      <c r="AE12" s="6">
        <v>4.88</v>
      </c>
      <c r="AF12" s="6">
        <v>6.38</v>
      </c>
      <c r="AG12" s="6">
        <v>4.5599999999999996</v>
      </c>
      <c r="AH12" s="6">
        <v>8.2200000000000006</v>
      </c>
      <c r="AI12" s="6">
        <v>4.32</v>
      </c>
      <c r="AJ12" s="6">
        <v>5.25</v>
      </c>
      <c r="AK12" s="6">
        <v>5.25</v>
      </c>
      <c r="AL12" s="6">
        <v>5.25</v>
      </c>
      <c r="AM12" s="6">
        <f t="shared" si="2"/>
        <v>5.25</v>
      </c>
      <c r="AN12" s="6">
        <v>0.5</v>
      </c>
      <c r="AO12" s="6">
        <v>4.5</v>
      </c>
      <c r="AP12" s="6">
        <v>118</v>
      </c>
      <c r="AQ12" s="6">
        <v>119</v>
      </c>
      <c r="AR12" s="6">
        <v>120</v>
      </c>
      <c r="AS12" s="6">
        <v>121</v>
      </c>
      <c r="AT12" s="6">
        <v>122</v>
      </c>
      <c r="AU12" s="6">
        <v>123</v>
      </c>
      <c r="AV12" s="6">
        <v>124</v>
      </c>
      <c r="AW12" s="6">
        <v>125</v>
      </c>
      <c r="AX12" s="6">
        <v>126</v>
      </c>
      <c r="AY12" s="6">
        <v>127</v>
      </c>
      <c r="AZ12" s="6">
        <v>206</v>
      </c>
      <c r="BA12" s="5">
        <v>129</v>
      </c>
      <c r="BB12" s="5">
        <v>130</v>
      </c>
      <c r="BC12" s="9"/>
    </row>
    <row r="13" spans="1:55" ht="15.75" customHeight="1" x14ac:dyDescent="0.2">
      <c r="A13" s="4">
        <v>3</v>
      </c>
      <c r="B13" s="5" t="str">
        <f>LOOKUP($D13,Site_Meta!$C$2:$C$43,Site_Meta!A$2:A$43)</f>
        <v>Efras Wall 20m</v>
      </c>
      <c r="C13" s="5" t="str">
        <f>LOOKUP($D13,Site_Meta!$C$2:$C$43,Site_Meta!B$2:B$43)</f>
        <v>La Parguera</v>
      </c>
      <c r="D13" s="5" t="s">
        <v>76</v>
      </c>
      <c r="E13" s="5" t="str">
        <f>LOOKUP($D13,Site_Meta!$C$2:$C$43,Site_Meta!D$2:D$43)</f>
        <v>Southwest</v>
      </c>
      <c r="F13" s="5" t="str">
        <f>LOOKUP($D13,Site_Meta!$C$2:$C$43,Site_Meta!E$2:E$43)</f>
        <v>SW</v>
      </c>
      <c r="G13" s="5">
        <f>LOOKUP($D13,Site_Meta!$C$2:$C$43,Site_Meta!F$2:F$43)</f>
        <v>17.897600000000001</v>
      </c>
      <c r="H13" s="5">
        <f>LOOKUP($D13,Site_Meta!$C$2:$C$43,Site_Meta!G$2:G$43)</f>
        <v>-66.959900000000005</v>
      </c>
      <c r="I13" s="5">
        <f>LOOKUP($D13,Site_Meta!$C$2:$C$43,Site_Meta!H$2:H$43)</f>
        <v>20</v>
      </c>
      <c r="J13" s="13">
        <v>1</v>
      </c>
      <c r="K13" s="13">
        <v>29</v>
      </c>
      <c r="L13" s="13">
        <v>24</v>
      </c>
      <c r="M13" s="7" t="str">
        <f t="shared" si="0"/>
        <v>1/29/24</v>
      </c>
      <c r="N13" s="6" t="s">
        <v>77</v>
      </c>
      <c r="O13" s="6" t="s">
        <v>57</v>
      </c>
      <c r="P13" s="6" t="s">
        <v>58</v>
      </c>
      <c r="Q13" s="6"/>
      <c r="R13" s="8">
        <v>0.31597222222222221</v>
      </c>
      <c r="S13" s="8">
        <v>0.34236111111111112</v>
      </c>
      <c r="T13" s="6">
        <v>27.36</v>
      </c>
      <c r="U13" s="6">
        <v>0.59</v>
      </c>
      <c r="V13" s="6">
        <v>36.31</v>
      </c>
      <c r="W13" s="6">
        <v>0.56000000000000005</v>
      </c>
      <c r="X13" s="6">
        <v>6.61</v>
      </c>
      <c r="Y13" s="6">
        <v>0.45</v>
      </c>
      <c r="Z13" s="6">
        <v>8.19</v>
      </c>
      <c r="AA13" s="6">
        <v>0.56999999999999995</v>
      </c>
      <c r="AB13" s="6">
        <v>27.35</v>
      </c>
      <c r="AC13" s="6">
        <v>18.14</v>
      </c>
      <c r="AD13" s="6">
        <v>36.340000000000003</v>
      </c>
      <c r="AE13" s="6">
        <v>18.36</v>
      </c>
      <c r="AF13" s="6">
        <v>6.27</v>
      </c>
      <c r="AG13" s="6">
        <v>18.079999999999998</v>
      </c>
      <c r="AH13" s="6">
        <v>8.2100000000000009</v>
      </c>
      <c r="AI13" s="6">
        <v>18.3</v>
      </c>
      <c r="AJ13" s="6" t="s">
        <v>78</v>
      </c>
      <c r="AK13" s="6" t="s">
        <v>78</v>
      </c>
      <c r="AL13" s="6" t="s">
        <v>78</v>
      </c>
      <c r="AM13" s="6" t="s">
        <v>78</v>
      </c>
      <c r="AN13" s="6">
        <v>0.5</v>
      </c>
      <c r="AO13" s="6">
        <v>18</v>
      </c>
      <c r="AP13" s="6">
        <v>326</v>
      </c>
      <c r="AQ13" s="6">
        <v>327</v>
      </c>
      <c r="AR13" s="6">
        <v>328</v>
      </c>
      <c r="AS13" s="6">
        <v>329</v>
      </c>
      <c r="AT13" s="6">
        <v>330</v>
      </c>
      <c r="AU13" s="6">
        <v>331</v>
      </c>
      <c r="AV13" s="6">
        <v>332</v>
      </c>
      <c r="AW13" s="6">
        <v>333</v>
      </c>
      <c r="AX13" s="6">
        <v>334</v>
      </c>
      <c r="AY13" s="6">
        <v>335</v>
      </c>
      <c r="AZ13" s="6">
        <v>3880</v>
      </c>
      <c r="BA13" s="5">
        <v>337</v>
      </c>
      <c r="BB13" s="5">
        <v>338</v>
      </c>
      <c r="BC13" s="9"/>
    </row>
    <row r="14" spans="1:55" ht="15.75" customHeight="1" x14ac:dyDescent="0.2">
      <c r="A14" s="4">
        <v>3</v>
      </c>
      <c r="B14" s="5" t="str">
        <f>LOOKUP($D14,Site_Meta!$C$2:$C$43,Site_Meta!A$2:A$43)</f>
        <v>Boya Vieja 20m</v>
      </c>
      <c r="C14" s="5" t="str">
        <f>LOOKUP($D14,Site_Meta!$C$2:$C$43,Site_Meta!B$2:B$43)</f>
        <v>La Parguera</v>
      </c>
      <c r="D14" s="5" t="s">
        <v>79</v>
      </c>
      <c r="E14" s="5" t="str">
        <f>LOOKUP($D14,Site_Meta!$C$2:$C$43,Site_Meta!D$2:D$43)</f>
        <v>Southwest</v>
      </c>
      <c r="F14" s="5" t="str">
        <f>LOOKUP($D14,Site_Meta!$C$2:$C$43,Site_Meta!E$2:E$43)</f>
        <v>SW</v>
      </c>
      <c r="G14" s="5">
        <f>LOOKUP($D14,Site_Meta!$C$2:$C$43,Site_Meta!F$2:F$43)</f>
        <v>17.888269999999999</v>
      </c>
      <c r="H14" s="5">
        <f>LOOKUP($D14,Site_Meta!$C$2:$C$43,Site_Meta!G$2:G$43)</f>
        <v>-66.997799999999998</v>
      </c>
      <c r="I14" s="5">
        <f>LOOKUP($D14,Site_Meta!$C$2:$C$43,Site_Meta!H$2:H$43)</f>
        <v>20</v>
      </c>
      <c r="J14" s="13">
        <v>1</v>
      </c>
      <c r="K14" s="13">
        <v>29</v>
      </c>
      <c r="L14" s="13">
        <v>24</v>
      </c>
      <c r="M14" s="7" t="str">
        <f t="shared" si="0"/>
        <v>1/29/24</v>
      </c>
      <c r="N14" s="6" t="s">
        <v>77</v>
      </c>
      <c r="O14" s="6" t="s">
        <v>57</v>
      </c>
      <c r="P14" s="6" t="s">
        <v>58</v>
      </c>
      <c r="Q14" s="6"/>
      <c r="R14" s="8">
        <v>0.35486111111111113</v>
      </c>
      <c r="S14" s="8">
        <v>0.375</v>
      </c>
      <c r="T14" s="6">
        <v>27.35</v>
      </c>
      <c r="U14" s="6">
        <v>0.49</v>
      </c>
      <c r="V14" s="6">
        <v>36.26</v>
      </c>
      <c r="W14" s="6">
        <v>0.54</v>
      </c>
      <c r="X14" s="6">
        <v>6.55</v>
      </c>
      <c r="Y14" s="6">
        <v>0.53</v>
      </c>
      <c r="Z14" s="6">
        <v>8.23</v>
      </c>
      <c r="AA14" s="6">
        <v>0.51</v>
      </c>
      <c r="AB14" s="6">
        <v>27.37</v>
      </c>
      <c r="AC14" s="6">
        <v>18.13</v>
      </c>
      <c r="AD14" s="6">
        <v>36.35</v>
      </c>
      <c r="AE14" s="6">
        <v>17.79</v>
      </c>
      <c r="AF14" s="6">
        <v>6.12</v>
      </c>
      <c r="AG14" s="6">
        <v>18</v>
      </c>
      <c r="AH14" s="6">
        <v>8.2200000000000006</v>
      </c>
      <c r="AI14" s="6">
        <v>18.12</v>
      </c>
      <c r="AJ14" s="6" t="s">
        <v>78</v>
      </c>
      <c r="AK14" s="6" t="s">
        <v>78</v>
      </c>
      <c r="AL14" s="6" t="s">
        <v>78</v>
      </c>
      <c r="AM14" s="6" t="s">
        <v>78</v>
      </c>
      <c r="AN14" s="6">
        <v>0.5</v>
      </c>
      <c r="AO14" s="6">
        <v>18</v>
      </c>
      <c r="AP14" s="6">
        <v>235</v>
      </c>
      <c r="AQ14" s="6">
        <v>236</v>
      </c>
      <c r="AR14" s="6">
        <v>237</v>
      </c>
      <c r="AS14" s="6">
        <v>238</v>
      </c>
      <c r="AT14" s="6">
        <v>239</v>
      </c>
      <c r="AU14" s="6">
        <v>240</v>
      </c>
      <c r="AV14" s="6">
        <v>241</v>
      </c>
      <c r="AW14" s="6">
        <v>242</v>
      </c>
      <c r="AX14" s="6">
        <v>243</v>
      </c>
      <c r="AY14" s="6">
        <v>244</v>
      </c>
      <c r="AZ14" s="6">
        <v>3750</v>
      </c>
      <c r="BA14" s="5">
        <v>246</v>
      </c>
      <c r="BB14" s="5">
        <v>247</v>
      </c>
      <c r="BC14" s="9"/>
    </row>
    <row r="15" spans="1:55" ht="15.75" customHeight="1" x14ac:dyDescent="0.2">
      <c r="A15" s="4">
        <v>3</v>
      </c>
      <c r="B15" s="5" t="str">
        <f>LOOKUP($D15,Site_Meta!$C$2:$C$43,Site_Meta!A$2:A$43)</f>
        <v>Media Luna 10m</v>
      </c>
      <c r="C15" s="5" t="str">
        <f>LOOKUP($D15,Site_Meta!$C$2:$C$43,Site_Meta!B$2:B$43)</f>
        <v>La Parguera</v>
      </c>
      <c r="D15" s="5" t="s">
        <v>80</v>
      </c>
      <c r="E15" s="5" t="str">
        <f>LOOKUP($D15,Site_Meta!$C$2:$C$43,Site_Meta!D$2:D$43)</f>
        <v>Southwest</v>
      </c>
      <c r="F15" s="5" t="str">
        <f>LOOKUP($D15,Site_Meta!$C$2:$C$43,Site_Meta!E$2:E$43)</f>
        <v>SW</v>
      </c>
      <c r="G15" s="5">
        <f>LOOKUP($D15,Site_Meta!$C$2:$C$43,Site_Meta!F$2:F$43)</f>
        <v>17.934719999999999</v>
      </c>
      <c r="H15" s="5">
        <f>LOOKUP($D15,Site_Meta!$C$2:$C$43,Site_Meta!G$2:G$43)</f>
        <v>-67.048500000000004</v>
      </c>
      <c r="I15" s="5">
        <f>LOOKUP($D15,Site_Meta!$C$2:$C$43,Site_Meta!H$2:H$43)</f>
        <v>10</v>
      </c>
      <c r="J15" s="13">
        <v>1</v>
      </c>
      <c r="K15" s="13">
        <v>29</v>
      </c>
      <c r="L15" s="13">
        <v>24</v>
      </c>
      <c r="M15" s="7" t="str">
        <f t="shared" si="0"/>
        <v>1/29/24</v>
      </c>
      <c r="N15" s="6" t="s">
        <v>77</v>
      </c>
      <c r="O15" s="6" t="s">
        <v>57</v>
      </c>
      <c r="P15" s="6" t="s">
        <v>58</v>
      </c>
      <c r="Q15" s="6"/>
      <c r="R15" s="8">
        <v>0.39374999999999999</v>
      </c>
      <c r="S15" s="8">
        <v>0.40972222222222221</v>
      </c>
      <c r="T15" s="6">
        <v>26.92</v>
      </c>
      <c r="U15" s="6">
        <v>0.48</v>
      </c>
      <c r="V15" s="6">
        <v>36.26</v>
      </c>
      <c r="W15" s="6">
        <v>0.42</v>
      </c>
      <c r="X15" s="6">
        <v>6.51</v>
      </c>
      <c r="Y15" s="6">
        <v>0.56000000000000005</v>
      </c>
      <c r="Z15" s="6">
        <v>8.1999999999999993</v>
      </c>
      <c r="AA15" s="6">
        <v>0.51</v>
      </c>
      <c r="AB15" s="6">
        <v>26.9</v>
      </c>
      <c r="AC15" s="6">
        <v>5.01</v>
      </c>
      <c r="AD15" s="6">
        <v>36.36</v>
      </c>
      <c r="AE15" s="6">
        <v>4.9800000000000004</v>
      </c>
      <c r="AF15" s="6">
        <v>6.31</v>
      </c>
      <c r="AG15" s="6">
        <v>5.24</v>
      </c>
      <c r="AH15" s="6">
        <v>8.1999999999999993</v>
      </c>
      <c r="AI15" s="6">
        <v>5.03</v>
      </c>
      <c r="AJ15" s="6" t="s">
        <v>81</v>
      </c>
      <c r="AK15" s="6" t="s">
        <v>81</v>
      </c>
      <c r="AL15" s="6" t="s">
        <v>81</v>
      </c>
      <c r="AM15" s="6" t="s">
        <v>81</v>
      </c>
      <c r="AN15" s="6">
        <v>0.5</v>
      </c>
      <c r="AO15" s="6">
        <v>18</v>
      </c>
      <c r="AP15" s="6">
        <v>131</v>
      </c>
      <c r="AQ15" s="6">
        <v>132</v>
      </c>
      <c r="AR15" s="6">
        <v>133</v>
      </c>
      <c r="AS15" s="6">
        <v>134</v>
      </c>
      <c r="AT15" s="6">
        <v>135</v>
      </c>
      <c r="AU15" s="6">
        <v>136</v>
      </c>
      <c r="AV15" s="6">
        <v>137</v>
      </c>
      <c r="AW15" s="6">
        <v>138</v>
      </c>
      <c r="AX15" s="6">
        <v>139</v>
      </c>
      <c r="AY15" s="6">
        <v>140</v>
      </c>
      <c r="AZ15" s="6">
        <v>3620</v>
      </c>
      <c r="BA15" s="5">
        <v>142</v>
      </c>
      <c r="BB15" s="5">
        <v>143</v>
      </c>
      <c r="BC15" s="9"/>
    </row>
    <row r="16" spans="1:55" ht="15.75" customHeight="1" x14ac:dyDescent="0.2">
      <c r="A16" s="4">
        <v>3</v>
      </c>
      <c r="B16" s="5" t="str">
        <f>LOOKUP($D16,Site_Meta!$C$2:$C$43,Site_Meta!A$2:A$43)</f>
        <v>Media Luna 5m</v>
      </c>
      <c r="C16" s="5" t="str">
        <f>LOOKUP($D16,Site_Meta!$C$2:$C$43,Site_Meta!B$2:B$43)</f>
        <v>La Parguera</v>
      </c>
      <c r="D16" s="5" t="s">
        <v>82</v>
      </c>
      <c r="E16" s="5" t="str">
        <f>LOOKUP($D16,Site_Meta!$C$2:$C$43,Site_Meta!D$2:D$43)</f>
        <v>Southwest</v>
      </c>
      <c r="F16" s="5" t="str">
        <f>LOOKUP($D16,Site_Meta!$C$2:$C$43,Site_Meta!E$2:E$43)</f>
        <v>SW</v>
      </c>
      <c r="G16" s="5">
        <f>LOOKUP($D16,Site_Meta!$C$2:$C$43,Site_Meta!F$2:F$43)</f>
        <v>17.93937</v>
      </c>
      <c r="H16" s="5">
        <f>LOOKUP($D16,Site_Meta!$C$2:$C$43,Site_Meta!G$2:G$43)</f>
        <v>-67.050700000000006</v>
      </c>
      <c r="I16" s="5">
        <f>LOOKUP($D16,Site_Meta!$C$2:$C$43,Site_Meta!H$2:H$43)</f>
        <v>5</v>
      </c>
      <c r="J16" s="13">
        <v>1</v>
      </c>
      <c r="K16" s="13">
        <v>29</v>
      </c>
      <c r="L16" s="13">
        <v>24</v>
      </c>
      <c r="M16" s="7" t="str">
        <f t="shared" si="0"/>
        <v>1/29/24</v>
      </c>
      <c r="N16" s="6" t="s">
        <v>77</v>
      </c>
      <c r="O16" s="6" t="s">
        <v>57</v>
      </c>
      <c r="P16" s="6" t="s">
        <v>58</v>
      </c>
      <c r="Q16" s="6"/>
      <c r="R16" s="8">
        <v>0.4201388888888889</v>
      </c>
      <c r="S16" s="8">
        <v>0.4375</v>
      </c>
      <c r="T16" s="77">
        <v>26.85</v>
      </c>
      <c r="U16" s="6">
        <v>0.45</v>
      </c>
      <c r="V16" s="6">
        <v>36.35</v>
      </c>
      <c r="W16" s="6">
        <v>0.44</v>
      </c>
      <c r="X16" s="6">
        <v>6.65</v>
      </c>
      <c r="Y16" s="6">
        <v>0.49</v>
      </c>
      <c r="Z16" s="6">
        <v>8.2100000000000009</v>
      </c>
      <c r="AA16" s="6">
        <v>0.49</v>
      </c>
      <c r="AB16" s="6">
        <v>26.78</v>
      </c>
      <c r="AC16" s="6">
        <v>3.03</v>
      </c>
      <c r="AD16" s="6">
        <v>36.36</v>
      </c>
      <c r="AE16" s="6">
        <v>3.09</v>
      </c>
      <c r="AF16" s="6">
        <v>6.47</v>
      </c>
      <c r="AG16" s="6">
        <v>3.07</v>
      </c>
      <c r="AH16" s="6">
        <v>8.19</v>
      </c>
      <c r="AI16" s="6">
        <v>3.14</v>
      </c>
      <c r="AJ16" s="6" t="s">
        <v>83</v>
      </c>
      <c r="AK16" s="6" t="s">
        <v>83</v>
      </c>
      <c r="AL16" s="6" t="s">
        <v>83</v>
      </c>
      <c r="AM16" s="6" t="s">
        <v>83</v>
      </c>
      <c r="AN16" s="6">
        <v>0.5</v>
      </c>
      <c r="AO16" s="6">
        <v>3</v>
      </c>
      <c r="AP16" s="6">
        <v>209</v>
      </c>
      <c r="AQ16" s="6">
        <v>210</v>
      </c>
      <c r="AR16" s="6">
        <v>211</v>
      </c>
      <c r="AS16" s="6">
        <v>212</v>
      </c>
      <c r="AT16" s="6">
        <v>213</v>
      </c>
      <c r="AU16" s="6">
        <v>214</v>
      </c>
      <c r="AV16" s="6">
        <v>215</v>
      </c>
      <c r="AW16" s="6">
        <v>216</v>
      </c>
      <c r="AX16" s="6">
        <v>217</v>
      </c>
      <c r="AY16" s="6">
        <v>218</v>
      </c>
      <c r="AZ16" s="6">
        <v>219</v>
      </c>
      <c r="BA16" s="6">
        <v>220</v>
      </c>
      <c r="BB16" s="6">
        <v>221</v>
      </c>
      <c r="BC16" s="9"/>
    </row>
    <row r="17" spans="1:55" ht="15.75" customHeight="1" x14ac:dyDescent="0.2">
      <c r="A17" s="4">
        <v>3</v>
      </c>
      <c r="B17" s="5" t="str">
        <f>LOOKUP($D17,Site_Meta!$C$2:$C$43,Site_Meta!A$2:A$43)</f>
        <v>El Seco 30m</v>
      </c>
      <c r="C17" s="5" t="str">
        <f>LOOKUP($D17,Site_Meta!$C$2:$C$43,Site_Meta!B$2:B$43)</f>
        <v>Isla Vieques</v>
      </c>
      <c r="D17" s="5" t="s">
        <v>84</v>
      </c>
      <c r="E17" s="5" t="str">
        <f>LOOKUP($D17,Site_Meta!$C$2:$C$43,Site_Meta!D$2:D$43)</f>
        <v>Vieques/Culebra</v>
      </c>
      <c r="F17" s="5" t="str">
        <f>LOOKUP($D17,Site_Meta!$C$2:$C$43,Site_Meta!E$2:E$43)</f>
        <v>E</v>
      </c>
      <c r="G17" s="5">
        <f>LOOKUP($D17,Site_Meta!$C$2:$C$43,Site_Meta!F$2:F$43)</f>
        <v>18.13869</v>
      </c>
      <c r="H17" s="5">
        <f>LOOKUP($D17,Site_Meta!$C$2:$C$43,Site_Meta!G$2:G$43)</f>
        <v>-65.197100000000006</v>
      </c>
      <c r="I17" s="5">
        <f>LOOKUP($D17,Site_Meta!$C$2:$C$43,Site_Meta!H$2:H$43)</f>
        <v>30</v>
      </c>
      <c r="J17" s="6">
        <v>1</v>
      </c>
      <c r="K17" s="6">
        <v>30</v>
      </c>
      <c r="L17" s="6">
        <v>24</v>
      </c>
      <c r="M17" s="7" t="str">
        <f t="shared" si="0"/>
        <v>1/30/24</v>
      </c>
      <c r="N17" s="6" t="s">
        <v>85</v>
      </c>
      <c r="O17" s="6" t="s">
        <v>57</v>
      </c>
      <c r="P17" s="6" t="s">
        <v>63</v>
      </c>
      <c r="Q17" s="6"/>
      <c r="R17" s="8">
        <v>0.3215277777777778</v>
      </c>
      <c r="S17" s="8">
        <v>0.3527777777777778</v>
      </c>
      <c r="T17" s="6">
        <v>26.34</v>
      </c>
      <c r="U17" s="6">
        <v>0.45</v>
      </c>
      <c r="V17" s="6">
        <v>36.799999999999997</v>
      </c>
      <c r="W17" s="6">
        <v>0.46</v>
      </c>
      <c r="X17" s="6">
        <v>6.29</v>
      </c>
      <c r="Y17" s="6">
        <v>0.46</v>
      </c>
      <c r="Z17" s="6">
        <v>8.17</v>
      </c>
      <c r="AA17" s="6">
        <v>0.56999999999999995</v>
      </c>
      <c r="AB17" s="6">
        <v>26.35</v>
      </c>
      <c r="AC17" s="6">
        <v>29.73</v>
      </c>
      <c r="AD17" s="6">
        <v>36.909999999999997</v>
      </c>
      <c r="AE17" s="6">
        <v>29.71</v>
      </c>
      <c r="AF17" s="6">
        <v>6.11</v>
      </c>
      <c r="AG17" s="6">
        <v>29.18</v>
      </c>
      <c r="AH17" s="6">
        <v>8.19</v>
      </c>
      <c r="AI17" s="6">
        <v>29.37</v>
      </c>
      <c r="AJ17" s="6">
        <v>23</v>
      </c>
      <c r="AK17" s="6">
        <v>23</v>
      </c>
      <c r="AL17" s="6">
        <v>23</v>
      </c>
      <c r="AM17" s="6">
        <f>AVERAGE(AJ17:AL17)</f>
        <v>23</v>
      </c>
      <c r="AN17" s="6">
        <v>0.5</v>
      </c>
      <c r="AO17" s="6">
        <v>29.5</v>
      </c>
      <c r="AP17" s="6">
        <v>183</v>
      </c>
      <c r="AQ17" s="6">
        <v>184</v>
      </c>
      <c r="AR17" s="6">
        <v>185</v>
      </c>
      <c r="AS17" s="6">
        <v>186</v>
      </c>
      <c r="AT17" s="6">
        <v>187</v>
      </c>
      <c r="AU17" s="6">
        <v>188</v>
      </c>
      <c r="AV17" s="6">
        <v>189</v>
      </c>
      <c r="AW17" s="6">
        <v>190</v>
      </c>
      <c r="AX17" s="6">
        <v>191</v>
      </c>
      <c r="AY17" s="6">
        <v>192</v>
      </c>
      <c r="AZ17" s="6">
        <v>232</v>
      </c>
      <c r="BA17" s="5">
        <v>194</v>
      </c>
      <c r="BB17" s="5">
        <v>195</v>
      </c>
      <c r="BC17" s="9"/>
    </row>
    <row r="18" spans="1:55" ht="15.75" customHeight="1" x14ac:dyDescent="0.2">
      <c r="A18" s="4">
        <v>3</v>
      </c>
      <c r="B18" s="5" t="str">
        <f>LOOKUP($D18,Site_Meta!$C$2:$C$43,Site_Meta!A$2:A$43)</f>
        <v>Esperanza 10m</v>
      </c>
      <c r="C18" s="5" t="str">
        <f>LOOKUP($D18,Site_Meta!$C$2:$C$43,Site_Meta!B$2:B$43)</f>
        <v>Isla Vieques</v>
      </c>
      <c r="D18" s="5" t="s">
        <v>86</v>
      </c>
      <c r="E18" s="5" t="str">
        <f>LOOKUP($D18,Site_Meta!$C$2:$C$43,Site_Meta!D$2:D$43)</f>
        <v>Vieques/Culebra</v>
      </c>
      <c r="F18" s="5" t="str">
        <f>LOOKUP($D18,Site_Meta!$C$2:$C$43,Site_Meta!E$2:E$43)</f>
        <v>E</v>
      </c>
      <c r="G18" s="5">
        <f>LOOKUP($D18,Site_Meta!$C$2:$C$43,Site_Meta!F$2:F$43)</f>
        <v>18.080570000000002</v>
      </c>
      <c r="H18" s="5">
        <f>LOOKUP($D18,Site_Meta!$C$2:$C$43,Site_Meta!G$2:G$43)</f>
        <v>-65.487899999999996</v>
      </c>
      <c r="I18" s="5">
        <f>LOOKUP($D18,Site_Meta!$C$2:$C$43,Site_Meta!H$2:H$43)</f>
        <v>10</v>
      </c>
      <c r="J18" s="6">
        <v>1</v>
      </c>
      <c r="K18" s="6">
        <v>30</v>
      </c>
      <c r="L18" s="6">
        <v>24</v>
      </c>
      <c r="M18" s="7" t="str">
        <f t="shared" si="0"/>
        <v>1/30/24</v>
      </c>
      <c r="N18" s="6" t="s">
        <v>85</v>
      </c>
      <c r="O18" s="6" t="s">
        <v>57</v>
      </c>
      <c r="P18" s="6" t="s">
        <v>63</v>
      </c>
      <c r="Q18" s="6"/>
      <c r="R18" s="8">
        <v>0.39444444444444443</v>
      </c>
      <c r="S18" s="8">
        <v>0.41180555555555554</v>
      </c>
      <c r="T18" s="6">
        <v>27.06</v>
      </c>
      <c r="U18" s="6">
        <v>0.53</v>
      </c>
      <c r="V18" s="6">
        <v>36.61</v>
      </c>
      <c r="W18" s="6">
        <v>0.45</v>
      </c>
      <c r="X18" s="6">
        <v>6.45</v>
      </c>
      <c r="Y18" s="6">
        <v>0.52</v>
      </c>
      <c r="Z18" s="6">
        <v>8.23</v>
      </c>
      <c r="AA18" s="6">
        <v>0.48</v>
      </c>
      <c r="AB18" s="6">
        <v>27.08</v>
      </c>
      <c r="AC18" s="6">
        <v>9.5399999999999991</v>
      </c>
      <c r="AD18" s="6">
        <v>36.78</v>
      </c>
      <c r="AE18" s="6">
        <v>9.48</v>
      </c>
      <c r="AF18" s="6">
        <v>5.91</v>
      </c>
      <c r="AG18" s="6">
        <v>9.43</v>
      </c>
      <c r="AH18" s="6">
        <v>8.1999999999999993</v>
      </c>
      <c r="AI18" s="6">
        <v>9.61</v>
      </c>
      <c r="AJ18" s="6" t="s">
        <v>87</v>
      </c>
      <c r="AK18" s="6" t="s">
        <v>87</v>
      </c>
      <c r="AL18" s="6" t="s">
        <v>87</v>
      </c>
      <c r="AM18" s="6" t="s">
        <v>87</v>
      </c>
      <c r="AN18" s="6">
        <v>0.5</v>
      </c>
      <c r="AO18" s="6">
        <v>9.5</v>
      </c>
      <c r="AP18" s="6">
        <v>248</v>
      </c>
      <c r="AQ18" s="6">
        <v>249</v>
      </c>
      <c r="AR18" s="6">
        <v>250</v>
      </c>
      <c r="AS18" s="6">
        <v>251</v>
      </c>
      <c r="AT18" s="6">
        <v>252</v>
      </c>
      <c r="AU18" s="6">
        <v>253</v>
      </c>
      <c r="AV18" s="6">
        <v>254</v>
      </c>
      <c r="AW18" s="6">
        <v>255</v>
      </c>
      <c r="AX18" s="6">
        <v>256</v>
      </c>
      <c r="AY18" s="6">
        <v>257</v>
      </c>
      <c r="AZ18" s="6">
        <v>245</v>
      </c>
      <c r="BA18" s="6">
        <v>259</v>
      </c>
      <c r="BB18" s="6">
        <v>260</v>
      </c>
      <c r="BC18" s="9"/>
    </row>
    <row r="19" spans="1:55" ht="15.75" customHeight="1" x14ac:dyDescent="0.2">
      <c r="A19" s="4">
        <v>3</v>
      </c>
      <c r="B19" s="5" t="str">
        <f>LOOKUP($D19,Site_Meta!$C$2:$C$43,Site_Meta!A$2:A$43)</f>
        <v>Esperanza 10m</v>
      </c>
      <c r="C19" s="5" t="str">
        <f>LOOKUP($D19,Site_Meta!$C$2:$C$43,Site_Meta!B$2:B$43)</f>
        <v>Isla Vieques</v>
      </c>
      <c r="D19" s="5" t="s">
        <v>88</v>
      </c>
      <c r="E19" s="5" t="str">
        <f>LOOKUP($D19,Site_Meta!$C$2:$C$43,Site_Meta!D$2:D$43)</f>
        <v>Vieques/Culebra</v>
      </c>
      <c r="F19" s="5" t="str">
        <f>LOOKUP($D19,Site_Meta!$C$2:$C$43,Site_Meta!E$2:E$43)</f>
        <v>E</v>
      </c>
      <c r="G19" s="5">
        <f>LOOKUP($D19,Site_Meta!$C$2:$C$43,Site_Meta!F$2:F$43)</f>
        <v>18.080570000000002</v>
      </c>
      <c r="H19" s="5">
        <f>LOOKUP($D19,Site_Meta!$C$2:$C$43,Site_Meta!G$2:G$43)</f>
        <v>-65.487899999999996</v>
      </c>
      <c r="I19" s="5">
        <f>LOOKUP($D19,Site_Meta!$C$2:$C$43,Site_Meta!H$2:H$43)</f>
        <v>10</v>
      </c>
      <c r="J19" s="6">
        <v>1</v>
      </c>
      <c r="K19" s="6">
        <v>30</v>
      </c>
      <c r="L19" s="6">
        <v>24</v>
      </c>
      <c r="M19" s="7" t="str">
        <f t="shared" si="0"/>
        <v>1/30/24</v>
      </c>
      <c r="N19" s="6" t="s">
        <v>85</v>
      </c>
      <c r="O19" s="6" t="s">
        <v>57</v>
      </c>
      <c r="P19" s="6" t="s">
        <v>63</v>
      </c>
      <c r="Q19" s="6"/>
      <c r="R19" s="8">
        <v>0.41388888888888886</v>
      </c>
      <c r="S19" s="8">
        <v>0.43055555555555558</v>
      </c>
      <c r="T19" s="6">
        <v>27.08</v>
      </c>
      <c r="U19" s="6">
        <v>0.48</v>
      </c>
      <c r="V19" s="6">
        <v>36.659999999999997</v>
      </c>
      <c r="W19" s="6">
        <v>0.46</v>
      </c>
      <c r="X19" s="6">
        <v>6.4</v>
      </c>
      <c r="Y19" s="6">
        <v>0.5</v>
      </c>
      <c r="Z19" s="6">
        <v>8.23</v>
      </c>
      <c r="AA19" s="6">
        <v>0.55000000000000004</v>
      </c>
      <c r="AB19" s="6">
        <v>27.07</v>
      </c>
      <c r="AC19" s="6">
        <v>9.0500000000000007</v>
      </c>
      <c r="AD19" s="6">
        <v>36.78</v>
      </c>
      <c r="AE19" s="6">
        <v>9.2100000000000009</v>
      </c>
      <c r="AF19" s="6">
        <v>6.08</v>
      </c>
      <c r="AG19" s="6">
        <v>9.07</v>
      </c>
      <c r="AH19" s="6">
        <v>8.2100000000000009</v>
      </c>
      <c r="AI19" s="6">
        <v>9.0500000000000007</v>
      </c>
      <c r="AJ19" s="6" t="s">
        <v>87</v>
      </c>
      <c r="AK19" s="6" t="s">
        <v>87</v>
      </c>
      <c r="AL19" s="6" t="s">
        <v>87</v>
      </c>
      <c r="AM19" s="6" t="s">
        <v>87</v>
      </c>
      <c r="AN19" s="6">
        <v>0.5</v>
      </c>
      <c r="AO19" s="6">
        <v>9</v>
      </c>
      <c r="AP19" s="6">
        <v>196</v>
      </c>
      <c r="AQ19" s="6">
        <v>197</v>
      </c>
      <c r="AR19" s="6">
        <v>198</v>
      </c>
      <c r="AS19" s="6">
        <v>199</v>
      </c>
      <c r="AT19" s="6">
        <v>200</v>
      </c>
      <c r="AU19" s="6">
        <v>201</v>
      </c>
      <c r="AV19" s="6">
        <v>202</v>
      </c>
      <c r="AW19" s="6">
        <v>203</v>
      </c>
      <c r="AX19" s="6">
        <v>204</v>
      </c>
      <c r="AY19" s="6">
        <v>205</v>
      </c>
      <c r="AZ19" s="6">
        <v>258</v>
      </c>
      <c r="BA19" s="5">
        <v>207</v>
      </c>
      <c r="BB19" s="5">
        <v>208</v>
      </c>
      <c r="BC19" s="14"/>
    </row>
    <row r="20" spans="1:55" ht="15.75" customHeight="1" x14ac:dyDescent="0.2">
      <c r="A20" s="4">
        <v>3</v>
      </c>
      <c r="B20" s="5" t="str">
        <f>LOOKUP($D20,Site_Meta!$C$2:$C$43,Site_Meta!A$2:A$43)</f>
        <v>Canjilones 15m</v>
      </c>
      <c r="C20" s="5" t="str">
        <f>LOOKUP($D20,Site_Meta!$C$2:$C$43,Site_Meta!B$2:B$43)</f>
        <v>Isla Vieques</v>
      </c>
      <c r="D20" s="5" t="s">
        <v>89</v>
      </c>
      <c r="E20" s="5" t="str">
        <f>LOOKUP($D20,Site_Meta!$C$2:$C$43,Site_Meta!D$2:D$43)</f>
        <v>Vieques/Culebra</v>
      </c>
      <c r="F20" s="5" t="str">
        <f>LOOKUP($D20,Site_Meta!$C$2:$C$43,Site_Meta!E$2:E$43)</f>
        <v>E</v>
      </c>
      <c r="G20" s="5">
        <f>LOOKUP($D20,Site_Meta!$C$2:$C$43,Site_Meta!F$2:F$43)</f>
        <v>18.089639999999999</v>
      </c>
      <c r="H20" s="5">
        <f>LOOKUP($D20,Site_Meta!$C$2:$C$43,Site_Meta!G$2:G$43)</f>
        <v>-65.590100000000007</v>
      </c>
      <c r="I20" s="5">
        <f>LOOKUP($D20,Site_Meta!$C$2:$C$43,Site_Meta!H$2:H$43)</f>
        <v>15</v>
      </c>
      <c r="J20" s="6">
        <v>1</v>
      </c>
      <c r="K20" s="6">
        <v>30</v>
      </c>
      <c r="L20" s="6">
        <v>24</v>
      </c>
      <c r="M20" s="7" t="str">
        <f t="shared" si="0"/>
        <v>1/30/24</v>
      </c>
      <c r="N20" s="6" t="s">
        <v>85</v>
      </c>
      <c r="O20" s="6" t="s">
        <v>57</v>
      </c>
      <c r="P20" s="6" t="s">
        <v>63</v>
      </c>
      <c r="Q20" s="6"/>
      <c r="R20" s="8">
        <v>0.45208333333333334</v>
      </c>
      <c r="S20" s="8">
        <v>0.46875</v>
      </c>
      <c r="T20" s="6">
        <v>27.22</v>
      </c>
      <c r="U20" s="6">
        <v>0.53</v>
      </c>
      <c r="V20" s="6">
        <v>36.58</v>
      </c>
      <c r="W20" s="6">
        <v>0.59</v>
      </c>
      <c r="X20" s="6">
        <v>6.31</v>
      </c>
      <c r="Y20" s="6">
        <v>0.53</v>
      </c>
      <c r="Z20" s="6">
        <v>8.23</v>
      </c>
      <c r="AA20" s="6">
        <v>0.56000000000000005</v>
      </c>
      <c r="AB20" s="6">
        <v>27.01</v>
      </c>
      <c r="AC20" s="6">
        <v>14.42</v>
      </c>
      <c r="AD20" s="6">
        <v>36.630000000000003</v>
      </c>
      <c r="AE20" s="6">
        <v>14.6</v>
      </c>
      <c r="AF20" s="6">
        <v>6.3</v>
      </c>
      <c r="AG20" s="6">
        <v>14.55</v>
      </c>
      <c r="AH20" s="6">
        <v>8.24</v>
      </c>
      <c r="AI20" s="6">
        <v>14.54</v>
      </c>
      <c r="AJ20" s="6" t="s">
        <v>65</v>
      </c>
      <c r="AK20" s="6" t="s">
        <v>65</v>
      </c>
      <c r="AL20" s="6" t="s">
        <v>65</v>
      </c>
      <c r="AM20" s="6" t="s">
        <v>65</v>
      </c>
      <c r="AN20" s="6">
        <v>0.5</v>
      </c>
      <c r="AO20" s="6">
        <v>14.5</v>
      </c>
      <c r="AP20" s="6">
        <v>274</v>
      </c>
      <c r="AQ20" s="6">
        <v>275</v>
      </c>
      <c r="AR20" s="6">
        <v>276</v>
      </c>
      <c r="AS20" s="6">
        <v>277</v>
      </c>
      <c r="AT20" s="6">
        <v>278</v>
      </c>
      <c r="AU20" s="6">
        <v>279</v>
      </c>
      <c r="AV20" s="6">
        <v>280</v>
      </c>
      <c r="AW20" s="6">
        <v>281</v>
      </c>
      <c r="AX20" s="6">
        <v>282</v>
      </c>
      <c r="AY20" s="6">
        <v>283</v>
      </c>
      <c r="AZ20" s="6">
        <v>271</v>
      </c>
      <c r="BA20" s="6">
        <v>285</v>
      </c>
      <c r="BB20" s="6">
        <v>286</v>
      </c>
      <c r="BC20" s="14"/>
    </row>
    <row r="21" spans="1:55" ht="15.75" customHeight="1" x14ac:dyDescent="0.2">
      <c r="A21" s="4">
        <v>3</v>
      </c>
      <c r="B21" s="5" t="str">
        <f>LOOKUP($D21,Site_Meta!$C$2:$C$43,Site_Meta!A$2:A$43)</f>
        <v>Cayo Diablo 5m</v>
      </c>
      <c r="C21" s="5" t="str">
        <f>LOOKUP($D21,Site_Meta!$C$2:$C$43,Site_Meta!B$2:B$43)</f>
        <v>Fajardo</v>
      </c>
      <c r="D21" s="5" t="s">
        <v>90</v>
      </c>
      <c r="E21" s="5" t="str">
        <f>LOOKUP($D21,Site_Meta!$C$2:$C$43,Site_Meta!D$2:D$43)</f>
        <v>North/Northeast</v>
      </c>
      <c r="F21" s="5" t="str">
        <f>LOOKUP($D21,Site_Meta!$C$2:$C$43,Site_Meta!E$2:E$43)</f>
        <v>E</v>
      </c>
      <c r="G21" s="5">
        <f>LOOKUP($D21,Site_Meta!$C$2:$C$43,Site_Meta!F$2:F$43)</f>
        <v>18.360330000000001</v>
      </c>
      <c r="H21" s="5">
        <f>LOOKUP($D21,Site_Meta!$C$2:$C$43,Site_Meta!G$2:G$43)</f>
        <v>-65.530900000000003</v>
      </c>
      <c r="I21" s="5">
        <f>LOOKUP($D21,Site_Meta!$C$2:$C$43,Site_Meta!H$2:H$43)</f>
        <v>5</v>
      </c>
      <c r="J21" s="6">
        <v>1</v>
      </c>
      <c r="K21" s="6">
        <v>31</v>
      </c>
      <c r="L21" s="6">
        <v>24</v>
      </c>
      <c r="M21" s="7" t="str">
        <f t="shared" si="0"/>
        <v>1/31/24</v>
      </c>
      <c r="N21" s="6" t="s">
        <v>85</v>
      </c>
      <c r="O21" s="6" t="s">
        <v>57</v>
      </c>
      <c r="P21" s="6" t="s">
        <v>63</v>
      </c>
      <c r="Q21" s="6"/>
      <c r="R21" s="8">
        <v>0.2951388888888889</v>
      </c>
      <c r="S21" s="8">
        <v>0.31736111111111109</v>
      </c>
      <c r="T21" s="6">
        <v>26.84</v>
      </c>
      <c r="U21" s="6">
        <v>0.51</v>
      </c>
      <c r="V21" s="6">
        <v>36.83</v>
      </c>
      <c r="W21" s="6">
        <v>0.53</v>
      </c>
      <c r="X21" s="6">
        <v>6.27</v>
      </c>
      <c r="Y21" s="6">
        <v>0.55000000000000004</v>
      </c>
      <c r="Z21" s="6">
        <v>8.19</v>
      </c>
      <c r="AA21" s="6">
        <v>0.54</v>
      </c>
      <c r="AB21" s="6">
        <v>26.87</v>
      </c>
      <c r="AC21" s="6">
        <v>8.48</v>
      </c>
      <c r="AD21" s="6">
        <v>36.909999999999997</v>
      </c>
      <c r="AE21" s="6">
        <v>8.33</v>
      </c>
      <c r="AF21" s="6">
        <v>6.07</v>
      </c>
      <c r="AG21" s="6">
        <v>8.5</v>
      </c>
      <c r="AH21" s="6">
        <v>8.19</v>
      </c>
      <c r="AI21" s="6">
        <v>8.4600000000000009</v>
      </c>
      <c r="AJ21" s="6" t="s">
        <v>61</v>
      </c>
      <c r="AK21" s="6" t="s">
        <v>61</v>
      </c>
      <c r="AL21" s="6" t="s">
        <v>61</v>
      </c>
      <c r="AM21" s="6" t="s">
        <v>61</v>
      </c>
      <c r="AN21" s="6">
        <v>0.5</v>
      </c>
      <c r="AO21" s="6">
        <v>8</v>
      </c>
      <c r="AP21" s="6">
        <v>261</v>
      </c>
      <c r="AQ21" s="6">
        <v>262</v>
      </c>
      <c r="AR21" s="6">
        <v>263</v>
      </c>
      <c r="AS21" s="6">
        <v>264</v>
      </c>
      <c r="AT21" s="6">
        <v>265</v>
      </c>
      <c r="AU21" s="6">
        <v>266</v>
      </c>
      <c r="AV21" s="6">
        <v>267</v>
      </c>
      <c r="AW21" s="6">
        <v>268</v>
      </c>
      <c r="AX21" s="6">
        <v>269</v>
      </c>
      <c r="AY21" s="6">
        <v>270</v>
      </c>
      <c r="AZ21" s="6">
        <v>284</v>
      </c>
      <c r="BA21" s="5">
        <v>272</v>
      </c>
      <c r="BB21" s="5">
        <v>273</v>
      </c>
      <c r="BC21" s="14"/>
    </row>
    <row r="22" spans="1:55" ht="15.75" customHeight="1" x14ac:dyDescent="0.2">
      <c r="A22" s="4">
        <v>3</v>
      </c>
      <c r="B22" s="5" t="str">
        <f>LOOKUP($D22,Site_Meta!$C$2:$C$43,Site_Meta!A$2:A$43)</f>
        <v>Palominitos 10m</v>
      </c>
      <c r="C22" s="5" t="str">
        <f>LOOKUP($D22,Site_Meta!$C$2:$C$43,Site_Meta!B$2:B$43)</f>
        <v>Fajardo</v>
      </c>
      <c r="D22" s="5" t="s">
        <v>91</v>
      </c>
      <c r="E22" s="5" t="str">
        <f>LOOKUP($D22,Site_Meta!$C$2:$C$43,Site_Meta!D$2:D$43)</f>
        <v>North/Northeast</v>
      </c>
      <c r="F22" s="5" t="str">
        <f>LOOKUP($D22,Site_Meta!$C$2:$C$43,Site_Meta!E$2:E$43)</f>
        <v>E</v>
      </c>
      <c r="G22" s="5">
        <f>LOOKUP($D22,Site_Meta!$C$2:$C$43,Site_Meta!F$2:F$43)</f>
        <v>18.335370000000001</v>
      </c>
      <c r="H22" s="5">
        <f>LOOKUP($D22,Site_Meta!$C$2:$C$43,Site_Meta!G$2:G$43)</f>
        <v>-65.565600000000003</v>
      </c>
      <c r="I22" s="5">
        <f>LOOKUP($D22,Site_Meta!$C$2:$C$43,Site_Meta!H$2:H$43)</f>
        <v>10</v>
      </c>
      <c r="J22" s="6">
        <v>1</v>
      </c>
      <c r="K22" s="6">
        <v>31</v>
      </c>
      <c r="L22" s="6">
        <v>24</v>
      </c>
      <c r="M22" s="7" t="str">
        <f t="shared" si="0"/>
        <v>1/31/24</v>
      </c>
      <c r="N22" s="6" t="s">
        <v>85</v>
      </c>
      <c r="O22" s="6" t="s">
        <v>57</v>
      </c>
      <c r="P22" s="6" t="s">
        <v>63</v>
      </c>
      <c r="Q22" s="6"/>
      <c r="R22" s="8">
        <v>0.34305555555555556</v>
      </c>
      <c r="S22" s="8">
        <v>0.3611111111111111</v>
      </c>
      <c r="T22" s="6">
        <v>26.71</v>
      </c>
      <c r="U22" s="6">
        <v>0.37</v>
      </c>
      <c r="V22" s="6">
        <v>36.75</v>
      </c>
      <c r="W22" s="6">
        <v>0.52</v>
      </c>
      <c r="X22" s="6">
        <v>6.66</v>
      </c>
      <c r="Y22" s="6">
        <v>0.56000000000000005</v>
      </c>
      <c r="Z22" s="6">
        <v>8.2200000000000006</v>
      </c>
      <c r="AA22" s="6">
        <v>0.55000000000000004</v>
      </c>
      <c r="AB22" s="6">
        <v>26.74</v>
      </c>
      <c r="AC22" s="6">
        <v>8.69</v>
      </c>
      <c r="AD22" s="6">
        <v>36.799999999999997</v>
      </c>
      <c r="AE22" s="6">
        <v>8.57</v>
      </c>
      <c r="AF22" s="6">
        <v>6.51</v>
      </c>
      <c r="AG22" s="6">
        <v>8.5</v>
      </c>
      <c r="AH22" s="6">
        <v>8.2200000000000006</v>
      </c>
      <c r="AI22" s="6">
        <v>8.4700000000000006</v>
      </c>
      <c r="AJ22" s="6" t="s">
        <v>61</v>
      </c>
      <c r="AK22" s="6" t="s">
        <v>61</v>
      </c>
      <c r="AL22" s="6" t="s">
        <v>61</v>
      </c>
      <c r="AM22" s="6" t="s">
        <v>61</v>
      </c>
      <c r="AN22" s="6">
        <v>0.5</v>
      </c>
      <c r="AO22" s="6">
        <v>8.5</v>
      </c>
      <c r="AP22" s="6">
        <v>287</v>
      </c>
      <c r="AQ22" s="6">
        <v>288</v>
      </c>
      <c r="AR22" s="6">
        <v>289</v>
      </c>
      <c r="AS22" s="6">
        <v>290</v>
      </c>
      <c r="AT22" s="6">
        <v>291</v>
      </c>
      <c r="AU22" s="6">
        <v>292</v>
      </c>
      <c r="AV22" s="6">
        <v>293</v>
      </c>
      <c r="AW22" s="6">
        <v>294</v>
      </c>
      <c r="AX22" s="6">
        <v>295</v>
      </c>
      <c r="AY22" s="6">
        <v>296</v>
      </c>
      <c r="AZ22" s="6">
        <v>297</v>
      </c>
      <c r="BA22" s="5">
        <v>298</v>
      </c>
      <c r="BB22" s="5">
        <v>299</v>
      </c>
      <c r="BC22" s="14"/>
    </row>
    <row r="23" spans="1:55" ht="15.75" customHeight="1" x14ac:dyDescent="0.2">
      <c r="A23" s="4">
        <v>3</v>
      </c>
      <c r="B23" s="5" t="str">
        <f>LOOKUP($D23,Site_Meta!$C$2:$C$43,Site_Meta!A$2:A$43)</f>
        <v>Palominos 20m</v>
      </c>
      <c r="C23" s="5" t="str">
        <f>LOOKUP($D23,Site_Meta!$C$2:$C$43,Site_Meta!B$2:B$43)</f>
        <v>Fajardo</v>
      </c>
      <c r="D23" s="5" t="s">
        <v>92</v>
      </c>
      <c r="E23" s="5" t="str">
        <f>LOOKUP($D23,Site_Meta!$C$2:$C$43,Site_Meta!D$2:D$43)</f>
        <v>North/Northeast</v>
      </c>
      <c r="F23" s="5" t="str">
        <f>LOOKUP($D23,Site_Meta!$C$2:$C$43,Site_Meta!E$2:E$43)</f>
        <v>E</v>
      </c>
      <c r="G23" s="5">
        <f>LOOKUP($D23,Site_Meta!$C$2:$C$43,Site_Meta!F$2:F$43)</f>
        <v>18.354659999999999</v>
      </c>
      <c r="H23" s="5">
        <f>LOOKUP($D23,Site_Meta!$C$2:$C$43,Site_Meta!G$2:G$43)</f>
        <v>-65.567099999999996</v>
      </c>
      <c r="I23" s="5">
        <f>LOOKUP($D23,Site_Meta!$C$2:$C$43,Site_Meta!H$2:H$43)</f>
        <v>20</v>
      </c>
      <c r="J23" s="6">
        <v>1</v>
      </c>
      <c r="K23" s="6">
        <v>31</v>
      </c>
      <c r="L23" s="6">
        <v>24</v>
      </c>
      <c r="M23" s="7" t="str">
        <f t="shared" si="0"/>
        <v>1/31/24</v>
      </c>
      <c r="N23" s="6" t="s">
        <v>85</v>
      </c>
      <c r="O23" s="6" t="s">
        <v>57</v>
      </c>
      <c r="P23" s="6" t="s">
        <v>63</v>
      </c>
      <c r="Q23" s="6"/>
      <c r="R23" s="8">
        <v>0.38611111111111113</v>
      </c>
      <c r="S23" s="8">
        <v>0.40277777777777779</v>
      </c>
      <c r="T23" s="6">
        <v>26.84</v>
      </c>
      <c r="U23" s="6">
        <v>0.59</v>
      </c>
      <c r="V23" s="6">
        <v>36.840000000000003</v>
      </c>
      <c r="W23" s="6">
        <v>0.6</v>
      </c>
      <c r="X23" s="6">
        <v>6.45</v>
      </c>
      <c r="Y23" s="6">
        <v>0.56999999999999995</v>
      </c>
      <c r="Z23" s="6">
        <v>8.2100000000000009</v>
      </c>
      <c r="AA23" s="6">
        <v>0.56000000000000005</v>
      </c>
      <c r="AB23" s="6">
        <v>26.81</v>
      </c>
      <c r="AC23" s="6">
        <v>15.95</v>
      </c>
      <c r="AD23" s="6">
        <v>36.89</v>
      </c>
      <c r="AE23" s="6">
        <v>16.3</v>
      </c>
      <c r="AF23" s="6">
        <v>6.22</v>
      </c>
      <c r="AG23" s="6">
        <v>16.28</v>
      </c>
      <c r="AH23" s="6">
        <v>8.2100000000000009</v>
      </c>
      <c r="AI23" s="6">
        <v>15.83</v>
      </c>
      <c r="AJ23" s="6">
        <v>8</v>
      </c>
      <c r="AK23" s="6">
        <v>8</v>
      </c>
      <c r="AL23" s="6">
        <v>8</v>
      </c>
      <c r="AM23" s="6">
        <f>AVERAGE(AJ23:AL23)</f>
        <v>8</v>
      </c>
      <c r="AN23" s="6">
        <v>0.5</v>
      </c>
      <c r="AO23" s="6">
        <v>16</v>
      </c>
      <c r="AP23" s="6">
        <v>313</v>
      </c>
      <c r="AQ23" s="6">
        <v>314</v>
      </c>
      <c r="AR23" s="6">
        <v>315</v>
      </c>
      <c r="AS23" s="6">
        <v>316</v>
      </c>
      <c r="AT23" s="6">
        <v>317</v>
      </c>
      <c r="AU23" s="6">
        <v>318</v>
      </c>
      <c r="AV23" s="6">
        <v>319</v>
      </c>
      <c r="AW23" s="6">
        <v>320</v>
      </c>
      <c r="AX23" s="6">
        <v>321</v>
      </c>
      <c r="AY23" s="6">
        <v>322</v>
      </c>
      <c r="AZ23" s="6">
        <v>310</v>
      </c>
      <c r="BA23" s="5">
        <v>324</v>
      </c>
      <c r="BB23" s="5">
        <v>325</v>
      </c>
      <c r="BC23" s="14"/>
    </row>
    <row r="24" spans="1:55" ht="15.75" customHeight="1" x14ac:dyDescent="0.2">
      <c r="A24" s="4">
        <v>3</v>
      </c>
      <c r="B24" s="5" t="str">
        <f>LOOKUP($D24,Site_Meta!$C$2:$C$43,Site_Meta!A$2:A$43)</f>
        <v>Cabezas de San Juan 5m</v>
      </c>
      <c r="C24" s="5" t="str">
        <f>LOOKUP($D24,Site_Meta!$C$2:$C$43,Site_Meta!B$2:B$43)</f>
        <v>Fajardo</v>
      </c>
      <c r="D24" s="5" t="s">
        <v>93</v>
      </c>
      <c r="E24" s="5" t="str">
        <f>LOOKUP($D24,Site_Meta!$C$2:$C$43,Site_Meta!D$2:D$43)</f>
        <v>North/Northeast</v>
      </c>
      <c r="F24" s="5" t="str">
        <f>LOOKUP($D24,Site_Meta!$C$2:$C$43,Site_Meta!E$2:E$43)</f>
        <v>E</v>
      </c>
      <c r="G24" s="5">
        <f>LOOKUP($D24,Site_Meta!$C$2:$C$43,Site_Meta!F$2:F$43)</f>
        <v>18.385439999999999</v>
      </c>
      <c r="H24" s="5">
        <f>LOOKUP($D24,Site_Meta!$C$2:$C$43,Site_Meta!G$2:G$43)</f>
        <v>-65.6297</v>
      </c>
      <c r="I24" s="5">
        <f>LOOKUP($D24,Site_Meta!$C$2:$C$43,Site_Meta!H$2:H$43)</f>
        <v>5</v>
      </c>
      <c r="J24" s="6">
        <v>1</v>
      </c>
      <c r="K24" s="6">
        <v>31</v>
      </c>
      <c r="L24" s="6">
        <v>24</v>
      </c>
      <c r="M24" s="7" t="str">
        <f t="shared" si="0"/>
        <v>1/31/24</v>
      </c>
      <c r="N24" s="6" t="s">
        <v>85</v>
      </c>
      <c r="O24" s="6" t="s">
        <v>57</v>
      </c>
      <c r="P24" s="6" t="s">
        <v>63</v>
      </c>
      <c r="Q24" s="6"/>
      <c r="R24" s="8">
        <v>0.42499999999999999</v>
      </c>
      <c r="S24" s="8">
        <v>0.43263888888888891</v>
      </c>
      <c r="T24" s="6">
        <v>26.86</v>
      </c>
      <c r="U24" s="6">
        <v>0.34</v>
      </c>
      <c r="V24" s="6">
        <v>36.4</v>
      </c>
      <c r="W24" s="6">
        <v>0.44</v>
      </c>
      <c r="X24" s="6">
        <v>6.67</v>
      </c>
      <c r="Y24" s="6">
        <v>0.54</v>
      </c>
      <c r="Z24" s="6">
        <v>8.2200000000000006</v>
      </c>
      <c r="AA24" s="6">
        <v>0.48</v>
      </c>
      <c r="AB24" s="6">
        <v>26.9</v>
      </c>
      <c r="AC24" s="6">
        <v>5.99</v>
      </c>
      <c r="AD24" s="6">
        <v>36.61</v>
      </c>
      <c r="AE24" s="6">
        <v>5.96</v>
      </c>
      <c r="AF24" s="6">
        <v>6.39</v>
      </c>
      <c r="AG24" s="6">
        <v>6.01</v>
      </c>
      <c r="AH24" s="6">
        <v>8.2200000000000006</v>
      </c>
      <c r="AI24" s="6">
        <v>5.94</v>
      </c>
      <c r="AJ24" s="6" t="s">
        <v>94</v>
      </c>
      <c r="AK24" s="6" t="s">
        <v>94</v>
      </c>
      <c r="AL24" s="6" t="s">
        <v>94</v>
      </c>
      <c r="AM24" s="6" t="s">
        <v>94</v>
      </c>
      <c r="AN24" s="6">
        <v>0.5</v>
      </c>
      <c r="AO24" s="6">
        <v>6</v>
      </c>
      <c r="AP24" s="6">
        <v>300</v>
      </c>
      <c r="AQ24" s="6">
        <v>301</v>
      </c>
      <c r="AR24" s="6">
        <v>302</v>
      </c>
      <c r="AS24" s="6">
        <v>303</v>
      </c>
      <c r="AT24" s="6">
        <v>304</v>
      </c>
      <c r="AU24" s="6">
        <v>305</v>
      </c>
      <c r="AV24" s="6">
        <v>306</v>
      </c>
      <c r="AW24" s="6">
        <v>307</v>
      </c>
      <c r="AX24" s="6">
        <v>308</v>
      </c>
      <c r="AY24" s="6">
        <v>309</v>
      </c>
      <c r="AZ24" s="6">
        <v>323</v>
      </c>
      <c r="BA24" s="5">
        <v>311</v>
      </c>
      <c r="BB24" s="5">
        <v>312</v>
      </c>
      <c r="BC24" s="14"/>
    </row>
    <row r="25" spans="1:55" ht="15.75" customHeight="1" x14ac:dyDescent="0.2">
      <c r="A25" s="4">
        <v>3</v>
      </c>
      <c r="B25" s="5" t="str">
        <f>LOOKUP($D25,Site_Meta!$C$2:$C$43,Site_Meta!A$2:A$43)</f>
        <v>Dakiti 20m</v>
      </c>
      <c r="C25" s="5" t="str">
        <f>LOOKUP($D25,Site_Meta!$C$2:$C$43,Site_Meta!B$2:B$43)</f>
        <v>Isla Culebra</v>
      </c>
      <c r="D25" s="5" t="s">
        <v>95</v>
      </c>
      <c r="E25" s="5" t="str">
        <f>LOOKUP($D25,Site_Meta!$C$2:$C$43,Site_Meta!D$2:D$43)</f>
        <v>Vieques/Culebra</v>
      </c>
      <c r="F25" s="5" t="str">
        <f>LOOKUP($D25,Site_Meta!$C$2:$C$43,Site_Meta!E$2:E$43)</f>
        <v>E</v>
      </c>
      <c r="G25" s="5">
        <f>LOOKUP($D25,Site_Meta!$C$2:$C$43,Site_Meta!F$2:F$43)</f>
        <v>18.275870000000001</v>
      </c>
      <c r="H25" s="5">
        <f>LOOKUP($D25,Site_Meta!$C$2:$C$43,Site_Meta!G$2:G$43)</f>
        <v>-65.277299999999997</v>
      </c>
      <c r="I25" s="5">
        <f>LOOKUP($D25,Site_Meta!$C$2:$C$43,Site_Meta!H$2:H$43)</f>
        <v>20</v>
      </c>
      <c r="J25" s="6">
        <v>2</v>
      </c>
      <c r="K25" s="6">
        <v>1</v>
      </c>
      <c r="L25" s="6">
        <v>24</v>
      </c>
      <c r="M25" s="7" t="str">
        <f t="shared" si="0"/>
        <v>2/1/24</v>
      </c>
      <c r="N25" s="6" t="s">
        <v>85</v>
      </c>
      <c r="O25" s="6" t="s">
        <v>57</v>
      </c>
      <c r="P25" s="6" t="s">
        <v>63</v>
      </c>
      <c r="Q25" s="6"/>
      <c r="R25" s="8">
        <v>0.30763888888888891</v>
      </c>
      <c r="S25" s="8">
        <v>0.33333333333333331</v>
      </c>
      <c r="T25" s="6">
        <v>26.88</v>
      </c>
      <c r="U25" s="6">
        <v>0.53</v>
      </c>
      <c r="V25" s="6">
        <v>36.799999999999997</v>
      </c>
      <c r="W25" s="6">
        <v>0.53</v>
      </c>
      <c r="X25" s="6">
        <v>6.58</v>
      </c>
      <c r="Y25" s="6">
        <v>0.55000000000000004</v>
      </c>
      <c r="Z25" s="6">
        <v>8.1999999999999993</v>
      </c>
      <c r="AA25" s="6">
        <v>0.53</v>
      </c>
      <c r="AB25" s="6">
        <v>26.9</v>
      </c>
      <c r="AC25" s="6">
        <v>22.48</v>
      </c>
      <c r="AD25" s="6">
        <v>36.909999999999997</v>
      </c>
      <c r="AE25" s="6">
        <v>22.25</v>
      </c>
      <c r="AF25" s="6">
        <v>6.23</v>
      </c>
      <c r="AG25" s="6">
        <v>22.23</v>
      </c>
      <c r="AH25" s="6">
        <v>8.2100000000000009</v>
      </c>
      <c r="AI25" s="6">
        <v>22.11</v>
      </c>
      <c r="AJ25" s="6">
        <v>18.75</v>
      </c>
      <c r="AK25" s="6">
        <v>18.5</v>
      </c>
      <c r="AL25" s="6">
        <v>18.75</v>
      </c>
      <c r="AM25" s="6">
        <f>AVERAGE(AJ25:AL25)</f>
        <v>18.666666666666668</v>
      </c>
      <c r="AN25" s="6">
        <v>0.5</v>
      </c>
      <c r="AO25" s="6">
        <v>22.5</v>
      </c>
      <c r="AP25" s="6">
        <v>222</v>
      </c>
      <c r="AQ25" s="6">
        <v>223</v>
      </c>
      <c r="AR25" s="6">
        <v>224</v>
      </c>
      <c r="AS25" s="6">
        <v>225</v>
      </c>
      <c r="AT25" s="6">
        <v>226</v>
      </c>
      <c r="AU25" s="6">
        <v>227</v>
      </c>
      <c r="AV25" s="6">
        <v>228</v>
      </c>
      <c r="AW25" s="6">
        <v>229</v>
      </c>
      <c r="AX25" s="6">
        <v>230</v>
      </c>
      <c r="AY25" s="6">
        <v>231</v>
      </c>
      <c r="AZ25" s="6">
        <v>336</v>
      </c>
      <c r="BA25" s="5">
        <v>233</v>
      </c>
      <c r="BB25" s="5">
        <v>234</v>
      </c>
      <c r="BC25" s="9"/>
    </row>
    <row r="26" spans="1:55" ht="15.75" customHeight="1" x14ac:dyDescent="0.2">
      <c r="A26" s="4">
        <v>3</v>
      </c>
      <c r="B26" s="5" t="str">
        <f>LOOKUP($D26,Site_Meta!$C$2:$C$43,Site_Meta!A$2:A$43)</f>
        <v>Canal Luis Pena 5m</v>
      </c>
      <c r="C26" s="5" t="str">
        <f>LOOKUP($D26,Site_Meta!$C$2:$C$43,Site_Meta!B$2:B$43)</f>
        <v>Isla Culebra</v>
      </c>
      <c r="D26" s="5" t="s">
        <v>96</v>
      </c>
      <c r="E26" s="5" t="str">
        <f>LOOKUP($D26,Site_Meta!$C$2:$C$43,Site_Meta!D$2:D$43)</f>
        <v>Vieques/Culebra</v>
      </c>
      <c r="F26" s="5" t="str">
        <f>LOOKUP($D26,Site_Meta!$C$2:$C$43,Site_Meta!E$2:E$43)</f>
        <v>E</v>
      </c>
      <c r="G26" s="5">
        <f>LOOKUP($D26,Site_Meta!$C$2:$C$43,Site_Meta!F$2:F$43)</f>
        <v>18.304929999999999</v>
      </c>
      <c r="H26" s="5">
        <f>LOOKUP($D26,Site_Meta!$C$2:$C$43,Site_Meta!G$2:G$43)</f>
        <v>-65.327699999999993</v>
      </c>
      <c r="I26" s="5">
        <f>LOOKUP($D26,Site_Meta!$C$2:$C$43,Site_Meta!H$2:H$43)</f>
        <v>5</v>
      </c>
      <c r="J26" s="6">
        <v>2</v>
      </c>
      <c r="K26" s="6">
        <v>1</v>
      </c>
      <c r="L26" s="6">
        <v>24</v>
      </c>
      <c r="M26" s="7" t="str">
        <f t="shared" si="0"/>
        <v>2/1/24</v>
      </c>
      <c r="N26" s="6" t="s">
        <v>85</v>
      </c>
      <c r="O26" s="6" t="s">
        <v>57</v>
      </c>
      <c r="P26" s="6" t="s">
        <v>63</v>
      </c>
      <c r="Q26" s="6"/>
      <c r="R26" s="8">
        <v>0.35347222222222224</v>
      </c>
      <c r="S26" s="8">
        <v>0.36805555555555558</v>
      </c>
      <c r="T26" s="6">
        <v>26.82</v>
      </c>
      <c r="U26" s="6">
        <v>0.46</v>
      </c>
      <c r="V26" s="6">
        <v>36.880000000000003</v>
      </c>
      <c r="W26" s="6">
        <v>0.45</v>
      </c>
      <c r="X26" s="6">
        <v>6.53</v>
      </c>
      <c r="Y26" s="6">
        <v>0.41</v>
      </c>
      <c r="Z26" s="6">
        <v>8.2200000000000006</v>
      </c>
      <c r="AA26" s="6">
        <v>0.47</v>
      </c>
      <c r="AB26" s="6">
        <v>26.75</v>
      </c>
      <c r="AC26" s="6">
        <v>4.47</v>
      </c>
      <c r="AD26" s="6">
        <v>36.869999999999997</v>
      </c>
      <c r="AE26" s="6">
        <v>4.47</v>
      </c>
      <c r="AF26" s="6">
        <v>6</v>
      </c>
      <c r="AG26" s="6">
        <v>4.49</v>
      </c>
      <c r="AH26" s="6">
        <v>8.19</v>
      </c>
      <c r="AI26" s="6">
        <v>4.45</v>
      </c>
      <c r="AJ26" s="6" t="s">
        <v>81</v>
      </c>
      <c r="AK26" s="6" t="s">
        <v>81</v>
      </c>
      <c r="AL26" s="6" t="s">
        <v>81</v>
      </c>
      <c r="AM26" s="6" t="s">
        <v>81</v>
      </c>
      <c r="AN26" s="6">
        <v>0.5</v>
      </c>
      <c r="AO26" s="6">
        <v>4.5</v>
      </c>
      <c r="AP26" s="6">
        <v>352</v>
      </c>
      <c r="AQ26" s="6">
        <v>353</v>
      </c>
      <c r="AR26" s="6">
        <v>354</v>
      </c>
      <c r="AS26" s="6">
        <v>355</v>
      </c>
      <c r="AT26" s="6">
        <v>356</v>
      </c>
      <c r="AU26" s="6">
        <v>357</v>
      </c>
      <c r="AV26" s="6">
        <v>358</v>
      </c>
      <c r="AW26" s="6">
        <v>359</v>
      </c>
      <c r="AX26" s="6">
        <v>360</v>
      </c>
      <c r="AY26" s="6">
        <v>361</v>
      </c>
      <c r="AZ26" s="6">
        <v>349</v>
      </c>
      <c r="BA26" s="5">
        <v>363</v>
      </c>
      <c r="BB26" s="5">
        <v>364</v>
      </c>
      <c r="BC26" s="9"/>
    </row>
    <row r="27" spans="1:55" ht="15.75" customHeight="1" x14ac:dyDescent="0.2">
      <c r="A27" s="4">
        <v>3</v>
      </c>
      <c r="B27" s="5" t="str">
        <f>LOOKUP($D27,Site_Meta!$C$2:$C$43,Site_Meta!A$2:A$43)</f>
        <v>Carlos Rosario 10m</v>
      </c>
      <c r="C27" s="5" t="str">
        <f>LOOKUP($D27,Site_Meta!$C$2:$C$43,Site_Meta!B$2:B$43)</f>
        <v>Isla Culebra</v>
      </c>
      <c r="D27" s="5" t="s">
        <v>97</v>
      </c>
      <c r="E27" s="5" t="str">
        <f>LOOKUP($D27,Site_Meta!$C$2:$C$43,Site_Meta!D$2:D$43)</f>
        <v>Vieques/Culebra</v>
      </c>
      <c r="F27" s="5" t="str">
        <f>LOOKUP($D27,Site_Meta!$C$2:$C$43,Site_Meta!E$2:E$43)</f>
        <v>E</v>
      </c>
      <c r="G27" s="5">
        <f>LOOKUP($D27,Site_Meta!$C$2:$C$43,Site_Meta!F$2:F$43)</f>
        <v>18.32779</v>
      </c>
      <c r="H27" s="5">
        <f>LOOKUP($D27,Site_Meta!$C$2:$C$43,Site_Meta!G$2:G$43)</f>
        <v>-65.331999999999994</v>
      </c>
      <c r="I27" s="5">
        <f>LOOKUP($D27,Site_Meta!$C$2:$C$43,Site_Meta!H$2:H$43)</f>
        <v>10</v>
      </c>
      <c r="J27" s="6">
        <v>2</v>
      </c>
      <c r="K27" s="6">
        <v>1</v>
      </c>
      <c r="L27" s="6">
        <v>24</v>
      </c>
      <c r="M27" s="7" t="str">
        <f t="shared" si="0"/>
        <v>2/1/24</v>
      </c>
      <c r="N27" s="6" t="s">
        <v>85</v>
      </c>
      <c r="O27" s="6" t="s">
        <v>57</v>
      </c>
      <c r="P27" s="6" t="s">
        <v>63</v>
      </c>
      <c r="Q27" s="6"/>
      <c r="R27" s="8">
        <v>0.3840277777777778</v>
      </c>
      <c r="S27" s="8">
        <v>0.39861111111111114</v>
      </c>
      <c r="T27" s="6">
        <v>26.81</v>
      </c>
      <c r="U27" s="6">
        <v>0.54</v>
      </c>
      <c r="V27" s="6">
        <v>36.82</v>
      </c>
      <c r="W27" s="6">
        <v>0.55000000000000004</v>
      </c>
      <c r="X27" s="6">
        <v>6.58</v>
      </c>
      <c r="Y27" s="6">
        <v>0.49</v>
      </c>
      <c r="Z27" s="6">
        <v>8.23</v>
      </c>
      <c r="AA27" s="6">
        <v>0.51</v>
      </c>
      <c r="AB27" s="6">
        <v>26.8</v>
      </c>
      <c r="AC27" s="6">
        <v>10.44</v>
      </c>
      <c r="AD27" s="6">
        <v>36.909999999999997</v>
      </c>
      <c r="AE27" s="6">
        <v>10.45</v>
      </c>
      <c r="AF27" s="6">
        <v>6.45</v>
      </c>
      <c r="AG27" s="6">
        <v>10.42</v>
      </c>
      <c r="AH27" s="6">
        <v>8.2200000000000006</v>
      </c>
      <c r="AI27" s="6">
        <v>10.57</v>
      </c>
      <c r="AJ27" s="6" t="s">
        <v>98</v>
      </c>
      <c r="AK27" s="6" t="s">
        <v>98</v>
      </c>
      <c r="AL27" s="6" t="s">
        <v>98</v>
      </c>
      <c r="AM27" s="6" t="s">
        <v>98</v>
      </c>
      <c r="AN27" s="6">
        <v>0.5</v>
      </c>
      <c r="AO27" s="6">
        <v>10.5</v>
      </c>
      <c r="AP27" s="6">
        <v>157</v>
      </c>
      <c r="AQ27" s="6">
        <v>158</v>
      </c>
      <c r="AR27" s="6">
        <v>159</v>
      </c>
      <c r="AS27" s="6">
        <v>160</v>
      </c>
      <c r="AT27" s="6">
        <v>161</v>
      </c>
      <c r="AU27" s="6">
        <v>162</v>
      </c>
      <c r="AV27" s="6">
        <v>163</v>
      </c>
      <c r="AW27" s="6">
        <v>164</v>
      </c>
      <c r="AX27" s="6">
        <v>165</v>
      </c>
      <c r="AY27" s="6">
        <v>166</v>
      </c>
      <c r="AZ27" s="6">
        <v>3621</v>
      </c>
      <c r="BA27" s="5">
        <v>168</v>
      </c>
      <c r="BB27" s="5">
        <v>169</v>
      </c>
      <c r="BC27" s="9"/>
    </row>
    <row r="28" spans="1:55" ht="15.75" customHeight="1" x14ac:dyDescent="0.2">
      <c r="A28" s="4">
        <v>3</v>
      </c>
      <c r="B28" s="5" t="str">
        <f>LOOKUP($D28,Site_Meta!$C$2:$C$43,Site_Meta!A$2:A$43)</f>
        <v>Cayo Caribes 10m</v>
      </c>
      <c r="C28" s="5" t="str">
        <f>LOOKUP($D28,Site_Meta!$C$2:$C$43,Site_Meta!B$2:B$43)</f>
        <v>Salinas</v>
      </c>
      <c r="D28" s="5" t="s">
        <v>99</v>
      </c>
      <c r="E28" s="5" t="str">
        <f>LOOKUP($D28,Site_Meta!$C$2:$C$43,Site_Meta!D$2:D$43)</f>
        <v>Southeast</v>
      </c>
      <c r="F28" s="5" t="str">
        <f>LOOKUP($D28,Site_Meta!$C$2:$C$43,Site_Meta!E$2:E$43)</f>
        <v>S</v>
      </c>
      <c r="G28" s="5">
        <f>LOOKUP($D28,Site_Meta!$C$2:$C$43,Site_Meta!F$2:F$43)</f>
        <v>17.915330000000001</v>
      </c>
      <c r="H28" s="5">
        <f>LOOKUP($D28,Site_Meta!$C$2:$C$43,Site_Meta!G$2:G$43)</f>
        <v>-66.214100000000002</v>
      </c>
      <c r="I28" s="5">
        <f>LOOKUP($D28,Site_Meta!$C$2:$C$43,Site_Meta!H$2:H$43)</f>
        <v>10</v>
      </c>
      <c r="J28" s="6">
        <v>2</v>
      </c>
      <c r="K28" s="6">
        <v>2</v>
      </c>
      <c r="L28" s="6">
        <v>24</v>
      </c>
      <c r="M28" s="7" t="str">
        <f t="shared" si="0"/>
        <v>2/2/24</v>
      </c>
      <c r="N28" s="6" t="s">
        <v>71</v>
      </c>
      <c r="O28" s="6" t="s">
        <v>57</v>
      </c>
      <c r="P28" s="6" t="s">
        <v>58</v>
      </c>
      <c r="Q28" s="6"/>
      <c r="R28" s="8">
        <v>0.37013888888888891</v>
      </c>
      <c r="S28" s="8">
        <v>0.39027777777777778</v>
      </c>
      <c r="T28" s="6">
        <v>27.18</v>
      </c>
      <c r="U28" s="6">
        <v>0.49</v>
      </c>
      <c r="V28" s="6">
        <v>36.67</v>
      </c>
      <c r="W28" s="6">
        <v>0.5</v>
      </c>
      <c r="X28" s="6">
        <v>6.68</v>
      </c>
      <c r="Y28" s="6">
        <v>0.5</v>
      </c>
      <c r="Z28" s="6">
        <v>8.2100000000000009</v>
      </c>
      <c r="AA28" s="6">
        <v>0.49</v>
      </c>
      <c r="AB28" s="6">
        <v>27.18</v>
      </c>
      <c r="AC28" s="6">
        <v>10.029999999999999</v>
      </c>
      <c r="AD28" s="6">
        <v>36.54</v>
      </c>
      <c r="AE28" s="6">
        <v>10.02</v>
      </c>
      <c r="AF28" s="6">
        <v>6.44</v>
      </c>
      <c r="AG28" s="6">
        <v>9.9700000000000006</v>
      </c>
      <c r="AH28" s="6">
        <v>8.2100000000000009</v>
      </c>
      <c r="AI28" s="6">
        <v>10.06</v>
      </c>
      <c r="AJ28" s="6" t="s">
        <v>100</v>
      </c>
      <c r="AK28" s="6" t="s">
        <v>100</v>
      </c>
      <c r="AL28" s="6" t="s">
        <v>100</v>
      </c>
      <c r="AM28" s="6" t="s">
        <v>100</v>
      </c>
      <c r="AN28" s="6">
        <v>0.5</v>
      </c>
      <c r="AO28" s="6">
        <v>9</v>
      </c>
      <c r="AP28" s="6">
        <v>378</v>
      </c>
      <c r="AQ28" s="6">
        <v>379</v>
      </c>
      <c r="AR28" s="6">
        <v>380</v>
      </c>
      <c r="AS28" s="6">
        <v>381</v>
      </c>
      <c r="AT28" s="6">
        <v>382</v>
      </c>
      <c r="AU28" s="6">
        <v>383</v>
      </c>
      <c r="AV28" s="6">
        <v>384</v>
      </c>
      <c r="AW28" s="6">
        <v>385</v>
      </c>
      <c r="AX28" s="6">
        <v>386</v>
      </c>
      <c r="AY28" s="6">
        <v>387</v>
      </c>
      <c r="AZ28" s="6">
        <v>3751</v>
      </c>
      <c r="BA28" s="10">
        <v>389</v>
      </c>
      <c r="BB28" s="10">
        <v>390</v>
      </c>
      <c r="BC28" s="9"/>
    </row>
    <row r="29" spans="1:55" ht="15.75" customHeight="1" x14ac:dyDescent="0.2">
      <c r="A29" s="4">
        <v>3</v>
      </c>
      <c r="B29" s="5" t="str">
        <f>LOOKUP($D29,Site_Meta!$C$2:$C$43,Site_Meta!A$2:A$43)</f>
        <v>Cayo Ratones 5m</v>
      </c>
      <c r="C29" s="5" t="str">
        <f>LOOKUP($D29,Site_Meta!$C$2:$C$43,Site_Meta!B$2:B$43)</f>
        <v>Salinas</v>
      </c>
      <c r="D29" s="5" t="s">
        <v>101</v>
      </c>
      <c r="E29" s="5" t="str">
        <f>LOOKUP($D29,Site_Meta!$C$2:$C$43,Site_Meta!D$2:D$43)</f>
        <v>Southeast</v>
      </c>
      <c r="F29" s="5" t="str">
        <f>LOOKUP($D29,Site_Meta!$C$2:$C$43,Site_Meta!E$2:E$43)</f>
        <v>S</v>
      </c>
      <c r="G29" s="5">
        <f>LOOKUP($D29,Site_Meta!$C$2:$C$43,Site_Meta!F$2:F$43)</f>
        <v>17.9346</v>
      </c>
      <c r="H29" s="5">
        <f>LOOKUP($D29,Site_Meta!$C$2:$C$43,Site_Meta!G$2:G$43)</f>
        <v>-66.302499999999995</v>
      </c>
      <c r="I29" s="5">
        <f>LOOKUP($D29,Site_Meta!$C$2:$C$43,Site_Meta!H$2:H$43)</f>
        <v>5</v>
      </c>
      <c r="J29" s="6">
        <v>2</v>
      </c>
      <c r="K29" s="6">
        <v>2</v>
      </c>
      <c r="L29" s="6">
        <v>24</v>
      </c>
      <c r="M29" s="7" t="str">
        <f t="shared" si="0"/>
        <v>2/2/24</v>
      </c>
      <c r="N29" s="6" t="s">
        <v>71</v>
      </c>
      <c r="O29" s="6" t="s">
        <v>57</v>
      </c>
      <c r="P29" s="6" t="s">
        <v>58</v>
      </c>
      <c r="Q29" s="6"/>
      <c r="R29" s="8">
        <v>0.40208333333333335</v>
      </c>
      <c r="S29" s="8">
        <v>0.41597222222222224</v>
      </c>
      <c r="T29" s="6">
        <v>27.29</v>
      </c>
      <c r="U29" s="6">
        <v>0.46</v>
      </c>
      <c r="V29" s="6">
        <v>36.590000000000003</v>
      </c>
      <c r="W29" s="6">
        <v>0.51</v>
      </c>
      <c r="X29" s="6">
        <v>6.71</v>
      </c>
      <c r="Y29" s="6">
        <v>0.49</v>
      </c>
      <c r="Z29" s="6">
        <v>8.2100000000000009</v>
      </c>
      <c r="AA29" s="6">
        <v>0.5</v>
      </c>
      <c r="AB29" s="6">
        <v>27.3</v>
      </c>
      <c r="AC29" s="6">
        <v>3.53</v>
      </c>
      <c r="AD29" s="6">
        <v>36.4</v>
      </c>
      <c r="AE29" s="6">
        <v>3.54</v>
      </c>
      <c r="AF29" s="6">
        <v>6.76</v>
      </c>
      <c r="AG29" s="6">
        <v>3.55</v>
      </c>
      <c r="AH29" s="6">
        <v>8.2100000000000009</v>
      </c>
      <c r="AI29" s="6">
        <v>3.51</v>
      </c>
      <c r="AJ29" s="6" t="s">
        <v>102</v>
      </c>
      <c r="AK29" s="6" t="s">
        <v>102</v>
      </c>
      <c r="AL29" s="6" t="s">
        <v>102</v>
      </c>
      <c r="AM29" s="6" t="s">
        <v>102</v>
      </c>
      <c r="AN29" s="6">
        <v>0.5</v>
      </c>
      <c r="AO29" s="6">
        <v>3.5</v>
      </c>
      <c r="AP29" s="6">
        <v>391</v>
      </c>
      <c r="AQ29" s="6">
        <v>392</v>
      </c>
      <c r="AR29" s="6">
        <v>393</v>
      </c>
      <c r="AS29" s="6">
        <v>394</v>
      </c>
      <c r="AT29" s="6">
        <v>395</v>
      </c>
      <c r="AU29" s="6">
        <v>396</v>
      </c>
      <c r="AV29" s="6">
        <v>397</v>
      </c>
      <c r="AW29" s="6">
        <v>398</v>
      </c>
      <c r="AX29" s="6">
        <v>399</v>
      </c>
      <c r="AY29" s="6">
        <v>400</v>
      </c>
      <c r="AZ29" s="6">
        <v>3881</v>
      </c>
      <c r="BA29" s="10">
        <v>402</v>
      </c>
      <c r="BB29" s="10">
        <v>403</v>
      </c>
      <c r="BC29" s="9"/>
    </row>
    <row r="30" spans="1:55" ht="15.75" customHeight="1" x14ac:dyDescent="0.2">
      <c r="A30" s="4">
        <v>3</v>
      </c>
      <c r="B30" s="5" t="str">
        <f>LOOKUP($D30,Site_Meta!$C$2:$C$43,Site_Meta!A$2:A$43)</f>
        <v>West Reef 10m</v>
      </c>
      <c r="C30" s="5" t="str">
        <f>LOOKUP($D30,Site_Meta!$C$2:$C$43,Site_Meta!B$2:B$43)</f>
        <v>Ponce</v>
      </c>
      <c r="D30" s="5" t="s">
        <v>103</v>
      </c>
      <c r="E30" s="5" t="str">
        <f>LOOKUP($D30,Site_Meta!$C$2:$C$43,Site_Meta!D$2:D$43)</f>
        <v>South</v>
      </c>
      <c r="F30" s="5" t="str">
        <f>LOOKUP($D30,Site_Meta!$C$2:$C$43,Site_Meta!E$2:E$43)</f>
        <v>S</v>
      </c>
      <c r="G30" s="5">
        <f>LOOKUP($D30,Site_Meta!$C$2:$C$43,Site_Meta!F$2:F$43)</f>
        <v>17.895019999999999</v>
      </c>
      <c r="H30" s="5">
        <f>LOOKUP($D30,Site_Meta!$C$2:$C$43,Site_Meta!G$2:G$43)</f>
        <v>-66.528400000000005</v>
      </c>
      <c r="I30" s="5">
        <f>LOOKUP($D30,Site_Meta!$C$2:$C$43,Site_Meta!H$2:H$43)</f>
        <v>10</v>
      </c>
      <c r="J30" s="6">
        <v>2</v>
      </c>
      <c r="K30" s="6">
        <v>2</v>
      </c>
      <c r="L30" s="6">
        <v>24</v>
      </c>
      <c r="M30" s="7" t="str">
        <f t="shared" si="0"/>
        <v>2/2/24</v>
      </c>
      <c r="N30" s="6" t="s">
        <v>71</v>
      </c>
      <c r="O30" s="6" t="s">
        <v>57</v>
      </c>
      <c r="P30" s="6" t="s">
        <v>58</v>
      </c>
      <c r="Q30" s="6"/>
      <c r="R30" s="8">
        <v>0.43888888888888888</v>
      </c>
      <c r="S30" s="8">
        <v>0.45763888888888887</v>
      </c>
      <c r="T30" s="6">
        <v>27.46</v>
      </c>
      <c r="U30" s="6">
        <v>0.48</v>
      </c>
      <c r="V30" s="6">
        <v>36.299999999999997</v>
      </c>
      <c r="W30" s="6">
        <v>0.5</v>
      </c>
      <c r="X30" s="6">
        <v>6.74</v>
      </c>
      <c r="Y30" s="6">
        <v>0.51</v>
      </c>
      <c r="Z30" s="6">
        <v>8.23</v>
      </c>
      <c r="AA30" s="6">
        <v>0.46</v>
      </c>
      <c r="AB30" s="6">
        <v>27.34</v>
      </c>
      <c r="AC30" s="6">
        <v>7.93</v>
      </c>
      <c r="AD30" s="6">
        <v>36.36</v>
      </c>
      <c r="AE30" s="6">
        <v>8.06</v>
      </c>
      <c r="AF30" s="6">
        <v>6.58</v>
      </c>
      <c r="AG30" s="6">
        <v>7.96</v>
      </c>
      <c r="AH30" s="6">
        <v>8.24</v>
      </c>
      <c r="AI30" s="6">
        <v>8.02</v>
      </c>
      <c r="AJ30" s="6" t="s">
        <v>104</v>
      </c>
      <c r="AK30" s="6" t="s">
        <v>104</v>
      </c>
      <c r="AL30" s="6" t="s">
        <v>104</v>
      </c>
      <c r="AM30" s="6" t="s">
        <v>104</v>
      </c>
      <c r="AN30" s="6">
        <v>0.5</v>
      </c>
      <c r="AO30" s="6">
        <v>8</v>
      </c>
      <c r="AP30" s="6">
        <v>417</v>
      </c>
      <c r="AQ30" s="6">
        <v>418</v>
      </c>
      <c r="AR30" s="6">
        <v>419</v>
      </c>
      <c r="AS30" s="6">
        <v>420</v>
      </c>
      <c r="AT30" s="6">
        <v>421</v>
      </c>
      <c r="AU30" s="6">
        <v>422</v>
      </c>
      <c r="AV30" s="6">
        <v>423</v>
      </c>
      <c r="AW30" s="6">
        <v>424</v>
      </c>
      <c r="AX30" s="6">
        <v>425</v>
      </c>
      <c r="AY30" s="6">
        <v>426</v>
      </c>
      <c r="AZ30" s="6">
        <v>401</v>
      </c>
      <c r="BA30" s="10">
        <v>428</v>
      </c>
      <c r="BB30" s="10">
        <v>429</v>
      </c>
      <c r="BC30" s="9"/>
    </row>
    <row r="31" spans="1:55" ht="15.75" customHeight="1" x14ac:dyDescent="0.2">
      <c r="A31" s="4">
        <v>3</v>
      </c>
      <c r="B31" s="5" t="str">
        <f>LOOKUP($D31,Site_Meta!$C$2:$C$43,Site_Meta!A$2:A$43)</f>
        <v>Derrumbadero 20m</v>
      </c>
      <c r="C31" s="5" t="str">
        <f>LOOKUP($D31,Site_Meta!$C$2:$C$43,Site_Meta!B$2:B$43)</f>
        <v>Ponce</v>
      </c>
      <c r="D31" s="5" t="s">
        <v>105</v>
      </c>
      <c r="E31" s="5" t="str">
        <f>LOOKUP($D31,Site_Meta!$C$2:$C$43,Site_Meta!D$2:D$43)</f>
        <v>South</v>
      </c>
      <c r="F31" s="5" t="str">
        <f>LOOKUP($D31,Site_Meta!$C$2:$C$43,Site_Meta!E$2:E$43)</f>
        <v>S</v>
      </c>
      <c r="G31" s="5">
        <f>LOOKUP($D31,Site_Meta!$C$2:$C$43,Site_Meta!F$2:F$43)</f>
        <v>17.904</v>
      </c>
      <c r="H31" s="5">
        <f>LOOKUP($D31,Site_Meta!$C$2:$C$43,Site_Meta!G$2:G$43)</f>
        <v>-66.608599999999996</v>
      </c>
      <c r="I31" s="5">
        <f>LOOKUP($D31,Site_Meta!$C$2:$C$43,Site_Meta!H$2:H$43)</f>
        <v>20</v>
      </c>
      <c r="J31" s="6">
        <v>2</v>
      </c>
      <c r="K31" s="6">
        <v>2</v>
      </c>
      <c r="L31" s="6">
        <v>24</v>
      </c>
      <c r="M31" s="7" t="str">
        <f t="shared" si="0"/>
        <v>2/2/24</v>
      </c>
      <c r="N31" s="6" t="s">
        <v>71</v>
      </c>
      <c r="O31" s="6" t="s">
        <v>57</v>
      </c>
      <c r="P31" s="6" t="s">
        <v>58</v>
      </c>
      <c r="Q31" s="6"/>
      <c r="R31" s="8">
        <v>0.46944444444444444</v>
      </c>
      <c r="S31" s="8">
        <v>0.48958333333333331</v>
      </c>
      <c r="T31" s="6">
        <v>27.5</v>
      </c>
      <c r="U31" s="6">
        <v>0.5</v>
      </c>
      <c r="V31" s="6">
        <v>36.44</v>
      </c>
      <c r="W31" s="6">
        <v>0.46</v>
      </c>
      <c r="X31" s="6">
        <v>6.52</v>
      </c>
      <c r="Y31" s="6">
        <v>0.48</v>
      </c>
      <c r="Z31" s="6">
        <v>8.24</v>
      </c>
      <c r="AA31" s="6">
        <v>0.5</v>
      </c>
      <c r="AB31" s="6">
        <v>27.31</v>
      </c>
      <c r="AC31" s="6">
        <v>18.07</v>
      </c>
      <c r="AD31" s="6">
        <v>36.5</v>
      </c>
      <c r="AE31" s="6">
        <v>18.170000000000002</v>
      </c>
      <c r="AF31" s="6">
        <v>6.54</v>
      </c>
      <c r="AG31" s="6">
        <v>18.23</v>
      </c>
      <c r="AH31" s="6">
        <v>8.25</v>
      </c>
      <c r="AI31" s="6">
        <v>18.239999999999998</v>
      </c>
      <c r="AJ31" s="6" t="s">
        <v>78</v>
      </c>
      <c r="AK31" s="6" t="s">
        <v>78</v>
      </c>
      <c r="AL31" s="6" t="s">
        <v>78</v>
      </c>
      <c r="AM31" s="6" t="s">
        <v>78</v>
      </c>
      <c r="AN31" s="6">
        <v>0.5</v>
      </c>
      <c r="AO31" s="6">
        <v>18</v>
      </c>
      <c r="AP31" s="6">
        <v>365</v>
      </c>
      <c r="AQ31" s="6">
        <v>366</v>
      </c>
      <c r="AR31" s="6">
        <v>367</v>
      </c>
      <c r="AS31" s="6">
        <v>368</v>
      </c>
      <c r="AT31" s="6">
        <v>369</v>
      </c>
      <c r="AU31" s="6">
        <v>370</v>
      </c>
      <c r="AV31" s="6">
        <v>371</v>
      </c>
      <c r="AW31" s="6">
        <v>372</v>
      </c>
      <c r="AX31" s="6">
        <v>373</v>
      </c>
      <c r="AY31" s="6">
        <v>374</v>
      </c>
      <c r="AZ31" s="6">
        <v>414</v>
      </c>
      <c r="BA31" s="10">
        <v>376</v>
      </c>
      <c r="BB31" s="10">
        <v>377</v>
      </c>
      <c r="BC31" s="9"/>
    </row>
    <row r="32" spans="1:55" ht="15.75" customHeight="1" x14ac:dyDescent="0.2">
      <c r="A32" s="4">
        <v>3</v>
      </c>
      <c r="B32" s="6" t="str">
        <f>LOOKUP($D32,Site_Meta!$C$2:$C$43,Site_Meta!A$2:A$43)</f>
        <v>Gallardo 5m</v>
      </c>
      <c r="C32" s="6" t="str">
        <f>LOOKUP($D32,Site_Meta!$C$2:$C$43,Site_Meta!B$2:B$43)</f>
        <v>Cabo Rojo</v>
      </c>
      <c r="D32" s="6" t="s">
        <v>106</v>
      </c>
      <c r="E32" s="6" t="str">
        <f>LOOKUP($D32,Site_Meta!$C$2:$C$43,Site_Meta!D$2:D$43)</f>
        <v>West</v>
      </c>
      <c r="F32" s="6" t="str">
        <f>LOOKUP($D32,Site_Meta!$C$2:$C$43,Site_Meta!E$2:E$43)</f>
        <v>W</v>
      </c>
      <c r="G32" s="6">
        <f>LOOKUP($D32,Site_Meta!$C$2:$C$43,Site_Meta!F$2:F$43)</f>
        <v>18.0017</v>
      </c>
      <c r="H32" s="6">
        <f>LOOKUP($D32,Site_Meta!$C$2:$C$43,Site_Meta!G$2:G$43)</f>
        <v>-67.329899999999995</v>
      </c>
      <c r="I32" s="6">
        <f>LOOKUP($D32,Site_Meta!$C$2:$C$43,Site_Meta!H$2:H$43)</f>
        <v>5</v>
      </c>
      <c r="J32" s="6">
        <v>2</v>
      </c>
      <c r="K32" s="6">
        <v>14</v>
      </c>
      <c r="L32" s="6">
        <v>24</v>
      </c>
      <c r="M32" s="7" t="str">
        <f t="shared" si="0"/>
        <v>2/14/24</v>
      </c>
      <c r="N32" s="6" t="s">
        <v>56</v>
      </c>
      <c r="O32" s="6" t="s">
        <v>57</v>
      </c>
      <c r="P32" s="6" t="s">
        <v>58</v>
      </c>
      <c r="Q32" s="6"/>
      <c r="R32" s="8">
        <v>0.3298611111111111</v>
      </c>
      <c r="S32" s="8">
        <v>0.35138888888888886</v>
      </c>
      <c r="T32" s="6">
        <v>27.04</v>
      </c>
      <c r="U32" s="6">
        <v>0.44</v>
      </c>
      <c r="V32" s="6">
        <v>36.619999999999997</v>
      </c>
      <c r="W32" s="6">
        <v>0.42</v>
      </c>
      <c r="X32" s="6">
        <v>6.26</v>
      </c>
      <c r="Y32" s="6">
        <v>0.45</v>
      </c>
      <c r="Z32" s="6">
        <v>8.18</v>
      </c>
      <c r="AA32" s="6">
        <v>0.51</v>
      </c>
      <c r="AB32" s="6">
        <v>27.04</v>
      </c>
      <c r="AC32" s="6">
        <v>6.02</v>
      </c>
      <c r="AD32" s="6">
        <v>36.630000000000003</v>
      </c>
      <c r="AE32" s="6">
        <v>6.11</v>
      </c>
      <c r="AF32" s="6">
        <v>6.13</v>
      </c>
      <c r="AG32" s="6">
        <v>6.12</v>
      </c>
      <c r="AH32" s="6">
        <v>8.18</v>
      </c>
      <c r="AI32" s="6">
        <v>6.21</v>
      </c>
      <c r="AJ32" s="6" t="s">
        <v>83</v>
      </c>
      <c r="AK32" s="6" t="s">
        <v>83</v>
      </c>
      <c r="AL32" s="6" t="s">
        <v>83</v>
      </c>
      <c r="AM32" s="6" t="s">
        <v>83</v>
      </c>
      <c r="AN32" s="6">
        <v>0.5</v>
      </c>
      <c r="AO32" s="6">
        <v>6</v>
      </c>
      <c r="AP32" s="6">
        <v>339</v>
      </c>
      <c r="AQ32" s="6">
        <v>340</v>
      </c>
      <c r="AR32" s="6">
        <v>341</v>
      </c>
      <c r="AS32" s="6">
        <v>342</v>
      </c>
      <c r="AT32" s="6">
        <v>343</v>
      </c>
      <c r="AU32" s="6">
        <v>344</v>
      </c>
      <c r="AV32" s="6">
        <v>345</v>
      </c>
      <c r="AW32" s="6">
        <v>346</v>
      </c>
      <c r="AX32" s="6">
        <v>347</v>
      </c>
      <c r="AY32" s="6">
        <v>348</v>
      </c>
      <c r="AZ32" s="6">
        <v>427</v>
      </c>
      <c r="BA32" s="6">
        <v>350</v>
      </c>
      <c r="BB32" s="6">
        <v>351</v>
      </c>
      <c r="BC32" s="9"/>
    </row>
    <row r="33" spans="1:55" ht="15" customHeight="1" x14ac:dyDescent="0.2">
      <c r="A33" s="4">
        <v>3</v>
      </c>
      <c r="B33" s="6" t="str">
        <f>LOOKUP($D33,Site_Meta!$C$2:$C$43,Site_Meta!A$2:A$43)</f>
        <v>Gallardo 5m</v>
      </c>
      <c r="C33" s="6" t="str">
        <f>LOOKUP($D33,Site_Meta!$C$2:$C$43,Site_Meta!B$2:B$43)</f>
        <v>Cabo Rojo</v>
      </c>
      <c r="D33" s="6" t="s">
        <v>107</v>
      </c>
      <c r="E33" s="6" t="str">
        <f>LOOKUP($D33,Site_Meta!$C$2:$C$43,Site_Meta!D$2:D$43)</f>
        <v>West</v>
      </c>
      <c r="F33" s="6" t="str">
        <f>LOOKUP($D33,Site_Meta!$C$2:$C$43,Site_Meta!E$2:E$43)</f>
        <v>W</v>
      </c>
      <c r="G33" s="6">
        <f>LOOKUP($D33,Site_Meta!$C$2:$C$43,Site_Meta!F$2:F$43)</f>
        <v>18.0017</v>
      </c>
      <c r="H33" s="6">
        <f>LOOKUP($D33,Site_Meta!$C$2:$C$43,Site_Meta!G$2:G$43)</f>
        <v>-67.329899999999995</v>
      </c>
      <c r="I33" s="6">
        <f>LOOKUP($D33,Site_Meta!$C$2:$C$43,Site_Meta!H$2:H$43)</f>
        <v>5</v>
      </c>
      <c r="J33" s="6">
        <v>2</v>
      </c>
      <c r="K33" s="6">
        <v>14</v>
      </c>
      <c r="L33" s="6">
        <v>24</v>
      </c>
      <c r="M33" s="7" t="str">
        <f t="shared" si="0"/>
        <v>2/14/24</v>
      </c>
      <c r="N33" s="6" t="s">
        <v>56</v>
      </c>
      <c r="O33" s="6" t="s">
        <v>57</v>
      </c>
      <c r="P33" s="6" t="s">
        <v>58</v>
      </c>
      <c r="Q33" s="6"/>
      <c r="R33" s="8">
        <v>0.35138888888888886</v>
      </c>
      <c r="S33" s="8">
        <v>0.36388888888888887</v>
      </c>
      <c r="T33" s="6">
        <v>27.04</v>
      </c>
      <c r="U33" s="6">
        <v>0.53</v>
      </c>
      <c r="V33" s="6">
        <v>36.54</v>
      </c>
      <c r="W33" s="6">
        <v>0.54</v>
      </c>
      <c r="X33" s="6">
        <v>6.57</v>
      </c>
      <c r="Y33" s="6">
        <v>0.73</v>
      </c>
      <c r="Z33" s="6">
        <v>8.1999999999999993</v>
      </c>
      <c r="AA33" s="6">
        <v>0.55000000000000004</v>
      </c>
      <c r="AB33" s="6">
        <v>27.05</v>
      </c>
      <c r="AC33" s="6">
        <v>6</v>
      </c>
      <c r="AD33" s="6">
        <v>36.56</v>
      </c>
      <c r="AE33" s="6">
        <v>5.97</v>
      </c>
      <c r="AF33" s="6">
        <v>6.19</v>
      </c>
      <c r="AG33" s="6">
        <v>6.18</v>
      </c>
      <c r="AH33" s="6">
        <v>8.1999999999999993</v>
      </c>
      <c r="AI33" s="6">
        <v>6.23</v>
      </c>
      <c r="AJ33" s="6" t="s">
        <v>94</v>
      </c>
      <c r="AK33" s="6" t="s">
        <v>94</v>
      </c>
      <c r="AL33" s="6" t="s">
        <v>94</v>
      </c>
      <c r="AM33" s="6" t="s">
        <v>94</v>
      </c>
      <c r="AN33" s="6">
        <v>0.5</v>
      </c>
      <c r="AO33" s="6">
        <v>6</v>
      </c>
      <c r="AP33" s="6">
        <v>482</v>
      </c>
      <c r="AQ33" s="6">
        <v>483</v>
      </c>
      <c r="AR33" s="6">
        <v>484</v>
      </c>
      <c r="AS33" s="6">
        <v>485</v>
      </c>
      <c r="AT33" s="6">
        <v>486</v>
      </c>
      <c r="AU33" s="6">
        <v>487</v>
      </c>
      <c r="AV33" s="6">
        <v>488</v>
      </c>
      <c r="AW33" s="6">
        <v>489</v>
      </c>
      <c r="AX33" s="6">
        <v>490</v>
      </c>
      <c r="AY33" s="6">
        <v>491</v>
      </c>
      <c r="AZ33" s="6">
        <v>440</v>
      </c>
      <c r="BA33" s="6">
        <v>493</v>
      </c>
      <c r="BB33" s="6">
        <v>494</v>
      </c>
      <c r="BC33" s="9"/>
    </row>
    <row r="34" spans="1:55" ht="15.75" customHeight="1" x14ac:dyDescent="0.2">
      <c r="A34" s="4">
        <v>3</v>
      </c>
      <c r="B34" s="6" t="str">
        <f>LOOKUP($D34,Site_Meta!$C$2:$C$43,Site_Meta!A$2:A$43)</f>
        <v>Cayo Rodriguez 5m</v>
      </c>
      <c r="C34" s="6" t="str">
        <f>LOOKUP($D34,Site_Meta!$C$2:$C$43,Site_Meta!B$2:B$43)</f>
        <v>Mayaguez</v>
      </c>
      <c r="D34" s="6" t="s">
        <v>108</v>
      </c>
      <c r="E34" s="6" t="str">
        <f>LOOKUP($D34,Site_Meta!$C$2:$C$43,Site_Meta!D$2:D$43)</f>
        <v>West</v>
      </c>
      <c r="F34" s="6" t="str">
        <f>LOOKUP($D34,Site_Meta!$C$2:$C$43,Site_Meta!E$2:E$43)</f>
        <v>W</v>
      </c>
      <c r="G34" s="6">
        <f>LOOKUP($D34,Site_Meta!$C$2:$C$43,Site_Meta!F$2:F$43)</f>
        <v>18.189299999999999</v>
      </c>
      <c r="H34" s="6">
        <f>LOOKUP($D34,Site_Meta!$C$2:$C$43,Site_Meta!G$2:G$43)</f>
        <v>-67.191900000000004</v>
      </c>
      <c r="I34" s="6">
        <f>LOOKUP($D34,Site_Meta!$C$2:$C$43,Site_Meta!H$2:H$43)</f>
        <v>5</v>
      </c>
      <c r="J34" s="6">
        <v>2</v>
      </c>
      <c r="K34" s="6">
        <v>14</v>
      </c>
      <c r="L34" s="6">
        <v>24</v>
      </c>
      <c r="M34" s="7" t="str">
        <f t="shared" si="0"/>
        <v>2/14/24</v>
      </c>
      <c r="N34" s="6" t="s">
        <v>56</v>
      </c>
      <c r="O34" s="6" t="s">
        <v>57</v>
      </c>
      <c r="P34" s="6" t="s">
        <v>58</v>
      </c>
      <c r="Q34" s="6"/>
      <c r="R34" s="8">
        <v>0.40625</v>
      </c>
      <c r="S34" s="8">
        <v>0.4201388888888889</v>
      </c>
      <c r="T34" s="6">
        <v>26.76</v>
      </c>
      <c r="U34" s="6">
        <v>0.48</v>
      </c>
      <c r="V34" s="6">
        <v>36.619999999999997</v>
      </c>
      <c r="W34" s="6">
        <v>0.52</v>
      </c>
      <c r="X34" s="6">
        <v>6.68</v>
      </c>
      <c r="Y34" s="6">
        <v>0.49</v>
      </c>
      <c r="Z34" s="6">
        <v>8.18</v>
      </c>
      <c r="AA34" s="6">
        <v>0.48</v>
      </c>
      <c r="AB34" s="6">
        <v>26.72</v>
      </c>
      <c r="AC34" s="6">
        <v>4.05</v>
      </c>
      <c r="AD34" s="6">
        <v>36.729999999999997</v>
      </c>
      <c r="AE34" s="6">
        <v>3.99</v>
      </c>
      <c r="AF34" s="6">
        <v>6.55</v>
      </c>
      <c r="AG34" s="6">
        <v>4.08</v>
      </c>
      <c r="AH34" s="6">
        <v>8.18</v>
      </c>
      <c r="AI34" s="6">
        <v>4.01</v>
      </c>
      <c r="AJ34" s="6" t="s">
        <v>109</v>
      </c>
      <c r="AK34" s="6" t="s">
        <v>109</v>
      </c>
      <c r="AL34" s="6" t="s">
        <v>109</v>
      </c>
      <c r="AM34" s="6" t="s">
        <v>109</v>
      </c>
      <c r="AN34" s="6">
        <v>0.5</v>
      </c>
      <c r="AO34" s="6">
        <v>4</v>
      </c>
      <c r="AP34" s="6">
        <v>430</v>
      </c>
      <c r="AQ34" s="6">
        <v>431</v>
      </c>
      <c r="AR34" s="6">
        <v>432</v>
      </c>
      <c r="AS34" s="6">
        <v>433</v>
      </c>
      <c r="AT34" s="6">
        <v>434</v>
      </c>
      <c r="AU34" s="6">
        <v>435</v>
      </c>
      <c r="AV34" s="6">
        <v>436</v>
      </c>
      <c r="AW34" s="6">
        <v>437</v>
      </c>
      <c r="AX34" s="6">
        <v>438</v>
      </c>
      <c r="AY34" s="6">
        <v>439</v>
      </c>
      <c r="AZ34" s="6">
        <v>453</v>
      </c>
      <c r="BA34" s="6">
        <v>441</v>
      </c>
      <c r="BB34" s="6">
        <v>442</v>
      </c>
      <c r="BC34" s="9"/>
    </row>
    <row r="35" spans="1:55" ht="15.75" customHeight="1" x14ac:dyDescent="0.2">
      <c r="A35" s="4">
        <v>3</v>
      </c>
      <c r="B35" s="6" t="str">
        <f>LOOKUP($D35,Site_Meta!$C$2:$C$43,Site_Meta!A$2:A$43)</f>
        <v>Resuellos 10m</v>
      </c>
      <c r="C35" s="6" t="str">
        <f>LOOKUP($D35,Site_Meta!$C$2:$C$43,Site_Meta!B$2:B$43)</f>
        <v>Cabo Rojo</v>
      </c>
      <c r="D35" s="6" t="s">
        <v>110</v>
      </c>
      <c r="E35" s="6" t="str">
        <f>LOOKUP($D35,Site_Meta!$C$2:$C$43,Site_Meta!D$2:D$43)</f>
        <v>West</v>
      </c>
      <c r="F35" s="6" t="str">
        <f>LOOKUP($D35,Site_Meta!$C$2:$C$43,Site_Meta!E$2:E$43)</f>
        <v>W</v>
      </c>
      <c r="G35" s="6">
        <f>LOOKUP($D35,Site_Meta!$C$2:$C$43,Site_Meta!F$2:F$43)</f>
        <v>17.991160000000001</v>
      </c>
      <c r="H35" s="6">
        <f>LOOKUP($D35,Site_Meta!$C$2:$C$43,Site_Meta!G$2:G$43)</f>
        <v>-67.233199999999997</v>
      </c>
      <c r="I35" s="6">
        <f>LOOKUP($D35,Site_Meta!$C$2:$C$43,Site_Meta!H$2:H$43)</f>
        <v>10</v>
      </c>
      <c r="J35" s="6">
        <v>2</v>
      </c>
      <c r="K35" s="6">
        <v>14</v>
      </c>
      <c r="L35" s="6">
        <v>24</v>
      </c>
      <c r="M35" s="7" t="str">
        <f t="shared" si="0"/>
        <v>2/14/24</v>
      </c>
      <c r="N35" s="6" t="s">
        <v>56</v>
      </c>
      <c r="O35" s="6" t="s">
        <v>57</v>
      </c>
      <c r="P35" s="6" t="s">
        <v>58</v>
      </c>
      <c r="Q35" s="6"/>
      <c r="R35" s="8">
        <v>0.4548611111111111</v>
      </c>
      <c r="S35" s="8">
        <v>0.47361111111111109</v>
      </c>
      <c r="T35" s="6">
        <v>27.13</v>
      </c>
      <c r="U35" s="6">
        <v>0.6</v>
      </c>
      <c r="V35" s="6">
        <v>36.450000000000003</v>
      </c>
      <c r="W35" s="6">
        <v>0.61</v>
      </c>
      <c r="X35" s="6">
        <v>6.59</v>
      </c>
      <c r="Y35" s="6">
        <v>0.55000000000000004</v>
      </c>
      <c r="Z35" s="6">
        <v>8.19</v>
      </c>
      <c r="AA35" s="6">
        <v>0.56999999999999995</v>
      </c>
      <c r="AB35" s="6">
        <v>27.09</v>
      </c>
      <c r="AC35" s="6">
        <v>6.56</v>
      </c>
      <c r="AD35" s="6">
        <v>36.58</v>
      </c>
      <c r="AE35" s="6">
        <v>6.48</v>
      </c>
      <c r="AF35" s="6">
        <v>6.8</v>
      </c>
      <c r="AG35" s="6">
        <v>6.58</v>
      </c>
      <c r="AH35" s="6">
        <v>8.1999999999999993</v>
      </c>
      <c r="AI35" s="6">
        <v>6.54</v>
      </c>
      <c r="AJ35" s="6" t="s">
        <v>111</v>
      </c>
      <c r="AK35" s="6" t="s">
        <v>111</v>
      </c>
      <c r="AL35" s="6" t="s">
        <v>111</v>
      </c>
      <c r="AM35" s="6" t="s">
        <v>111</v>
      </c>
      <c r="AN35" s="6">
        <v>0.5</v>
      </c>
      <c r="AO35" s="6">
        <v>6.5</v>
      </c>
      <c r="AP35" s="6">
        <v>170</v>
      </c>
      <c r="AQ35" s="6">
        <v>171</v>
      </c>
      <c r="AR35" s="6">
        <v>172</v>
      </c>
      <c r="AS35" s="6">
        <v>173</v>
      </c>
      <c r="AT35" s="6">
        <v>174</v>
      </c>
      <c r="AU35" s="6">
        <v>175</v>
      </c>
      <c r="AV35" s="6">
        <v>176</v>
      </c>
      <c r="AW35" s="6">
        <v>177</v>
      </c>
      <c r="AX35" s="6">
        <v>178</v>
      </c>
      <c r="AY35" s="6">
        <v>179</v>
      </c>
      <c r="AZ35" s="6">
        <v>466</v>
      </c>
      <c r="BA35" s="10">
        <v>181</v>
      </c>
      <c r="BB35" s="10">
        <v>182</v>
      </c>
      <c r="BC35" s="9"/>
    </row>
    <row r="36" spans="1:55" ht="15.75" customHeight="1" x14ac:dyDescent="0.2">
      <c r="A36" s="4">
        <v>3</v>
      </c>
      <c r="B36" s="6" t="str">
        <f>LOOKUP($D36,Site_Meta!$C$2:$C$43,Site_Meta!A$2:A$43)</f>
        <v>Cibuco 05m</v>
      </c>
      <c r="C36" s="6" t="str">
        <f>LOOKUP($D36,Site_Meta!$C$2:$C$43,Site_Meta!B$2:B$43)</f>
        <v>Vega Baja</v>
      </c>
      <c r="D36" s="6" t="s">
        <v>112</v>
      </c>
      <c r="E36" s="6" t="str">
        <f>LOOKUP($D36,Site_Meta!$C$2:$C$43,Site_Meta!D$2:D$43)</f>
        <v>North/Northeast</v>
      </c>
      <c r="F36" s="6" t="str">
        <f>LOOKUP($D36,Site_Meta!$C$2:$C$43,Site_Meta!E$2:E$43)</f>
        <v>N</v>
      </c>
      <c r="G36" s="6">
        <f>LOOKUP($D36,Site_Meta!$C$2:$C$43,Site_Meta!F$2:F$43)</f>
        <v>18.489550000000001</v>
      </c>
      <c r="H36" s="6">
        <f>LOOKUP($D36,Site_Meta!$C$2:$C$43,Site_Meta!G$2:G$43)</f>
        <v>-66.373599999999996</v>
      </c>
      <c r="I36" s="6">
        <f>LOOKUP($D36,Site_Meta!$C$2:$C$43,Site_Meta!H$2:H$43)</f>
        <v>10</v>
      </c>
      <c r="J36" s="6">
        <v>2</v>
      </c>
      <c r="K36" s="6">
        <v>15</v>
      </c>
      <c r="L36" s="6">
        <v>24</v>
      </c>
      <c r="M36" s="7" t="str">
        <f t="shared" si="0"/>
        <v>2/15/24</v>
      </c>
      <c r="N36" s="6" t="s">
        <v>113</v>
      </c>
      <c r="O36" s="6" t="s">
        <v>57</v>
      </c>
      <c r="P36" s="6" t="s">
        <v>72</v>
      </c>
      <c r="Q36" s="6"/>
      <c r="R36" s="8">
        <v>0.29305555555555557</v>
      </c>
      <c r="S36" s="8">
        <v>0.32847222222222222</v>
      </c>
      <c r="T36" s="6">
        <v>27.05</v>
      </c>
      <c r="U36" s="6">
        <v>0.53</v>
      </c>
      <c r="V36" s="6">
        <v>36.71</v>
      </c>
      <c r="W36" s="6">
        <v>0.52</v>
      </c>
      <c r="X36" s="6">
        <v>6.39</v>
      </c>
      <c r="Y36" s="6">
        <v>0.49</v>
      </c>
      <c r="Z36" s="6">
        <v>8.11</v>
      </c>
      <c r="AA36" s="6">
        <v>0.45</v>
      </c>
      <c r="AB36" s="6">
        <v>27.01</v>
      </c>
      <c r="AC36" s="6">
        <v>3</v>
      </c>
      <c r="AD36" s="6">
        <v>36.69</v>
      </c>
      <c r="AE36" s="6">
        <v>2.98</v>
      </c>
      <c r="AF36" s="6">
        <v>5.85</v>
      </c>
      <c r="AG36" s="6">
        <v>2.95</v>
      </c>
      <c r="AH36" s="6">
        <v>8.1199999999999992</v>
      </c>
      <c r="AI36" s="6">
        <v>3</v>
      </c>
      <c r="AJ36" s="6" t="s">
        <v>83</v>
      </c>
      <c r="AK36" s="6" t="s">
        <v>83</v>
      </c>
      <c r="AL36" s="6" t="s">
        <v>83</v>
      </c>
      <c r="AM36" s="6" t="s">
        <v>83</v>
      </c>
      <c r="AN36" s="6">
        <v>0.5</v>
      </c>
      <c r="AO36" s="6">
        <v>3</v>
      </c>
      <c r="AP36" s="6">
        <v>508</v>
      </c>
      <c r="AQ36" s="6">
        <v>509</v>
      </c>
      <c r="AR36" s="6">
        <v>510</v>
      </c>
      <c r="AS36" s="6">
        <v>511</v>
      </c>
      <c r="AT36" s="6">
        <v>512</v>
      </c>
      <c r="AU36" s="6">
        <v>513</v>
      </c>
      <c r="AV36" s="6">
        <v>514</v>
      </c>
      <c r="AW36" s="6">
        <v>515</v>
      </c>
      <c r="AX36" s="6">
        <v>516</v>
      </c>
      <c r="AY36" s="6">
        <v>517</v>
      </c>
      <c r="AZ36" s="6">
        <v>609</v>
      </c>
      <c r="BA36" s="6">
        <v>519</v>
      </c>
      <c r="BB36" s="6">
        <v>520</v>
      </c>
      <c r="BC36" s="9"/>
    </row>
    <row r="37" spans="1:55" ht="15.75" customHeight="1" x14ac:dyDescent="0.2">
      <c r="A37" s="4">
        <v>3</v>
      </c>
      <c r="B37" s="6" t="str">
        <f>LOOKUP($D37,Site_Meta!$C$2:$C$43,Site_Meta!A$2:A$43)</f>
        <v>Dominos 5m</v>
      </c>
      <c r="C37" s="6" t="str">
        <f>LOOKUP($D37,Site_Meta!$C$2:$C$43,Site_Meta!B$2:B$43)</f>
        <v>San Juan</v>
      </c>
      <c r="D37" s="6" t="s">
        <v>114</v>
      </c>
      <c r="E37" s="6" t="str">
        <f>LOOKUP($D37,Site_Meta!$C$2:$C$43,Site_Meta!D$2:D$43)</f>
        <v>North/Northeast</v>
      </c>
      <c r="F37" s="6" t="str">
        <f>LOOKUP($D37,Site_Meta!$C$2:$C$43,Site_Meta!E$2:E$43)</f>
        <v>N</v>
      </c>
      <c r="G37" s="6">
        <f>LOOKUP($D37,Site_Meta!$C$2:$C$43,Site_Meta!F$2:F$43)</f>
        <v>18.462219999999999</v>
      </c>
      <c r="H37" s="6">
        <f>LOOKUP($D37,Site_Meta!$C$2:$C$43,Site_Meta!G$2:G$43)</f>
        <v>-66.051699999999997</v>
      </c>
      <c r="I37" s="6">
        <f>LOOKUP($D37,Site_Meta!$C$2:$C$43,Site_Meta!H$2:H$43)</f>
        <v>5</v>
      </c>
      <c r="J37" s="6">
        <v>2</v>
      </c>
      <c r="K37" s="6">
        <v>15</v>
      </c>
      <c r="L37" s="6">
        <v>24</v>
      </c>
      <c r="M37" s="7" t="str">
        <f t="shared" si="0"/>
        <v>2/15/24</v>
      </c>
      <c r="N37" s="6" t="s">
        <v>113</v>
      </c>
      <c r="O37" s="6" t="s">
        <v>57</v>
      </c>
      <c r="P37" s="6" t="s">
        <v>72</v>
      </c>
      <c r="Q37" s="6"/>
      <c r="R37" s="8">
        <v>0.3972222222222222</v>
      </c>
      <c r="S37" s="8">
        <v>0.41111111111111109</v>
      </c>
      <c r="T37" s="6">
        <v>27.21</v>
      </c>
      <c r="U37" s="6">
        <v>0.41</v>
      </c>
      <c r="V37" s="6">
        <v>37.200000000000003</v>
      </c>
      <c r="W37" s="6">
        <v>0.52</v>
      </c>
      <c r="X37" s="6">
        <v>6.54</v>
      </c>
      <c r="Y37" s="6">
        <v>0.56000000000000005</v>
      </c>
      <c r="Z37" s="6">
        <v>8.17</v>
      </c>
      <c r="AA37" s="6">
        <v>0.47</v>
      </c>
      <c r="AB37" s="6">
        <v>27.19</v>
      </c>
      <c r="AC37" s="6">
        <v>2.09</v>
      </c>
      <c r="AD37" s="6">
        <v>37.18</v>
      </c>
      <c r="AE37" s="6">
        <v>1.9</v>
      </c>
      <c r="AF37" s="6">
        <v>6.57</v>
      </c>
      <c r="AG37" s="6">
        <v>2.0099999999999998</v>
      </c>
      <c r="AH37" s="6">
        <v>8.17</v>
      </c>
      <c r="AI37" s="6">
        <v>2</v>
      </c>
      <c r="AJ37" s="6" t="s">
        <v>115</v>
      </c>
      <c r="AK37" s="6" t="s">
        <v>115</v>
      </c>
      <c r="AL37" s="6" t="s">
        <v>115</v>
      </c>
      <c r="AM37" s="6" t="s">
        <v>115</v>
      </c>
      <c r="AN37" s="6">
        <v>0.5</v>
      </c>
      <c r="AO37" s="6">
        <v>2</v>
      </c>
      <c r="AP37" s="6">
        <v>495</v>
      </c>
      <c r="AQ37" s="6">
        <v>496</v>
      </c>
      <c r="AR37" s="6">
        <v>497</v>
      </c>
      <c r="AS37" s="6">
        <v>498</v>
      </c>
      <c r="AT37" s="6">
        <v>499</v>
      </c>
      <c r="AU37" s="6">
        <v>500</v>
      </c>
      <c r="AV37" s="6">
        <v>501</v>
      </c>
      <c r="AW37" s="6">
        <v>502</v>
      </c>
      <c r="AX37" s="6">
        <v>503</v>
      </c>
      <c r="AY37" s="6">
        <v>504</v>
      </c>
      <c r="AZ37" s="6">
        <v>479</v>
      </c>
      <c r="BA37" s="6">
        <v>506</v>
      </c>
      <c r="BB37" s="6">
        <v>507</v>
      </c>
      <c r="BC37" s="9"/>
    </row>
    <row r="38" spans="1:55" ht="15.75" customHeight="1" x14ac:dyDescent="0.2">
      <c r="A38" s="4">
        <v>3</v>
      </c>
      <c r="B38" s="6" t="str">
        <f>LOOKUP($D38,Site_Meta!$C$2:$C$43,Site_Meta!A$2:A$43)</f>
        <v>Dominos 5m</v>
      </c>
      <c r="C38" s="6" t="str">
        <f>LOOKUP($D38,Site_Meta!$C$2:$C$43,Site_Meta!B$2:B$43)</f>
        <v>San Juan</v>
      </c>
      <c r="D38" s="6" t="s">
        <v>116</v>
      </c>
      <c r="E38" s="6" t="str">
        <f>LOOKUP($D38,Site_Meta!$C$2:$C$43,Site_Meta!D$2:D$43)</f>
        <v>North/Northeast</v>
      </c>
      <c r="F38" s="6" t="str">
        <f>LOOKUP($D38,Site_Meta!$C$2:$C$43,Site_Meta!E$2:E$43)</f>
        <v>N</v>
      </c>
      <c r="G38" s="6">
        <f>LOOKUP($D38,Site_Meta!$C$2:$C$43,Site_Meta!F$2:F$43)</f>
        <v>18.462219999999999</v>
      </c>
      <c r="H38" s="6">
        <f>LOOKUP($D38,Site_Meta!$C$2:$C$43,Site_Meta!G$2:G$43)</f>
        <v>-66.051699999999997</v>
      </c>
      <c r="I38" s="6">
        <f>LOOKUP($D38,Site_Meta!$C$2:$C$43,Site_Meta!H$2:H$43)</f>
        <v>5</v>
      </c>
      <c r="J38" s="6">
        <v>2</v>
      </c>
      <c r="K38" s="6">
        <v>15</v>
      </c>
      <c r="L38" s="6">
        <v>24</v>
      </c>
      <c r="M38" s="7" t="str">
        <f t="shared" si="0"/>
        <v>2/15/24</v>
      </c>
      <c r="N38" s="6" t="s">
        <v>113</v>
      </c>
      <c r="O38" s="6" t="s">
        <v>57</v>
      </c>
      <c r="P38" s="6" t="s">
        <v>72</v>
      </c>
      <c r="Q38" s="6"/>
      <c r="R38" s="8">
        <v>0.4152777777777778</v>
      </c>
      <c r="S38" s="8">
        <v>0.42777777777777776</v>
      </c>
      <c r="T38" s="6">
        <v>27.24</v>
      </c>
      <c r="U38" s="6">
        <v>0.48</v>
      </c>
      <c r="V38" s="6">
        <v>37.06</v>
      </c>
      <c r="W38" s="6">
        <v>0.56999999999999995</v>
      </c>
      <c r="X38" s="6">
        <v>6.57</v>
      </c>
      <c r="Y38" s="6">
        <v>0.61</v>
      </c>
      <c r="Z38" s="6">
        <v>8.18</v>
      </c>
      <c r="AA38" s="6">
        <v>0.55000000000000004</v>
      </c>
      <c r="AB38" s="6">
        <v>27.21</v>
      </c>
      <c r="AC38" s="6">
        <v>2.09</v>
      </c>
      <c r="AD38" s="6">
        <v>37.1</v>
      </c>
      <c r="AE38" s="6">
        <v>2.09</v>
      </c>
      <c r="AF38" s="6">
        <v>6.63</v>
      </c>
      <c r="AG38" s="6">
        <v>2.1</v>
      </c>
      <c r="AH38" s="6">
        <v>8.18</v>
      </c>
      <c r="AI38" s="6">
        <v>2.2000000000000002</v>
      </c>
      <c r="AJ38" s="6" t="s">
        <v>115</v>
      </c>
      <c r="AK38" s="6" t="s">
        <v>115</v>
      </c>
      <c r="AL38" s="6" t="s">
        <v>115</v>
      </c>
      <c r="AM38" s="6" t="s">
        <v>115</v>
      </c>
      <c r="AN38" s="6">
        <v>0.5</v>
      </c>
      <c r="AO38" s="6">
        <v>2</v>
      </c>
      <c r="AP38" s="6">
        <v>443</v>
      </c>
      <c r="AQ38" s="6">
        <v>444</v>
      </c>
      <c r="AR38" s="6">
        <v>445</v>
      </c>
      <c r="AS38" s="6">
        <v>446</v>
      </c>
      <c r="AT38" s="6">
        <v>447</v>
      </c>
      <c r="AU38" s="6">
        <v>448</v>
      </c>
      <c r="AV38" s="6">
        <v>449</v>
      </c>
      <c r="AW38" s="6">
        <v>450</v>
      </c>
      <c r="AX38" s="6">
        <v>451</v>
      </c>
      <c r="AY38" s="6">
        <v>452</v>
      </c>
      <c r="AZ38" s="6">
        <v>492</v>
      </c>
      <c r="BA38" s="6">
        <v>454</v>
      </c>
      <c r="BB38" s="6">
        <v>455</v>
      </c>
      <c r="BC38" s="9"/>
    </row>
    <row r="39" spans="1:55" ht="15.75" customHeight="1" x14ac:dyDescent="0.2">
      <c r="A39" s="4">
        <v>3</v>
      </c>
      <c r="B39" s="6" t="str">
        <f>LOOKUP($D39,Site_Meta!$C$2:$C$43,Site_Meta!A$2:A$43)</f>
        <v>Manchas Exteriores 20m</v>
      </c>
      <c r="C39" s="6" t="str">
        <f>LOOKUP($D39,Site_Meta!$C$2:$C$43,Site_Meta!B$2:B$43)</f>
        <v>Mayaguez</v>
      </c>
      <c r="D39" s="6" t="s">
        <v>117</v>
      </c>
      <c r="E39" s="6" t="str">
        <f>LOOKUP($D39,Site_Meta!$C$2:$C$43,Site_Meta!D$2:D$43)</f>
        <v>West</v>
      </c>
      <c r="F39" s="6" t="str">
        <f>LOOKUP($D39,Site_Meta!$C$2:$C$43,Site_Meta!E$2:E$43)</f>
        <v>W</v>
      </c>
      <c r="G39" s="6">
        <f>LOOKUP($D39,Site_Meta!$C$2:$C$43,Site_Meta!F$2:F$43)</f>
        <v>18.233499999999999</v>
      </c>
      <c r="H39" s="6">
        <f>LOOKUP($D39,Site_Meta!$C$2:$C$43,Site_Meta!G$2:G$43)</f>
        <v>-67.200900000000004</v>
      </c>
      <c r="I39" s="6">
        <f>LOOKUP($D39,Site_Meta!$C$2:$C$43,Site_Meta!H$2:H$43)</f>
        <v>20</v>
      </c>
      <c r="J39" s="6">
        <v>2</v>
      </c>
      <c r="K39" s="6">
        <v>16</v>
      </c>
      <c r="L39" s="6">
        <v>24</v>
      </c>
      <c r="M39" s="7" t="str">
        <f t="shared" si="0"/>
        <v>2/16/24</v>
      </c>
      <c r="N39" s="6" t="s">
        <v>56</v>
      </c>
      <c r="O39" s="6" t="s">
        <v>57</v>
      </c>
      <c r="P39" s="6" t="s">
        <v>118</v>
      </c>
      <c r="Q39" s="6"/>
      <c r="R39" s="8">
        <v>0.33055555555555555</v>
      </c>
      <c r="S39" s="8">
        <v>0.35902777777777778</v>
      </c>
      <c r="T39" s="6">
        <v>26.98</v>
      </c>
      <c r="U39" s="6">
        <v>0.48</v>
      </c>
      <c r="V39" s="6">
        <v>36.590000000000003</v>
      </c>
      <c r="W39" s="6">
        <v>0.46</v>
      </c>
      <c r="X39" s="6">
        <v>6.75</v>
      </c>
      <c r="Y39" s="6">
        <v>0.46</v>
      </c>
      <c r="Z39" s="6">
        <v>8.18</v>
      </c>
      <c r="AA39" s="6">
        <v>0.47</v>
      </c>
      <c r="AB39" s="6">
        <v>26.94</v>
      </c>
      <c r="AC39" s="6">
        <v>10.44</v>
      </c>
      <c r="AD39" s="6">
        <v>36.78</v>
      </c>
      <c r="AE39" s="6">
        <v>16.54</v>
      </c>
      <c r="AF39" s="6">
        <v>6.3</v>
      </c>
      <c r="AG39" s="6">
        <v>16.46</v>
      </c>
      <c r="AH39" s="6">
        <v>8.1999999999999993</v>
      </c>
      <c r="AI39" s="6">
        <v>16.399999999999999</v>
      </c>
      <c r="AJ39" s="6">
        <v>13.25</v>
      </c>
      <c r="AK39" s="6">
        <v>13</v>
      </c>
      <c r="AL39" s="6">
        <v>13.5</v>
      </c>
      <c r="AM39" s="6">
        <f>AVERAGE(AJ39:AL39)</f>
        <v>13.25</v>
      </c>
      <c r="AN39" s="6">
        <v>0.5</v>
      </c>
      <c r="AO39" s="6">
        <v>16.5</v>
      </c>
      <c r="AP39" s="6">
        <v>469</v>
      </c>
      <c r="AQ39" s="6">
        <v>470</v>
      </c>
      <c r="AR39" s="6">
        <v>471</v>
      </c>
      <c r="AS39" s="6">
        <v>472</v>
      </c>
      <c r="AT39" s="6">
        <v>473</v>
      </c>
      <c r="AU39" s="6">
        <v>474</v>
      </c>
      <c r="AV39" s="6">
        <v>475</v>
      </c>
      <c r="AW39" s="6">
        <v>476</v>
      </c>
      <c r="AX39" s="6">
        <v>477</v>
      </c>
      <c r="AY39" s="6">
        <v>478</v>
      </c>
      <c r="AZ39" s="6">
        <v>505</v>
      </c>
      <c r="BA39" s="6">
        <v>480</v>
      </c>
      <c r="BB39" s="6">
        <v>481</v>
      </c>
      <c r="BC39" s="9"/>
    </row>
    <row r="40" spans="1:55" ht="15.75" customHeight="1" x14ac:dyDescent="0.2">
      <c r="A40" s="4">
        <v>3</v>
      </c>
      <c r="B40" s="6" t="str">
        <f>LOOKUP($D40,Site_Meta!$C$2:$C$43,Site_Meta!A$2:A$43)</f>
        <v>Manchas Exteriores 10m</v>
      </c>
      <c r="C40" s="6" t="str">
        <f>LOOKUP($D40,Site_Meta!$C$2:$C$43,Site_Meta!B$2:B$43)</f>
        <v>Mayaguez</v>
      </c>
      <c r="D40" s="6" t="s">
        <v>119</v>
      </c>
      <c r="E40" s="6" t="str">
        <f>LOOKUP($D40,Site_Meta!$C$2:$C$43,Site_Meta!D$2:D$43)</f>
        <v>West</v>
      </c>
      <c r="F40" s="6" t="str">
        <f>LOOKUP($D40,Site_Meta!$C$2:$C$43,Site_Meta!E$2:E$43)</f>
        <v>W</v>
      </c>
      <c r="G40" s="6">
        <f>LOOKUP($D40,Site_Meta!$C$2:$C$43,Site_Meta!F$2:F$43)</f>
        <v>18.233529999999998</v>
      </c>
      <c r="H40" s="6">
        <f>LOOKUP($D40,Site_Meta!$C$2:$C$43,Site_Meta!G$2:G$43)</f>
        <v>-67.200599999999994</v>
      </c>
      <c r="I40" s="6">
        <f>LOOKUP($D40,Site_Meta!$C$2:$C$43,Site_Meta!H$2:H$43)</f>
        <v>10</v>
      </c>
      <c r="J40" s="6">
        <v>2</v>
      </c>
      <c r="K40" s="6">
        <v>16</v>
      </c>
      <c r="L40" s="6">
        <v>24</v>
      </c>
      <c r="M40" s="7" t="str">
        <f t="shared" si="0"/>
        <v>2/16/24</v>
      </c>
      <c r="N40" s="6" t="s">
        <v>56</v>
      </c>
      <c r="O40" s="6" t="s">
        <v>57</v>
      </c>
      <c r="P40" s="6" t="s">
        <v>118</v>
      </c>
      <c r="Q40" s="6"/>
      <c r="R40" s="8">
        <v>0.36458333333333331</v>
      </c>
      <c r="S40" s="8">
        <v>0.37847222222222221</v>
      </c>
      <c r="T40" s="6">
        <v>26.98</v>
      </c>
      <c r="U40" s="6">
        <v>0.54</v>
      </c>
      <c r="V40" s="6">
        <v>36.67</v>
      </c>
      <c r="W40" s="6">
        <v>0.56000000000000005</v>
      </c>
      <c r="X40" s="6">
        <v>6.59</v>
      </c>
      <c r="Y40" s="6">
        <v>0.5</v>
      </c>
      <c r="Z40" s="6">
        <v>8.2200000000000006</v>
      </c>
      <c r="AA40" s="6">
        <v>0.55000000000000004</v>
      </c>
      <c r="AB40" s="6">
        <v>26.98</v>
      </c>
      <c r="AC40" s="6">
        <v>7.57</v>
      </c>
      <c r="AD40" s="6">
        <v>36.700000000000003</v>
      </c>
      <c r="AE40" s="6">
        <v>7.58</v>
      </c>
      <c r="AF40" s="6">
        <v>6.38</v>
      </c>
      <c r="AG40" s="6">
        <v>7.57</v>
      </c>
      <c r="AH40" s="6">
        <v>8.2200000000000006</v>
      </c>
      <c r="AI40" s="6">
        <v>7.53</v>
      </c>
      <c r="AJ40" s="6" t="s">
        <v>120</v>
      </c>
      <c r="AK40" s="6" t="s">
        <v>120</v>
      </c>
      <c r="AL40" s="6" t="s">
        <v>120</v>
      </c>
      <c r="AM40" s="6" t="s">
        <v>120</v>
      </c>
      <c r="AN40" s="6">
        <v>0.5</v>
      </c>
      <c r="AO40" s="6">
        <v>7.5</v>
      </c>
      <c r="AP40" s="6">
        <v>547</v>
      </c>
      <c r="AQ40" s="6">
        <v>548</v>
      </c>
      <c r="AR40" s="6">
        <v>549</v>
      </c>
      <c r="AS40" s="6">
        <v>550</v>
      </c>
      <c r="AT40" s="6">
        <v>551</v>
      </c>
      <c r="AU40" s="6">
        <v>552</v>
      </c>
      <c r="AV40" s="6">
        <v>553</v>
      </c>
      <c r="AW40" s="6">
        <v>554</v>
      </c>
      <c r="AX40" s="6">
        <v>555</v>
      </c>
      <c r="AY40" s="6">
        <v>556</v>
      </c>
      <c r="AZ40" s="6">
        <v>518</v>
      </c>
      <c r="BA40" s="10">
        <v>558</v>
      </c>
      <c r="BB40" s="10">
        <v>559</v>
      </c>
      <c r="BC40" s="9"/>
    </row>
    <row r="41" spans="1:55" ht="15.75" customHeight="1" x14ac:dyDescent="0.2">
      <c r="A41" s="4">
        <v>3</v>
      </c>
      <c r="B41" s="5" t="str">
        <f>LOOKUP($D41,Site_Meta!$C$2:$C$43,Site_Meta!A$2:A$43)</f>
        <v>Guanajibo 20m</v>
      </c>
      <c r="C41" s="5" t="str">
        <f>LOOKUP($D41,Site_Meta!$C$2:$C$43,Site_Meta!B$2:B$43)</f>
        <v>Mayaguez</v>
      </c>
      <c r="D41" s="5" t="s">
        <v>121</v>
      </c>
      <c r="E41" s="5" t="str">
        <f>LOOKUP($D41,Site_Meta!$C$2:$C$43,Site_Meta!D$2:D$43)</f>
        <v>West</v>
      </c>
      <c r="F41" s="5" t="str">
        <f>LOOKUP($D41,Site_Meta!$C$2:$C$43,Site_Meta!E$2:E$43)</f>
        <v>W</v>
      </c>
      <c r="G41" s="5">
        <f>LOOKUP($D41,Site_Meta!$C$2:$C$43,Site_Meta!F$2:F$43)</f>
        <v>18.17202</v>
      </c>
      <c r="H41" s="5">
        <f>LOOKUP($D41,Site_Meta!$C$2:$C$43,Site_Meta!G$2:G$43)</f>
        <v>-67.253</v>
      </c>
      <c r="I41" s="5">
        <f>LOOKUP($D41,Site_Meta!$C$2:$C$43,Site_Meta!H$2:H$43)</f>
        <v>20</v>
      </c>
      <c r="J41" s="6">
        <v>2</v>
      </c>
      <c r="K41" s="6">
        <v>16</v>
      </c>
      <c r="L41" s="6">
        <v>24</v>
      </c>
      <c r="M41" s="7" t="str">
        <f t="shared" si="0"/>
        <v>2/16/24</v>
      </c>
      <c r="N41" s="6" t="s">
        <v>56</v>
      </c>
      <c r="O41" s="6" t="s">
        <v>57</v>
      </c>
      <c r="P41" s="6" t="s">
        <v>118</v>
      </c>
      <c r="Q41" s="6"/>
      <c r="R41" s="8">
        <v>0.39583333333333331</v>
      </c>
      <c r="S41" s="8">
        <v>0.41666666666666669</v>
      </c>
      <c r="T41" s="6">
        <v>27.07</v>
      </c>
      <c r="U41" s="6">
        <v>0.48</v>
      </c>
      <c r="V41" s="6">
        <v>36.72</v>
      </c>
      <c r="W41" s="6">
        <v>0.47</v>
      </c>
      <c r="X41" s="6">
        <v>6.33</v>
      </c>
      <c r="Y41" s="6">
        <v>0.51</v>
      </c>
      <c r="Z41" s="6">
        <v>8.2100000000000009</v>
      </c>
      <c r="AA41" s="6">
        <v>0.55000000000000004</v>
      </c>
      <c r="AB41" s="6">
        <v>26.96</v>
      </c>
      <c r="AC41" s="6">
        <v>17.63</v>
      </c>
      <c r="AD41" s="6">
        <v>36.85</v>
      </c>
      <c r="AE41" s="6">
        <v>17.64</v>
      </c>
      <c r="AF41" s="6">
        <v>6.11</v>
      </c>
      <c r="AG41" s="6">
        <v>17.62</v>
      </c>
      <c r="AH41" s="6">
        <v>8.2100000000000009</v>
      </c>
      <c r="AI41" s="6">
        <v>17.66</v>
      </c>
      <c r="AJ41" s="6" t="s">
        <v>122</v>
      </c>
      <c r="AK41" s="6" t="s">
        <v>122</v>
      </c>
      <c r="AL41" s="6" t="s">
        <v>122</v>
      </c>
      <c r="AM41" s="6" t="s">
        <v>122</v>
      </c>
      <c r="AN41" s="6">
        <v>0.5</v>
      </c>
      <c r="AO41" s="6">
        <v>17.5</v>
      </c>
      <c r="AP41" s="6">
        <v>404</v>
      </c>
      <c r="AQ41" s="6">
        <v>405</v>
      </c>
      <c r="AR41" s="6">
        <v>406</v>
      </c>
      <c r="AS41" s="6">
        <v>407</v>
      </c>
      <c r="AT41" s="6">
        <v>408</v>
      </c>
      <c r="AU41" s="6">
        <v>409</v>
      </c>
      <c r="AV41" s="6">
        <v>410</v>
      </c>
      <c r="AW41" s="6">
        <v>411</v>
      </c>
      <c r="AX41" s="6">
        <v>412</v>
      </c>
      <c r="AY41" s="6">
        <v>413</v>
      </c>
      <c r="AZ41" s="6">
        <v>531</v>
      </c>
      <c r="BA41" s="5">
        <v>415</v>
      </c>
      <c r="BB41" s="5">
        <v>416</v>
      </c>
      <c r="BC41" s="9"/>
    </row>
    <row r="42" spans="1:55" ht="15.75" customHeight="1" x14ac:dyDescent="0.2">
      <c r="A42" s="4">
        <v>3</v>
      </c>
      <c r="B42" s="5" t="str">
        <f>LOOKUP($D42,Site_Meta!$C$2:$C$43,Site_Meta!A$2:A$43)</f>
        <v>Guanajibo 20m</v>
      </c>
      <c r="C42" s="5" t="str">
        <f>LOOKUP($D42,Site_Meta!$C$2:$C$43,Site_Meta!B$2:B$43)</f>
        <v>Mayaguez</v>
      </c>
      <c r="D42" s="5" t="s">
        <v>123</v>
      </c>
      <c r="E42" s="5" t="str">
        <f>LOOKUP($D42,Site_Meta!$C$2:$C$43,Site_Meta!D$2:D$43)</f>
        <v>West</v>
      </c>
      <c r="F42" s="5" t="str">
        <f>LOOKUP($D42,Site_Meta!$C$2:$C$43,Site_Meta!E$2:E$43)</f>
        <v>W</v>
      </c>
      <c r="G42" s="5">
        <f>LOOKUP($D42,Site_Meta!$C$2:$C$43,Site_Meta!F$2:F$43)</f>
        <v>18.17202</v>
      </c>
      <c r="H42" s="5">
        <f>LOOKUP($D42,Site_Meta!$C$2:$C$43,Site_Meta!G$2:G$43)</f>
        <v>-67.253</v>
      </c>
      <c r="I42" s="5">
        <f>LOOKUP($D42,Site_Meta!$C$2:$C$43,Site_Meta!H$2:H$43)</f>
        <v>20</v>
      </c>
      <c r="J42" s="6">
        <v>2</v>
      </c>
      <c r="K42" s="6">
        <v>16</v>
      </c>
      <c r="L42" s="6">
        <v>24</v>
      </c>
      <c r="M42" s="7" t="str">
        <f t="shared" si="0"/>
        <v>2/16/24</v>
      </c>
      <c r="N42" s="6" t="s">
        <v>56</v>
      </c>
      <c r="O42" s="6" t="s">
        <v>57</v>
      </c>
      <c r="P42" s="6" t="s">
        <v>118</v>
      </c>
      <c r="Q42" s="6"/>
      <c r="R42" s="8">
        <v>0.41805555555555557</v>
      </c>
      <c r="S42" s="8">
        <v>0.43263888888888891</v>
      </c>
      <c r="T42" s="6">
        <v>27.09</v>
      </c>
      <c r="U42" s="6">
        <v>0.5</v>
      </c>
      <c r="V42" s="6">
        <v>36.58</v>
      </c>
      <c r="W42" s="6">
        <v>0.48</v>
      </c>
      <c r="X42" s="6">
        <v>6.45</v>
      </c>
      <c r="Y42" s="6">
        <v>0.49</v>
      </c>
      <c r="Z42" s="6">
        <v>8.2200000000000006</v>
      </c>
      <c r="AA42" s="6">
        <v>0.52</v>
      </c>
      <c r="AB42" s="6">
        <v>27</v>
      </c>
      <c r="AC42" s="6">
        <v>17.649999999999999</v>
      </c>
      <c r="AD42" s="6">
        <v>36.82</v>
      </c>
      <c r="AE42" s="6">
        <v>17.440000000000001</v>
      </c>
      <c r="AF42" s="6">
        <v>6.21</v>
      </c>
      <c r="AG42" s="6">
        <v>17.43</v>
      </c>
      <c r="AH42" s="6">
        <v>8.2100000000000009</v>
      </c>
      <c r="AI42" s="6">
        <v>17.53</v>
      </c>
      <c r="AJ42" s="6" t="s">
        <v>122</v>
      </c>
      <c r="AK42" s="6" t="s">
        <v>122</v>
      </c>
      <c r="AL42" s="6" t="s">
        <v>122</v>
      </c>
      <c r="AM42" s="6" t="s">
        <v>122</v>
      </c>
      <c r="AN42" s="6">
        <v>0.5</v>
      </c>
      <c r="AO42" s="6">
        <v>17.5</v>
      </c>
      <c r="AP42" s="6">
        <v>521</v>
      </c>
      <c r="AQ42" s="6">
        <v>522</v>
      </c>
      <c r="AR42" s="6">
        <v>523</v>
      </c>
      <c r="AS42" s="6">
        <v>524</v>
      </c>
      <c r="AT42" s="6">
        <v>525</v>
      </c>
      <c r="AU42" s="6">
        <v>526</v>
      </c>
      <c r="AV42" s="6">
        <v>527</v>
      </c>
      <c r="AW42" s="6">
        <v>528</v>
      </c>
      <c r="AX42" s="6">
        <v>529</v>
      </c>
      <c r="AY42" s="6">
        <v>530</v>
      </c>
      <c r="AZ42" s="6">
        <v>544</v>
      </c>
      <c r="BA42" s="10">
        <v>533</v>
      </c>
      <c r="BB42" s="10">
        <v>532</v>
      </c>
      <c r="BC42" s="9"/>
    </row>
    <row r="43" spans="1:55" ht="15.75" customHeight="1" x14ac:dyDescent="0.2">
      <c r="A43" s="4">
        <v>3</v>
      </c>
      <c r="B43" s="5" t="str">
        <f>LOOKUP($D43,Site_Meta!$C$2:$C$43,Site_Meta!A$2:A$43)</f>
        <v>Puerto Canoas 30m</v>
      </c>
      <c r="C43" s="5" t="str">
        <f>LOOKUP($D43,Site_Meta!$C$2:$C$43,Site_Meta!B$2:B$43)</f>
        <v>Isla Desecheo</v>
      </c>
      <c r="D43" s="5" t="s">
        <v>124</v>
      </c>
      <c r="E43" s="5" t="str">
        <f>LOOKUP($D43,Site_Meta!$C$2:$C$43,Site_Meta!D$2:D$43)</f>
        <v>Mona/Desecheo</v>
      </c>
      <c r="F43" s="5" t="str">
        <f>LOOKUP($D43,Site_Meta!$C$2:$C$43,Site_Meta!E$2:E$43)</f>
        <v>W</v>
      </c>
      <c r="G43" s="5">
        <f>LOOKUP($D43,Site_Meta!$C$2:$C$43,Site_Meta!F$2:F$43)</f>
        <v>18.377469999999999</v>
      </c>
      <c r="H43" s="5">
        <f>LOOKUP($D43,Site_Meta!$C$2:$C$43,Site_Meta!G$2:G$43)</f>
        <v>-67.483999999999995</v>
      </c>
      <c r="I43" s="5">
        <f>LOOKUP($D43,Site_Meta!$C$2:$C$43,Site_Meta!H$2:H$43)</f>
        <v>30</v>
      </c>
      <c r="J43" s="6">
        <v>2</v>
      </c>
      <c r="K43" s="6">
        <v>21</v>
      </c>
      <c r="L43" s="6">
        <v>24</v>
      </c>
      <c r="M43" s="7" t="str">
        <f t="shared" si="0"/>
        <v>2/21/24</v>
      </c>
      <c r="N43" s="6" t="s">
        <v>56</v>
      </c>
      <c r="O43" s="6" t="s">
        <v>57</v>
      </c>
      <c r="P43" s="6" t="s">
        <v>58</v>
      </c>
      <c r="Q43" s="6"/>
      <c r="R43" s="8">
        <v>0.38055555555555554</v>
      </c>
      <c r="S43" s="8">
        <v>0.39444444444444443</v>
      </c>
      <c r="T43" s="6">
        <v>27.43</v>
      </c>
      <c r="U43" s="6">
        <v>0.46</v>
      </c>
      <c r="V43" s="6">
        <v>36.86</v>
      </c>
      <c r="W43" s="6">
        <v>0.48</v>
      </c>
      <c r="X43" s="6">
        <v>6.67</v>
      </c>
      <c r="Y43" s="6">
        <v>0.46</v>
      </c>
      <c r="Z43" s="6">
        <v>8.14</v>
      </c>
      <c r="AA43" s="6">
        <v>0.45</v>
      </c>
      <c r="AB43" s="6">
        <v>27.3</v>
      </c>
      <c r="AC43" s="6">
        <v>30.03</v>
      </c>
      <c r="AD43" s="6">
        <v>36.78</v>
      </c>
      <c r="AE43" s="6">
        <v>30.07</v>
      </c>
      <c r="AF43" s="6">
        <v>6.54</v>
      </c>
      <c r="AG43" s="6">
        <v>30.1</v>
      </c>
      <c r="AH43" s="6">
        <v>8.19</v>
      </c>
      <c r="AI43" s="6">
        <v>30.07</v>
      </c>
      <c r="AJ43" s="6" t="s">
        <v>125</v>
      </c>
      <c r="AK43" s="6" t="s">
        <v>125</v>
      </c>
      <c r="AL43" s="6" t="s">
        <v>125</v>
      </c>
      <c r="AM43" s="6" t="s">
        <v>125</v>
      </c>
      <c r="AN43" s="6">
        <v>0.5</v>
      </c>
      <c r="AO43" s="6">
        <v>28</v>
      </c>
      <c r="AP43" s="6">
        <v>560</v>
      </c>
      <c r="AQ43" s="6">
        <v>561</v>
      </c>
      <c r="AR43" s="6">
        <v>562</v>
      </c>
      <c r="AS43" s="6">
        <v>563</v>
      </c>
      <c r="AT43" s="6">
        <v>564</v>
      </c>
      <c r="AU43" s="6">
        <v>565</v>
      </c>
      <c r="AV43" s="6">
        <v>566</v>
      </c>
      <c r="AW43" s="6">
        <v>567</v>
      </c>
      <c r="AX43" s="6">
        <v>568</v>
      </c>
      <c r="AY43" s="6">
        <v>569</v>
      </c>
      <c r="AZ43" s="6">
        <v>596</v>
      </c>
      <c r="BA43" s="5">
        <v>571</v>
      </c>
      <c r="BB43" s="5">
        <v>572</v>
      </c>
      <c r="BC43" s="14"/>
    </row>
    <row r="44" spans="1:55" ht="15.75" customHeight="1" x14ac:dyDescent="0.2">
      <c r="A44" s="4">
        <v>3</v>
      </c>
      <c r="B44" s="5" t="str">
        <f>LOOKUP($D44,Site_Meta!$C$2:$C$43,Site_Meta!A$2:A$43)</f>
        <v>Puerto Botes 20m</v>
      </c>
      <c r="C44" s="5" t="str">
        <f>LOOKUP($D44,Site_Meta!$C$2:$C$43,Site_Meta!B$2:B$43)</f>
        <v>Isla Desecheo</v>
      </c>
      <c r="D44" s="5" t="s">
        <v>126</v>
      </c>
      <c r="E44" s="5" t="str">
        <f>LOOKUP($D44,Site_Meta!$C$2:$C$43,Site_Meta!D$2:D$43)</f>
        <v>Mona/Desecheo</v>
      </c>
      <c r="F44" s="5" t="str">
        <f>LOOKUP($D44,Site_Meta!$C$2:$C$43,Site_Meta!E$2:E$43)</f>
        <v>W</v>
      </c>
      <c r="G44" s="5">
        <f>LOOKUP($D44,Site_Meta!$C$2:$C$43,Site_Meta!F$2:F$43)</f>
        <v>18.38158</v>
      </c>
      <c r="H44" s="5">
        <f>LOOKUP($D44,Site_Meta!$C$2:$C$43,Site_Meta!G$2:G$43)</f>
        <v>-67.488600000000005</v>
      </c>
      <c r="I44" s="5">
        <f>LOOKUP($D44,Site_Meta!$C$2:$C$43,Site_Meta!H$2:H$43)</f>
        <v>20</v>
      </c>
      <c r="J44" s="6">
        <v>2</v>
      </c>
      <c r="K44" s="6">
        <v>21</v>
      </c>
      <c r="L44" s="6">
        <v>24</v>
      </c>
      <c r="M44" s="7" t="str">
        <f t="shared" si="0"/>
        <v>2/21/24</v>
      </c>
      <c r="N44" s="6" t="s">
        <v>56</v>
      </c>
      <c r="O44" s="6" t="s">
        <v>57</v>
      </c>
      <c r="P44" s="6" t="s">
        <v>58</v>
      </c>
      <c r="Q44" s="6"/>
      <c r="R44" s="8">
        <v>0.40138888888888891</v>
      </c>
      <c r="S44" s="8">
        <v>0.4201388888888889</v>
      </c>
      <c r="T44" s="6">
        <v>27.45</v>
      </c>
      <c r="U44" s="6">
        <v>0.48</v>
      </c>
      <c r="V44" s="6">
        <v>36.85</v>
      </c>
      <c r="W44" s="6">
        <v>0.4</v>
      </c>
      <c r="X44" s="6">
        <v>6.5</v>
      </c>
      <c r="Y44" s="6">
        <v>0.44</v>
      </c>
      <c r="Z44" s="6">
        <v>8.2100000000000009</v>
      </c>
      <c r="AA44" s="6">
        <v>0.45</v>
      </c>
      <c r="AB44" s="6">
        <v>27.34</v>
      </c>
      <c r="AC44" s="6">
        <v>18.53</v>
      </c>
      <c r="AD44" s="6">
        <v>36.85</v>
      </c>
      <c r="AE44" s="6">
        <v>18.489999999999998</v>
      </c>
      <c r="AF44" s="6">
        <v>8.39</v>
      </c>
      <c r="AG44" s="6">
        <v>18.14</v>
      </c>
      <c r="AH44" s="6">
        <v>8.2200000000000006</v>
      </c>
      <c r="AI44" s="6">
        <v>18.04</v>
      </c>
      <c r="AJ44" s="6" t="s">
        <v>127</v>
      </c>
      <c r="AK44" s="6" t="s">
        <v>127</v>
      </c>
      <c r="AL44" s="6" t="s">
        <v>127</v>
      </c>
      <c r="AM44" s="6" t="s">
        <v>127</v>
      </c>
      <c r="AN44" s="6">
        <v>0.5</v>
      </c>
      <c r="AO44" s="6">
        <v>18.5</v>
      </c>
      <c r="AP44" s="6">
        <v>573</v>
      </c>
      <c r="AQ44" s="6">
        <v>574</v>
      </c>
      <c r="AR44" s="6">
        <v>575</v>
      </c>
      <c r="AS44" s="6">
        <v>576</v>
      </c>
      <c r="AT44" s="6">
        <v>577</v>
      </c>
      <c r="AU44" s="6">
        <v>578</v>
      </c>
      <c r="AV44" s="6">
        <v>579</v>
      </c>
      <c r="AW44" s="6">
        <v>580</v>
      </c>
      <c r="AX44" s="6">
        <v>581</v>
      </c>
      <c r="AY44" s="6">
        <v>582</v>
      </c>
      <c r="AZ44" s="6">
        <v>583</v>
      </c>
      <c r="BA44" s="10">
        <v>584</v>
      </c>
      <c r="BB44" s="10">
        <v>585</v>
      </c>
      <c r="BC44" s="14"/>
    </row>
    <row r="45" spans="1:55" ht="15.75" customHeight="1" x14ac:dyDescent="0.2">
      <c r="A45" s="4">
        <v>3</v>
      </c>
      <c r="B45" s="5" t="str">
        <f>LOOKUP($D45,Site_Meta!$C$2:$C$43,Site_Meta!A$2:A$43)</f>
        <v>Puerto Botes 15m</v>
      </c>
      <c r="C45" s="5" t="str">
        <f>LOOKUP($D45,Site_Meta!$C$2:$C$43,Site_Meta!B$2:B$43)</f>
        <v>Isla Desecheo</v>
      </c>
      <c r="D45" s="5" t="s">
        <v>128</v>
      </c>
      <c r="E45" s="5" t="str">
        <f>LOOKUP($D45,Site_Meta!$C$2:$C$43,Site_Meta!D$2:D$43)</f>
        <v>Mona/Desecheo</v>
      </c>
      <c r="F45" s="5" t="str">
        <f>LOOKUP($D45,Site_Meta!$C$2:$C$43,Site_Meta!E$2:E$43)</f>
        <v>W</v>
      </c>
      <c r="G45" s="5">
        <f>LOOKUP($D45,Site_Meta!$C$2:$C$43,Site_Meta!F$2:F$43)</f>
        <v>18.382000000000001</v>
      </c>
      <c r="H45" s="5">
        <f>LOOKUP($D45,Site_Meta!$C$2:$C$43,Site_Meta!G$2:G$43)</f>
        <v>-67.488299999999995</v>
      </c>
      <c r="I45" s="5">
        <f>LOOKUP($D45,Site_Meta!$C$2:$C$43,Site_Meta!H$2:H$43)</f>
        <v>15</v>
      </c>
      <c r="J45" s="6">
        <v>2</v>
      </c>
      <c r="K45" s="6">
        <v>21</v>
      </c>
      <c r="L45" s="6">
        <v>24</v>
      </c>
      <c r="M45" s="7" t="str">
        <f t="shared" si="0"/>
        <v>2/21/24</v>
      </c>
      <c r="N45" s="6" t="s">
        <v>56</v>
      </c>
      <c r="O45" s="6" t="s">
        <v>57</v>
      </c>
      <c r="P45" s="6" t="s">
        <v>58</v>
      </c>
      <c r="Q45" s="6"/>
      <c r="R45" s="8">
        <v>0.42708333333333331</v>
      </c>
      <c r="S45" s="8">
        <v>0.44791666666666669</v>
      </c>
      <c r="T45" s="6">
        <v>27.43</v>
      </c>
      <c r="U45" s="6">
        <v>0.45</v>
      </c>
      <c r="V45" s="6">
        <v>36.75</v>
      </c>
      <c r="W45" s="6">
        <v>0.43</v>
      </c>
      <c r="X45" s="6">
        <v>6.61</v>
      </c>
      <c r="Y45" s="6">
        <v>0.5</v>
      </c>
      <c r="Z45" s="6">
        <v>8.2200000000000006</v>
      </c>
      <c r="AA45" s="6">
        <v>0.48</v>
      </c>
      <c r="AB45" s="6">
        <v>27.4</v>
      </c>
      <c r="AC45" s="6">
        <v>15.98</v>
      </c>
      <c r="AD45" s="6">
        <v>36.82</v>
      </c>
      <c r="AE45" s="6">
        <v>16.55</v>
      </c>
      <c r="AF45" s="6">
        <v>6.91</v>
      </c>
      <c r="AG45" s="6">
        <v>16.920000000000002</v>
      </c>
      <c r="AH45" s="6">
        <v>8.2200000000000006</v>
      </c>
      <c r="AI45" s="6">
        <v>16.72</v>
      </c>
      <c r="AJ45" s="6" t="s">
        <v>129</v>
      </c>
      <c r="AK45" s="6" t="s">
        <v>129</v>
      </c>
      <c r="AL45" s="6" t="s">
        <v>129</v>
      </c>
      <c r="AM45" s="6" t="s">
        <v>129</v>
      </c>
      <c r="AN45" s="6">
        <v>0.5</v>
      </c>
      <c r="AO45" s="6">
        <v>16.5</v>
      </c>
      <c r="AP45" s="6">
        <v>625</v>
      </c>
      <c r="AQ45" s="6">
        <v>626</v>
      </c>
      <c r="AR45" s="6">
        <v>627</v>
      </c>
      <c r="AS45" s="6">
        <v>628</v>
      </c>
      <c r="AT45" s="6">
        <v>629</v>
      </c>
      <c r="AU45" s="6">
        <v>630</v>
      </c>
      <c r="AV45" s="6">
        <v>631</v>
      </c>
      <c r="AW45" s="6">
        <v>632</v>
      </c>
      <c r="AX45" s="6">
        <v>633</v>
      </c>
      <c r="AY45" s="6">
        <v>634</v>
      </c>
      <c r="AZ45" s="6">
        <v>570</v>
      </c>
      <c r="BA45" s="6">
        <v>636</v>
      </c>
      <c r="BB45" s="6">
        <v>637</v>
      </c>
      <c r="BC45" s="14"/>
    </row>
    <row r="46" spans="1:55" ht="15.75" customHeight="1" x14ac:dyDescent="0.2">
      <c r="A46" s="4">
        <v>3</v>
      </c>
      <c r="B46" s="5" t="str">
        <f>LOOKUP($D46,Site_Meta!$C$2:$C$43,Site_Meta!A$2:A$43)</f>
        <v>Tres Palmas 20m</v>
      </c>
      <c r="C46" s="5" t="str">
        <f>LOOKUP($D46,Site_Meta!$C$2:$C$43,Site_Meta!B$2:B$43)</f>
        <v>Rincon</v>
      </c>
      <c r="D46" s="5" t="s">
        <v>130</v>
      </c>
      <c r="E46" s="5" t="str">
        <f>LOOKUP($D46,Site_Meta!$C$2:$C$43,Site_Meta!D$2:D$43)</f>
        <v>West</v>
      </c>
      <c r="F46" s="5" t="str">
        <f>LOOKUP($D46,Site_Meta!$C$2:$C$43,Site_Meta!E$2:E$43)</f>
        <v>W</v>
      </c>
      <c r="G46" s="5">
        <f>LOOKUP($D46,Site_Meta!$C$2:$C$43,Site_Meta!F$2:F$43)</f>
        <v>18.346520000000002</v>
      </c>
      <c r="H46" s="5">
        <f>LOOKUP($D46,Site_Meta!$C$2:$C$43,Site_Meta!G$2:G$43)</f>
        <v>-67.271199999999993</v>
      </c>
      <c r="I46" s="5">
        <f>LOOKUP($D46,Site_Meta!$C$2:$C$43,Site_Meta!H$2:H$43)</f>
        <v>20</v>
      </c>
      <c r="J46" s="6">
        <v>2</v>
      </c>
      <c r="K46" s="6">
        <v>21</v>
      </c>
      <c r="L46" s="6">
        <v>24</v>
      </c>
      <c r="M46" s="7" t="str">
        <f t="shared" si="0"/>
        <v>2/21/24</v>
      </c>
      <c r="N46" s="6" t="s">
        <v>56</v>
      </c>
      <c r="O46" s="6" t="s">
        <v>57</v>
      </c>
      <c r="P46" s="6" t="s">
        <v>58</v>
      </c>
      <c r="Q46" s="6"/>
      <c r="R46" s="8">
        <v>0.4909722222222222</v>
      </c>
      <c r="S46" s="8">
        <v>0.5083333333333333</v>
      </c>
      <c r="T46" s="6">
        <v>27.79</v>
      </c>
      <c r="U46" s="6">
        <v>0.48</v>
      </c>
      <c r="V46" s="6">
        <v>36.79</v>
      </c>
      <c r="W46" s="6">
        <v>0.53</v>
      </c>
      <c r="X46" s="6">
        <v>6.3</v>
      </c>
      <c r="Y46" s="6">
        <v>0.5</v>
      </c>
      <c r="Z46" s="6">
        <v>8.19</v>
      </c>
      <c r="AA46" s="6">
        <v>0.51</v>
      </c>
      <c r="AB46" s="6">
        <v>27.31</v>
      </c>
      <c r="AC46" s="6">
        <v>19.52</v>
      </c>
      <c r="AD46" s="6">
        <v>36.700000000000003</v>
      </c>
      <c r="AE46" s="6">
        <v>19.66</v>
      </c>
      <c r="AF46" s="6">
        <v>6.45</v>
      </c>
      <c r="AG46" s="6">
        <v>19.5</v>
      </c>
      <c r="AH46" s="6">
        <v>8.2100000000000009</v>
      </c>
      <c r="AI46" s="6">
        <v>19.14</v>
      </c>
      <c r="AJ46" s="6" t="s">
        <v>131</v>
      </c>
      <c r="AK46" s="6" t="s">
        <v>131</v>
      </c>
      <c r="AL46" s="6" t="s">
        <v>131</v>
      </c>
      <c r="AM46" s="6" t="s">
        <v>131</v>
      </c>
      <c r="AN46" s="6">
        <v>0.5</v>
      </c>
      <c r="AO46" s="6">
        <v>19.5</v>
      </c>
      <c r="AP46" s="6">
        <v>586</v>
      </c>
      <c r="AQ46" s="6">
        <v>587</v>
      </c>
      <c r="AR46" s="6">
        <v>588</v>
      </c>
      <c r="AS46" s="6">
        <v>589</v>
      </c>
      <c r="AT46" s="6">
        <v>590</v>
      </c>
      <c r="AU46" s="6">
        <v>591</v>
      </c>
      <c r="AV46" s="6">
        <v>592</v>
      </c>
      <c r="AW46" s="6">
        <v>593</v>
      </c>
      <c r="AX46" s="6">
        <v>594</v>
      </c>
      <c r="AY46" s="6">
        <v>595</v>
      </c>
      <c r="AZ46" s="6">
        <v>557</v>
      </c>
      <c r="BA46" s="6">
        <v>597</v>
      </c>
      <c r="BB46" s="6">
        <v>598</v>
      </c>
      <c r="BC46" s="14"/>
    </row>
    <row r="47" spans="1:55" ht="15.75" customHeight="1" x14ac:dyDescent="0.2">
      <c r="A47" s="4">
        <v>3</v>
      </c>
      <c r="B47" s="5" t="str">
        <f>LOOKUP($D47,Site_Meta!$C$2:$C$43,Site_Meta!A$2:A$43)</f>
        <v>Tres Palmas 10m</v>
      </c>
      <c r="C47" s="5" t="str">
        <f>LOOKUP($D47,Site_Meta!$C$2:$C$43,Site_Meta!B$2:B$43)</f>
        <v>Rincon</v>
      </c>
      <c r="D47" s="5" t="s">
        <v>132</v>
      </c>
      <c r="E47" s="5" t="str">
        <f>LOOKUP($D47,Site_Meta!$C$2:$C$43,Site_Meta!D$2:D$43)</f>
        <v>West</v>
      </c>
      <c r="F47" s="5" t="str">
        <f>LOOKUP($D47,Site_Meta!$C$2:$C$43,Site_Meta!E$2:E$43)</f>
        <v>W</v>
      </c>
      <c r="G47" s="5">
        <f>LOOKUP($D47,Site_Meta!$C$2:$C$43,Site_Meta!F$2:F$43)</f>
        <v>18.34732</v>
      </c>
      <c r="H47" s="5">
        <f>LOOKUP($D47,Site_Meta!$C$2:$C$43,Site_Meta!G$2:G$43)</f>
        <v>-67.27</v>
      </c>
      <c r="I47" s="5">
        <f>LOOKUP($D47,Site_Meta!$C$2:$C$43,Site_Meta!H$2:H$43)</f>
        <v>10</v>
      </c>
      <c r="J47" s="6">
        <v>2</v>
      </c>
      <c r="K47" s="6">
        <v>21</v>
      </c>
      <c r="L47" s="6">
        <v>24</v>
      </c>
      <c r="M47" s="7" t="str">
        <f t="shared" si="0"/>
        <v>2/21/24</v>
      </c>
      <c r="N47" s="6" t="s">
        <v>56</v>
      </c>
      <c r="O47" s="6" t="s">
        <v>57</v>
      </c>
      <c r="P47" s="6" t="s">
        <v>58</v>
      </c>
      <c r="Q47" s="6"/>
      <c r="R47" s="8">
        <v>0.51180555555555551</v>
      </c>
      <c r="S47" s="8">
        <v>0.52708333333333335</v>
      </c>
      <c r="T47" s="6">
        <v>27.69</v>
      </c>
      <c r="U47" s="6">
        <v>0.64</v>
      </c>
      <c r="V47" s="6">
        <v>36.82</v>
      </c>
      <c r="W47" s="6">
        <v>0.51</v>
      </c>
      <c r="X47" s="6">
        <v>6.27</v>
      </c>
      <c r="Y47" s="6">
        <v>0.5</v>
      </c>
      <c r="Z47" s="6">
        <v>8.1999999999999993</v>
      </c>
      <c r="AA47" s="6">
        <v>0.55000000000000004</v>
      </c>
      <c r="AB47" s="6">
        <v>27.58</v>
      </c>
      <c r="AC47" s="6">
        <v>8.61</v>
      </c>
      <c r="AD47" s="6">
        <v>36.6</v>
      </c>
      <c r="AE47" s="6">
        <v>8.5</v>
      </c>
      <c r="AF47" s="6">
        <v>6.49</v>
      </c>
      <c r="AG47" s="6">
        <v>8.41</v>
      </c>
      <c r="AH47" s="6">
        <v>8.2100000000000009</v>
      </c>
      <c r="AI47" s="6">
        <v>8.52</v>
      </c>
      <c r="AJ47" s="6" t="s">
        <v>61</v>
      </c>
      <c r="AK47" s="6" t="s">
        <v>61</v>
      </c>
      <c r="AL47" s="6" t="s">
        <v>61</v>
      </c>
      <c r="AM47" s="6" t="s">
        <v>61</v>
      </c>
      <c r="AN47" s="6">
        <v>0.5</v>
      </c>
      <c r="AO47" s="6">
        <v>8.5</v>
      </c>
      <c r="AP47" s="6">
        <v>612</v>
      </c>
      <c r="AQ47" s="6">
        <v>613</v>
      </c>
      <c r="AR47" s="6">
        <v>614</v>
      </c>
      <c r="AS47" s="6">
        <v>615</v>
      </c>
      <c r="AT47" s="6">
        <v>616</v>
      </c>
      <c r="AU47" s="6">
        <v>617</v>
      </c>
      <c r="AV47" s="6">
        <v>618</v>
      </c>
      <c r="AW47" s="6">
        <v>619</v>
      </c>
      <c r="AX47" s="6">
        <v>620</v>
      </c>
      <c r="AY47" s="6">
        <v>621</v>
      </c>
      <c r="AZ47" s="6">
        <v>622</v>
      </c>
      <c r="BA47" s="5">
        <v>623</v>
      </c>
      <c r="BB47" s="5">
        <v>624</v>
      </c>
      <c r="BC47" s="14"/>
    </row>
    <row r="48" spans="1:55" ht="15.75" customHeight="1" x14ac:dyDescent="0.2">
      <c r="A48" s="4">
        <v>3</v>
      </c>
      <c r="B48" s="5" t="str">
        <f>LOOKUP($D48,Site_Meta!$C$2:$C$43,Site_Meta!A$2:A$43)</f>
        <v>Tres Palmas 05m</v>
      </c>
      <c r="C48" s="5" t="str">
        <f>LOOKUP($D48,Site_Meta!$C$2:$C$43,Site_Meta!B$2:B$43)</f>
        <v>Rincon</v>
      </c>
      <c r="D48" s="5" t="s">
        <v>133</v>
      </c>
      <c r="E48" s="5" t="str">
        <f>LOOKUP($D48,Site_Meta!$C$2:$C$43,Site_Meta!D$2:D$43)</f>
        <v>West</v>
      </c>
      <c r="F48" s="5" t="str">
        <f>LOOKUP($D48,Site_Meta!$C$2:$C$43,Site_Meta!E$2:E$43)</f>
        <v>W</v>
      </c>
      <c r="G48" s="5">
        <f>LOOKUP($D48,Site_Meta!$C$2:$C$43,Site_Meta!F$2:F$43)</f>
        <v>18.350719999999999</v>
      </c>
      <c r="H48" s="5">
        <f>LOOKUP($D48,Site_Meta!$C$2:$C$43,Site_Meta!G$2:G$43)</f>
        <v>-67.266900000000007</v>
      </c>
      <c r="I48" s="5">
        <f>LOOKUP($D48,Site_Meta!$C$2:$C$43,Site_Meta!H$2:H$43)</f>
        <v>5</v>
      </c>
      <c r="J48" s="6">
        <v>2</v>
      </c>
      <c r="K48" s="6">
        <v>21</v>
      </c>
      <c r="L48" s="6">
        <v>24</v>
      </c>
      <c r="M48" s="7" t="str">
        <f t="shared" si="0"/>
        <v>2/21/24</v>
      </c>
      <c r="N48" s="6" t="s">
        <v>56</v>
      </c>
      <c r="O48" s="6" t="s">
        <v>57</v>
      </c>
      <c r="P48" s="6" t="s">
        <v>58</v>
      </c>
      <c r="Q48" s="6"/>
      <c r="R48" s="8">
        <v>0.53402777777777777</v>
      </c>
      <c r="S48" s="8">
        <v>0.54652777777777772</v>
      </c>
      <c r="T48" s="6">
        <v>28.19</v>
      </c>
      <c r="U48" s="6">
        <v>0.48</v>
      </c>
      <c r="V48" s="6">
        <v>37.22</v>
      </c>
      <c r="W48" s="6">
        <v>0.63</v>
      </c>
      <c r="X48" s="6">
        <v>6.16</v>
      </c>
      <c r="Y48" s="6">
        <v>0.45</v>
      </c>
      <c r="Z48" s="6">
        <v>8.17</v>
      </c>
      <c r="AA48" s="6">
        <v>0.47</v>
      </c>
      <c r="AB48" s="6">
        <v>27.92</v>
      </c>
      <c r="AC48" s="6">
        <v>2.46</v>
      </c>
      <c r="AD48" s="6">
        <v>36.83</v>
      </c>
      <c r="AE48" s="6">
        <v>2.46</v>
      </c>
      <c r="AF48" s="6">
        <v>6.41</v>
      </c>
      <c r="AG48" s="6">
        <v>2.57</v>
      </c>
      <c r="AH48" s="6">
        <v>8.17</v>
      </c>
      <c r="AI48" s="6">
        <v>2.59</v>
      </c>
      <c r="AJ48" s="6" t="s">
        <v>134</v>
      </c>
      <c r="AK48" s="6" t="s">
        <v>134</v>
      </c>
      <c r="AL48" s="6" t="s">
        <v>134</v>
      </c>
      <c r="AM48" s="6" t="s">
        <v>134</v>
      </c>
      <c r="AN48" s="6">
        <v>0.5</v>
      </c>
      <c r="AO48" s="6">
        <v>2.5</v>
      </c>
      <c r="AP48" s="6">
        <v>534</v>
      </c>
      <c r="AQ48" s="6">
        <v>535</v>
      </c>
      <c r="AR48" s="6">
        <v>536</v>
      </c>
      <c r="AS48" s="6">
        <v>537</v>
      </c>
      <c r="AT48" s="6">
        <v>538</v>
      </c>
      <c r="AU48" s="6">
        <v>539</v>
      </c>
      <c r="AV48" s="6">
        <v>540</v>
      </c>
      <c r="AW48" s="6">
        <v>541</v>
      </c>
      <c r="AX48" s="6">
        <v>542</v>
      </c>
      <c r="AY48" s="6">
        <v>543</v>
      </c>
      <c r="AZ48" s="6">
        <v>648</v>
      </c>
      <c r="BA48" s="6">
        <v>545</v>
      </c>
      <c r="BB48" s="6">
        <v>546</v>
      </c>
      <c r="BC48" s="14"/>
    </row>
    <row r="49" spans="1:55" ht="15.75" customHeight="1" x14ac:dyDescent="0.2">
      <c r="A49" s="4"/>
      <c r="B49" s="5"/>
      <c r="C49" s="5"/>
      <c r="D49" s="5"/>
      <c r="E49" s="5"/>
      <c r="F49" s="5"/>
      <c r="G49" s="5"/>
      <c r="H49" s="5"/>
      <c r="I49" s="5"/>
      <c r="J49" s="6"/>
      <c r="K49" s="6"/>
      <c r="L49" s="6"/>
      <c r="M49" s="7"/>
      <c r="N49" s="6"/>
      <c r="O49" s="6"/>
      <c r="P49" s="6"/>
      <c r="Q49" s="6"/>
      <c r="R49" s="8"/>
      <c r="S49" s="8"/>
      <c r="T49" s="6"/>
      <c r="U49" s="15"/>
      <c r="V49" s="6"/>
      <c r="W49" s="6"/>
      <c r="X49" s="6"/>
      <c r="Y49" s="6"/>
      <c r="Z49" s="6"/>
      <c r="AA49" s="6"/>
      <c r="AB49" s="6"/>
      <c r="AC49" s="15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5"/>
      <c r="BB49" s="5"/>
      <c r="BC49" s="14"/>
    </row>
    <row r="50" spans="1:55" ht="15.75" customHeight="1" x14ac:dyDescent="0.2">
      <c r="A50" s="4"/>
      <c r="B50" s="5"/>
      <c r="C50" s="5"/>
      <c r="D50" s="5"/>
      <c r="E50" s="5"/>
      <c r="F50" s="5"/>
      <c r="G50" s="5"/>
      <c r="H50" s="5"/>
      <c r="I50" s="5"/>
      <c r="J50" s="6"/>
      <c r="K50" s="6"/>
      <c r="L50" s="6"/>
      <c r="M50" s="7"/>
      <c r="N50" s="6"/>
      <c r="O50" s="6"/>
      <c r="P50" s="6"/>
      <c r="Q50" s="6"/>
      <c r="R50" s="8"/>
      <c r="S50" s="8"/>
      <c r="T50" s="6"/>
      <c r="U50" s="15"/>
      <c r="V50" s="6"/>
      <c r="W50" s="6"/>
      <c r="X50" s="6"/>
      <c r="Y50" s="6"/>
      <c r="Z50" s="6"/>
      <c r="AA50" s="6"/>
      <c r="AB50" s="6"/>
      <c r="AC50" s="15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5"/>
      <c r="BB50" s="5"/>
      <c r="BC50" s="14"/>
    </row>
    <row r="51" spans="1:55" ht="15.75" customHeight="1" x14ac:dyDescent="0.2">
      <c r="A51" s="4"/>
      <c r="B51" s="5"/>
      <c r="C51" s="5"/>
      <c r="D51" s="5"/>
      <c r="E51" s="5"/>
      <c r="F51" s="5"/>
      <c r="G51" s="5"/>
      <c r="H51" s="5"/>
      <c r="I51" s="5"/>
      <c r="J51" s="6"/>
      <c r="K51" s="6"/>
      <c r="L51" s="6"/>
      <c r="M51" s="7"/>
      <c r="N51" s="6"/>
      <c r="O51" s="6"/>
      <c r="P51" s="6"/>
      <c r="Q51" s="6"/>
      <c r="R51" s="8"/>
      <c r="S51" s="8"/>
      <c r="T51" s="6"/>
      <c r="U51" s="15"/>
      <c r="V51" s="6"/>
      <c r="W51" s="6"/>
      <c r="X51" s="6"/>
      <c r="Y51" s="6"/>
      <c r="Z51" s="6"/>
      <c r="AA51" s="6"/>
      <c r="AB51" s="6"/>
      <c r="AC51" s="15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5"/>
      <c r="BB51" s="5"/>
      <c r="BC51" s="14"/>
    </row>
    <row r="52" spans="1:55" ht="15.75" customHeight="1" x14ac:dyDescent="0.2">
      <c r="A52" s="4"/>
      <c r="B52" s="5"/>
      <c r="C52" s="5"/>
      <c r="D52" s="5"/>
      <c r="E52" s="5"/>
      <c r="F52" s="5"/>
      <c r="G52" s="5"/>
      <c r="H52" s="5"/>
      <c r="I52" s="5"/>
      <c r="J52" s="6"/>
      <c r="K52" s="6"/>
      <c r="L52" s="6"/>
      <c r="M52" s="7"/>
      <c r="N52" s="6"/>
      <c r="O52" s="6"/>
      <c r="P52" s="6"/>
      <c r="Q52" s="6"/>
      <c r="R52" s="8"/>
      <c r="S52" s="8"/>
      <c r="T52" s="6"/>
      <c r="U52" s="15"/>
      <c r="V52" s="6"/>
      <c r="W52" s="6"/>
      <c r="X52" s="6"/>
      <c r="Y52" s="6"/>
      <c r="Z52" s="6"/>
      <c r="AA52" s="6"/>
      <c r="AB52" s="6"/>
      <c r="AC52" s="15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5"/>
      <c r="BB52" s="5"/>
      <c r="BC52" s="4"/>
    </row>
    <row r="53" spans="1:55" ht="15.75" customHeight="1" x14ac:dyDescent="0.2">
      <c r="A53" s="4"/>
      <c r="B53" s="5"/>
      <c r="C53" s="5"/>
      <c r="D53" s="5"/>
      <c r="E53" s="5"/>
      <c r="F53" s="5"/>
      <c r="G53" s="5"/>
      <c r="H53" s="5"/>
      <c r="I53" s="5"/>
      <c r="J53" s="6"/>
      <c r="K53" s="6"/>
      <c r="L53" s="6"/>
      <c r="M53" s="7"/>
      <c r="N53" s="6"/>
      <c r="O53" s="6"/>
      <c r="P53" s="6"/>
      <c r="Q53" s="6"/>
      <c r="R53" s="8"/>
      <c r="S53" s="8"/>
      <c r="T53" s="6"/>
      <c r="U53" s="15"/>
      <c r="V53" s="6"/>
      <c r="W53" s="6"/>
      <c r="X53" s="6"/>
      <c r="Y53" s="6"/>
      <c r="Z53" s="6"/>
      <c r="AA53" s="6"/>
      <c r="AB53" s="6"/>
      <c r="AC53" s="15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5"/>
      <c r="BB53" s="5"/>
      <c r="BC53" s="4"/>
    </row>
    <row r="54" spans="1:55" ht="15.75" customHeight="1" x14ac:dyDescent="0.2">
      <c r="A54" s="4"/>
      <c r="B54" s="5"/>
      <c r="C54" s="5"/>
      <c r="D54" s="5"/>
      <c r="E54" s="5"/>
      <c r="F54" s="5"/>
      <c r="G54" s="5"/>
      <c r="H54" s="5"/>
      <c r="I54" s="5"/>
      <c r="J54" s="6"/>
      <c r="K54" s="6"/>
      <c r="L54" s="6"/>
      <c r="M54" s="7"/>
      <c r="N54" s="6"/>
      <c r="O54" s="6"/>
      <c r="P54" s="6"/>
      <c r="Q54" s="6"/>
      <c r="R54" s="8"/>
      <c r="S54" s="8"/>
      <c r="T54" s="6"/>
      <c r="U54" s="15"/>
      <c r="V54" s="6"/>
      <c r="W54" s="6"/>
      <c r="X54" s="6"/>
      <c r="Y54" s="6"/>
      <c r="Z54" s="6"/>
      <c r="AA54" s="6"/>
      <c r="AB54" s="6"/>
      <c r="AC54" s="15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5"/>
      <c r="BB54" s="5"/>
      <c r="BC54" s="4"/>
    </row>
    <row r="55" spans="1:55" ht="15.75" customHeight="1" x14ac:dyDescent="0.2">
      <c r="A55" s="4"/>
      <c r="B55" s="5"/>
      <c r="C55" s="5"/>
      <c r="D55" s="5"/>
      <c r="E55" s="5"/>
      <c r="F55" s="5"/>
      <c r="G55" s="5"/>
      <c r="H55" s="5"/>
      <c r="I55" s="5"/>
      <c r="J55" s="6"/>
      <c r="K55" s="6"/>
      <c r="L55" s="6"/>
      <c r="M55" s="7"/>
      <c r="N55" s="6"/>
      <c r="O55" s="6"/>
      <c r="P55" s="6"/>
      <c r="Q55" s="6"/>
      <c r="R55" s="8"/>
      <c r="S55" s="8"/>
      <c r="T55" s="6"/>
      <c r="U55" s="15"/>
      <c r="V55" s="6"/>
      <c r="W55" s="6"/>
      <c r="X55" s="6"/>
      <c r="Y55" s="6"/>
      <c r="Z55" s="6"/>
      <c r="AA55" s="6"/>
      <c r="AB55" s="6"/>
      <c r="AC55" s="15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5"/>
      <c r="BB55" s="5"/>
      <c r="BC55" s="4"/>
    </row>
    <row r="56" spans="1:55" ht="15.75" customHeight="1" x14ac:dyDescent="0.2">
      <c r="M56" s="7"/>
      <c r="R56" s="8"/>
      <c r="S56" s="8"/>
      <c r="U56" s="16"/>
      <c r="AC56" s="16"/>
      <c r="AY56" s="17"/>
      <c r="AZ56" s="17"/>
      <c r="BA56" s="10"/>
      <c r="BB56" s="10"/>
    </row>
    <row r="57" spans="1:55" ht="15.75" customHeight="1" x14ac:dyDescent="0.2">
      <c r="M57" s="7"/>
      <c r="R57" s="8"/>
      <c r="S57" s="8"/>
      <c r="U57" s="16"/>
      <c r="AC57" s="16"/>
      <c r="AQ57" s="4"/>
      <c r="AY57" s="17"/>
      <c r="AZ57" s="17"/>
      <c r="BA57" s="17"/>
      <c r="BB57" s="17"/>
    </row>
    <row r="58" spans="1:55" ht="15.75" customHeight="1" x14ac:dyDescent="0.2">
      <c r="M58" s="7"/>
      <c r="R58" s="8"/>
      <c r="S58" s="8"/>
      <c r="U58" s="16"/>
      <c r="AC58" s="16"/>
      <c r="AQ58" s="4"/>
      <c r="AY58" s="17"/>
      <c r="AZ58" s="17"/>
      <c r="BA58" s="17"/>
      <c r="BB58" s="17"/>
    </row>
    <row r="59" spans="1:55" ht="15.75" customHeight="1" x14ac:dyDescent="0.2">
      <c r="M59" s="7"/>
      <c r="R59" s="8"/>
      <c r="S59" s="8"/>
      <c r="U59" s="16"/>
      <c r="AC59" s="16"/>
      <c r="AY59" s="17"/>
      <c r="AZ59" s="17"/>
      <c r="BA59" s="17"/>
      <c r="BB59" s="17"/>
    </row>
    <row r="60" spans="1:55" ht="15.75" customHeight="1" x14ac:dyDescent="0.2">
      <c r="M60" s="7"/>
      <c r="R60" s="8"/>
      <c r="S60" s="8"/>
      <c r="U60" s="16"/>
      <c r="AC60" s="16"/>
      <c r="AY60" s="17"/>
      <c r="AZ60" s="17"/>
      <c r="BA60" s="10"/>
      <c r="BB60" s="10"/>
    </row>
    <row r="61" spans="1:55" ht="15.75" customHeight="1" x14ac:dyDescent="0.2">
      <c r="M61" s="7"/>
      <c r="R61" s="8"/>
      <c r="S61" s="8"/>
      <c r="U61" s="16"/>
      <c r="AC61" s="16"/>
      <c r="AY61" s="17"/>
      <c r="AZ61" s="17"/>
      <c r="BA61" s="10"/>
      <c r="BB61" s="10"/>
    </row>
    <row r="62" spans="1:55" ht="15.75" customHeight="1" x14ac:dyDescent="0.2">
      <c r="M62" s="7"/>
      <c r="R62" s="8"/>
      <c r="S62" s="8"/>
      <c r="U62" s="16"/>
      <c r="AC62" s="16"/>
      <c r="AY62" s="17"/>
      <c r="AZ62" s="17"/>
      <c r="BA62" s="10"/>
      <c r="BB62" s="10"/>
    </row>
    <row r="63" spans="1:55" ht="15.75" customHeight="1" x14ac:dyDescent="0.2">
      <c r="M63" s="7"/>
      <c r="R63" s="8"/>
      <c r="S63" s="8"/>
      <c r="U63" s="16"/>
      <c r="AC63" s="16"/>
      <c r="AY63" s="17"/>
      <c r="AZ63" s="17"/>
      <c r="BA63" s="10"/>
      <c r="BB63" s="10"/>
    </row>
    <row r="64" spans="1:55" ht="15.75" customHeight="1" x14ac:dyDescent="0.2">
      <c r="M64" s="7"/>
      <c r="R64" s="8"/>
      <c r="S64" s="8"/>
      <c r="U64" s="16"/>
      <c r="AC64" s="16"/>
      <c r="AY64" s="17"/>
      <c r="AZ64" s="17"/>
      <c r="BA64" s="10"/>
      <c r="BB64" s="10"/>
    </row>
    <row r="65" spans="13:54" ht="15.75" customHeight="1" x14ac:dyDescent="0.2">
      <c r="M65" s="7"/>
      <c r="R65" s="8"/>
      <c r="S65" s="8"/>
      <c r="U65" s="16"/>
      <c r="AC65" s="16"/>
      <c r="AY65" s="17"/>
      <c r="AZ65" s="17"/>
      <c r="BA65" s="10"/>
      <c r="BB65" s="10"/>
    </row>
    <row r="66" spans="13:54" ht="15.75" customHeight="1" x14ac:dyDescent="0.2">
      <c r="M66" s="7"/>
      <c r="R66" s="8"/>
      <c r="S66" s="8"/>
      <c r="U66" s="16"/>
      <c r="AC66" s="16"/>
      <c r="AY66" s="17"/>
      <c r="AZ66" s="17"/>
      <c r="BA66" s="10"/>
      <c r="BB66" s="10"/>
    </row>
    <row r="67" spans="13:54" ht="15.75" customHeight="1" x14ac:dyDescent="0.2">
      <c r="M67" s="7"/>
      <c r="R67" s="8"/>
      <c r="S67" s="8"/>
      <c r="U67" s="16"/>
      <c r="AC67" s="16"/>
      <c r="AY67" s="17"/>
      <c r="AZ67" s="17"/>
      <c r="BA67" s="10"/>
      <c r="BB67" s="10"/>
    </row>
    <row r="68" spans="13:54" ht="15.75" customHeight="1" x14ac:dyDescent="0.2">
      <c r="M68" s="7"/>
      <c r="R68" s="8"/>
      <c r="S68" s="8"/>
      <c r="U68" s="16"/>
      <c r="AC68" s="16"/>
      <c r="AY68" s="17"/>
      <c r="AZ68" s="17"/>
      <c r="BA68" s="10"/>
      <c r="BB68" s="10"/>
    </row>
    <row r="69" spans="13:54" ht="15.75" customHeight="1" x14ac:dyDescent="0.2">
      <c r="M69" s="7"/>
      <c r="R69" s="8"/>
      <c r="S69" s="8"/>
      <c r="U69" s="16"/>
      <c r="AC69" s="16"/>
      <c r="AY69" s="17"/>
      <c r="AZ69" s="17"/>
      <c r="BA69" s="10"/>
      <c r="BB69" s="10"/>
    </row>
    <row r="70" spans="13:54" ht="15.75" customHeight="1" x14ac:dyDescent="0.2">
      <c r="M70" s="7"/>
      <c r="R70" s="8"/>
      <c r="S70" s="8"/>
      <c r="U70" s="16"/>
      <c r="AC70" s="16"/>
      <c r="AY70" s="17"/>
      <c r="AZ70" s="17"/>
      <c r="BA70" s="10"/>
      <c r="BB70" s="10"/>
    </row>
    <row r="71" spans="13:54" ht="15.75" customHeight="1" x14ac:dyDescent="0.2">
      <c r="M71" s="7"/>
      <c r="R71" s="8"/>
      <c r="S71" s="8"/>
      <c r="U71" s="16"/>
      <c r="AC71" s="16"/>
      <c r="AY71" s="17"/>
      <c r="AZ71" s="17"/>
      <c r="BA71" s="10"/>
      <c r="BB71" s="10"/>
    </row>
    <row r="72" spans="13:54" ht="15.75" customHeight="1" x14ac:dyDescent="0.2">
      <c r="M72" s="7"/>
      <c r="R72" s="8"/>
      <c r="S72" s="8"/>
      <c r="U72" s="16"/>
      <c r="AC72" s="16"/>
      <c r="AY72" s="17"/>
      <c r="AZ72" s="17"/>
      <c r="BA72" s="10"/>
      <c r="BB72" s="10"/>
    </row>
    <row r="73" spans="13:54" ht="15.75" customHeight="1" x14ac:dyDescent="0.2">
      <c r="M73" s="7"/>
      <c r="R73" s="8"/>
      <c r="S73" s="8"/>
      <c r="U73" s="16"/>
      <c r="AC73" s="16"/>
      <c r="AY73" s="17"/>
      <c r="AZ73" s="17"/>
      <c r="BA73" s="10"/>
      <c r="BB73" s="10"/>
    </row>
    <row r="74" spans="13:54" ht="15.75" customHeight="1" x14ac:dyDescent="0.2">
      <c r="M74" s="7"/>
      <c r="R74" s="8"/>
      <c r="S74" s="8"/>
      <c r="U74" s="16"/>
      <c r="AC74" s="16"/>
      <c r="AY74" s="17"/>
      <c r="AZ74" s="17"/>
      <c r="BA74" s="10"/>
      <c r="BB74" s="10"/>
    </row>
    <row r="75" spans="13:54" ht="15.75" customHeight="1" x14ac:dyDescent="0.2">
      <c r="M75" s="7"/>
      <c r="R75" s="8"/>
      <c r="S75" s="8"/>
      <c r="U75" s="16"/>
      <c r="AC75" s="16"/>
      <c r="AY75" s="17"/>
      <c r="AZ75" s="17"/>
      <c r="BA75" s="10"/>
      <c r="BB75" s="10"/>
    </row>
    <row r="76" spans="13:54" ht="15.75" customHeight="1" x14ac:dyDescent="0.2">
      <c r="M76" s="7"/>
      <c r="R76" s="8"/>
      <c r="S76" s="8"/>
      <c r="U76" s="16"/>
      <c r="AC76" s="16"/>
      <c r="AY76" s="17"/>
      <c r="AZ76" s="17"/>
      <c r="BA76" s="10"/>
      <c r="BB76" s="10"/>
    </row>
    <row r="77" spans="13:54" ht="15.75" customHeight="1" x14ac:dyDescent="0.2">
      <c r="M77" s="7"/>
      <c r="R77" s="8"/>
      <c r="S77" s="8"/>
      <c r="U77" s="16"/>
      <c r="AC77" s="16"/>
      <c r="AY77" s="17"/>
      <c r="AZ77" s="17"/>
      <c r="BA77" s="10"/>
      <c r="BB77" s="10"/>
    </row>
    <row r="78" spans="13:54" ht="15.75" customHeight="1" x14ac:dyDescent="0.2">
      <c r="M78" s="7"/>
      <c r="R78" s="8"/>
      <c r="S78" s="8"/>
      <c r="U78" s="16"/>
      <c r="AC78" s="16"/>
      <c r="AY78" s="17"/>
      <c r="AZ78" s="17"/>
      <c r="BA78" s="10"/>
      <c r="BB78" s="10"/>
    </row>
    <row r="79" spans="13:54" ht="15.75" customHeight="1" x14ac:dyDescent="0.2">
      <c r="M79" s="7"/>
      <c r="R79" s="8"/>
      <c r="S79" s="8"/>
      <c r="U79" s="16"/>
      <c r="AC79" s="16"/>
      <c r="AY79" s="17"/>
      <c r="AZ79" s="17"/>
      <c r="BA79" s="10"/>
      <c r="BB79" s="10"/>
    </row>
    <row r="80" spans="13:54" ht="15.75" customHeight="1" x14ac:dyDescent="0.2">
      <c r="M80" s="7"/>
      <c r="R80" s="8"/>
      <c r="S80" s="8"/>
      <c r="U80" s="16"/>
      <c r="AC80" s="16"/>
      <c r="AY80" s="17"/>
      <c r="AZ80" s="17"/>
      <c r="BA80" s="10"/>
      <c r="BB80" s="10"/>
    </row>
    <row r="81" spans="13:54" ht="15.75" customHeight="1" x14ac:dyDescent="0.2">
      <c r="M81" s="7"/>
      <c r="R81" s="8"/>
      <c r="S81" s="8"/>
      <c r="U81" s="16"/>
      <c r="AC81" s="16"/>
      <c r="AY81" s="17"/>
      <c r="AZ81" s="17"/>
      <c r="BA81" s="10"/>
      <c r="BB81" s="10"/>
    </row>
    <row r="82" spans="13:54" ht="15.75" customHeight="1" x14ac:dyDescent="0.2">
      <c r="M82" s="7"/>
      <c r="R82" s="8"/>
      <c r="S82" s="8"/>
      <c r="U82" s="16"/>
      <c r="AC82" s="16"/>
      <c r="AY82" s="17"/>
      <c r="AZ82" s="17"/>
      <c r="BA82" s="10"/>
      <c r="BB82" s="10"/>
    </row>
    <row r="83" spans="13:54" ht="15.75" customHeight="1" x14ac:dyDescent="0.2">
      <c r="M83" s="7"/>
      <c r="R83" s="8"/>
      <c r="S83" s="8"/>
      <c r="U83" s="16"/>
      <c r="AC83" s="16"/>
      <c r="AY83" s="17"/>
      <c r="AZ83" s="17"/>
      <c r="BA83" s="10"/>
      <c r="BB83" s="10"/>
    </row>
    <row r="84" spans="13:54" ht="15.75" customHeight="1" x14ac:dyDescent="0.2">
      <c r="M84" s="7"/>
      <c r="R84" s="8"/>
      <c r="S84" s="8"/>
      <c r="U84" s="16"/>
      <c r="AC84" s="16"/>
      <c r="AY84" s="17"/>
      <c r="AZ84" s="17"/>
      <c r="BA84" s="10"/>
      <c r="BB84" s="10"/>
    </row>
    <row r="85" spans="13:54" ht="15.75" customHeight="1" x14ac:dyDescent="0.2">
      <c r="M85" s="7"/>
      <c r="R85" s="8"/>
      <c r="S85" s="8"/>
      <c r="U85" s="16"/>
      <c r="AC85" s="16"/>
      <c r="AY85" s="17"/>
      <c r="AZ85" s="17"/>
      <c r="BA85" s="10"/>
      <c r="BB85" s="10"/>
    </row>
    <row r="86" spans="13:54" ht="15.75" customHeight="1" x14ac:dyDescent="0.2">
      <c r="M86" s="7"/>
      <c r="R86" s="8"/>
      <c r="S86" s="8"/>
      <c r="U86" s="16"/>
      <c r="AC86" s="16"/>
      <c r="AY86" s="17"/>
      <c r="AZ86" s="17"/>
      <c r="BA86" s="10"/>
      <c r="BB86" s="10"/>
    </row>
    <row r="87" spans="13:54" ht="15.75" customHeight="1" x14ac:dyDescent="0.2">
      <c r="M87" s="7"/>
      <c r="R87" s="8"/>
      <c r="S87" s="8"/>
      <c r="U87" s="16"/>
      <c r="AC87" s="16"/>
      <c r="AY87" s="17"/>
      <c r="AZ87" s="17"/>
      <c r="BA87" s="10"/>
      <c r="BB87" s="10"/>
    </row>
    <row r="88" spans="13:54" ht="15.75" customHeight="1" x14ac:dyDescent="0.2">
      <c r="M88" s="7"/>
      <c r="R88" s="8"/>
      <c r="S88" s="8"/>
      <c r="U88" s="16"/>
      <c r="AC88" s="16"/>
      <c r="AY88" s="17"/>
      <c r="AZ88" s="17"/>
      <c r="BA88" s="10"/>
      <c r="BB88" s="10"/>
    </row>
    <row r="89" spans="13:54" ht="15.75" customHeight="1" x14ac:dyDescent="0.2">
      <c r="M89" s="7"/>
      <c r="R89" s="8"/>
      <c r="S89" s="8"/>
      <c r="U89" s="16"/>
      <c r="AC89" s="16"/>
      <c r="AY89" s="17"/>
      <c r="AZ89" s="17"/>
      <c r="BA89" s="10"/>
      <c r="BB89" s="10"/>
    </row>
    <row r="90" spans="13:54" ht="15.75" customHeight="1" x14ac:dyDescent="0.2">
      <c r="M90" s="7"/>
      <c r="R90" s="8"/>
      <c r="S90" s="8"/>
      <c r="U90" s="16"/>
      <c r="AC90" s="16"/>
      <c r="AY90" s="17"/>
      <c r="AZ90" s="17"/>
      <c r="BA90" s="10"/>
      <c r="BB90" s="10"/>
    </row>
    <row r="91" spans="13:54" ht="15.75" customHeight="1" x14ac:dyDescent="0.2">
      <c r="M91" s="7"/>
      <c r="R91" s="8"/>
      <c r="S91" s="8"/>
      <c r="U91" s="16"/>
      <c r="AC91" s="16"/>
      <c r="AY91" s="17"/>
      <c r="AZ91" s="17"/>
      <c r="BA91" s="10"/>
      <c r="BB91" s="10"/>
    </row>
    <row r="92" spans="13:54" ht="15.75" customHeight="1" x14ac:dyDescent="0.2">
      <c r="M92" s="7"/>
      <c r="R92" s="8"/>
      <c r="S92" s="8"/>
      <c r="U92" s="16"/>
      <c r="AC92" s="16"/>
      <c r="AY92" s="17"/>
      <c r="AZ92" s="17"/>
      <c r="BA92" s="10"/>
      <c r="BB92" s="10"/>
    </row>
    <row r="93" spans="13:54" ht="15.75" customHeight="1" x14ac:dyDescent="0.2">
      <c r="M93" s="7"/>
      <c r="R93" s="8"/>
      <c r="S93" s="8"/>
      <c r="U93" s="16"/>
      <c r="AC93" s="16"/>
      <c r="AY93" s="17"/>
      <c r="AZ93" s="17"/>
      <c r="BA93" s="10"/>
      <c r="BB93" s="10"/>
    </row>
    <row r="94" spans="13:54" ht="15.75" customHeight="1" x14ac:dyDescent="0.2">
      <c r="M94" s="7"/>
      <c r="R94" s="8"/>
      <c r="S94" s="8"/>
      <c r="U94" s="16"/>
      <c r="AC94" s="16"/>
      <c r="AY94" s="17"/>
      <c r="AZ94" s="17"/>
      <c r="BA94" s="10"/>
      <c r="BB94" s="10"/>
    </row>
    <row r="95" spans="13:54" ht="15.75" customHeight="1" x14ac:dyDescent="0.2">
      <c r="M95" s="7"/>
      <c r="R95" s="8"/>
      <c r="S95" s="8"/>
      <c r="U95" s="16"/>
      <c r="AC95" s="16"/>
      <c r="AY95" s="17"/>
      <c r="AZ95" s="17"/>
      <c r="BA95" s="10"/>
      <c r="BB95" s="10"/>
    </row>
    <row r="96" spans="13:54" ht="15.75" customHeight="1" x14ac:dyDescent="0.2">
      <c r="M96" s="7"/>
      <c r="R96" s="8"/>
      <c r="S96" s="8"/>
      <c r="U96" s="16"/>
      <c r="AC96" s="16"/>
      <c r="AY96" s="17"/>
      <c r="AZ96" s="17"/>
      <c r="BA96" s="10"/>
      <c r="BB96" s="10"/>
    </row>
    <row r="97" spans="13:54" ht="15.75" customHeight="1" x14ac:dyDescent="0.2">
      <c r="M97" s="7"/>
      <c r="R97" s="8"/>
      <c r="S97" s="8"/>
      <c r="U97" s="16"/>
      <c r="AC97" s="16"/>
      <c r="AY97" s="17"/>
      <c r="AZ97" s="17"/>
      <c r="BA97" s="10"/>
      <c r="BB97" s="10"/>
    </row>
    <row r="98" spans="13:54" ht="15.75" customHeight="1" x14ac:dyDescent="0.2">
      <c r="M98" s="7"/>
      <c r="R98" s="8"/>
      <c r="S98" s="8"/>
      <c r="U98" s="16"/>
      <c r="AC98" s="16"/>
      <c r="AY98" s="17"/>
      <c r="AZ98" s="17"/>
      <c r="BA98" s="10"/>
      <c r="BB98" s="10"/>
    </row>
    <row r="99" spans="13:54" ht="15.75" customHeight="1" x14ac:dyDescent="0.2">
      <c r="M99" s="7"/>
      <c r="R99" s="8"/>
      <c r="S99" s="8"/>
      <c r="U99" s="16"/>
      <c r="AC99" s="16"/>
      <c r="AY99" s="17"/>
      <c r="AZ99" s="17"/>
      <c r="BA99" s="10"/>
      <c r="BB99" s="10"/>
    </row>
    <row r="100" spans="13:54" ht="15.75" customHeight="1" x14ac:dyDescent="0.2">
      <c r="M100" s="7"/>
      <c r="R100" s="8"/>
      <c r="S100" s="8"/>
      <c r="U100" s="16"/>
      <c r="AC100" s="16"/>
      <c r="AY100" s="17"/>
      <c r="AZ100" s="17"/>
      <c r="BA100" s="10"/>
      <c r="BB100" s="10"/>
    </row>
    <row r="101" spans="13:54" ht="15.75" customHeight="1" x14ac:dyDescent="0.2">
      <c r="M101" s="7"/>
      <c r="R101" s="8"/>
      <c r="S101" s="8"/>
      <c r="U101" s="16"/>
      <c r="AC101" s="16"/>
      <c r="AY101" s="17"/>
      <c r="AZ101" s="17"/>
      <c r="BA101" s="10"/>
      <c r="BB101" s="10"/>
    </row>
    <row r="102" spans="13:54" ht="15.75" customHeight="1" x14ac:dyDescent="0.2">
      <c r="M102" s="7"/>
      <c r="R102" s="8"/>
      <c r="S102" s="8"/>
      <c r="U102" s="16"/>
      <c r="AC102" s="16"/>
      <c r="AY102" s="17"/>
      <c r="AZ102" s="17"/>
      <c r="BA102" s="10"/>
      <c r="BB102" s="10"/>
    </row>
    <row r="103" spans="13:54" ht="15.75" customHeight="1" x14ac:dyDescent="0.2">
      <c r="M103" s="7"/>
      <c r="R103" s="8"/>
      <c r="S103" s="8"/>
      <c r="U103" s="16"/>
      <c r="AC103" s="16"/>
      <c r="AY103" s="17"/>
      <c r="AZ103" s="17"/>
      <c r="BA103" s="10"/>
      <c r="BB103" s="10"/>
    </row>
    <row r="104" spans="13:54" ht="15.75" customHeight="1" x14ac:dyDescent="0.2">
      <c r="M104" s="7"/>
      <c r="R104" s="8"/>
      <c r="S104" s="8"/>
      <c r="U104" s="16"/>
      <c r="AC104" s="16"/>
      <c r="AY104" s="17"/>
      <c r="AZ104" s="17"/>
      <c r="BA104" s="10"/>
      <c r="BB104" s="10"/>
    </row>
    <row r="105" spans="13:54" ht="15.75" customHeight="1" x14ac:dyDescent="0.2">
      <c r="M105" s="7"/>
      <c r="R105" s="8"/>
      <c r="S105" s="8"/>
      <c r="U105" s="16"/>
      <c r="AC105" s="16"/>
      <c r="AY105" s="17"/>
      <c r="AZ105" s="17"/>
      <c r="BA105" s="10"/>
      <c r="BB105" s="10"/>
    </row>
    <row r="106" spans="13:54" ht="15.75" customHeight="1" x14ac:dyDescent="0.2">
      <c r="M106" s="7"/>
      <c r="R106" s="8"/>
      <c r="S106" s="8"/>
      <c r="U106" s="16"/>
      <c r="AC106" s="16"/>
      <c r="AY106" s="17"/>
      <c r="AZ106" s="17"/>
      <c r="BA106" s="10"/>
      <c r="BB106" s="10"/>
    </row>
    <row r="107" spans="13:54" ht="15.75" customHeight="1" x14ac:dyDescent="0.2">
      <c r="M107" s="7"/>
      <c r="R107" s="8"/>
      <c r="S107" s="8"/>
      <c r="U107" s="16"/>
      <c r="AC107" s="16"/>
      <c r="AY107" s="17"/>
      <c r="AZ107" s="17"/>
      <c r="BA107" s="10"/>
      <c r="BB107" s="10"/>
    </row>
    <row r="108" spans="13:54" ht="15.75" customHeight="1" x14ac:dyDescent="0.2">
      <c r="M108" s="7"/>
      <c r="R108" s="8"/>
      <c r="S108" s="8"/>
      <c r="U108" s="16"/>
      <c r="AC108" s="16"/>
      <c r="AY108" s="17"/>
      <c r="AZ108" s="17"/>
      <c r="BA108" s="10"/>
      <c r="BB108" s="10"/>
    </row>
    <row r="109" spans="13:54" ht="15.75" customHeight="1" x14ac:dyDescent="0.2">
      <c r="M109" s="7"/>
      <c r="R109" s="8"/>
      <c r="S109" s="8"/>
      <c r="U109" s="16"/>
      <c r="AC109" s="16"/>
      <c r="AY109" s="17"/>
      <c r="AZ109" s="17"/>
      <c r="BA109" s="10"/>
      <c r="BB109" s="10"/>
    </row>
    <row r="110" spans="13:54" ht="15.75" customHeight="1" x14ac:dyDescent="0.2">
      <c r="M110" s="7"/>
      <c r="R110" s="8"/>
      <c r="S110" s="8"/>
      <c r="U110" s="16"/>
      <c r="AC110" s="16"/>
      <c r="AY110" s="17"/>
      <c r="AZ110" s="17"/>
      <c r="BA110" s="10"/>
      <c r="BB110" s="10"/>
    </row>
    <row r="111" spans="13:54" ht="15.75" customHeight="1" x14ac:dyDescent="0.2">
      <c r="M111" s="7"/>
      <c r="R111" s="8"/>
      <c r="S111" s="8"/>
      <c r="U111" s="16"/>
      <c r="AC111" s="16"/>
      <c r="AY111" s="17"/>
      <c r="AZ111" s="17"/>
      <c r="BA111" s="10"/>
      <c r="BB111" s="10"/>
    </row>
    <row r="112" spans="13:54" ht="15.75" customHeight="1" x14ac:dyDescent="0.2">
      <c r="M112" s="7"/>
      <c r="R112" s="8"/>
      <c r="S112" s="8"/>
      <c r="U112" s="16"/>
      <c r="AC112" s="16"/>
      <c r="AY112" s="17"/>
      <c r="AZ112" s="17"/>
      <c r="BA112" s="10"/>
      <c r="BB112" s="10"/>
    </row>
    <row r="113" spans="13:54" ht="15.75" customHeight="1" x14ac:dyDescent="0.2">
      <c r="M113" s="7"/>
      <c r="R113" s="8"/>
      <c r="S113" s="8"/>
      <c r="U113" s="16"/>
      <c r="AC113" s="16"/>
      <c r="AY113" s="17"/>
      <c r="AZ113" s="17"/>
      <c r="BA113" s="10"/>
      <c r="BB113" s="10"/>
    </row>
    <row r="114" spans="13:54" ht="15.75" customHeight="1" x14ac:dyDescent="0.2">
      <c r="M114" s="7"/>
      <c r="R114" s="8"/>
      <c r="S114" s="8"/>
      <c r="U114" s="16"/>
      <c r="AC114" s="16"/>
      <c r="AY114" s="17"/>
      <c r="AZ114" s="17"/>
      <c r="BA114" s="10"/>
      <c r="BB114" s="10"/>
    </row>
    <row r="115" spans="13:54" ht="15.75" customHeight="1" x14ac:dyDescent="0.2">
      <c r="M115" s="7"/>
      <c r="R115" s="8"/>
      <c r="S115" s="8"/>
      <c r="U115" s="16"/>
      <c r="AC115" s="16"/>
      <c r="AY115" s="17"/>
      <c r="AZ115" s="17"/>
      <c r="BA115" s="10"/>
      <c r="BB115" s="10"/>
    </row>
    <row r="116" spans="13:54" ht="15.75" customHeight="1" x14ac:dyDescent="0.2">
      <c r="M116" s="7"/>
      <c r="R116" s="8"/>
      <c r="S116" s="8"/>
      <c r="U116" s="16"/>
      <c r="AC116" s="16"/>
      <c r="AY116" s="17"/>
      <c r="AZ116" s="17"/>
      <c r="BA116" s="10"/>
      <c r="BB116" s="10"/>
    </row>
    <row r="117" spans="13:54" ht="15.75" customHeight="1" x14ac:dyDescent="0.2">
      <c r="M117" s="7"/>
      <c r="R117" s="8"/>
      <c r="S117" s="8"/>
      <c r="U117" s="16"/>
      <c r="AC117" s="16"/>
      <c r="AY117" s="17"/>
      <c r="AZ117" s="17"/>
      <c r="BA117" s="10"/>
      <c r="BB117" s="10"/>
    </row>
    <row r="118" spans="13:54" ht="15.75" customHeight="1" x14ac:dyDescent="0.2">
      <c r="M118" s="7"/>
      <c r="R118" s="8"/>
      <c r="S118" s="8"/>
      <c r="U118" s="16"/>
      <c r="AC118" s="16"/>
      <c r="AY118" s="17"/>
      <c r="AZ118" s="17"/>
      <c r="BA118" s="10"/>
      <c r="BB118" s="10"/>
    </row>
    <row r="119" spans="13:54" ht="15.75" customHeight="1" x14ac:dyDescent="0.2">
      <c r="M119" s="7"/>
      <c r="R119" s="8"/>
      <c r="S119" s="8"/>
      <c r="U119" s="16"/>
      <c r="AC119" s="16"/>
      <c r="AY119" s="17"/>
      <c r="AZ119" s="17"/>
      <c r="BA119" s="10"/>
      <c r="BB119" s="10"/>
    </row>
    <row r="120" spans="13:54" ht="15.75" customHeight="1" x14ac:dyDescent="0.2">
      <c r="M120" s="7"/>
      <c r="R120" s="8"/>
      <c r="S120" s="8"/>
      <c r="U120" s="16"/>
      <c r="AC120" s="16"/>
      <c r="AY120" s="17"/>
      <c r="AZ120" s="17"/>
      <c r="BA120" s="10"/>
      <c r="BB120" s="10"/>
    </row>
    <row r="121" spans="13:54" ht="15.75" customHeight="1" x14ac:dyDescent="0.2">
      <c r="M121" s="7"/>
      <c r="R121" s="8"/>
      <c r="S121" s="8"/>
      <c r="U121" s="16"/>
      <c r="AC121" s="16"/>
      <c r="AY121" s="17"/>
      <c r="AZ121" s="17"/>
      <c r="BA121" s="10"/>
      <c r="BB121" s="10"/>
    </row>
    <row r="122" spans="13:54" ht="15.75" customHeight="1" x14ac:dyDescent="0.2">
      <c r="M122" s="7"/>
      <c r="R122" s="8"/>
      <c r="S122" s="8"/>
      <c r="U122" s="16"/>
      <c r="AC122" s="16"/>
      <c r="AY122" s="17"/>
      <c r="AZ122" s="17"/>
      <c r="BA122" s="10"/>
      <c r="BB122" s="10"/>
    </row>
    <row r="123" spans="13:54" ht="15.75" customHeight="1" x14ac:dyDescent="0.2">
      <c r="M123" s="7"/>
      <c r="R123" s="8"/>
      <c r="S123" s="8"/>
      <c r="U123" s="16"/>
      <c r="AC123" s="16"/>
      <c r="AY123" s="17"/>
      <c r="AZ123" s="17"/>
      <c r="BA123" s="10"/>
      <c r="BB123" s="10"/>
    </row>
    <row r="124" spans="13:54" ht="15.75" customHeight="1" x14ac:dyDescent="0.2">
      <c r="M124" s="7"/>
      <c r="R124" s="8"/>
      <c r="S124" s="8"/>
      <c r="U124" s="16"/>
      <c r="AC124" s="16"/>
      <c r="AY124" s="17"/>
      <c r="AZ124" s="17"/>
      <c r="BA124" s="10"/>
      <c r="BB124" s="10"/>
    </row>
    <row r="125" spans="13:54" ht="15.75" customHeight="1" x14ac:dyDescent="0.2">
      <c r="M125" s="7"/>
      <c r="R125" s="8"/>
      <c r="S125" s="8"/>
      <c r="U125" s="16"/>
      <c r="AC125" s="16"/>
      <c r="AY125" s="17"/>
      <c r="AZ125" s="17"/>
      <c r="BA125" s="10"/>
      <c r="BB125" s="10"/>
    </row>
    <row r="126" spans="13:54" ht="15.75" customHeight="1" x14ac:dyDescent="0.2">
      <c r="M126" s="7"/>
      <c r="R126" s="8"/>
      <c r="S126" s="8"/>
      <c r="U126" s="16"/>
      <c r="AC126" s="16"/>
      <c r="AY126" s="17"/>
      <c r="AZ126" s="17"/>
      <c r="BA126" s="10"/>
      <c r="BB126" s="10"/>
    </row>
    <row r="127" spans="13:54" ht="15.75" customHeight="1" x14ac:dyDescent="0.2">
      <c r="M127" s="7"/>
      <c r="R127" s="8"/>
      <c r="S127" s="8"/>
      <c r="U127" s="16"/>
      <c r="AC127" s="16"/>
      <c r="AY127" s="17"/>
      <c r="AZ127" s="17"/>
      <c r="BA127" s="10"/>
      <c r="BB127" s="10"/>
    </row>
    <row r="128" spans="13:54" ht="15.75" customHeight="1" x14ac:dyDescent="0.2">
      <c r="M128" s="7"/>
      <c r="R128" s="8"/>
      <c r="S128" s="8"/>
      <c r="U128" s="16"/>
      <c r="AC128" s="16"/>
      <c r="AY128" s="17"/>
      <c r="AZ128" s="17"/>
      <c r="BA128" s="10"/>
      <c r="BB128" s="10"/>
    </row>
    <row r="129" spans="13:54" ht="15.75" customHeight="1" x14ac:dyDescent="0.2">
      <c r="M129" s="7"/>
      <c r="R129" s="8"/>
      <c r="S129" s="8"/>
      <c r="U129" s="16"/>
      <c r="AC129" s="16"/>
      <c r="AY129" s="17"/>
      <c r="AZ129" s="17"/>
      <c r="BA129" s="10"/>
      <c r="BB129" s="10"/>
    </row>
    <row r="130" spans="13:54" ht="15.75" customHeight="1" x14ac:dyDescent="0.2">
      <c r="M130" s="7"/>
      <c r="R130" s="8"/>
      <c r="S130" s="8"/>
      <c r="U130" s="16"/>
      <c r="AC130" s="16"/>
      <c r="AY130" s="17"/>
      <c r="AZ130" s="17"/>
      <c r="BA130" s="10"/>
      <c r="BB130" s="10"/>
    </row>
    <row r="131" spans="13:54" ht="15.75" customHeight="1" x14ac:dyDescent="0.2">
      <c r="M131" s="7"/>
      <c r="R131" s="8"/>
      <c r="S131" s="8"/>
      <c r="U131" s="16"/>
      <c r="AC131" s="16"/>
      <c r="AY131" s="17"/>
      <c r="AZ131" s="17"/>
      <c r="BA131" s="10"/>
      <c r="BB131" s="10"/>
    </row>
    <row r="132" spans="13:54" ht="15.75" customHeight="1" x14ac:dyDescent="0.2">
      <c r="M132" s="7"/>
      <c r="R132" s="8"/>
      <c r="S132" s="8"/>
      <c r="U132" s="16"/>
      <c r="AC132" s="16"/>
      <c r="AY132" s="17"/>
      <c r="AZ132" s="17"/>
      <c r="BA132" s="10"/>
      <c r="BB132" s="10"/>
    </row>
    <row r="133" spans="13:54" ht="15.75" customHeight="1" x14ac:dyDescent="0.2">
      <c r="M133" s="7"/>
      <c r="R133" s="8"/>
      <c r="S133" s="8"/>
      <c r="U133" s="16"/>
      <c r="AC133" s="16"/>
      <c r="AY133" s="17"/>
      <c r="AZ133" s="17"/>
      <c r="BA133" s="10"/>
      <c r="BB133" s="10"/>
    </row>
    <row r="134" spans="13:54" ht="15.75" customHeight="1" x14ac:dyDescent="0.2">
      <c r="M134" s="7"/>
      <c r="R134" s="8"/>
      <c r="S134" s="8"/>
      <c r="U134" s="16"/>
      <c r="AC134" s="16"/>
      <c r="AY134" s="17"/>
      <c r="AZ134" s="17"/>
      <c r="BA134" s="10"/>
      <c r="BB134" s="10"/>
    </row>
    <row r="135" spans="13:54" ht="15.75" customHeight="1" x14ac:dyDescent="0.2">
      <c r="M135" s="7"/>
      <c r="R135" s="8"/>
      <c r="S135" s="8"/>
      <c r="U135" s="16"/>
      <c r="AC135" s="16"/>
      <c r="AY135" s="17"/>
      <c r="AZ135" s="17"/>
      <c r="BA135" s="10"/>
      <c r="BB135" s="10"/>
    </row>
    <row r="136" spans="13:54" ht="15.75" customHeight="1" x14ac:dyDescent="0.2">
      <c r="M136" s="7"/>
      <c r="R136" s="8"/>
      <c r="S136" s="8"/>
      <c r="U136" s="16"/>
      <c r="AC136" s="16"/>
      <c r="AY136" s="17"/>
      <c r="AZ136" s="17"/>
      <c r="BA136" s="10"/>
      <c r="BB136" s="10"/>
    </row>
    <row r="137" spans="13:54" ht="15.75" customHeight="1" x14ac:dyDescent="0.2">
      <c r="M137" s="7"/>
      <c r="R137" s="8"/>
      <c r="S137" s="8"/>
      <c r="U137" s="16"/>
      <c r="AC137" s="16"/>
      <c r="AY137" s="17"/>
      <c r="AZ137" s="17"/>
      <c r="BA137" s="10"/>
      <c r="BB137" s="10"/>
    </row>
    <row r="138" spans="13:54" ht="15.75" customHeight="1" x14ac:dyDescent="0.2">
      <c r="M138" s="7"/>
      <c r="R138" s="8"/>
      <c r="S138" s="8"/>
      <c r="U138" s="16"/>
      <c r="AC138" s="16"/>
      <c r="AY138" s="17"/>
      <c r="AZ138" s="17"/>
      <c r="BA138" s="10"/>
      <c r="BB138" s="10"/>
    </row>
    <row r="139" spans="13:54" ht="15.75" customHeight="1" x14ac:dyDescent="0.2">
      <c r="M139" s="7"/>
      <c r="R139" s="8"/>
      <c r="S139" s="8"/>
      <c r="U139" s="16"/>
      <c r="AC139" s="16"/>
      <c r="AY139" s="17"/>
      <c r="AZ139" s="17"/>
      <c r="BA139" s="10"/>
      <c r="BB139" s="10"/>
    </row>
    <row r="140" spans="13:54" ht="15.75" customHeight="1" x14ac:dyDescent="0.2">
      <c r="M140" s="7"/>
      <c r="R140" s="8"/>
      <c r="S140" s="8"/>
      <c r="U140" s="16"/>
      <c r="AC140" s="16"/>
      <c r="AY140" s="17"/>
      <c r="AZ140" s="17"/>
      <c r="BA140" s="10"/>
      <c r="BB140" s="10"/>
    </row>
    <row r="141" spans="13:54" ht="15.75" customHeight="1" x14ac:dyDescent="0.2">
      <c r="M141" s="7"/>
      <c r="R141" s="8"/>
      <c r="S141" s="8"/>
      <c r="U141" s="16"/>
      <c r="AC141" s="16"/>
      <c r="AY141" s="17"/>
      <c r="AZ141" s="17"/>
      <c r="BA141" s="10"/>
      <c r="BB141" s="10"/>
    </row>
    <row r="142" spans="13:54" ht="15.75" customHeight="1" x14ac:dyDescent="0.2">
      <c r="M142" s="7"/>
      <c r="R142" s="8"/>
      <c r="S142" s="8"/>
      <c r="U142" s="16"/>
      <c r="AC142" s="16"/>
      <c r="AY142" s="17"/>
      <c r="AZ142" s="17"/>
      <c r="BA142" s="10"/>
      <c r="BB142" s="10"/>
    </row>
    <row r="143" spans="13:54" ht="15.75" customHeight="1" x14ac:dyDescent="0.2">
      <c r="M143" s="7"/>
      <c r="R143" s="8"/>
      <c r="S143" s="8"/>
      <c r="U143" s="16"/>
      <c r="AC143" s="16"/>
      <c r="AY143" s="17"/>
      <c r="AZ143" s="17"/>
      <c r="BA143" s="10"/>
      <c r="BB143" s="10"/>
    </row>
    <row r="144" spans="13:54" ht="15.75" customHeight="1" x14ac:dyDescent="0.2">
      <c r="M144" s="7"/>
      <c r="R144" s="8"/>
      <c r="S144" s="8"/>
      <c r="U144" s="16"/>
      <c r="AC144" s="16"/>
      <c r="AY144" s="17"/>
      <c r="AZ144" s="17"/>
      <c r="BA144" s="10"/>
      <c r="BB144" s="10"/>
    </row>
    <row r="145" spans="13:54" ht="15.75" customHeight="1" x14ac:dyDescent="0.2">
      <c r="M145" s="7"/>
      <c r="R145" s="8"/>
      <c r="S145" s="8"/>
      <c r="U145" s="16"/>
      <c r="AC145" s="16"/>
      <c r="AY145" s="17"/>
      <c r="AZ145" s="17"/>
      <c r="BA145" s="10"/>
      <c r="BB145" s="10"/>
    </row>
    <row r="146" spans="13:54" ht="15.75" customHeight="1" x14ac:dyDescent="0.2">
      <c r="M146" s="7"/>
      <c r="R146" s="8"/>
      <c r="S146" s="8"/>
      <c r="U146" s="16"/>
      <c r="AC146" s="16"/>
      <c r="AY146" s="17"/>
      <c r="AZ146" s="17"/>
      <c r="BA146" s="10"/>
      <c r="BB146" s="10"/>
    </row>
    <row r="147" spans="13:54" ht="15.75" customHeight="1" x14ac:dyDescent="0.2">
      <c r="M147" s="7"/>
      <c r="R147" s="8"/>
      <c r="S147" s="8"/>
      <c r="U147" s="16"/>
      <c r="AC147" s="16"/>
      <c r="AY147" s="17"/>
      <c r="AZ147" s="17"/>
      <c r="BA147" s="10"/>
      <c r="BB147" s="10"/>
    </row>
    <row r="148" spans="13:54" ht="15.75" customHeight="1" x14ac:dyDescent="0.2">
      <c r="M148" s="7"/>
      <c r="R148" s="8"/>
      <c r="S148" s="8"/>
      <c r="U148" s="16"/>
      <c r="AC148" s="16"/>
      <c r="AY148" s="17"/>
      <c r="AZ148" s="17"/>
      <c r="BA148" s="10"/>
      <c r="BB148" s="10"/>
    </row>
    <row r="149" spans="13:54" ht="15.75" customHeight="1" x14ac:dyDescent="0.2">
      <c r="M149" s="7"/>
      <c r="R149" s="8"/>
      <c r="S149" s="8"/>
      <c r="U149" s="16"/>
      <c r="AC149" s="16"/>
      <c r="AY149" s="17"/>
      <c r="AZ149" s="17"/>
      <c r="BA149" s="10"/>
      <c r="BB149" s="10"/>
    </row>
    <row r="150" spans="13:54" ht="15.75" customHeight="1" x14ac:dyDescent="0.2">
      <c r="M150" s="7"/>
      <c r="R150" s="8"/>
      <c r="S150" s="8"/>
      <c r="U150" s="16"/>
      <c r="AC150" s="16"/>
      <c r="AY150" s="17"/>
      <c r="AZ150" s="17"/>
      <c r="BA150" s="10"/>
      <c r="BB150" s="10"/>
    </row>
    <row r="151" spans="13:54" ht="15.75" customHeight="1" x14ac:dyDescent="0.2">
      <c r="M151" s="7"/>
      <c r="R151" s="8"/>
      <c r="S151" s="8"/>
      <c r="U151" s="16"/>
      <c r="AC151" s="16"/>
      <c r="AY151" s="17"/>
      <c r="AZ151" s="17"/>
      <c r="BA151" s="10"/>
      <c r="BB151" s="10"/>
    </row>
    <row r="152" spans="13:54" ht="15.75" customHeight="1" x14ac:dyDescent="0.2">
      <c r="M152" s="7"/>
      <c r="R152" s="8"/>
      <c r="S152" s="8"/>
      <c r="U152" s="16"/>
      <c r="AC152" s="16"/>
      <c r="AY152" s="17"/>
      <c r="AZ152" s="17"/>
      <c r="BA152" s="10"/>
      <c r="BB152" s="10"/>
    </row>
    <row r="153" spans="13:54" ht="15.75" customHeight="1" x14ac:dyDescent="0.2">
      <c r="M153" s="7"/>
      <c r="R153" s="8"/>
      <c r="S153" s="8"/>
      <c r="U153" s="16"/>
      <c r="AC153" s="16"/>
      <c r="AY153" s="17"/>
      <c r="AZ153" s="17"/>
      <c r="BA153" s="10"/>
      <c r="BB153" s="10"/>
    </row>
    <row r="154" spans="13:54" ht="15.75" customHeight="1" x14ac:dyDescent="0.2">
      <c r="M154" s="7"/>
      <c r="R154" s="8"/>
      <c r="S154" s="8"/>
      <c r="U154" s="16"/>
      <c r="AC154" s="16"/>
      <c r="AY154" s="17"/>
      <c r="AZ154" s="17"/>
      <c r="BA154" s="10"/>
      <c r="BB154" s="10"/>
    </row>
    <row r="155" spans="13:54" ht="15.75" customHeight="1" x14ac:dyDescent="0.2">
      <c r="M155" s="7"/>
      <c r="R155" s="8"/>
      <c r="S155" s="8"/>
      <c r="U155" s="16"/>
      <c r="AC155" s="16"/>
      <c r="AY155" s="17"/>
      <c r="AZ155" s="17"/>
      <c r="BA155" s="10"/>
      <c r="BB155" s="10"/>
    </row>
    <row r="156" spans="13:54" ht="15.75" customHeight="1" x14ac:dyDescent="0.2">
      <c r="M156" s="7"/>
      <c r="R156" s="8"/>
      <c r="S156" s="8"/>
      <c r="U156" s="16"/>
      <c r="AC156" s="16"/>
      <c r="AY156" s="17"/>
      <c r="AZ156" s="17"/>
      <c r="BA156" s="10"/>
      <c r="BB156" s="10"/>
    </row>
    <row r="157" spans="13:54" ht="15.75" customHeight="1" x14ac:dyDescent="0.2">
      <c r="M157" s="7"/>
      <c r="R157" s="8"/>
      <c r="S157" s="8"/>
      <c r="U157" s="16"/>
      <c r="AC157" s="16"/>
      <c r="AY157" s="17"/>
      <c r="AZ157" s="17"/>
      <c r="BA157" s="10"/>
      <c r="BB157" s="10"/>
    </row>
    <row r="158" spans="13:54" ht="15.75" customHeight="1" x14ac:dyDescent="0.2">
      <c r="M158" s="7"/>
      <c r="R158" s="8"/>
      <c r="S158" s="8"/>
      <c r="U158" s="16"/>
      <c r="AC158" s="16"/>
      <c r="AY158" s="17"/>
      <c r="AZ158" s="17"/>
      <c r="BA158" s="10"/>
      <c r="BB158" s="10"/>
    </row>
    <row r="159" spans="13:54" ht="15.75" customHeight="1" x14ac:dyDescent="0.2">
      <c r="M159" s="7"/>
      <c r="R159" s="8"/>
      <c r="S159" s="8"/>
      <c r="U159" s="16"/>
      <c r="AC159" s="16"/>
      <c r="AY159" s="17"/>
      <c r="AZ159" s="17"/>
      <c r="BA159" s="10"/>
      <c r="BB159" s="10"/>
    </row>
    <row r="160" spans="13:54" ht="15.75" customHeight="1" x14ac:dyDescent="0.2">
      <c r="M160" s="7"/>
      <c r="R160" s="8"/>
      <c r="S160" s="8"/>
      <c r="U160" s="16"/>
      <c r="AC160" s="16"/>
      <c r="AY160" s="17"/>
      <c r="AZ160" s="17"/>
      <c r="BA160" s="10"/>
      <c r="BB160" s="10"/>
    </row>
    <row r="161" spans="13:54" ht="15.75" customHeight="1" x14ac:dyDescent="0.2">
      <c r="M161" s="7"/>
      <c r="R161" s="8"/>
      <c r="S161" s="8"/>
      <c r="U161" s="16"/>
      <c r="AC161" s="16"/>
      <c r="AY161" s="17"/>
      <c r="AZ161" s="17"/>
      <c r="BA161" s="10"/>
      <c r="BB161" s="10"/>
    </row>
    <row r="162" spans="13:54" ht="15.75" customHeight="1" x14ac:dyDescent="0.2">
      <c r="M162" s="7"/>
      <c r="R162" s="8"/>
      <c r="S162" s="8"/>
      <c r="U162" s="16"/>
      <c r="AC162" s="16"/>
      <c r="AY162" s="17"/>
      <c r="AZ162" s="17"/>
      <c r="BA162" s="10"/>
      <c r="BB162" s="10"/>
    </row>
    <row r="163" spans="13:54" ht="15.75" customHeight="1" x14ac:dyDescent="0.2">
      <c r="M163" s="7"/>
      <c r="R163" s="8"/>
      <c r="S163" s="8"/>
      <c r="U163" s="16"/>
      <c r="AC163" s="16"/>
      <c r="AY163" s="17"/>
      <c r="AZ163" s="17"/>
      <c r="BA163" s="10"/>
      <c r="BB163" s="10"/>
    </row>
    <row r="164" spans="13:54" ht="15.75" customHeight="1" x14ac:dyDescent="0.2">
      <c r="M164" s="7"/>
      <c r="R164" s="8"/>
      <c r="S164" s="8"/>
      <c r="U164" s="16"/>
      <c r="AC164" s="16"/>
      <c r="AY164" s="17"/>
      <c r="AZ164" s="17"/>
      <c r="BA164" s="10"/>
      <c r="BB164" s="10"/>
    </row>
    <row r="165" spans="13:54" ht="15.75" customHeight="1" x14ac:dyDescent="0.2">
      <c r="M165" s="7"/>
      <c r="R165" s="8"/>
      <c r="S165" s="8"/>
      <c r="U165" s="16"/>
      <c r="AC165" s="16"/>
      <c r="AY165" s="17"/>
      <c r="AZ165" s="17"/>
      <c r="BA165" s="10"/>
      <c r="BB165" s="10"/>
    </row>
    <row r="166" spans="13:54" ht="15.75" customHeight="1" x14ac:dyDescent="0.2">
      <c r="M166" s="7"/>
      <c r="R166" s="8"/>
      <c r="S166" s="8"/>
      <c r="U166" s="16"/>
      <c r="AC166" s="16"/>
      <c r="AY166" s="17"/>
      <c r="AZ166" s="17"/>
      <c r="BA166" s="10"/>
      <c r="BB166" s="10"/>
    </row>
    <row r="167" spans="13:54" ht="15.75" customHeight="1" x14ac:dyDescent="0.2">
      <c r="M167" s="7"/>
      <c r="R167" s="8"/>
      <c r="S167" s="8"/>
      <c r="U167" s="16"/>
      <c r="AC167" s="16"/>
      <c r="AY167" s="17"/>
      <c r="AZ167" s="17"/>
      <c r="BA167" s="10"/>
      <c r="BB167" s="10"/>
    </row>
    <row r="168" spans="13:54" ht="15.75" customHeight="1" x14ac:dyDescent="0.2">
      <c r="M168" s="7"/>
      <c r="R168" s="8"/>
      <c r="S168" s="8"/>
      <c r="U168" s="16"/>
      <c r="AC168" s="16"/>
      <c r="AY168" s="17"/>
      <c r="AZ168" s="17"/>
      <c r="BA168" s="10"/>
      <c r="BB168" s="10"/>
    </row>
    <row r="169" spans="13:54" ht="15.75" customHeight="1" x14ac:dyDescent="0.2">
      <c r="M169" s="7"/>
      <c r="R169" s="8"/>
      <c r="S169" s="8"/>
      <c r="U169" s="16"/>
      <c r="AC169" s="16"/>
      <c r="AY169" s="17"/>
      <c r="AZ169" s="17"/>
      <c r="BA169" s="10"/>
      <c r="BB169" s="10"/>
    </row>
    <row r="170" spans="13:54" ht="15.75" customHeight="1" x14ac:dyDescent="0.2">
      <c r="M170" s="7"/>
      <c r="R170" s="8"/>
      <c r="S170" s="8"/>
      <c r="U170" s="16"/>
      <c r="AC170" s="16"/>
      <c r="AY170" s="17"/>
      <c r="AZ170" s="17"/>
      <c r="BA170" s="10"/>
      <c r="BB170" s="10"/>
    </row>
    <row r="171" spans="13:54" ht="15.75" customHeight="1" x14ac:dyDescent="0.2">
      <c r="M171" s="7"/>
      <c r="R171" s="8"/>
      <c r="S171" s="8"/>
      <c r="U171" s="16"/>
      <c r="AC171" s="16"/>
      <c r="AY171" s="17"/>
      <c r="AZ171" s="17"/>
      <c r="BA171" s="10"/>
      <c r="BB171" s="10"/>
    </row>
    <row r="172" spans="13:54" ht="15.75" customHeight="1" x14ac:dyDescent="0.2">
      <c r="M172" s="7"/>
      <c r="R172" s="8"/>
      <c r="S172" s="8"/>
      <c r="U172" s="16"/>
      <c r="AC172" s="16"/>
      <c r="AY172" s="17"/>
      <c r="AZ172" s="17"/>
      <c r="BA172" s="10"/>
      <c r="BB172" s="10"/>
    </row>
    <row r="173" spans="13:54" ht="15.75" customHeight="1" x14ac:dyDescent="0.2">
      <c r="M173" s="7"/>
      <c r="R173" s="8"/>
      <c r="S173" s="8"/>
      <c r="U173" s="16"/>
      <c r="AC173" s="16"/>
      <c r="AY173" s="17"/>
      <c r="AZ173" s="17"/>
      <c r="BA173" s="10"/>
      <c r="BB173" s="10"/>
    </row>
    <row r="174" spans="13:54" ht="15.75" customHeight="1" x14ac:dyDescent="0.2">
      <c r="M174" s="7"/>
      <c r="R174" s="8"/>
      <c r="S174" s="8"/>
      <c r="U174" s="16"/>
      <c r="AC174" s="16"/>
      <c r="AY174" s="17"/>
      <c r="AZ174" s="17"/>
      <c r="BA174" s="10"/>
      <c r="BB174" s="10"/>
    </row>
    <row r="175" spans="13:54" ht="15.75" customHeight="1" x14ac:dyDescent="0.2">
      <c r="M175" s="7"/>
      <c r="R175" s="8"/>
      <c r="S175" s="8"/>
      <c r="U175" s="16"/>
      <c r="AC175" s="16"/>
      <c r="AY175" s="17"/>
      <c r="AZ175" s="17"/>
      <c r="BA175" s="10"/>
      <c r="BB175" s="10"/>
    </row>
    <row r="176" spans="13:54" ht="15.75" customHeight="1" x14ac:dyDescent="0.2">
      <c r="M176" s="7"/>
      <c r="R176" s="8"/>
      <c r="S176" s="8"/>
      <c r="U176" s="16"/>
      <c r="AC176" s="16"/>
      <c r="AY176" s="17"/>
      <c r="AZ176" s="17"/>
      <c r="BA176" s="10"/>
      <c r="BB176" s="10"/>
    </row>
    <row r="177" spans="13:54" ht="15.75" customHeight="1" x14ac:dyDescent="0.2">
      <c r="M177" s="7"/>
      <c r="R177" s="8"/>
      <c r="S177" s="8"/>
      <c r="U177" s="16"/>
      <c r="AC177" s="16"/>
      <c r="AY177" s="17"/>
      <c r="AZ177" s="17"/>
      <c r="BA177" s="10"/>
      <c r="BB177" s="10"/>
    </row>
    <row r="178" spans="13:54" ht="15.75" customHeight="1" x14ac:dyDescent="0.2">
      <c r="M178" s="7"/>
      <c r="R178" s="8"/>
      <c r="S178" s="8"/>
      <c r="U178" s="16"/>
      <c r="AC178" s="16"/>
      <c r="AY178" s="17"/>
      <c r="AZ178" s="17"/>
      <c r="BA178" s="10"/>
      <c r="BB178" s="10"/>
    </row>
    <row r="179" spans="13:54" ht="15.75" customHeight="1" x14ac:dyDescent="0.2">
      <c r="M179" s="7"/>
      <c r="R179" s="8"/>
      <c r="S179" s="8"/>
      <c r="U179" s="16"/>
      <c r="AC179" s="16"/>
      <c r="AY179" s="17"/>
      <c r="AZ179" s="17"/>
      <c r="BA179" s="10"/>
      <c r="BB179" s="10"/>
    </row>
    <row r="180" spans="13:54" ht="15.75" customHeight="1" x14ac:dyDescent="0.2">
      <c r="M180" s="7"/>
      <c r="R180" s="8"/>
      <c r="S180" s="8"/>
      <c r="U180" s="16"/>
      <c r="AC180" s="16"/>
      <c r="AY180" s="17"/>
      <c r="AZ180" s="17"/>
      <c r="BA180" s="10"/>
      <c r="BB180" s="10"/>
    </row>
    <row r="181" spans="13:54" ht="15.75" customHeight="1" x14ac:dyDescent="0.2">
      <c r="M181" s="7"/>
      <c r="R181" s="8"/>
      <c r="S181" s="8"/>
      <c r="U181" s="16"/>
      <c r="AC181" s="16"/>
      <c r="AY181" s="17"/>
      <c r="AZ181" s="17"/>
      <c r="BA181" s="10"/>
      <c r="BB181" s="10"/>
    </row>
    <row r="182" spans="13:54" ht="15.75" customHeight="1" x14ac:dyDescent="0.2">
      <c r="M182" s="7"/>
      <c r="R182" s="8"/>
      <c r="S182" s="8"/>
      <c r="U182" s="16"/>
      <c r="AC182" s="16"/>
      <c r="AY182" s="17"/>
      <c r="AZ182" s="17"/>
      <c r="BA182" s="10"/>
      <c r="BB182" s="10"/>
    </row>
    <row r="183" spans="13:54" ht="15.75" customHeight="1" x14ac:dyDescent="0.2">
      <c r="M183" s="7"/>
      <c r="R183" s="8"/>
      <c r="S183" s="8"/>
      <c r="U183" s="16"/>
      <c r="AC183" s="16"/>
      <c r="AY183" s="17"/>
      <c r="AZ183" s="17"/>
      <c r="BA183" s="10"/>
      <c r="BB183" s="10"/>
    </row>
    <row r="184" spans="13:54" ht="15.75" customHeight="1" x14ac:dyDescent="0.2">
      <c r="M184" s="7"/>
      <c r="R184" s="8"/>
      <c r="S184" s="8"/>
      <c r="U184" s="16"/>
      <c r="AC184" s="16"/>
      <c r="AY184" s="17"/>
      <c r="AZ184" s="17"/>
      <c r="BA184" s="10"/>
      <c r="BB184" s="10"/>
    </row>
    <row r="185" spans="13:54" ht="15.75" customHeight="1" x14ac:dyDescent="0.2">
      <c r="M185" s="7"/>
      <c r="R185" s="8"/>
      <c r="S185" s="8"/>
      <c r="U185" s="16"/>
      <c r="AC185" s="16"/>
      <c r="AY185" s="17"/>
      <c r="AZ185" s="17"/>
      <c r="BA185" s="10"/>
      <c r="BB185" s="10"/>
    </row>
    <row r="186" spans="13:54" ht="15.75" customHeight="1" x14ac:dyDescent="0.2">
      <c r="M186" s="7"/>
      <c r="R186" s="8"/>
      <c r="S186" s="8"/>
      <c r="U186" s="16"/>
      <c r="AC186" s="16"/>
      <c r="AY186" s="17"/>
      <c r="AZ186" s="17"/>
      <c r="BA186" s="10"/>
      <c r="BB186" s="10"/>
    </row>
    <row r="187" spans="13:54" ht="15.75" customHeight="1" x14ac:dyDescent="0.2">
      <c r="M187" s="7"/>
      <c r="R187" s="8"/>
      <c r="S187" s="8"/>
      <c r="U187" s="16"/>
      <c r="AC187" s="16"/>
      <c r="AY187" s="17"/>
      <c r="AZ187" s="17"/>
      <c r="BA187" s="10"/>
      <c r="BB187" s="10"/>
    </row>
    <row r="188" spans="13:54" ht="15.75" customHeight="1" x14ac:dyDescent="0.2">
      <c r="M188" s="7"/>
      <c r="R188" s="8"/>
      <c r="S188" s="8"/>
      <c r="U188" s="16"/>
      <c r="AC188" s="16"/>
      <c r="AY188" s="17"/>
      <c r="AZ188" s="17"/>
      <c r="BA188" s="10"/>
      <c r="BB188" s="10"/>
    </row>
    <row r="189" spans="13:54" ht="15.75" customHeight="1" x14ac:dyDescent="0.2">
      <c r="M189" s="7"/>
      <c r="R189" s="8"/>
      <c r="S189" s="8"/>
      <c r="U189" s="16"/>
      <c r="AC189" s="16"/>
      <c r="AY189" s="17"/>
      <c r="AZ189" s="17"/>
      <c r="BA189" s="10"/>
      <c r="BB189" s="10"/>
    </row>
    <row r="190" spans="13:54" ht="15.75" customHeight="1" x14ac:dyDescent="0.2">
      <c r="M190" s="7"/>
      <c r="R190" s="8"/>
      <c r="S190" s="8"/>
      <c r="U190" s="16"/>
      <c r="AC190" s="16"/>
      <c r="AY190" s="17"/>
      <c r="AZ190" s="17"/>
      <c r="BA190" s="10"/>
      <c r="BB190" s="10"/>
    </row>
    <row r="191" spans="13:54" ht="15.75" customHeight="1" x14ac:dyDescent="0.2">
      <c r="M191" s="7"/>
      <c r="R191" s="8"/>
      <c r="S191" s="8"/>
      <c r="U191" s="16"/>
      <c r="AC191" s="16"/>
      <c r="AY191" s="17"/>
      <c r="AZ191" s="17"/>
      <c r="BA191" s="10"/>
      <c r="BB191" s="10"/>
    </row>
    <row r="192" spans="13:54" ht="15.75" customHeight="1" x14ac:dyDescent="0.2">
      <c r="M192" s="7"/>
      <c r="R192" s="8"/>
      <c r="S192" s="8"/>
      <c r="U192" s="16"/>
      <c r="AC192" s="16"/>
      <c r="AY192" s="17"/>
      <c r="AZ192" s="17"/>
      <c r="BA192" s="10"/>
      <c r="BB192" s="10"/>
    </row>
    <row r="193" spans="13:54" ht="15.75" customHeight="1" x14ac:dyDescent="0.2">
      <c r="M193" s="7"/>
      <c r="R193" s="8"/>
      <c r="S193" s="8"/>
      <c r="U193" s="16"/>
      <c r="AC193" s="16"/>
      <c r="AY193" s="17"/>
      <c r="AZ193" s="17"/>
      <c r="BA193" s="10"/>
      <c r="BB193" s="10"/>
    </row>
    <row r="194" spans="13:54" ht="15.75" customHeight="1" x14ac:dyDescent="0.2">
      <c r="M194" s="7"/>
      <c r="R194" s="8"/>
      <c r="S194" s="8"/>
      <c r="U194" s="16"/>
      <c r="AC194" s="16"/>
      <c r="AY194" s="17"/>
      <c r="AZ194" s="17"/>
      <c r="BA194" s="10"/>
      <c r="BB194" s="10"/>
    </row>
    <row r="195" spans="13:54" ht="15.75" customHeight="1" x14ac:dyDescent="0.2">
      <c r="M195" s="7"/>
      <c r="R195" s="8"/>
      <c r="S195" s="8"/>
      <c r="U195" s="16"/>
      <c r="AC195" s="16"/>
      <c r="AY195" s="17"/>
      <c r="AZ195" s="17"/>
      <c r="BA195" s="10"/>
      <c r="BB195" s="10"/>
    </row>
    <row r="196" spans="13:54" ht="15.75" customHeight="1" x14ac:dyDescent="0.2">
      <c r="M196" s="7"/>
      <c r="R196" s="8"/>
      <c r="S196" s="8"/>
      <c r="U196" s="16"/>
      <c r="AC196" s="16"/>
      <c r="AY196" s="17"/>
      <c r="AZ196" s="17"/>
      <c r="BA196" s="10"/>
      <c r="BB196" s="10"/>
    </row>
    <row r="197" spans="13:54" ht="15.75" customHeight="1" x14ac:dyDescent="0.2">
      <c r="M197" s="7"/>
      <c r="R197" s="8"/>
      <c r="S197" s="8"/>
      <c r="U197" s="16"/>
      <c r="AC197" s="16"/>
      <c r="AY197" s="17"/>
      <c r="AZ197" s="17"/>
      <c r="BA197" s="10"/>
      <c r="BB197" s="10"/>
    </row>
    <row r="198" spans="13:54" ht="15.75" customHeight="1" x14ac:dyDescent="0.2">
      <c r="M198" s="7"/>
      <c r="R198" s="8"/>
      <c r="S198" s="8"/>
      <c r="U198" s="16"/>
      <c r="AC198" s="16"/>
      <c r="AY198" s="17"/>
      <c r="AZ198" s="17"/>
      <c r="BA198" s="10"/>
      <c r="BB198" s="10"/>
    </row>
    <row r="199" spans="13:54" ht="15.75" customHeight="1" x14ac:dyDescent="0.2">
      <c r="M199" s="7"/>
      <c r="R199" s="8"/>
      <c r="S199" s="8"/>
      <c r="U199" s="16"/>
      <c r="AC199" s="16"/>
      <c r="AY199" s="17"/>
      <c r="AZ199" s="17"/>
      <c r="BA199" s="10"/>
      <c r="BB199" s="10"/>
    </row>
    <row r="200" spans="13:54" ht="15.75" customHeight="1" x14ac:dyDescent="0.2">
      <c r="M200" s="7"/>
      <c r="R200" s="8"/>
      <c r="S200" s="8"/>
      <c r="U200" s="16"/>
      <c r="AC200" s="16"/>
      <c r="AY200" s="17"/>
      <c r="AZ200" s="17"/>
      <c r="BA200" s="10"/>
      <c r="BB200" s="10"/>
    </row>
    <row r="201" spans="13:54" ht="15.75" customHeight="1" x14ac:dyDescent="0.2">
      <c r="M201" s="7"/>
      <c r="R201" s="8"/>
      <c r="S201" s="8"/>
      <c r="U201" s="16"/>
      <c r="AC201" s="16"/>
      <c r="AY201" s="17"/>
      <c r="AZ201" s="17"/>
      <c r="BA201" s="10"/>
      <c r="BB201" s="10"/>
    </row>
    <row r="202" spans="13:54" ht="15.75" customHeight="1" x14ac:dyDescent="0.2">
      <c r="M202" s="7"/>
      <c r="R202" s="8"/>
      <c r="S202" s="8"/>
      <c r="U202" s="16"/>
      <c r="AC202" s="16"/>
      <c r="AY202" s="17"/>
      <c r="AZ202" s="17"/>
      <c r="BA202" s="10"/>
      <c r="BB202" s="10"/>
    </row>
    <row r="203" spans="13:54" ht="15.75" customHeight="1" x14ac:dyDescent="0.2">
      <c r="M203" s="7"/>
      <c r="R203" s="8"/>
      <c r="S203" s="8"/>
      <c r="U203" s="16"/>
      <c r="AC203" s="16"/>
      <c r="AY203" s="17"/>
      <c r="AZ203" s="17"/>
      <c r="BA203" s="10"/>
      <c r="BB203" s="10"/>
    </row>
    <row r="204" spans="13:54" ht="15.75" customHeight="1" x14ac:dyDescent="0.2">
      <c r="M204" s="7"/>
      <c r="R204" s="8"/>
      <c r="S204" s="8"/>
      <c r="U204" s="16"/>
      <c r="AC204" s="16"/>
      <c r="AY204" s="17"/>
      <c r="AZ204" s="17"/>
      <c r="BA204" s="10"/>
      <c r="BB204" s="10"/>
    </row>
    <row r="205" spans="13:54" ht="15.75" customHeight="1" x14ac:dyDescent="0.2">
      <c r="M205" s="7"/>
      <c r="R205" s="8"/>
      <c r="S205" s="8"/>
      <c r="U205" s="16"/>
      <c r="AC205" s="16"/>
      <c r="AY205" s="17"/>
      <c r="AZ205" s="17"/>
      <c r="BA205" s="10"/>
      <c r="BB205" s="10"/>
    </row>
    <row r="206" spans="13:54" ht="15.75" customHeight="1" x14ac:dyDescent="0.2">
      <c r="M206" s="7"/>
      <c r="R206" s="8"/>
      <c r="S206" s="8"/>
      <c r="U206" s="16"/>
      <c r="AC206" s="16"/>
      <c r="AY206" s="17"/>
      <c r="AZ206" s="17"/>
      <c r="BA206" s="10"/>
      <c r="BB206" s="10"/>
    </row>
    <row r="207" spans="13:54" ht="15.75" customHeight="1" x14ac:dyDescent="0.2">
      <c r="M207" s="7"/>
      <c r="R207" s="8"/>
      <c r="S207" s="8"/>
      <c r="U207" s="16"/>
      <c r="AC207" s="16"/>
      <c r="AY207" s="17"/>
      <c r="AZ207" s="17"/>
      <c r="BA207" s="10"/>
      <c r="BB207" s="10"/>
    </row>
    <row r="208" spans="13:54" ht="15.75" customHeight="1" x14ac:dyDescent="0.2">
      <c r="M208" s="7"/>
      <c r="R208" s="8"/>
      <c r="S208" s="8"/>
      <c r="U208" s="16"/>
      <c r="AC208" s="16"/>
      <c r="AY208" s="17"/>
      <c r="AZ208" s="17"/>
      <c r="BA208" s="10"/>
      <c r="BB208" s="10"/>
    </row>
    <row r="209" spans="13:54" ht="15.75" customHeight="1" x14ac:dyDescent="0.2">
      <c r="M209" s="7"/>
      <c r="R209" s="8"/>
      <c r="S209" s="8"/>
      <c r="U209" s="16"/>
      <c r="AC209" s="16"/>
      <c r="AY209" s="17"/>
      <c r="AZ209" s="17"/>
      <c r="BA209" s="10"/>
      <c r="BB209" s="10"/>
    </row>
    <row r="210" spans="13:54" ht="15.75" customHeight="1" x14ac:dyDescent="0.2">
      <c r="M210" s="7"/>
      <c r="R210" s="8"/>
      <c r="S210" s="8"/>
      <c r="U210" s="16"/>
      <c r="AC210" s="16"/>
      <c r="AY210" s="17"/>
      <c r="AZ210" s="17"/>
      <c r="BA210" s="10"/>
      <c r="BB210" s="10"/>
    </row>
    <row r="211" spans="13:54" ht="15.75" customHeight="1" x14ac:dyDescent="0.2">
      <c r="M211" s="7"/>
      <c r="R211" s="8"/>
      <c r="S211" s="8"/>
      <c r="U211" s="16"/>
      <c r="AC211" s="16"/>
      <c r="AY211" s="17"/>
      <c r="AZ211" s="17"/>
      <c r="BA211" s="10"/>
      <c r="BB211" s="10"/>
    </row>
    <row r="212" spans="13:54" ht="15.75" customHeight="1" x14ac:dyDescent="0.2">
      <c r="M212" s="7"/>
      <c r="R212" s="8"/>
      <c r="S212" s="8"/>
      <c r="U212" s="16"/>
      <c r="AC212" s="16"/>
      <c r="AY212" s="17"/>
      <c r="AZ212" s="17"/>
      <c r="BA212" s="10"/>
      <c r="BB212" s="10"/>
    </row>
    <row r="213" spans="13:54" ht="15.75" customHeight="1" x14ac:dyDescent="0.2">
      <c r="M213" s="7"/>
      <c r="R213" s="8"/>
      <c r="S213" s="8"/>
      <c r="U213" s="16"/>
      <c r="AC213" s="16"/>
      <c r="AY213" s="17"/>
      <c r="AZ213" s="17"/>
      <c r="BA213" s="10"/>
      <c r="BB213" s="10"/>
    </row>
    <row r="214" spans="13:54" ht="15.75" customHeight="1" x14ac:dyDescent="0.2">
      <c r="M214" s="7"/>
      <c r="R214" s="8"/>
      <c r="S214" s="8"/>
      <c r="U214" s="16"/>
      <c r="AC214" s="16"/>
      <c r="AY214" s="17"/>
      <c r="AZ214" s="17"/>
      <c r="BA214" s="10"/>
      <c r="BB214" s="10"/>
    </row>
    <row r="215" spans="13:54" ht="15.75" customHeight="1" x14ac:dyDescent="0.2">
      <c r="M215" s="7"/>
      <c r="R215" s="8"/>
      <c r="S215" s="8"/>
      <c r="U215" s="16"/>
      <c r="AC215" s="16"/>
      <c r="AY215" s="17"/>
      <c r="AZ215" s="17"/>
      <c r="BA215" s="10"/>
      <c r="BB215" s="10"/>
    </row>
    <row r="216" spans="13:54" ht="15.75" customHeight="1" x14ac:dyDescent="0.2">
      <c r="M216" s="7"/>
      <c r="R216" s="8"/>
      <c r="S216" s="8"/>
      <c r="U216" s="16"/>
      <c r="AC216" s="16"/>
      <c r="AY216" s="17"/>
      <c r="AZ216" s="17"/>
      <c r="BA216" s="10"/>
      <c r="BB216" s="10"/>
    </row>
    <row r="217" spans="13:54" ht="15.75" customHeight="1" x14ac:dyDescent="0.2">
      <c r="M217" s="7"/>
      <c r="R217" s="8"/>
      <c r="S217" s="8"/>
      <c r="U217" s="16"/>
      <c r="AC217" s="16"/>
      <c r="AY217" s="17"/>
      <c r="AZ217" s="17"/>
      <c r="BA217" s="10"/>
      <c r="BB217" s="10"/>
    </row>
    <row r="218" spans="13:54" ht="15.75" customHeight="1" x14ac:dyDescent="0.2">
      <c r="M218" s="7"/>
      <c r="R218" s="8"/>
      <c r="S218" s="8"/>
      <c r="U218" s="16"/>
      <c r="AC218" s="16"/>
      <c r="AY218" s="17"/>
      <c r="AZ218" s="17"/>
      <c r="BA218" s="10"/>
      <c r="BB218" s="10"/>
    </row>
    <row r="219" spans="13:54" ht="15.75" customHeight="1" x14ac:dyDescent="0.2">
      <c r="M219" s="7"/>
      <c r="R219" s="8"/>
      <c r="S219" s="8"/>
      <c r="U219" s="16"/>
      <c r="AC219" s="16"/>
      <c r="AY219" s="17"/>
      <c r="AZ219" s="17"/>
      <c r="BA219" s="10"/>
      <c r="BB219" s="10"/>
    </row>
    <row r="220" spans="13:54" ht="15.75" customHeight="1" x14ac:dyDescent="0.2">
      <c r="M220" s="7"/>
      <c r="R220" s="8"/>
      <c r="S220" s="8"/>
      <c r="U220" s="16"/>
      <c r="AC220" s="16"/>
      <c r="AY220" s="17"/>
      <c r="AZ220" s="17"/>
      <c r="BA220" s="10"/>
      <c r="BB220" s="10"/>
    </row>
    <row r="221" spans="13:54" ht="15.75" customHeight="1" x14ac:dyDescent="0.2">
      <c r="M221" s="7"/>
      <c r="R221" s="8"/>
      <c r="S221" s="8"/>
      <c r="U221" s="16"/>
      <c r="AC221" s="16"/>
      <c r="AY221" s="17"/>
      <c r="AZ221" s="17"/>
      <c r="BA221" s="10"/>
      <c r="BB221" s="10"/>
    </row>
    <row r="222" spans="13:54" ht="15.75" customHeight="1" x14ac:dyDescent="0.2">
      <c r="M222" s="7"/>
      <c r="R222" s="8"/>
      <c r="S222" s="8"/>
      <c r="U222" s="16"/>
      <c r="AC222" s="16"/>
      <c r="AY222" s="17"/>
      <c r="AZ222" s="17"/>
      <c r="BA222" s="10"/>
      <c r="BB222" s="10"/>
    </row>
    <row r="223" spans="13:54" ht="15.75" customHeight="1" x14ac:dyDescent="0.2">
      <c r="M223" s="7"/>
      <c r="R223" s="8"/>
      <c r="S223" s="8"/>
      <c r="U223" s="16"/>
      <c r="AC223" s="16"/>
      <c r="AY223" s="17"/>
      <c r="AZ223" s="17"/>
      <c r="BA223" s="10"/>
      <c r="BB223" s="10"/>
    </row>
    <row r="224" spans="13:54" ht="15.75" customHeight="1" x14ac:dyDescent="0.2">
      <c r="M224" s="7"/>
      <c r="R224" s="8"/>
      <c r="S224" s="8"/>
      <c r="U224" s="16"/>
      <c r="AC224" s="16"/>
      <c r="AY224" s="17"/>
      <c r="AZ224" s="17"/>
      <c r="BA224" s="10"/>
      <c r="BB224" s="10"/>
    </row>
    <row r="225" spans="13:54" ht="15.75" customHeight="1" x14ac:dyDescent="0.2">
      <c r="M225" s="7"/>
      <c r="R225" s="8"/>
      <c r="S225" s="8"/>
      <c r="U225" s="16"/>
      <c r="AC225" s="16"/>
      <c r="AY225" s="17"/>
      <c r="AZ225" s="17"/>
      <c r="BA225" s="10"/>
      <c r="BB225" s="10"/>
    </row>
    <row r="226" spans="13:54" ht="15.75" customHeight="1" x14ac:dyDescent="0.2">
      <c r="M226" s="7"/>
      <c r="R226" s="8"/>
      <c r="S226" s="8"/>
      <c r="U226" s="16"/>
      <c r="AC226" s="16"/>
      <c r="AY226" s="17"/>
      <c r="AZ226" s="17"/>
      <c r="BA226" s="10"/>
      <c r="BB226" s="10"/>
    </row>
    <row r="227" spans="13:54" ht="15.75" customHeight="1" x14ac:dyDescent="0.2">
      <c r="M227" s="7"/>
      <c r="R227" s="8"/>
      <c r="S227" s="8"/>
      <c r="U227" s="16"/>
      <c r="AC227" s="16"/>
      <c r="AY227" s="17"/>
      <c r="AZ227" s="17"/>
      <c r="BA227" s="10"/>
      <c r="BB227" s="10"/>
    </row>
    <row r="228" spans="13:54" ht="15.75" customHeight="1" x14ac:dyDescent="0.2">
      <c r="M228" s="7"/>
      <c r="R228" s="8"/>
      <c r="S228" s="8"/>
      <c r="U228" s="16"/>
      <c r="AC228" s="16"/>
      <c r="AY228" s="17"/>
      <c r="AZ228" s="17"/>
      <c r="BA228" s="10"/>
      <c r="BB228" s="10"/>
    </row>
    <row r="229" spans="13:54" ht="15.75" customHeight="1" x14ac:dyDescent="0.2">
      <c r="M229" s="7"/>
      <c r="R229" s="8"/>
      <c r="S229" s="8"/>
      <c r="U229" s="16"/>
      <c r="AC229" s="16"/>
      <c r="AY229" s="17"/>
      <c r="AZ229" s="17"/>
      <c r="BA229" s="10"/>
      <c r="BB229" s="10"/>
    </row>
    <row r="230" spans="13:54" ht="15.75" customHeight="1" x14ac:dyDescent="0.2">
      <c r="M230" s="7"/>
      <c r="R230" s="8"/>
      <c r="S230" s="8"/>
      <c r="U230" s="16"/>
      <c r="AC230" s="16"/>
      <c r="AY230" s="17"/>
      <c r="AZ230" s="17"/>
      <c r="BA230" s="10"/>
      <c r="BB230" s="10"/>
    </row>
    <row r="231" spans="13:54" ht="15.75" customHeight="1" x14ac:dyDescent="0.2">
      <c r="M231" s="7"/>
      <c r="R231" s="8"/>
      <c r="S231" s="8"/>
      <c r="U231" s="16"/>
      <c r="AC231" s="16"/>
      <c r="AY231" s="17"/>
      <c r="AZ231" s="17"/>
      <c r="BA231" s="10"/>
      <c r="BB231" s="10"/>
    </row>
    <row r="232" spans="13:54" ht="15.75" customHeight="1" x14ac:dyDescent="0.2">
      <c r="M232" s="7"/>
      <c r="R232" s="8"/>
      <c r="S232" s="8"/>
      <c r="U232" s="16"/>
      <c r="AC232" s="16"/>
      <c r="AY232" s="17"/>
      <c r="AZ232" s="17"/>
      <c r="BA232" s="10"/>
      <c r="BB232" s="10"/>
    </row>
    <row r="233" spans="13:54" ht="15.75" customHeight="1" x14ac:dyDescent="0.2">
      <c r="M233" s="7"/>
      <c r="R233" s="8"/>
      <c r="S233" s="8"/>
      <c r="U233" s="16"/>
      <c r="AC233" s="16"/>
      <c r="AY233" s="17"/>
      <c r="AZ233" s="17"/>
      <c r="BA233" s="10"/>
      <c r="BB233" s="10"/>
    </row>
    <row r="234" spans="13:54" ht="15.75" customHeight="1" x14ac:dyDescent="0.2">
      <c r="M234" s="7"/>
      <c r="R234" s="8"/>
      <c r="S234" s="8"/>
      <c r="U234" s="16"/>
      <c r="AC234" s="16"/>
      <c r="AY234" s="17"/>
      <c r="AZ234" s="17"/>
      <c r="BA234" s="10"/>
      <c r="BB234" s="10"/>
    </row>
    <row r="235" spans="13:54" ht="15.75" customHeight="1" x14ac:dyDescent="0.2">
      <c r="M235" s="7"/>
      <c r="R235" s="8"/>
      <c r="S235" s="8"/>
      <c r="U235" s="16"/>
      <c r="AC235" s="16"/>
      <c r="AY235" s="17"/>
      <c r="AZ235" s="17"/>
      <c r="BA235" s="10"/>
      <c r="BB235" s="10"/>
    </row>
    <row r="236" spans="13:54" ht="15.75" customHeight="1" x14ac:dyDescent="0.2">
      <c r="M236" s="7"/>
      <c r="R236" s="8"/>
      <c r="S236" s="8"/>
      <c r="U236" s="16"/>
      <c r="AC236" s="16"/>
      <c r="AY236" s="17"/>
      <c r="AZ236" s="17"/>
      <c r="BA236" s="10"/>
      <c r="BB236" s="10"/>
    </row>
    <row r="237" spans="13:54" ht="15.75" customHeight="1" x14ac:dyDescent="0.2">
      <c r="M237" s="7"/>
      <c r="R237" s="8"/>
      <c r="S237" s="8"/>
      <c r="U237" s="16"/>
      <c r="AC237" s="16"/>
      <c r="AY237" s="17"/>
      <c r="AZ237" s="17"/>
      <c r="BA237" s="10"/>
      <c r="BB237" s="10"/>
    </row>
    <row r="238" spans="13:54" ht="15.75" customHeight="1" x14ac:dyDescent="0.2">
      <c r="M238" s="7"/>
      <c r="R238" s="8"/>
      <c r="S238" s="8"/>
      <c r="U238" s="16"/>
      <c r="AC238" s="16"/>
      <c r="AY238" s="17"/>
      <c r="AZ238" s="17"/>
      <c r="BA238" s="10"/>
      <c r="BB238" s="10"/>
    </row>
    <row r="239" spans="13:54" ht="15.75" customHeight="1" x14ac:dyDescent="0.2">
      <c r="M239" s="7"/>
      <c r="R239" s="8"/>
      <c r="S239" s="8"/>
      <c r="U239" s="16"/>
      <c r="AC239" s="16"/>
      <c r="AY239" s="17"/>
      <c r="AZ239" s="17"/>
      <c r="BA239" s="10"/>
      <c r="BB239" s="10"/>
    </row>
    <row r="240" spans="13:54" ht="15.75" customHeight="1" x14ac:dyDescent="0.2">
      <c r="M240" s="7"/>
      <c r="R240" s="8"/>
      <c r="S240" s="8"/>
      <c r="U240" s="16"/>
      <c r="AC240" s="16"/>
      <c r="AY240" s="17"/>
      <c r="AZ240" s="17"/>
      <c r="BA240" s="10"/>
      <c r="BB240" s="10"/>
    </row>
    <row r="241" spans="13:54" ht="15.75" customHeight="1" x14ac:dyDescent="0.2">
      <c r="M241" s="7"/>
      <c r="R241" s="8"/>
      <c r="S241" s="8"/>
      <c r="U241" s="16"/>
      <c r="AC241" s="16"/>
      <c r="AY241" s="17"/>
      <c r="AZ241" s="17"/>
      <c r="BA241" s="10"/>
      <c r="BB241" s="10"/>
    </row>
    <row r="242" spans="13:54" ht="15.75" customHeight="1" x14ac:dyDescent="0.2">
      <c r="M242" s="7"/>
      <c r="R242" s="8"/>
      <c r="S242" s="8"/>
      <c r="U242" s="16"/>
      <c r="AC242" s="16"/>
      <c r="AY242" s="17"/>
      <c r="AZ242" s="17"/>
      <c r="BA242" s="10"/>
      <c r="BB242" s="10"/>
    </row>
    <row r="243" spans="13:54" ht="15.75" customHeight="1" x14ac:dyDescent="0.2">
      <c r="M243" s="7"/>
      <c r="R243" s="8"/>
      <c r="S243" s="8"/>
      <c r="U243" s="16"/>
      <c r="AC243" s="16"/>
      <c r="AY243" s="17"/>
      <c r="AZ243" s="17"/>
      <c r="BA243" s="10"/>
      <c r="BB243" s="10"/>
    </row>
    <row r="244" spans="13:54" ht="15.75" customHeight="1" x14ac:dyDescent="0.2">
      <c r="M244" s="7"/>
      <c r="R244" s="8"/>
      <c r="S244" s="8"/>
      <c r="U244" s="16"/>
      <c r="AC244" s="16"/>
      <c r="AY244" s="17"/>
      <c r="AZ244" s="17"/>
      <c r="BA244" s="10"/>
      <c r="BB244" s="10"/>
    </row>
    <row r="245" spans="13:54" ht="15.75" customHeight="1" x14ac:dyDescent="0.2">
      <c r="M245" s="7"/>
      <c r="R245" s="8"/>
      <c r="S245" s="8"/>
      <c r="U245" s="16"/>
      <c r="AC245" s="16"/>
      <c r="AY245" s="17"/>
      <c r="AZ245" s="17"/>
      <c r="BA245" s="10"/>
      <c r="BB245" s="10"/>
    </row>
    <row r="246" spans="13:54" ht="15.75" customHeight="1" x14ac:dyDescent="0.2">
      <c r="M246" s="7"/>
      <c r="R246" s="8"/>
      <c r="S246" s="8"/>
      <c r="U246" s="16"/>
      <c r="AC246" s="16"/>
      <c r="AY246" s="17"/>
      <c r="AZ246" s="17"/>
      <c r="BA246" s="10"/>
      <c r="BB246" s="10"/>
    </row>
    <row r="247" spans="13:54" ht="15.75" customHeight="1" x14ac:dyDescent="0.2">
      <c r="M247" s="7"/>
      <c r="R247" s="8"/>
      <c r="S247" s="8"/>
      <c r="U247" s="16"/>
      <c r="AC247" s="16"/>
      <c r="AY247" s="17"/>
      <c r="AZ247" s="17"/>
      <c r="BA247" s="10"/>
      <c r="BB247" s="10"/>
    </row>
    <row r="248" spans="13:54" ht="15.75" customHeight="1" x14ac:dyDescent="0.2">
      <c r="M248" s="7"/>
      <c r="R248" s="8"/>
      <c r="S248" s="8"/>
      <c r="U248" s="16"/>
      <c r="AC248" s="16"/>
      <c r="AY248" s="17"/>
      <c r="AZ248" s="17"/>
      <c r="BA248" s="10"/>
      <c r="BB248" s="10"/>
    </row>
    <row r="249" spans="13:54" ht="15.75" customHeight="1" x14ac:dyDescent="0.2">
      <c r="M249" s="7"/>
      <c r="R249" s="8"/>
      <c r="S249" s="8"/>
      <c r="U249" s="16"/>
      <c r="AC249" s="16"/>
      <c r="AY249" s="17"/>
      <c r="AZ249" s="17"/>
      <c r="BA249" s="10"/>
      <c r="BB249" s="10"/>
    </row>
    <row r="250" spans="13:54" ht="15.75" customHeight="1" x14ac:dyDescent="0.2">
      <c r="M250" s="7"/>
      <c r="R250" s="8"/>
      <c r="S250" s="8"/>
      <c r="U250" s="16"/>
      <c r="AC250" s="16"/>
      <c r="AY250" s="17"/>
      <c r="AZ250" s="17"/>
      <c r="BA250" s="10"/>
      <c r="BB250" s="10"/>
    </row>
    <row r="251" spans="13:54" ht="15.75" customHeight="1" x14ac:dyDescent="0.2">
      <c r="M251" s="7"/>
      <c r="R251" s="8"/>
      <c r="S251" s="8"/>
      <c r="U251" s="16"/>
      <c r="AC251" s="16"/>
      <c r="AY251" s="17"/>
      <c r="AZ251" s="17"/>
      <c r="BA251" s="10"/>
      <c r="BB251" s="10"/>
    </row>
    <row r="252" spans="13:54" ht="15.75" customHeight="1" x14ac:dyDescent="0.2">
      <c r="M252" s="7"/>
      <c r="R252" s="8"/>
      <c r="S252" s="8"/>
      <c r="U252" s="16"/>
      <c r="AC252" s="16"/>
      <c r="AY252" s="17"/>
      <c r="AZ252" s="17"/>
      <c r="BA252" s="10"/>
      <c r="BB252" s="10"/>
    </row>
    <row r="253" spans="13:54" ht="15.75" customHeight="1" x14ac:dyDescent="0.2">
      <c r="M253" s="7"/>
      <c r="R253" s="8"/>
      <c r="S253" s="8"/>
      <c r="U253" s="16"/>
      <c r="AC253" s="16"/>
      <c r="AY253" s="17"/>
      <c r="AZ253" s="17"/>
      <c r="BA253" s="10"/>
      <c r="BB253" s="10"/>
    </row>
    <row r="254" spans="13:54" ht="15.75" customHeight="1" x14ac:dyDescent="0.2">
      <c r="M254" s="7"/>
      <c r="R254" s="8"/>
      <c r="S254" s="8"/>
      <c r="U254" s="16"/>
      <c r="AC254" s="16"/>
      <c r="AY254" s="17"/>
      <c r="AZ254" s="17"/>
      <c r="BA254" s="10"/>
      <c r="BB254" s="10"/>
    </row>
    <row r="255" spans="13:54" ht="15.75" customHeight="1" x14ac:dyDescent="0.2">
      <c r="M255" s="7"/>
      <c r="R255" s="8"/>
      <c r="S255" s="8"/>
      <c r="U255" s="16"/>
      <c r="AC255" s="16"/>
      <c r="AY255" s="17"/>
      <c r="AZ255" s="17"/>
      <c r="BA255" s="10"/>
      <c r="BB255" s="10"/>
    </row>
    <row r="256" spans="13:54" ht="15.75" customHeight="1" x14ac:dyDescent="0.2">
      <c r="M256" s="7"/>
      <c r="R256" s="8"/>
      <c r="S256" s="8"/>
      <c r="U256" s="16"/>
      <c r="AC256" s="16"/>
      <c r="AY256" s="17"/>
      <c r="AZ256" s="17"/>
      <c r="BA256" s="10"/>
      <c r="BB256" s="10"/>
    </row>
    <row r="257" spans="13:54" ht="15.75" customHeight="1" x14ac:dyDescent="0.2">
      <c r="M257" s="7"/>
      <c r="R257" s="8"/>
      <c r="S257" s="8"/>
      <c r="U257" s="16"/>
      <c r="AC257" s="16"/>
      <c r="AY257" s="17"/>
      <c r="AZ257" s="17"/>
      <c r="BA257" s="10"/>
      <c r="BB257" s="10"/>
    </row>
    <row r="258" spans="13:54" ht="15.75" customHeight="1" x14ac:dyDescent="0.2">
      <c r="M258" s="7"/>
      <c r="R258" s="8"/>
      <c r="S258" s="8"/>
      <c r="U258" s="16"/>
      <c r="AC258" s="16"/>
      <c r="AY258" s="17"/>
      <c r="AZ258" s="17"/>
      <c r="BA258" s="10"/>
      <c r="BB258" s="10"/>
    </row>
    <row r="259" spans="13:54" ht="15.75" customHeight="1" x14ac:dyDescent="0.2">
      <c r="M259" s="7"/>
      <c r="R259" s="8"/>
      <c r="S259" s="8"/>
      <c r="U259" s="16"/>
      <c r="AC259" s="16"/>
      <c r="AY259" s="17"/>
      <c r="AZ259" s="17"/>
      <c r="BA259" s="10"/>
      <c r="BB259" s="10"/>
    </row>
    <row r="260" spans="13:54" ht="15.75" customHeight="1" x14ac:dyDescent="0.2">
      <c r="M260" s="7"/>
      <c r="R260" s="8"/>
      <c r="S260" s="8"/>
      <c r="U260" s="16"/>
      <c r="AC260" s="16"/>
      <c r="AY260" s="17"/>
      <c r="AZ260" s="17"/>
      <c r="BA260" s="10"/>
      <c r="BB260" s="10"/>
    </row>
    <row r="261" spans="13:54" ht="15.75" customHeight="1" x14ac:dyDescent="0.2">
      <c r="M261" s="7"/>
      <c r="R261" s="8"/>
      <c r="S261" s="8"/>
      <c r="U261" s="16"/>
      <c r="AC261" s="16"/>
      <c r="AY261" s="17"/>
      <c r="AZ261" s="17"/>
      <c r="BA261" s="10"/>
      <c r="BB261" s="10"/>
    </row>
    <row r="262" spans="13:54" ht="15.75" customHeight="1" x14ac:dyDescent="0.2">
      <c r="M262" s="7"/>
      <c r="R262" s="8"/>
      <c r="S262" s="8"/>
      <c r="U262" s="16"/>
      <c r="AC262" s="16"/>
      <c r="AY262" s="17"/>
      <c r="AZ262" s="17"/>
      <c r="BA262" s="10"/>
      <c r="BB262" s="10"/>
    </row>
    <row r="263" spans="13:54" ht="15.75" customHeight="1" x14ac:dyDescent="0.2">
      <c r="M263" s="7"/>
      <c r="R263" s="8"/>
      <c r="S263" s="8"/>
      <c r="U263" s="16"/>
      <c r="AC263" s="16"/>
      <c r="AY263" s="17"/>
      <c r="AZ263" s="17"/>
      <c r="BA263" s="10"/>
      <c r="BB263" s="10"/>
    </row>
    <row r="264" spans="13:54" ht="15.75" customHeight="1" x14ac:dyDescent="0.2">
      <c r="M264" s="7"/>
      <c r="R264" s="8"/>
      <c r="S264" s="8"/>
      <c r="U264" s="16"/>
      <c r="AC264" s="16"/>
      <c r="AY264" s="17"/>
      <c r="AZ264" s="17"/>
      <c r="BA264" s="10"/>
      <c r="BB264" s="10"/>
    </row>
    <row r="265" spans="13:54" ht="15.75" customHeight="1" x14ac:dyDescent="0.2">
      <c r="M265" s="7"/>
      <c r="R265" s="8"/>
      <c r="S265" s="8"/>
      <c r="U265" s="16"/>
      <c r="AC265" s="16"/>
      <c r="AY265" s="17"/>
      <c r="AZ265" s="17"/>
      <c r="BA265" s="10"/>
      <c r="BB265" s="10"/>
    </row>
    <row r="266" spans="13:54" ht="15.75" customHeight="1" x14ac:dyDescent="0.2">
      <c r="M266" s="7"/>
      <c r="R266" s="8"/>
      <c r="S266" s="8"/>
      <c r="U266" s="16"/>
      <c r="AC266" s="16"/>
      <c r="AY266" s="17"/>
      <c r="AZ266" s="17"/>
      <c r="BA266" s="10"/>
      <c r="BB266" s="10"/>
    </row>
    <row r="267" spans="13:54" ht="15.75" customHeight="1" x14ac:dyDescent="0.2">
      <c r="M267" s="7"/>
      <c r="R267" s="8"/>
      <c r="S267" s="8"/>
      <c r="U267" s="16"/>
      <c r="AC267" s="16"/>
      <c r="AY267" s="17"/>
      <c r="AZ267" s="17"/>
      <c r="BA267" s="10"/>
      <c r="BB267" s="10"/>
    </row>
    <row r="268" spans="13:54" ht="15.75" customHeight="1" x14ac:dyDescent="0.2">
      <c r="M268" s="7"/>
      <c r="R268" s="8"/>
      <c r="S268" s="8"/>
      <c r="U268" s="16"/>
      <c r="AC268" s="16"/>
      <c r="AY268" s="17"/>
      <c r="AZ268" s="17"/>
      <c r="BA268" s="10"/>
      <c r="BB268" s="10"/>
    </row>
    <row r="269" spans="13:54" ht="15.75" customHeight="1" x14ac:dyDescent="0.2">
      <c r="M269" s="7"/>
      <c r="R269" s="8"/>
      <c r="S269" s="8"/>
      <c r="U269" s="16"/>
      <c r="AC269" s="16"/>
      <c r="AY269" s="17"/>
      <c r="AZ269" s="17"/>
      <c r="BA269" s="10"/>
      <c r="BB269" s="10"/>
    </row>
    <row r="270" spans="13:54" ht="15.75" customHeight="1" x14ac:dyDescent="0.2">
      <c r="M270" s="7"/>
      <c r="R270" s="8"/>
      <c r="S270" s="8"/>
      <c r="U270" s="16"/>
      <c r="AC270" s="16"/>
      <c r="AY270" s="17"/>
      <c r="AZ270" s="17"/>
      <c r="BA270" s="10"/>
      <c r="BB270" s="10"/>
    </row>
    <row r="271" spans="13:54" ht="15.75" customHeight="1" x14ac:dyDescent="0.2">
      <c r="M271" s="7"/>
      <c r="R271" s="8"/>
      <c r="S271" s="8"/>
      <c r="U271" s="16"/>
      <c r="AC271" s="16"/>
      <c r="AY271" s="17"/>
      <c r="AZ271" s="17"/>
      <c r="BA271" s="10"/>
      <c r="BB271" s="10"/>
    </row>
    <row r="272" spans="13:54" ht="15.75" customHeight="1" x14ac:dyDescent="0.2">
      <c r="M272" s="7"/>
      <c r="R272" s="8"/>
      <c r="S272" s="8"/>
      <c r="U272" s="16"/>
      <c r="AC272" s="16"/>
      <c r="AY272" s="17"/>
      <c r="AZ272" s="17"/>
      <c r="BA272" s="10"/>
      <c r="BB272" s="10"/>
    </row>
    <row r="273" spans="13:54" ht="15.75" customHeight="1" x14ac:dyDescent="0.2">
      <c r="M273" s="7"/>
      <c r="R273" s="8"/>
      <c r="S273" s="8"/>
      <c r="U273" s="16"/>
      <c r="AC273" s="16"/>
      <c r="AY273" s="17"/>
      <c r="AZ273" s="17"/>
      <c r="BA273" s="10"/>
      <c r="BB273" s="10"/>
    </row>
    <row r="274" spans="13:54" ht="15.75" customHeight="1" x14ac:dyDescent="0.2">
      <c r="M274" s="7"/>
      <c r="R274" s="8"/>
      <c r="S274" s="8"/>
      <c r="U274" s="16"/>
      <c r="AC274" s="16"/>
      <c r="AY274" s="17"/>
      <c r="AZ274" s="17"/>
      <c r="BA274" s="10"/>
      <c r="BB274" s="10"/>
    </row>
    <row r="275" spans="13:54" ht="15.75" customHeight="1" x14ac:dyDescent="0.2">
      <c r="M275" s="7"/>
      <c r="R275" s="8"/>
      <c r="S275" s="8"/>
      <c r="U275" s="16"/>
      <c r="AC275" s="16"/>
      <c r="AY275" s="17"/>
      <c r="AZ275" s="17"/>
      <c r="BA275" s="10"/>
      <c r="BB275" s="10"/>
    </row>
    <row r="276" spans="13:54" ht="15.75" customHeight="1" x14ac:dyDescent="0.2">
      <c r="M276" s="7"/>
      <c r="R276" s="8"/>
      <c r="S276" s="8"/>
      <c r="U276" s="16"/>
      <c r="AC276" s="16"/>
      <c r="AY276" s="17"/>
      <c r="AZ276" s="17"/>
      <c r="BA276" s="10"/>
      <c r="BB276" s="10"/>
    </row>
    <row r="277" spans="13:54" ht="15.75" customHeight="1" x14ac:dyDescent="0.2">
      <c r="M277" s="7"/>
      <c r="R277" s="8"/>
      <c r="S277" s="8"/>
      <c r="U277" s="16"/>
      <c r="AC277" s="16"/>
      <c r="AY277" s="17"/>
      <c r="AZ277" s="17"/>
      <c r="BA277" s="10"/>
      <c r="BB277" s="10"/>
    </row>
    <row r="278" spans="13:54" ht="15.75" customHeight="1" x14ac:dyDescent="0.2">
      <c r="M278" s="7"/>
      <c r="R278" s="8"/>
      <c r="S278" s="8"/>
      <c r="U278" s="16"/>
      <c r="AC278" s="16"/>
      <c r="AY278" s="17"/>
      <c r="AZ278" s="17"/>
      <c r="BA278" s="10"/>
      <c r="BB278" s="10"/>
    </row>
    <row r="279" spans="13:54" ht="15.75" customHeight="1" x14ac:dyDescent="0.2">
      <c r="M279" s="7"/>
      <c r="R279" s="8"/>
      <c r="S279" s="8"/>
      <c r="U279" s="16"/>
      <c r="AC279" s="16"/>
      <c r="AY279" s="17"/>
      <c r="AZ279" s="17"/>
      <c r="BA279" s="10"/>
      <c r="BB279" s="10"/>
    </row>
    <row r="280" spans="13:54" ht="15.75" customHeight="1" x14ac:dyDescent="0.2">
      <c r="M280" s="7"/>
      <c r="R280" s="8"/>
      <c r="S280" s="8"/>
      <c r="U280" s="16"/>
      <c r="AC280" s="16"/>
      <c r="AY280" s="17"/>
      <c r="AZ280" s="17"/>
      <c r="BA280" s="10"/>
      <c r="BB280" s="10"/>
    </row>
    <row r="281" spans="13:54" ht="15.75" customHeight="1" x14ac:dyDescent="0.2">
      <c r="M281" s="7"/>
      <c r="R281" s="8"/>
      <c r="S281" s="8"/>
      <c r="U281" s="16"/>
      <c r="AC281" s="16"/>
      <c r="AY281" s="17"/>
      <c r="AZ281" s="17"/>
      <c r="BA281" s="10"/>
      <c r="BB281" s="10"/>
    </row>
    <row r="282" spans="13:54" ht="15.75" customHeight="1" x14ac:dyDescent="0.2">
      <c r="M282" s="7"/>
      <c r="R282" s="8"/>
      <c r="S282" s="8"/>
      <c r="U282" s="16"/>
      <c r="AC282" s="16"/>
      <c r="AY282" s="17"/>
      <c r="AZ282" s="17"/>
      <c r="BA282" s="10"/>
      <c r="BB282" s="10"/>
    </row>
    <row r="283" spans="13:54" ht="15.75" customHeight="1" x14ac:dyDescent="0.2">
      <c r="M283" s="7"/>
      <c r="R283" s="8"/>
      <c r="S283" s="8"/>
      <c r="U283" s="16"/>
      <c r="AC283" s="16"/>
      <c r="AY283" s="17"/>
      <c r="AZ283" s="17"/>
      <c r="BA283" s="10"/>
      <c r="BB283" s="10"/>
    </row>
    <row r="284" spans="13:54" ht="15.75" customHeight="1" x14ac:dyDescent="0.2">
      <c r="M284" s="7"/>
      <c r="R284" s="8"/>
      <c r="S284" s="8"/>
      <c r="U284" s="16"/>
      <c r="AC284" s="16"/>
      <c r="AY284" s="17"/>
      <c r="AZ284" s="17"/>
      <c r="BA284" s="10"/>
      <c r="BB284" s="10"/>
    </row>
    <row r="285" spans="13:54" ht="15.75" customHeight="1" x14ac:dyDescent="0.2">
      <c r="M285" s="7"/>
      <c r="R285" s="8"/>
      <c r="S285" s="8"/>
      <c r="U285" s="16"/>
      <c r="AC285" s="16"/>
      <c r="AY285" s="17"/>
      <c r="AZ285" s="17"/>
      <c r="BA285" s="10"/>
      <c r="BB285" s="10"/>
    </row>
    <row r="286" spans="13:54" ht="15.75" customHeight="1" x14ac:dyDescent="0.2">
      <c r="M286" s="7"/>
      <c r="R286" s="8"/>
      <c r="S286" s="8"/>
      <c r="U286" s="16"/>
      <c r="AC286" s="16"/>
      <c r="AY286" s="17"/>
      <c r="AZ286" s="17"/>
      <c r="BA286" s="10"/>
      <c r="BB286" s="10"/>
    </row>
    <row r="287" spans="13:54" ht="15.75" customHeight="1" x14ac:dyDescent="0.2">
      <c r="M287" s="7"/>
      <c r="R287" s="8"/>
      <c r="S287" s="8"/>
      <c r="U287" s="16"/>
      <c r="AC287" s="16"/>
      <c r="AY287" s="17"/>
      <c r="AZ287" s="17"/>
      <c r="BA287" s="10"/>
      <c r="BB287" s="10"/>
    </row>
    <row r="288" spans="13:54" ht="15.75" customHeight="1" x14ac:dyDescent="0.2">
      <c r="M288" s="7"/>
      <c r="R288" s="8"/>
      <c r="S288" s="8"/>
      <c r="U288" s="16"/>
      <c r="AC288" s="16"/>
      <c r="AY288" s="17"/>
      <c r="AZ288" s="17"/>
      <c r="BA288" s="10"/>
      <c r="BB288" s="10"/>
    </row>
    <row r="289" spans="13:54" ht="15.75" customHeight="1" x14ac:dyDescent="0.2">
      <c r="M289" s="7"/>
      <c r="R289" s="8"/>
      <c r="S289" s="8"/>
      <c r="U289" s="16"/>
      <c r="AC289" s="16"/>
      <c r="AY289" s="17"/>
      <c r="AZ289" s="17"/>
      <c r="BA289" s="10"/>
      <c r="BB289" s="10"/>
    </row>
    <row r="290" spans="13:54" ht="15.75" customHeight="1" x14ac:dyDescent="0.2">
      <c r="M290" s="7"/>
      <c r="R290" s="8"/>
      <c r="S290" s="8"/>
      <c r="U290" s="16"/>
      <c r="AC290" s="16"/>
      <c r="AY290" s="17"/>
      <c r="AZ290" s="17"/>
      <c r="BA290" s="10"/>
      <c r="BB290" s="10"/>
    </row>
    <row r="291" spans="13:54" ht="15.75" customHeight="1" x14ac:dyDescent="0.2">
      <c r="M291" s="7"/>
      <c r="R291" s="8"/>
      <c r="S291" s="8"/>
      <c r="U291" s="16"/>
      <c r="AC291" s="16"/>
      <c r="AY291" s="17"/>
      <c r="AZ291" s="17"/>
      <c r="BA291" s="10"/>
      <c r="BB291" s="10"/>
    </row>
    <row r="292" spans="13:54" ht="15.75" customHeight="1" x14ac:dyDescent="0.2">
      <c r="M292" s="7"/>
      <c r="R292" s="8"/>
      <c r="S292" s="8"/>
      <c r="U292" s="16"/>
      <c r="AC292" s="16"/>
      <c r="AY292" s="17"/>
      <c r="AZ292" s="17"/>
      <c r="BA292" s="10"/>
      <c r="BB292" s="10"/>
    </row>
    <row r="293" spans="13:54" ht="15.75" customHeight="1" x14ac:dyDescent="0.2">
      <c r="M293" s="7"/>
      <c r="R293" s="8"/>
      <c r="S293" s="8"/>
      <c r="U293" s="16"/>
      <c r="AC293" s="16"/>
      <c r="AY293" s="17"/>
      <c r="AZ293" s="17"/>
      <c r="BA293" s="10"/>
      <c r="BB293" s="10"/>
    </row>
    <row r="294" spans="13:54" ht="15.75" customHeight="1" x14ac:dyDescent="0.2">
      <c r="M294" s="7"/>
      <c r="R294" s="8"/>
      <c r="S294" s="8"/>
      <c r="U294" s="16"/>
      <c r="AC294" s="16"/>
      <c r="AY294" s="17"/>
      <c r="AZ294" s="17"/>
      <c r="BA294" s="10"/>
      <c r="BB294" s="10"/>
    </row>
    <row r="295" spans="13:54" ht="15.75" customHeight="1" x14ac:dyDescent="0.2">
      <c r="M295" s="7"/>
      <c r="R295" s="8"/>
      <c r="S295" s="8"/>
      <c r="U295" s="16"/>
      <c r="AC295" s="16"/>
      <c r="AY295" s="17"/>
      <c r="AZ295" s="17"/>
      <c r="BA295" s="10"/>
      <c r="BB295" s="10"/>
    </row>
    <row r="296" spans="13:54" ht="15.75" customHeight="1" x14ac:dyDescent="0.2">
      <c r="M296" s="7"/>
      <c r="R296" s="8"/>
      <c r="S296" s="8"/>
      <c r="U296" s="16"/>
      <c r="AC296" s="16"/>
      <c r="AY296" s="17"/>
      <c r="AZ296" s="17"/>
      <c r="BA296" s="10"/>
      <c r="BB296" s="10"/>
    </row>
    <row r="297" spans="13:54" ht="15.75" customHeight="1" x14ac:dyDescent="0.2">
      <c r="M297" s="7"/>
      <c r="R297" s="8"/>
      <c r="S297" s="8"/>
      <c r="U297" s="16"/>
      <c r="AC297" s="16"/>
      <c r="AY297" s="17"/>
      <c r="AZ297" s="17"/>
      <c r="BA297" s="10"/>
      <c r="BB297" s="10"/>
    </row>
    <row r="298" spans="13:54" ht="15.75" customHeight="1" x14ac:dyDescent="0.2">
      <c r="M298" s="7"/>
      <c r="R298" s="8"/>
      <c r="S298" s="8"/>
      <c r="U298" s="16"/>
      <c r="AC298" s="16"/>
      <c r="AY298" s="17"/>
      <c r="AZ298" s="17"/>
      <c r="BA298" s="10"/>
      <c r="BB298" s="10"/>
    </row>
    <row r="299" spans="13:54" ht="15.75" customHeight="1" x14ac:dyDescent="0.2">
      <c r="M299" s="7"/>
      <c r="R299" s="8"/>
      <c r="S299" s="8"/>
      <c r="U299" s="16"/>
      <c r="AC299" s="16"/>
      <c r="AY299" s="17"/>
      <c r="AZ299" s="17"/>
      <c r="BA299" s="10"/>
      <c r="BB299" s="10"/>
    </row>
    <row r="300" spans="13:54" ht="15.75" customHeight="1" x14ac:dyDescent="0.2">
      <c r="M300" s="7"/>
      <c r="R300" s="8"/>
      <c r="S300" s="8"/>
      <c r="U300" s="16"/>
      <c r="AC300" s="16"/>
      <c r="AY300" s="17"/>
      <c r="AZ300" s="17"/>
      <c r="BA300" s="10"/>
      <c r="BB300" s="10"/>
    </row>
    <row r="301" spans="13:54" ht="15.75" customHeight="1" x14ac:dyDescent="0.2">
      <c r="M301" s="7"/>
      <c r="R301" s="8"/>
      <c r="S301" s="8"/>
      <c r="U301" s="16"/>
      <c r="AC301" s="16"/>
      <c r="AY301" s="17"/>
      <c r="AZ301" s="17"/>
      <c r="BA301" s="10"/>
      <c r="BB301" s="10"/>
    </row>
    <row r="302" spans="13:54" ht="15.75" customHeight="1" x14ac:dyDescent="0.2">
      <c r="M302" s="7"/>
      <c r="R302" s="8"/>
      <c r="S302" s="8"/>
      <c r="U302" s="16"/>
      <c r="AC302" s="16"/>
      <c r="AY302" s="17"/>
      <c r="AZ302" s="17"/>
      <c r="BA302" s="10"/>
      <c r="BB302" s="10"/>
    </row>
    <row r="303" spans="13:54" ht="15.75" customHeight="1" x14ac:dyDescent="0.2">
      <c r="M303" s="7"/>
      <c r="R303" s="8"/>
      <c r="S303" s="8"/>
      <c r="U303" s="16"/>
      <c r="AC303" s="16"/>
      <c r="AY303" s="17"/>
      <c r="AZ303" s="17"/>
      <c r="BA303" s="10"/>
      <c r="BB303" s="10"/>
    </row>
    <row r="304" spans="13:54" ht="15.75" customHeight="1" x14ac:dyDescent="0.2">
      <c r="M304" s="7"/>
      <c r="R304" s="8"/>
      <c r="S304" s="8"/>
      <c r="U304" s="16"/>
      <c r="AC304" s="16"/>
      <c r="AY304" s="17"/>
      <c r="AZ304" s="17"/>
      <c r="BA304" s="10"/>
      <c r="BB304" s="10"/>
    </row>
    <row r="305" spans="13:54" ht="15.75" customHeight="1" x14ac:dyDescent="0.2">
      <c r="M305" s="7"/>
      <c r="R305" s="8"/>
      <c r="S305" s="8"/>
      <c r="U305" s="16"/>
      <c r="AC305" s="16"/>
      <c r="AY305" s="17"/>
      <c r="AZ305" s="17"/>
      <c r="BA305" s="10"/>
      <c r="BB305" s="10"/>
    </row>
    <row r="306" spans="13:54" ht="15.75" customHeight="1" x14ac:dyDescent="0.2">
      <c r="M306" s="7"/>
      <c r="R306" s="8"/>
      <c r="S306" s="8"/>
      <c r="U306" s="16"/>
      <c r="AC306" s="16"/>
      <c r="AY306" s="17"/>
      <c r="AZ306" s="17"/>
      <c r="BA306" s="10"/>
      <c r="BB306" s="10"/>
    </row>
    <row r="307" spans="13:54" ht="15.75" customHeight="1" x14ac:dyDescent="0.2">
      <c r="M307" s="7"/>
      <c r="R307" s="8"/>
      <c r="S307" s="8"/>
      <c r="U307" s="16"/>
      <c r="AC307" s="16"/>
      <c r="AY307" s="17"/>
      <c r="AZ307" s="17"/>
      <c r="BA307" s="10"/>
      <c r="BB307" s="10"/>
    </row>
    <row r="308" spans="13:54" ht="15.75" customHeight="1" x14ac:dyDescent="0.2">
      <c r="M308" s="7"/>
      <c r="R308" s="8"/>
      <c r="S308" s="8"/>
      <c r="U308" s="16"/>
      <c r="AC308" s="16"/>
      <c r="AY308" s="17"/>
      <c r="AZ308" s="17"/>
      <c r="BA308" s="10"/>
      <c r="BB308" s="10"/>
    </row>
    <row r="309" spans="13:54" ht="15.75" customHeight="1" x14ac:dyDescent="0.2">
      <c r="M309" s="7"/>
      <c r="R309" s="8"/>
      <c r="S309" s="8"/>
      <c r="U309" s="16"/>
      <c r="AC309" s="16"/>
      <c r="AY309" s="17"/>
      <c r="AZ309" s="17"/>
      <c r="BA309" s="10"/>
      <c r="BB309" s="10"/>
    </row>
    <row r="310" spans="13:54" ht="15.75" customHeight="1" x14ac:dyDescent="0.2">
      <c r="M310" s="7"/>
      <c r="R310" s="8"/>
      <c r="S310" s="8"/>
      <c r="U310" s="16"/>
      <c r="AC310" s="16"/>
      <c r="AY310" s="17"/>
      <c r="AZ310" s="17"/>
      <c r="BA310" s="10"/>
      <c r="BB310" s="10"/>
    </row>
    <row r="311" spans="13:54" ht="15.75" customHeight="1" x14ac:dyDescent="0.2">
      <c r="M311" s="7"/>
      <c r="R311" s="8"/>
      <c r="S311" s="8"/>
      <c r="U311" s="16"/>
      <c r="AC311" s="16"/>
      <c r="AY311" s="17"/>
      <c r="AZ311" s="17"/>
      <c r="BA311" s="10"/>
      <c r="BB311" s="10"/>
    </row>
    <row r="312" spans="13:54" ht="15.75" customHeight="1" x14ac:dyDescent="0.2">
      <c r="M312" s="7"/>
      <c r="R312" s="8"/>
      <c r="S312" s="8"/>
      <c r="U312" s="16"/>
      <c r="AC312" s="16"/>
      <c r="AY312" s="17"/>
      <c r="AZ312" s="17"/>
      <c r="BA312" s="10"/>
      <c r="BB312" s="10"/>
    </row>
    <row r="313" spans="13:54" ht="15.75" customHeight="1" x14ac:dyDescent="0.2">
      <c r="M313" s="7"/>
      <c r="R313" s="8"/>
      <c r="S313" s="8"/>
      <c r="U313" s="16"/>
      <c r="AC313" s="16"/>
      <c r="AY313" s="17"/>
      <c r="AZ313" s="17"/>
      <c r="BA313" s="10"/>
      <c r="BB313" s="10"/>
    </row>
    <row r="314" spans="13:54" ht="15.75" customHeight="1" x14ac:dyDescent="0.2">
      <c r="M314" s="7"/>
      <c r="R314" s="8"/>
      <c r="S314" s="8"/>
      <c r="U314" s="16"/>
      <c r="AC314" s="16"/>
      <c r="AY314" s="17"/>
      <c r="AZ314" s="17"/>
      <c r="BA314" s="10"/>
      <c r="BB314" s="10"/>
    </row>
    <row r="315" spans="13:54" ht="15.75" customHeight="1" x14ac:dyDescent="0.2">
      <c r="M315" s="7"/>
      <c r="R315" s="8"/>
      <c r="S315" s="8"/>
      <c r="U315" s="16"/>
      <c r="AC315" s="16"/>
      <c r="AY315" s="17"/>
      <c r="AZ315" s="17"/>
      <c r="BA315" s="10"/>
      <c r="BB315" s="10"/>
    </row>
    <row r="316" spans="13:54" ht="15.75" customHeight="1" x14ac:dyDescent="0.2">
      <c r="M316" s="7"/>
      <c r="R316" s="8"/>
      <c r="S316" s="8"/>
      <c r="U316" s="16"/>
      <c r="AC316" s="16"/>
      <c r="AY316" s="17"/>
      <c r="AZ316" s="17"/>
      <c r="BA316" s="10"/>
      <c r="BB316" s="10"/>
    </row>
    <row r="317" spans="13:54" ht="15.75" customHeight="1" x14ac:dyDescent="0.2">
      <c r="M317" s="7"/>
      <c r="R317" s="8"/>
      <c r="S317" s="8"/>
      <c r="U317" s="16"/>
      <c r="AC317" s="16"/>
      <c r="AY317" s="17"/>
      <c r="AZ317" s="17"/>
      <c r="BA317" s="10"/>
      <c r="BB317" s="10"/>
    </row>
    <row r="318" spans="13:54" ht="15.75" customHeight="1" x14ac:dyDescent="0.2">
      <c r="M318" s="7"/>
      <c r="R318" s="8"/>
      <c r="S318" s="8"/>
      <c r="U318" s="16"/>
      <c r="AC318" s="16"/>
      <c r="AY318" s="17"/>
      <c r="AZ318" s="17"/>
      <c r="BA318" s="10"/>
      <c r="BB318" s="10"/>
    </row>
    <row r="319" spans="13:54" ht="15.75" customHeight="1" x14ac:dyDescent="0.2">
      <c r="M319" s="7"/>
      <c r="R319" s="8"/>
      <c r="S319" s="8"/>
      <c r="U319" s="16"/>
      <c r="AC319" s="16"/>
      <c r="AY319" s="17"/>
      <c r="AZ319" s="17"/>
      <c r="BA319" s="10"/>
      <c r="BB319" s="10"/>
    </row>
    <row r="320" spans="13:54" ht="15.75" customHeight="1" x14ac:dyDescent="0.2">
      <c r="M320" s="7"/>
      <c r="R320" s="8"/>
      <c r="S320" s="8"/>
      <c r="U320" s="16"/>
      <c r="AC320" s="16"/>
      <c r="AY320" s="17"/>
      <c r="AZ320" s="17"/>
      <c r="BA320" s="10"/>
      <c r="BB320" s="10"/>
    </row>
    <row r="321" spans="13:54" ht="15.75" customHeight="1" x14ac:dyDescent="0.2">
      <c r="M321" s="7"/>
      <c r="R321" s="8"/>
      <c r="S321" s="8"/>
      <c r="U321" s="16"/>
      <c r="AC321" s="16"/>
      <c r="AY321" s="17"/>
      <c r="AZ321" s="17"/>
      <c r="BA321" s="10"/>
      <c r="BB321" s="10"/>
    </row>
    <row r="322" spans="13:54" ht="15.75" customHeight="1" x14ac:dyDescent="0.2">
      <c r="M322" s="7"/>
      <c r="R322" s="8"/>
      <c r="S322" s="8"/>
      <c r="U322" s="16"/>
      <c r="AC322" s="16"/>
      <c r="AY322" s="17"/>
      <c r="AZ322" s="17"/>
      <c r="BA322" s="10"/>
      <c r="BB322" s="10"/>
    </row>
    <row r="323" spans="13:54" ht="15.75" customHeight="1" x14ac:dyDescent="0.2">
      <c r="M323" s="7"/>
      <c r="R323" s="8"/>
      <c r="S323" s="8"/>
      <c r="U323" s="16"/>
      <c r="AC323" s="16"/>
      <c r="AY323" s="17"/>
      <c r="AZ323" s="17"/>
      <c r="BA323" s="10"/>
      <c r="BB323" s="10"/>
    </row>
    <row r="324" spans="13:54" ht="15.75" customHeight="1" x14ac:dyDescent="0.2">
      <c r="M324" s="7"/>
      <c r="R324" s="8"/>
      <c r="S324" s="8"/>
      <c r="U324" s="16"/>
      <c r="AC324" s="16"/>
      <c r="AY324" s="17"/>
      <c r="AZ324" s="17"/>
      <c r="BA324" s="10"/>
      <c r="BB324" s="10"/>
    </row>
    <row r="325" spans="13:54" ht="15.75" customHeight="1" x14ac:dyDescent="0.2">
      <c r="M325" s="7"/>
      <c r="R325" s="8"/>
      <c r="S325" s="8"/>
      <c r="U325" s="16"/>
      <c r="AC325" s="16"/>
      <c r="AY325" s="17"/>
      <c r="AZ325" s="17"/>
      <c r="BA325" s="10"/>
      <c r="BB325" s="10"/>
    </row>
    <row r="326" spans="13:54" ht="15.75" customHeight="1" x14ac:dyDescent="0.2">
      <c r="M326" s="7"/>
      <c r="R326" s="8"/>
      <c r="S326" s="8"/>
      <c r="U326" s="16"/>
      <c r="AC326" s="16"/>
      <c r="AY326" s="17"/>
      <c r="AZ326" s="17"/>
      <c r="BA326" s="10"/>
      <c r="BB326" s="10"/>
    </row>
    <row r="327" spans="13:54" ht="15.75" customHeight="1" x14ac:dyDescent="0.2">
      <c r="M327" s="7"/>
      <c r="R327" s="8"/>
      <c r="S327" s="8"/>
      <c r="U327" s="16"/>
      <c r="AC327" s="16"/>
      <c r="AY327" s="17"/>
      <c r="AZ327" s="17"/>
      <c r="BA327" s="10"/>
      <c r="BB327" s="10"/>
    </row>
    <row r="328" spans="13:54" ht="15.75" customHeight="1" x14ac:dyDescent="0.2">
      <c r="M328" s="7"/>
      <c r="R328" s="8"/>
      <c r="S328" s="8"/>
      <c r="U328" s="16"/>
      <c r="AC328" s="16"/>
      <c r="AY328" s="17"/>
      <c r="AZ328" s="17"/>
      <c r="BA328" s="10"/>
      <c r="BB328" s="10"/>
    </row>
    <row r="329" spans="13:54" ht="15.75" customHeight="1" x14ac:dyDescent="0.2">
      <c r="M329" s="7"/>
      <c r="R329" s="8"/>
      <c r="S329" s="8"/>
      <c r="U329" s="16"/>
      <c r="AC329" s="16"/>
      <c r="AY329" s="17"/>
      <c r="AZ329" s="17"/>
      <c r="BA329" s="10"/>
      <c r="BB329" s="10"/>
    </row>
    <row r="330" spans="13:54" ht="15.75" customHeight="1" x14ac:dyDescent="0.2">
      <c r="M330" s="7"/>
      <c r="R330" s="8"/>
      <c r="S330" s="8"/>
      <c r="U330" s="16"/>
      <c r="AC330" s="16"/>
      <c r="AY330" s="17"/>
      <c r="AZ330" s="17"/>
      <c r="BA330" s="10"/>
      <c r="BB330" s="10"/>
    </row>
    <row r="331" spans="13:54" ht="15.75" customHeight="1" x14ac:dyDescent="0.2">
      <c r="M331" s="7"/>
      <c r="R331" s="8"/>
      <c r="S331" s="8"/>
      <c r="U331" s="16"/>
      <c r="AC331" s="16"/>
      <c r="AY331" s="17"/>
      <c r="AZ331" s="17"/>
      <c r="BA331" s="10"/>
      <c r="BB331" s="10"/>
    </row>
    <row r="332" spans="13:54" ht="15.75" customHeight="1" x14ac:dyDescent="0.2">
      <c r="M332" s="7"/>
      <c r="R332" s="8"/>
      <c r="S332" s="8"/>
      <c r="U332" s="16"/>
      <c r="AC332" s="16"/>
      <c r="AY332" s="17"/>
      <c r="AZ332" s="17"/>
      <c r="BA332" s="10"/>
      <c r="BB332" s="10"/>
    </row>
    <row r="333" spans="13:54" ht="15.75" customHeight="1" x14ac:dyDescent="0.2">
      <c r="M333" s="7"/>
      <c r="R333" s="8"/>
      <c r="S333" s="8"/>
      <c r="U333" s="16"/>
      <c r="AC333" s="16"/>
      <c r="AY333" s="17"/>
      <c r="AZ333" s="17"/>
      <c r="BA333" s="10"/>
      <c r="BB333" s="10"/>
    </row>
    <row r="334" spans="13:54" ht="15.75" customHeight="1" x14ac:dyDescent="0.2">
      <c r="M334" s="7"/>
      <c r="R334" s="8"/>
      <c r="S334" s="8"/>
      <c r="U334" s="16"/>
      <c r="AC334" s="16"/>
      <c r="AY334" s="17"/>
      <c r="AZ334" s="17"/>
      <c r="BA334" s="10"/>
      <c r="BB334" s="10"/>
    </row>
    <row r="335" spans="13:54" ht="15.75" customHeight="1" x14ac:dyDescent="0.2">
      <c r="M335" s="7"/>
      <c r="R335" s="8"/>
      <c r="S335" s="8"/>
      <c r="U335" s="16"/>
      <c r="AC335" s="16"/>
      <c r="AY335" s="17"/>
      <c r="AZ335" s="17"/>
      <c r="BA335" s="10"/>
      <c r="BB335" s="10"/>
    </row>
    <row r="336" spans="13:54" ht="15.75" customHeight="1" x14ac:dyDescent="0.2">
      <c r="M336" s="7"/>
      <c r="R336" s="8"/>
      <c r="S336" s="8"/>
      <c r="U336" s="16"/>
      <c r="AC336" s="16"/>
      <c r="AY336" s="17"/>
      <c r="AZ336" s="17"/>
      <c r="BA336" s="10"/>
      <c r="BB336" s="10"/>
    </row>
    <row r="337" spans="13:54" ht="15.75" customHeight="1" x14ac:dyDescent="0.2">
      <c r="M337" s="7"/>
      <c r="R337" s="8"/>
      <c r="S337" s="8"/>
      <c r="U337" s="16"/>
      <c r="AC337" s="16"/>
      <c r="AY337" s="17"/>
      <c r="AZ337" s="17"/>
      <c r="BA337" s="10"/>
      <c r="BB337" s="10"/>
    </row>
    <row r="338" spans="13:54" ht="15.75" customHeight="1" x14ac:dyDescent="0.2">
      <c r="M338" s="7"/>
      <c r="R338" s="8"/>
      <c r="S338" s="8"/>
      <c r="U338" s="16"/>
      <c r="AC338" s="16"/>
      <c r="AY338" s="17"/>
      <c r="AZ338" s="17"/>
      <c r="BA338" s="10"/>
      <c r="BB338" s="10"/>
    </row>
    <row r="339" spans="13:54" ht="15.75" customHeight="1" x14ac:dyDescent="0.2">
      <c r="M339" s="7"/>
      <c r="R339" s="8"/>
      <c r="S339" s="8"/>
      <c r="U339" s="16"/>
      <c r="AC339" s="16"/>
      <c r="AY339" s="17"/>
      <c r="AZ339" s="17"/>
      <c r="BA339" s="10"/>
      <c r="BB339" s="10"/>
    </row>
    <row r="340" spans="13:54" ht="15.75" customHeight="1" x14ac:dyDescent="0.2">
      <c r="M340" s="7"/>
      <c r="R340" s="8"/>
      <c r="S340" s="8"/>
      <c r="U340" s="16"/>
      <c r="AC340" s="16"/>
      <c r="AY340" s="17"/>
      <c r="AZ340" s="17"/>
      <c r="BA340" s="10"/>
      <c r="BB340" s="10"/>
    </row>
    <row r="341" spans="13:54" ht="15.75" customHeight="1" x14ac:dyDescent="0.2">
      <c r="M341" s="7"/>
      <c r="R341" s="8"/>
      <c r="S341" s="8"/>
      <c r="U341" s="16"/>
      <c r="AC341" s="16"/>
      <c r="AY341" s="17"/>
      <c r="AZ341" s="17"/>
      <c r="BA341" s="10"/>
      <c r="BB341" s="10"/>
    </row>
    <row r="342" spans="13:54" ht="15.75" customHeight="1" x14ac:dyDescent="0.2">
      <c r="M342" s="7"/>
      <c r="R342" s="8"/>
      <c r="S342" s="8"/>
      <c r="U342" s="16"/>
      <c r="AC342" s="16"/>
      <c r="AY342" s="17"/>
      <c r="AZ342" s="17"/>
      <c r="BA342" s="10"/>
      <c r="BB342" s="10"/>
    </row>
    <row r="343" spans="13:54" ht="15.75" customHeight="1" x14ac:dyDescent="0.2">
      <c r="M343" s="7"/>
      <c r="R343" s="8"/>
      <c r="S343" s="8"/>
      <c r="U343" s="16"/>
      <c r="AC343" s="16"/>
      <c r="AY343" s="17"/>
      <c r="AZ343" s="17"/>
      <c r="BA343" s="10"/>
      <c r="BB343" s="10"/>
    </row>
    <row r="344" spans="13:54" ht="15.75" customHeight="1" x14ac:dyDescent="0.2">
      <c r="M344" s="7"/>
      <c r="R344" s="8"/>
      <c r="S344" s="8"/>
      <c r="U344" s="16"/>
      <c r="AC344" s="16"/>
      <c r="AY344" s="17"/>
      <c r="AZ344" s="17"/>
      <c r="BA344" s="10"/>
      <c r="BB344" s="10"/>
    </row>
    <row r="345" spans="13:54" ht="15.75" customHeight="1" x14ac:dyDescent="0.2">
      <c r="M345" s="7"/>
      <c r="R345" s="8"/>
      <c r="S345" s="8"/>
      <c r="U345" s="16"/>
      <c r="AC345" s="16"/>
      <c r="AY345" s="17"/>
      <c r="AZ345" s="17"/>
      <c r="BA345" s="10"/>
      <c r="BB345" s="10"/>
    </row>
    <row r="346" spans="13:54" ht="15.75" customHeight="1" x14ac:dyDescent="0.2">
      <c r="M346" s="7"/>
      <c r="R346" s="8"/>
      <c r="S346" s="8"/>
      <c r="U346" s="16"/>
      <c r="AC346" s="16"/>
      <c r="AY346" s="17"/>
      <c r="AZ346" s="17"/>
      <c r="BA346" s="10"/>
      <c r="BB346" s="10"/>
    </row>
    <row r="347" spans="13:54" ht="15.75" customHeight="1" x14ac:dyDescent="0.2">
      <c r="M347" s="7"/>
      <c r="R347" s="8"/>
      <c r="S347" s="8"/>
      <c r="U347" s="16"/>
      <c r="AC347" s="16"/>
      <c r="AY347" s="17"/>
      <c r="AZ347" s="17"/>
      <c r="BA347" s="10"/>
      <c r="BB347" s="10"/>
    </row>
    <row r="348" spans="13:54" ht="15.75" customHeight="1" x14ac:dyDescent="0.2">
      <c r="M348" s="7"/>
      <c r="R348" s="8"/>
      <c r="S348" s="8"/>
      <c r="U348" s="16"/>
      <c r="AC348" s="16"/>
      <c r="AY348" s="17"/>
      <c r="AZ348" s="17"/>
      <c r="BA348" s="10"/>
      <c r="BB348" s="10"/>
    </row>
    <row r="349" spans="13:54" ht="15.75" customHeight="1" x14ac:dyDescent="0.2">
      <c r="M349" s="7"/>
      <c r="R349" s="8"/>
      <c r="S349" s="8"/>
      <c r="U349" s="16"/>
      <c r="AC349" s="16"/>
      <c r="AY349" s="17"/>
      <c r="AZ349" s="17"/>
      <c r="BA349" s="10"/>
      <c r="BB349" s="10"/>
    </row>
    <row r="350" spans="13:54" ht="15.75" customHeight="1" x14ac:dyDescent="0.2">
      <c r="M350" s="7"/>
      <c r="R350" s="8"/>
      <c r="S350" s="8"/>
      <c r="U350" s="16"/>
      <c r="AC350" s="16"/>
      <c r="AY350" s="17"/>
      <c r="AZ350" s="17"/>
      <c r="BA350" s="10"/>
      <c r="BB350" s="10"/>
    </row>
    <row r="351" spans="13:54" ht="15.75" customHeight="1" x14ac:dyDescent="0.2">
      <c r="M351" s="7"/>
      <c r="R351" s="8"/>
      <c r="S351" s="8"/>
      <c r="U351" s="16"/>
      <c r="AC351" s="16"/>
      <c r="AY351" s="17"/>
      <c r="AZ351" s="17"/>
      <c r="BA351" s="10"/>
      <c r="BB351" s="10"/>
    </row>
    <row r="352" spans="13:54" ht="15.75" customHeight="1" x14ac:dyDescent="0.2">
      <c r="M352" s="7"/>
      <c r="R352" s="8"/>
      <c r="S352" s="8"/>
      <c r="U352" s="16"/>
      <c r="AC352" s="16"/>
      <c r="AY352" s="17"/>
      <c r="AZ352" s="17"/>
      <c r="BA352" s="10"/>
      <c r="BB352" s="10"/>
    </row>
    <row r="353" spans="13:54" ht="15.75" customHeight="1" x14ac:dyDescent="0.2">
      <c r="M353" s="7"/>
      <c r="R353" s="8"/>
      <c r="S353" s="8"/>
      <c r="U353" s="16"/>
      <c r="AC353" s="16"/>
      <c r="AY353" s="17"/>
      <c r="AZ353" s="17"/>
      <c r="BA353" s="10"/>
      <c r="BB353" s="10"/>
    </row>
    <row r="354" spans="13:54" ht="15.75" customHeight="1" x14ac:dyDescent="0.2">
      <c r="M354" s="7"/>
      <c r="R354" s="8"/>
      <c r="S354" s="8"/>
      <c r="U354" s="16"/>
      <c r="AC354" s="16"/>
      <c r="AY354" s="17"/>
      <c r="AZ354" s="17"/>
      <c r="BA354" s="10"/>
      <c r="BB354" s="10"/>
    </row>
    <row r="355" spans="13:54" ht="15.75" customHeight="1" x14ac:dyDescent="0.2">
      <c r="M355" s="7"/>
      <c r="R355" s="8"/>
      <c r="S355" s="8"/>
      <c r="U355" s="16"/>
      <c r="AC355" s="16"/>
      <c r="AY355" s="17"/>
      <c r="AZ355" s="17"/>
      <c r="BA355" s="10"/>
      <c r="BB355" s="10"/>
    </row>
    <row r="356" spans="13:54" ht="15.75" customHeight="1" x14ac:dyDescent="0.2">
      <c r="M356" s="7"/>
      <c r="R356" s="8"/>
      <c r="S356" s="8"/>
      <c r="U356" s="16"/>
      <c r="AC356" s="16"/>
      <c r="AY356" s="17"/>
      <c r="AZ356" s="17"/>
      <c r="BA356" s="10"/>
      <c r="BB356" s="10"/>
    </row>
    <row r="357" spans="13:54" ht="15.75" customHeight="1" x14ac:dyDescent="0.2">
      <c r="M357" s="7"/>
      <c r="R357" s="8"/>
      <c r="S357" s="8"/>
      <c r="U357" s="16"/>
      <c r="AC357" s="16"/>
      <c r="AY357" s="17"/>
      <c r="AZ357" s="17"/>
      <c r="BA357" s="10"/>
      <c r="BB357" s="10"/>
    </row>
    <row r="358" spans="13:54" ht="15.75" customHeight="1" x14ac:dyDescent="0.2">
      <c r="M358" s="7"/>
      <c r="R358" s="8"/>
      <c r="S358" s="8"/>
      <c r="U358" s="16"/>
      <c r="AC358" s="16"/>
      <c r="AY358" s="17"/>
      <c r="AZ358" s="17"/>
      <c r="BA358" s="10"/>
      <c r="BB358" s="10"/>
    </row>
    <row r="359" spans="13:54" ht="15.75" customHeight="1" x14ac:dyDescent="0.2">
      <c r="M359" s="7"/>
      <c r="R359" s="8"/>
      <c r="S359" s="8"/>
      <c r="U359" s="16"/>
      <c r="AC359" s="16"/>
      <c r="AY359" s="17"/>
      <c r="AZ359" s="17"/>
      <c r="BA359" s="10"/>
      <c r="BB359" s="10"/>
    </row>
    <row r="360" spans="13:54" ht="15.75" customHeight="1" x14ac:dyDescent="0.2">
      <c r="M360" s="7"/>
      <c r="R360" s="8"/>
      <c r="S360" s="8"/>
      <c r="U360" s="16"/>
      <c r="AC360" s="16"/>
      <c r="AY360" s="17"/>
      <c r="AZ360" s="17"/>
      <c r="BA360" s="10"/>
      <c r="BB360" s="10"/>
    </row>
    <row r="361" spans="13:54" ht="15.75" customHeight="1" x14ac:dyDescent="0.2">
      <c r="M361" s="7"/>
      <c r="R361" s="8"/>
      <c r="S361" s="8"/>
      <c r="U361" s="16"/>
      <c r="AC361" s="16"/>
      <c r="AY361" s="17"/>
      <c r="AZ361" s="17"/>
      <c r="BA361" s="10"/>
      <c r="BB361" s="10"/>
    </row>
    <row r="362" spans="13:54" ht="15.75" customHeight="1" x14ac:dyDescent="0.2">
      <c r="M362" s="7"/>
      <c r="R362" s="8"/>
      <c r="S362" s="8"/>
      <c r="U362" s="16"/>
      <c r="AC362" s="16"/>
      <c r="AY362" s="17"/>
      <c r="AZ362" s="17"/>
      <c r="BA362" s="10"/>
      <c r="BB362" s="10"/>
    </row>
    <row r="363" spans="13:54" ht="15.75" customHeight="1" x14ac:dyDescent="0.2">
      <c r="M363" s="7"/>
      <c r="R363" s="8"/>
      <c r="S363" s="8"/>
      <c r="U363" s="16"/>
      <c r="AC363" s="16"/>
      <c r="AY363" s="17"/>
      <c r="AZ363" s="17"/>
      <c r="BA363" s="10"/>
      <c r="BB363" s="10"/>
    </row>
    <row r="364" spans="13:54" ht="15.75" customHeight="1" x14ac:dyDescent="0.2">
      <c r="M364" s="7"/>
      <c r="R364" s="8"/>
      <c r="S364" s="8"/>
      <c r="U364" s="16"/>
      <c r="AC364" s="16"/>
      <c r="AY364" s="17"/>
      <c r="AZ364" s="17"/>
      <c r="BA364" s="10"/>
      <c r="BB364" s="10"/>
    </row>
    <row r="365" spans="13:54" ht="15.75" customHeight="1" x14ac:dyDescent="0.2">
      <c r="M365" s="7"/>
      <c r="R365" s="8"/>
      <c r="S365" s="8"/>
      <c r="U365" s="16"/>
      <c r="AC365" s="16"/>
      <c r="AY365" s="17"/>
      <c r="AZ365" s="17"/>
      <c r="BA365" s="10"/>
      <c r="BB365" s="10"/>
    </row>
    <row r="366" spans="13:54" ht="15.75" customHeight="1" x14ac:dyDescent="0.2">
      <c r="M366" s="7"/>
      <c r="R366" s="8"/>
      <c r="S366" s="8"/>
      <c r="U366" s="16"/>
      <c r="AC366" s="16"/>
      <c r="AY366" s="17"/>
      <c r="AZ366" s="17"/>
      <c r="BA366" s="10"/>
      <c r="BB366" s="10"/>
    </row>
    <row r="367" spans="13:54" ht="15.75" customHeight="1" x14ac:dyDescent="0.2">
      <c r="M367" s="7"/>
      <c r="R367" s="8"/>
      <c r="S367" s="8"/>
      <c r="U367" s="16"/>
      <c r="AC367" s="16"/>
      <c r="AY367" s="17"/>
      <c r="AZ367" s="17"/>
      <c r="BA367" s="10"/>
      <c r="BB367" s="10"/>
    </row>
    <row r="368" spans="13:54" ht="15.75" customHeight="1" x14ac:dyDescent="0.2">
      <c r="M368" s="7"/>
      <c r="R368" s="8"/>
      <c r="S368" s="8"/>
      <c r="U368" s="16"/>
      <c r="AC368" s="16"/>
      <c r="AY368" s="17"/>
      <c r="AZ368" s="17"/>
      <c r="BA368" s="10"/>
      <c r="BB368" s="10"/>
    </row>
    <row r="369" spans="13:54" ht="15.75" customHeight="1" x14ac:dyDescent="0.2">
      <c r="M369" s="7"/>
      <c r="R369" s="8"/>
      <c r="S369" s="8"/>
      <c r="U369" s="16"/>
      <c r="AC369" s="16"/>
      <c r="AY369" s="17"/>
      <c r="AZ369" s="17"/>
      <c r="BA369" s="10"/>
      <c r="BB369" s="10"/>
    </row>
    <row r="370" spans="13:54" ht="15.75" customHeight="1" x14ac:dyDescent="0.2">
      <c r="M370" s="7"/>
      <c r="R370" s="8"/>
      <c r="S370" s="8"/>
      <c r="U370" s="16"/>
      <c r="AC370" s="16"/>
      <c r="AY370" s="17"/>
      <c r="AZ370" s="17"/>
      <c r="BA370" s="10"/>
      <c r="BB370" s="10"/>
    </row>
    <row r="371" spans="13:54" ht="15.75" customHeight="1" x14ac:dyDescent="0.2">
      <c r="M371" s="7"/>
      <c r="R371" s="8"/>
      <c r="S371" s="8"/>
      <c r="U371" s="16"/>
      <c r="AC371" s="16"/>
      <c r="AY371" s="17"/>
      <c r="AZ371" s="17"/>
      <c r="BA371" s="10"/>
      <c r="BB371" s="10"/>
    </row>
    <row r="372" spans="13:54" ht="15.75" customHeight="1" x14ac:dyDescent="0.2">
      <c r="M372" s="7"/>
      <c r="R372" s="8"/>
      <c r="S372" s="8"/>
      <c r="U372" s="16"/>
      <c r="AC372" s="16"/>
      <c r="AY372" s="17"/>
      <c r="AZ372" s="17"/>
      <c r="BA372" s="10"/>
      <c r="BB372" s="10"/>
    </row>
    <row r="373" spans="13:54" ht="15.75" customHeight="1" x14ac:dyDescent="0.2">
      <c r="M373" s="7"/>
      <c r="R373" s="8"/>
      <c r="S373" s="8"/>
      <c r="U373" s="16"/>
      <c r="AC373" s="16"/>
      <c r="AY373" s="17"/>
      <c r="AZ373" s="17"/>
      <c r="BA373" s="10"/>
      <c r="BB373" s="10"/>
    </row>
    <row r="374" spans="13:54" ht="15.75" customHeight="1" x14ac:dyDescent="0.2">
      <c r="M374" s="7"/>
      <c r="R374" s="8"/>
      <c r="S374" s="8"/>
      <c r="U374" s="16"/>
      <c r="AC374" s="16"/>
      <c r="AY374" s="17"/>
      <c r="AZ374" s="17"/>
      <c r="BA374" s="10"/>
      <c r="BB374" s="10"/>
    </row>
    <row r="375" spans="13:54" ht="15.75" customHeight="1" x14ac:dyDescent="0.2">
      <c r="M375" s="7"/>
      <c r="R375" s="8"/>
      <c r="S375" s="8"/>
      <c r="U375" s="16"/>
      <c r="AC375" s="16"/>
      <c r="AY375" s="17"/>
      <c r="AZ375" s="17"/>
      <c r="BA375" s="10"/>
      <c r="BB375" s="10"/>
    </row>
    <row r="376" spans="13:54" ht="15.75" customHeight="1" x14ac:dyDescent="0.2">
      <c r="M376" s="7"/>
      <c r="R376" s="8"/>
      <c r="S376" s="8"/>
      <c r="U376" s="16"/>
      <c r="AC376" s="16"/>
      <c r="AY376" s="17"/>
      <c r="AZ376" s="17"/>
      <c r="BA376" s="10"/>
      <c r="BB376" s="10"/>
    </row>
    <row r="377" spans="13:54" ht="15.75" customHeight="1" x14ac:dyDescent="0.2">
      <c r="M377" s="7"/>
      <c r="R377" s="8"/>
      <c r="S377" s="8"/>
      <c r="U377" s="16"/>
      <c r="AC377" s="16"/>
      <c r="AY377" s="17"/>
      <c r="AZ377" s="17"/>
      <c r="BA377" s="10"/>
      <c r="BB377" s="10"/>
    </row>
    <row r="378" spans="13:54" ht="15.75" customHeight="1" x14ac:dyDescent="0.2">
      <c r="M378" s="7"/>
      <c r="R378" s="8"/>
      <c r="S378" s="8"/>
      <c r="U378" s="16"/>
      <c r="AC378" s="16"/>
      <c r="AY378" s="17"/>
      <c r="AZ378" s="17"/>
      <c r="BA378" s="10"/>
      <c r="BB378" s="10"/>
    </row>
    <row r="379" spans="13:54" ht="15.75" customHeight="1" x14ac:dyDescent="0.2">
      <c r="M379" s="7"/>
      <c r="R379" s="8"/>
      <c r="S379" s="8"/>
      <c r="U379" s="16"/>
      <c r="AC379" s="16"/>
      <c r="AY379" s="17"/>
      <c r="AZ379" s="17"/>
      <c r="BA379" s="10"/>
      <c r="BB379" s="10"/>
    </row>
    <row r="380" spans="13:54" ht="15.75" customHeight="1" x14ac:dyDescent="0.2">
      <c r="M380" s="7"/>
      <c r="R380" s="8"/>
      <c r="S380" s="8"/>
      <c r="U380" s="16"/>
      <c r="AC380" s="16"/>
      <c r="AY380" s="17"/>
      <c r="AZ380" s="17"/>
      <c r="BA380" s="10"/>
      <c r="BB380" s="10"/>
    </row>
    <row r="381" spans="13:54" ht="15.75" customHeight="1" x14ac:dyDescent="0.2">
      <c r="M381" s="7"/>
      <c r="R381" s="8"/>
      <c r="S381" s="8"/>
      <c r="U381" s="16"/>
      <c r="AC381" s="16"/>
      <c r="AY381" s="17"/>
      <c r="AZ381" s="17"/>
      <c r="BA381" s="10"/>
      <c r="BB381" s="10"/>
    </row>
    <row r="382" spans="13:54" ht="15.75" customHeight="1" x14ac:dyDescent="0.2">
      <c r="M382" s="7"/>
      <c r="R382" s="8"/>
      <c r="S382" s="8"/>
      <c r="U382" s="16"/>
      <c r="AC382" s="16"/>
      <c r="AY382" s="17"/>
      <c r="AZ382" s="17"/>
      <c r="BA382" s="10"/>
      <c r="BB382" s="10"/>
    </row>
    <row r="383" spans="13:54" ht="15.75" customHeight="1" x14ac:dyDescent="0.2">
      <c r="M383" s="7"/>
      <c r="R383" s="8"/>
      <c r="S383" s="8"/>
      <c r="U383" s="16"/>
      <c r="AC383" s="16"/>
      <c r="AY383" s="17"/>
      <c r="AZ383" s="17"/>
      <c r="BA383" s="10"/>
      <c r="BB383" s="10"/>
    </row>
    <row r="384" spans="13:54" ht="15.75" customHeight="1" x14ac:dyDescent="0.2">
      <c r="M384" s="7"/>
      <c r="R384" s="8"/>
      <c r="S384" s="8"/>
      <c r="U384" s="16"/>
      <c r="AC384" s="16"/>
      <c r="AY384" s="17"/>
      <c r="AZ384" s="17"/>
      <c r="BA384" s="10"/>
      <c r="BB384" s="10"/>
    </row>
    <row r="385" spans="13:54" ht="15.75" customHeight="1" x14ac:dyDescent="0.2">
      <c r="M385" s="7"/>
      <c r="R385" s="8"/>
      <c r="S385" s="8"/>
      <c r="U385" s="16"/>
      <c r="AC385" s="16"/>
      <c r="AY385" s="17"/>
      <c r="AZ385" s="17"/>
      <c r="BA385" s="10"/>
      <c r="BB385" s="10"/>
    </row>
    <row r="386" spans="13:54" ht="15.75" customHeight="1" x14ac:dyDescent="0.2">
      <c r="M386" s="7"/>
      <c r="R386" s="8"/>
      <c r="S386" s="8"/>
      <c r="U386" s="16"/>
      <c r="AC386" s="16"/>
      <c r="AY386" s="17"/>
      <c r="AZ386" s="17"/>
      <c r="BA386" s="10"/>
      <c r="BB386" s="10"/>
    </row>
    <row r="387" spans="13:54" ht="15.75" customHeight="1" x14ac:dyDescent="0.2">
      <c r="M387" s="7"/>
      <c r="R387" s="8"/>
      <c r="S387" s="8"/>
      <c r="U387" s="16"/>
      <c r="AC387" s="16"/>
      <c r="AY387" s="17"/>
      <c r="AZ387" s="17"/>
      <c r="BA387" s="10"/>
      <c r="BB387" s="10"/>
    </row>
    <row r="388" spans="13:54" ht="15.75" customHeight="1" x14ac:dyDescent="0.2">
      <c r="M388" s="7"/>
      <c r="R388" s="8"/>
      <c r="S388" s="8"/>
      <c r="U388" s="16"/>
      <c r="AC388" s="16"/>
      <c r="AY388" s="17"/>
      <c r="AZ388" s="17"/>
      <c r="BA388" s="10"/>
      <c r="BB388" s="10"/>
    </row>
    <row r="389" spans="13:54" ht="15.75" customHeight="1" x14ac:dyDescent="0.2">
      <c r="M389" s="7"/>
      <c r="R389" s="8"/>
      <c r="S389" s="8"/>
      <c r="U389" s="16"/>
      <c r="AC389" s="16"/>
      <c r="AY389" s="17"/>
      <c r="AZ389" s="17"/>
      <c r="BA389" s="10"/>
      <c r="BB389" s="10"/>
    </row>
    <row r="390" spans="13:54" ht="15.75" customHeight="1" x14ac:dyDescent="0.2">
      <c r="M390" s="7"/>
      <c r="R390" s="8"/>
      <c r="S390" s="8"/>
      <c r="U390" s="16"/>
      <c r="AC390" s="16"/>
      <c r="AY390" s="17"/>
      <c r="AZ390" s="17"/>
      <c r="BA390" s="10"/>
      <c r="BB390" s="10"/>
    </row>
    <row r="391" spans="13:54" ht="15.75" customHeight="1" x14ac:dyDescent="0.2">
      <c r="M391" s="7"/>
      <c r="R391" s="8"/>
      <c r="S391" s="8"/>
      <c r="U391" s="16"/>
      <c r="AC391" s="16"/>
      <c r="AY391" s="17"/>
      <c r="AZ391" s="17"/>
      <c r="BA391" s="10"/>
      <c r="BB391" s="10"/>
    </row>
    <row r="392" spans="13:54" ht="15.75" customHeight="1" x14ac:dyDescent="0.2">
      <c r="M392" s="7"/>
      <c r="R392" s="8"/>
      <c r="S392" s="8"/>
      <c r="U392" s="16"/>
      <c r="AC392" s="16"/>
      <c r="AY392" s="17"/>
      <c r="AZ392" s="17"/>
      <c r="BA392" s="10"/>
      <c r="BB392" s="10"/>
    </row>
    <row r="393" spans="13:54" ht="15.75" customHeight="1" x14ac:dyDescent="0.2">
      <c r="M393" s="7"/>
      <c r="R393" s="8"/>
      <c r="S393" s="8"/>
      <c r="U393" s="16"/>
      <c r="AC393" s="16"/>
      <c r="AY393" s="17"/>
      <c r="AZ393" s="17"/>
      <c r="BA393" s="10"/>
      <c r="BB393" s="10"/>
    </row>
    <row r="394" spans="13:54" ht="15.75" customHeight="1" x14ac:dyDescent="0.2">
      <c r="M394" s="7"/>
      <c r="R394" s="8"/>
      <c r="S394" s="8"/>
      <c r="U394" s="16"/>
      <c r="AC394" s="16"/>
      <c r="AY394" s="17"/>
      <c r="AZ394" s="17"/>
      <c r="BA394" s="10"/>
      <c r="BB394" s="10"/>
    </row>
    <row r="395" spans="13:54" ht="15.75" customHeight="1" x14ac:dyDescent="0.2">
      <c r="M395" s="7"/>
      <c r="R395" s="8"/>
      <c r="S395" s="8"/>
      <c r="U395" s="16"/>
      <c r="AC395" s="16"/>
      <c r="AY395" s="17"/>
      <c r="AZ395" s="17"/>
      <c r="BA395" s="10"/>
      <c r="BB395" s="10"/>
    </row>
    <row r="396" spans="13:54" ht="15.75" customHeight="1" x14ac:dyDescent="0.2">
      <c r="M396" s="7"/>
      <c r="R396" s="8"/>
      <c r="S396" s="8"/>
      <c r="U396" s="16"/>
      <c r="AC396" s="16"/>
      <c r="AY396" s="17"/>
      <c r="AZ396" s="17"/>
      <c r="BA396" s="10"/>
      <c r="BB396" s="10"/>
    </row>
    <row r="397" spans="13:54" ht="15.75" customHeight="1" x14ac:dyDescent="0.2">
      <c r="M397" s="7"/>
      <c r="R397" s="8"/>
      <c r="S397" s="8"/>
      <c r="U397" s="16"/>
      <c r="AC397" s="16"/>
      <c r="AY397" s="17"/>
      <c r="AZ397" s="17"/>
      <c r="BA397" s="10"/>
      <c r="BB397" s="10"/>
    </row>
    <row r="398" spans="13:54" ht="15.75" customHeight="1" x14ac:dyDescent="0.2">
      <c r="M398" s="7"/>
      <c r="R398" s="8"/>
      <c r="S398" s="8"/>
      <c r="U398" s="16"/>
      <c r="AC398" s="16"/>
      <c r="AY398" s="17"/>
      <c r="AZ398" s="17"/>
      <c r="BA398" s="10"/>
      <c r="BB398" s="10"/>
    </row>
    <row r="399" spans="13:54" ht="15.75" customHeight="1" x14ac:dyDescent="0.2">
      <c r="M399" s="7"/>
      <c r="R399" s="8"/>
      <c r="S399" s="8"/>
      <c r="U399" s="16"/>
      <c r="AC399" s="16"/>
      <c r="AY399" s="17"/>
      <c r="AZ399" s="17"/>
      <c r="BA399" s="10"/>
      <c r="BB399" s="10"/>
    </row>
    <row r="400" spans="13:54" ht="15.75" customHeight="1" x14ac:dyDescent="0.2">
      <c r="M400" s="7"/>
      <c r="R400" s="8"/>
      <c r="S400" s="8"/>
      <c r="U400" s="16"/>
      <c r="AC400" s="16"/>
      <c r="AY400" s="17"/>
      <c r="AZ400" s="17"/>
      <c r="BA400" s="10"/>
      <c r="BB400" s="10"/>
    </row>
    <row r="401" spans="13:54" ht="15.75" customHeight="1" x14ac:dyDescent="0.2">
      <c r="M401" s="7"/>
      <c r="R401" s="8"/>
      <c r="S401" s="8"/>
      <c r="U401" s="16"/>
      <c r="AC401" s="16"/>
      <c r="AY401" s="17"/>
      <c r="AZ401" s="17"/>
      <c r="BA401" s="10"/>
      <c r="BB401" s="10"/>
    </row>
    <row r="402" spans="13:54" ht="15.75" customHeight="1" x14ac:dyDescent="0.2">
      <c r="M402" s="7"/>
      <c r="R402" s="8"/>
      <c r="S402" s="8"/>
      <c r="U402" s="16"/>
      <c r="AC402" s="16"/>
      <c r="AY402" s="17"/>
      <c r="AZ402" s="17"/>
      <c r="BA402" s="10"/>
      <c r="BB402" s="10"/>
    </row>
    <row r="403" spans="13:54" ht="15.75" customHeight="1" x14ac:dyDescent="0.2">
      <c r="M403" s="7"/>
      <c r="R403" s="8"/>
      <c r="S403" s="8"/>
      <c r="U403" s="16"/>
      <c r="AC403" s="16"/>
      <c r="AY403" s="17"/>
      <c r="AZ403" s="17"/>
      <c r="BA403" s="10"/>
      <c r="BB403" s="10"/>
    </row>
    <row r="404" spans="13:54" ht="15.75" customHeight="1" x14ac:dyDescent="0.2">
      <c r="M404" s="7"/>
      <c r="R404" s="8"/>
      <c r="S404" s="8"/>
      <c r="U404" s="16"/>
      <c r="AC404" s="16"/>
      <c r="AY404" s="17"/>
      <c r="AZ404" s="17"/>
      <c r="BA404" s="10"/>
      <c r="BB404" s="10"/>
    </row>
    <row r="405" spans="13:54" ht="15.75" customHeight="1" x14ac:dyDescent="0.2">
      <c r="M405" s="7"/>
      <c r="R405" s="8"/>
      <c r="S405" s="8"/>
      <c r="U405" s="16"/>
      <c r="AC405" s="16"/>
      <c r="AY405" s="17"/>
      <c r="AZ405" s="17"/>
      <c r="BA405" s="10"/>
      <c r="BB405" s="10"/>
    </row>
    <row r="406" spans="13:54" ht="15.75" customHeight="1" x14ac:dyDescent="0.2">
      <c r="M406" s="7"/>
      <c r="R406" s="8"/>
      <c r="S406" s="8"/>
      <c r="U406" s="16"/>
      <c r="AC406" s="16"/>
      <c r="AY406" s="17"/>
      <c r="AZ406" s="17"/>
      <c r="BA406" s="10"/>
      <c r="BB406" s="10"/>
    </row>
    <row r="407" spans="13:54" ht="15.75" customHeight="1" x14ac:dyDescent="0.2">
      <c r="M407" s="7"/>
      <c r="R407" s="8"/>
      <c r="S407" s="8"/>
      <c r="U407" s="16"/>
      <c r="AC407" s="16"/>
      <c r="AY407" s="17"/>
      <c r="AZ407" s="17"/>
      <c r="BA407" s="10"/>
      <c r="BB407" s="10"/>
    </row>
    <row r="408" spans="13:54" ht="15.75" customHeight="1" x14ac:dyDescent="0.2">
      <c r="M408" s="7"/>
      <c r="R408" s="8"/>
      <c r="S408" s="8"/>
      <c r="U408" s="16"/>
      <c r="AC408" s="16"/>
      <c r="AY408" s="17"/>
      <c r="AZ408" s="17"/>
      <c r="BA408" s="10"/>
      <c r="BB408" s="10"/>
    </row>
    <row r="409" spans="13:54" ht="15.75" customHeight="1" x14ac:dyDescent="0.2">
      <c r="M409" s="7"/>
      <c r="R409" s="8"/>
      <c r="S409" s="8"/>
      <c r="U409" s="16"/>
      <c r="AC409" s="16"/>
      <c r="AY409" s="17"/>
      <c r="AZ409" s="17"/>
      <c r="BA409" s="10"/>
      <c r="BB409" s="10"/>
    </row>
    <row r="410" spans="13:54" ht="15.75" customHeight="1" x14ac:dyDescent="0.2">
      <c r="M410" s="7"/>
      <c r="R410" s="8"/>
      <c r="S410" s="8"/>
      <c r="U410" s="16"/>
      <c r="AC410" s="16"/>
      <c r="AY410" s="17"/>
      <c r="AZ410" s="17"/>
      <c r="BA410" s="10"/>
      <c r="BB410" s="10"/>
    </row>
    <row r="411" spans="13:54" ht="15.75" customHeight="1" x14ac:dyDescent="0.2">
      <c r="M411" s="7"/>
      <c r="R411" s="8"/>
      <c r="S411" s="8"/>
      <c r="U411" s="16"/>
      <c r="AC411" s="16"/>
      <c r="AY411" s="17"/>
      <c r="AZ411" s="17"/>
      <c r="BA411" s="10"/>
      <c r="BB411" s="10"/>
    </row>
    <row r="412" spans="13:54" ht="15.75" customHeight="1" x14ac:dyDescent="0.2">
      <c r="M412" s="7"/>
      <c r="R412" s="8"/>
      <c r="S412" s="8"/>
      <c r="U412" s="16"/>
      <c r="AC412" s="16"/>
      <c r="AY412" s="17"/>
      <c r="AZ412" s="17"/>
      <c r="BA412" s="10"/>
      <c r="BB412" s="10"/>
    </row>
    <row r="413" spans="13:54" ht="15.75" customHeight="1" x14ac:dyDescent="0.2">
      <c r="M413" s="7"/>
      <c r="R413" s="8"/>
      <c r="S413" s="8"/>
      <c r="U413" s="16"/>
      <c r="AC413" s="16"/>
      <c r="AY413" s="17"/>
      <c r="AZ413" s="17"/>
      <c r="BA413" s="10"/>
      <c r="BB413" s="10"/>
    </row>
    <row r="414" spans="13:54" ht="15.75" customHeight="1" x14ac:dyDescent="0.2">
      <c r="M414" s="7"/>
      <c r="R414" s="8"/>
      <c r="S414" s="8"/>
      <c r="U414" s="16"/>
      <c r="AC414" s="16"/>
      <c r="AY414" s="17"/>
      <c r="AZ414" s="17"/>
      <c r="BA414" s="10"/>
      <c r="BB414" s="10"/>
    </row>
    <row r="415" spans="13:54" ht="15.75" customHeight="1" x14ac:dyDescent="0.2">
      <c r="M415" s="7"/>
      <c r="R415" s="8"/>
      <c r="S415" s="8"/>
      <c r="U415" s="16"/>
      <c r="AC415" s="16"/>
      <c r="AY415" s="17"/>
      <c r="AZ415" s="17"/>
      <c r="BA415" s="10"/>
      <c r="BB415" s="10"/>
    </row>
    <row r="416" spans="13:54" ht="15.75" customHeight="1" x14ac:dyDescent="0.2">
      <c r="M416" s="7"/>
      <c r="R416" s="8"/>
      <c r="S416" s="8"/>
      <c r="U416" s="16"/>
      <c r="AC416" s="16"/>
      <c r="AY416" s="17"/>
      <c r="AZ416" s="17"/>
      <c r="BA416" s="10"/>
      <c r="BB416" s="10"/>
    </row>
    <row r="417" spans="13:54" ht="15.75" customHeight="1" x14ac:dyDescent="0.2">
      <c r="M417" s="7"/>
      <c r="R417" s="8"/>
      <c r="S417" s="8"/>
      <c r="U417" s="16"/>
      <c r="AC417" s="16"/>
      <c r="AY417" s="17"/>
      <c r="AZ417" s="17"/>
      <c r="BA417" s="10"/>
      <c r="BB417" s="10"/>
    </row>
    <row r="418" spans="13:54" ht="15.75" customHeight="1" x14ac:dyDescent="0.2">
      <c r="M418" s="7"/>
      <c r="R418" s="8"/>
      <c r="S418" s="8"/>
      <c r="U418" s="16"/>
      <c r="AC418" s="16"/>
      <c r="AY418" s="17"/>
      <c r="AZ418" s="17"/>
      <c r="BA418" s="10"/>
      <c r="BB418" s="10"/>
    </row>
    <row r="419" spans="13:54" ht="15.75" customHeight="1" x14ac:dyDescent="0.2">
      <c r="M419" s="7"/>
      <c r="R419" s="8"/>
      <c r="S419" s="8"/>
      <c r="U419" s="16"/>
      <c r="AC419" s="16"/>
      <c r="AY419" s="17"/>
      <c r="AZ419" s="17"/>
      <c r="BA419" s="10"/>
      <c r="BB419" s="10"/>
    </row>
    <row r="420" spans="13:54" ht="15.75" customHeight="1" x14ac:dyDescent="0.2">
      <c r="M420" s="7"/>
      <c r="R420" s="8"/>
      <c r="S420" s="8"/>
      <c r="U420" s="16"/>
      <c r="AC420" s="16"/>
      <c r="AY420" s="17"/>
      <c r="AZ420" s="17"/>
      <c r="BA420" s="10"/>
      <c r="BB420" s="10"/>
    </row>
    <row r="421" spans="13:54" ht="15.75" customHeight="1" x14ac:dyDescent="0.2">
      <c r="M421" s="7"/>
      <c r="R421" s="8"/>
      <c r="S421" s="8"/>
      <c r="U421" s="16"/>
      <c r="AC421" s="16"/>
      <c r="AY421" s="17"/>
      <c r="AZ421" s="17"/>
      <c r="BA421" s="10"/>
      <c r="BB421" s="10"/>
    </row>
    <row r="422" spans="13:54" ht="15.75" customHeight="1" x14ac:dyDescent="0.2">
      <c r="M422" s="7"/>
      <c r="R422" s="8"/>
      <c r="S422" s="8"/>
      <c r="U422" s="16"/>
      <c r="AC422" s="16"/>
      <c r="AY422" s="17"/>
      <c r="AZ422" s="17"/>
      <c r="BA422" s="10"/>
      <c r="BB422" s="10"/>
    </row>
    <row r="423" spans="13:54" ht="15.75" customHeight="1" x14ac:dyDescent="0.2">
      <c r="M423" s="7"/>
      <c r="R423" s="8"/>
      <c r="S423" s="8"/>
      <c r="U423" s="16"/>
      <c r="AC423" s="16"/>
      <c r="AY423" s="17"/>
      <c r="AZ423" s="17"/>
      <c r="BA423" s="10"/>
      <c r="BB423" s="10"/>
    </row>
    <row r="424" spans="13:54" ht="15.75" customHeight="1" x14ac:dyDescent="0.2">
      <c r="M424" s="7"/>
      <c r="R424" s="8"/>
      <c r="S424" s="8"/>
      <c r="U424" s="16"/>
      <c r="AC424" s="16"/>
      <c r="AY424" s="17"/>
      <c r="AZ424" s="17"/>
      <c r="BA424" s="10"/>
      <c r="BB424" s="10"/>
    </row>
    <row r="425" spans="13:54" ht="15.75" customHeight="1" x14ac:dyDescent="0.2">
      <c r="M425" s="7"/>
      <c r="R425" s="8"/>
      <c r="S425" s="8"/>
      <c r="U425" s="16"/>
      <c r="AC425" s="16"/>
      <c r="AY425" s="17"/>
      <c r="AZ425" s="17"/>
      <c r="BA425" s="10"/>
      <c r="BB425" s="10"/>
    </row>
    <row r="426" spans="13:54" ht="15.75" customHeight="1" x14ac:dyDescent="0.2">
      <c r="M426" s="7"/>
      <c r="R426" s="8"/>
      <c r="S426" s="8"/>
      <c r="U426" s="16"/>
      <c r="AC426" s="16"/>
      <c r="AY426" s="17"/>
      <c r="AZ426" s="17"/>
      <c r="BA426" s="10"/>
      <c r="BB426" s="10"/>
    </row>
    <row r="427" spans="13:54" ht="15.75" customHeight="1" x14ac:dyDescent="0.2">
      <c r="M427" s="7"/>
      <c r="R427" s="8"/>
      <c r="S427" s="8"/>
      <c r="U427" s="16"/>
      <c r="AC427" s="16"/>
      <c r="AY427" s="17"/>
      <c r="AZ427" s="17"/>
      <c r="BA427" s="10"/>
      <c r="BB427" s="10"/>
    </row>
    <row r="428" spans="13:54" ht="15.75" customHeight="1" x14ac:dyDescent="0.2">
      <c r="M428" s="7"/>
      <c r="R428" s="8"/>
      <c r="S428" s="8"/>
      <c r="U428" s="16"/>
      <c r="AC428" s="16"/>
      <c r="AY428" s="17"/>
      <c r="AZ428" s="17"/>
      <c r="BA428" s="10"/>
      <c r="BB428" s="10"/>
    </row>
    <row r="429" spans="13:54" ht="15.75" customHeight="1" x14ac:dyDescent="0.2">
      <c r="M429" s="7"/>
      <c r="R429" s="8"/>
      <c r="S429" s="8"/>
      <c r="U429" s="16"/>
      <c r="AC429" s="16"/>
      <c r="AY429" s="17"/>
      <c r="AZ429" s="17"/>
      <c r="BA429" s="10"/>
      <c r="BB429" s="10"/>
    </row>
    <row r="430" spans="13:54" ht="15.75" customHeight="1" x14ac:dyDescent="0.2">
      <c r="M430" s="7"/>
      <c r="R430" s="8"/>
      <c r="S430" s="8"/>
      <c r="U430" s="16"/>
      <c r="AC430" s="16"/>
      <c r="AY430" s="17"/>
      <c r="AZ430" s="17"/>
      <c r="BA430" s="10"/>
      <c r="BB430" s="10"/>
    </row>
    <row r="431" spans="13:54" ht="15.75" customHeight="1" x14ac:dyDescent="0.2">
      <c r="M431" s="7"/>
      <c r="R431" s="8"/>
      <c r="S431" s="8"/>
      <c r="U431" s="16"/>
      <c r="AC431" s="16"/>
      <c r="AY431" s="17"/>
      <c r="AZ431" s="17"/>
      <c r="BA431" s="10"/>
      <c r="BB431" s="10"/>
    </row>
    <row r="432" spans="13:54" ht="15.75" customHeight="1" x14ac:dyDescent="0.2">
      <c r="M432" s="7"/>
      <c r="R432" s="8"/>
      <c r="S432" s="8"/>
      <c r="U432" s="16"/>
      <c r="AC432" s="16"/>
      <c r="AY432" s="17"/>
      <c r="AZ432" s="17"/>
      <c r="BA432" s="10"/>
      <c r="BB432" s="10"/>
    </row>
    <row r="433" spans="13:54" ht="15.75" customHeight="1" x14ac:dyDescent="0.2">
      <c r="M433" s="7"/>
      <c r="R433" s="8"/>
      <c r="S433" s="8"/>
      <c r="U433" s="16"/>
      <c r="AC433" s="16"/>
      <c r="AY433" s="17"/>
      <c r="AZ433" s="17"/>
      <c r="BA433" s="10"/>
      <c r="BB433" s="10"/>
    </row>
    <row r="434" spans="13:54" ht="15.75" customHeight="1" x14ac:dyDescent="0.2">
      <c r="M434" s="7"/>
      <c r="R434" s="8"/>
      <c r="S434" s="8"/>
      <c r="U434" s="16"/>
      <c r="AC434" s="16"/>
      <c r="AY434" s="17"/>
      <c r="AZ434" s="17"/>
      <c r="BA434" s="10"/>
      <c r="BB434" s="10"/>
    </row>
    <row r="435" spans="13:54" ht="15.75" customHeight="1" x14ac:dyDescent="0.2">
      <c r="M435" s="7"/>
      <c r="R435" s="8"/>
      <c r="S435" s="8"/>
      <c r="U435" s="16"/>
      <c r="AC435" s="16"/>
      <c r="AY435" s="17"/>
      <c r="AZ435" s="17"/>
      <c r="BA435" s="10"/>
      <c r="BB435" s="10"/>
    </row>
    <row r="436" spans="13:54" ht="15.75" customHeight="1" x14ac:dyDescent="0.2">
      <c r="M436" s="7"/>
      <c r="R436" s="8"/>
      <c r="S436" s="8"/>
      <c r="U436" s="16"/>
      <c r="AC436" s="16"/>
      <c r="AY436" s="17"/>
      <c r="AZ436" s="17"/>
      <c r="BA436" s="10"/>
      <c r="BB436" s="10"/>
    </row>
    <row r="437" spans="13:54" ht="15.75" customHeight="1" x14ac:dyDescent="0.2">
      <c r="M437" s="7"/>
      <c r="R437" s="8"/>
      <c r="S437" s="8"/>
      <c r="U437" s="16"/>
      <c r="AC437" s="16"/>
      <c r="AY437" s="17"/>
      <c r="AZ437" s="17"/>
      <c r="BA437" s="10"/>
      <c r="BB437" s="10"/>
    </row>
    <row r="438" spans="13:54" ht="15.75" customHeight="1" x14ac:dyDescent="0.2">
      <c r="M438" s="7"/>
      <c r="R438" s="8"/>
      <c r="S438" s="8"/>
      <c r="U438" s="16"/>
      <c r="AC438" s="16"/>
      <c r="AY438" s="17"/>
      <c r="AZ438" s="17"/>
      <c r="BA438" s="10"/>
      <c r="BB438" s="10"/>
    </row>
    <row r="439" spans="13:54" ht="15.75" customHeight="1" x14ac:dyDescent="0.2">
      <c r="M439" s="7"/>
      <c r="R439" s="8"/>
      <c r="S439" s="8"/>
      <c r="U439" s="16"/>
      <c r="AC439" s="16"/>
      <c r="AY439" s="17"/>
      <c r="AZ439" s="17"/>
      <c r="BA439" s="10"/>
      <c r="BB439" s="10"/>
    </row>
    <row r="440" spans="13:54" ht="15.75" customHeight="1" x14ac:dyDescent="0.2">
      <c r="M440" s="7"/>
      <c r="R440" s="8"/>
      <c r="S440" s="8"/>
      <c r="U440" s="16"/>
      <c r="AC440" s="16"/>
      <c r="AY440" s="17"/>
      <c r="AZ440" s="17"/>
      <c r="BA440" s="10"/>
      <c r="BB440" s="10"/>
    </row>
    <row r="441" spans="13:54" ht="15.75" customHeight="1" x14ac:dyDescent="0.2">
      <c r="M441" s="7"/>
      <c r="R441" s="8"/>
      <c r="S441" s="8"/>
      <c r="U441" s="16"/>
      <c r="AC441" s="16"/>
      <c r="AY441" s="17"/>
      <c r="AZ441" s="17"/>
      <c r="BA441" s="10"/>
      <c r="BB441" s="10"/>
    </row>
    <row r="442" spans="13:54" ht="15.75" customHeight="1" x14ac:dyDescent="0.2">
      <c r="M442" s="7"/>
      <c r="R442" s="8"/>
      <c r="S442" s="8"/>
      <c r="U442" s="16"/>
      <c r="AC442" s="16"/>
      <c r="AY442" s="17"/>
      <c r="AZ442" s="17"/>
      <c r="BA442" s="10"/>
      <c r="BB442" s="10"/>
    </row>
    <row r="443" spans="13:54" ht="15.75" customHeight="1" x14ac:dyDescent="0.2">
      <c r="M443" s="7"/>
      <c r="R443" s="8"/>
      <c r="S443" s="8"/>
      <c r="U443" s="16"/>
      <c r="AC443" s="16"/>
      <c r="AY443" s="17"/>
      <c r="AZ443" s="17"/>
      <c r="BA443" s="10"/>
      <c r="BB443" s="10"/>
    </row>
    <row r="444" spans="13:54" ht="15.75" customHeight="1" x14ac:dyDescent="0.2">
      <c r="M444" s="7"/>
      <c r="R444" s="8"/>
      <c r="S444" s="8"/>
      <c r="U444" s="16"/>
      <c r="AC444" s="16"/>
      <c r="AY444" s="17"/>
      <c r="AZ444" s="17"/>
      <c r="BA444" s="10"/>
      <c r="BB444" s="10"/>
    </row>
    <row r="445" spans="13:54" ht="15.75" customHeight="1" x14ac:dyDescent="0.2">
      <c r="M445" s="7"/>
      <c r="R445" s="8"/>
      <c r="S445" s="8"/>
      <c r="U445" s="16"/>
      <c r="AC445" s="16"/>
      <c r="AY445" s="17"/>
      <c r="AZ445" s="17"/>
      <c r="BA445" s="10"/>
      <c r="BB445" s="10"/>
    </row>
    <row r="446" spans="13:54" ht="15.75" customHeight="1" x14ac:dyDescent="0.2">
      <c r="M446" s="7"/>
      <c r="R446" s="8"/>
      <c r="S446" s="8"/>
      <c r="U446" s="16"/>
      <c r="AC446" s="16"/>
      <c r="AY446" s="17"/>
      <c r="AZ446" s="17"/>
      <c r="BA446" s="10"/>
      <c r="BB446" s="10"/>
    </row>
    <row r="447" spans="13:54" ht="15.75" customHeight="1" x14ac:dyDescent="0.2">
      <c r="M447" s="7"/>
      <c r="R447" s="8"/>
      <c r="S447" s="8"/>
      <c r="U447" s="16"/>
      <c r="AC447" s="16"/>
      <c r="AY447" s="17"/>
      <c r="AZ447" s="17"/>
      <c r="BA447" s="10"/>
      <c r="BB447" s="10"/>
    </row>
    <row r="448" spans="13:54" ht="15.75" customHeight="1" x14ac:dyDescent="0.2">
      <c r="M448" s="7"/>
      <c r="R448" s="8"/>
      <c r="S448" s="8"/>
      <c r="U448" s="16"/>
      <c r="AC448" s="16"/>
      <c r="AY448" s="17"/>
      <c r="AZ448" s="17"/>
      <c r="BA448" s="10"/>
      <c r="BB448" s="10"/>
    </row>
    <row r="449" spans="13:54" ht="15.75" customHeight="1" x14ac:dyDescent="0.2">
      <c r="M449" s="7"/>
      <c r="R449" s="8"/>
      <c r="S449" s="8"/>
      <c r="U449" s="16"/>
      <c r="AC449" s="16"/>
      <c r="AY449" s="17"/>
      <c r="AZ449" s="17"/>
      <c r="BA449" s="10"/>
      <c r="BB449" s="10"/>
    </row>
    <row r="450" spans="13:54" ht="15.75" customHeight="1" x14ac:dyDescent="0.2">
      <c r="M450" s="7"/>
      <c r="R450" s="8"/>
      <c r="S450" s="8"/>
      <c r="U450" s="16"/>
      <c r="AC450" s="16"/>
      <c r="AY450" s="17"/>
      <c r="AZ450" s="17"/>
      <c r="BA450" s="10"/>
      <c r="BB450" s="10"/>
    </row>
    <row r="451" spans="13:54" ht="15.75" customHeight="1" x14ac:dyDescent="0.2">
      <c r="M451" s="7"/>
      <c r="R451" s="8"/>
      <c r="S451" s="8"/>
      <c r="U451" s="16"/>
      <c r="AC451" s="16"/>
      <c r="AY451" s="17"/>
      <c r="AZ451" s="17"/>
      <c r="BA451" s="10"/>
      <c r="BB451" s="10"/>
    </row>
    <row r="452" spans="13:54" ht="15.75" customHeight="1" x14ac:dyDescent="0.2">
      <c r="M452" s="7"/>
      <c r="R452" s="8"/>
      <c r="S452" s="8"/>
      <c r="U452" s="16"/>
      <c r="AC452" s="16"/>
      <c r="AY452" s="17"/>
      <c r="AZ452" s="17"/>
      <c r="BA452" s="10"/>
      <c r="BB452" s="10"/>
    </row>
    <row r="453" spans="13:54" ht="15.75" customHeight="1" x14ac:dyDescent="0.2">
      <c r="M453" s="7"/>
      <c r="R453" s="8"/>
      <c r="S453" s="8"/>
      <c r="U453" s="16"/>
      <c r="AC453" s="16"/>
      <c r="AY453" s="17"/>
      <c r="AZ453" s="17"/>
      <c r="BA453" s="10"/>
      <c r="BB453" s="10"/>
    </row>
    <row r="454" spans="13:54" ht="15.75" customHeight="1" x14ac:dyDescent="0.2">
      <c r="M454" s="7"/>
      <c r="R454" s="8"/>
      <c r="S454" s="8"/>
      <c r="U454" s="16"/>
      <c r="AC454" s="16"/>
      <c r="AY454" s="17"/>
      <c r="AZ454" s="17"/>
      <c r="BA454" s="10"/>
      <c r="BB454" s="10"/>
    </row>
    <row r="455" spans="13:54" ht="15.75" customHeight="1" x14ac:dyDescent="0.2">
      <c r="M455" s="7"/>
      <c r="R455" s="8"/>
      <c r="S455" s="8"/>
      <c r="U455" s="16"/>
      <c r="AC455" s="16"/>
      <c r="AY455" s="17"/>
      <c r="AZ455" s="17"/>
      <c r="BA455" s="10"/>
      <c r="BB455" s="10"/>
    </row>
    <row r="456" spans="13:54" ht="15.75" customHeight="1" x14ac:dyDescent="0.2">
      <c r="M456" s="7"/>
      <c r="R456" s="8"/>
      <c r="S456" s="8"/>
      <c r="U456" s="16"/>
      <c r="AC456" s="16"/>
      <c r="AY456" s="17"/>
      <c r="AZ456" s="17"/>
      <c r="BA456" s="10"/>
      <c r="BB456" s="10"/>
    </row>
    <row r="457" spans="13:54" ht="15.75" customHeight="1" x14ac:dyDescent="0.2">
      <c r="M457" s="7"/>
      <c r="R457" s="8"/>
      <c r="S457" s="8"/>
      <c r="U457" s="16"/>
      <c r="AC457" s="16"/>
      <c r="AY457" s="17"/>
      <c r="AZ457" s="17"/>
      <c r="BA457" s="10"/>
      <c r="BB457" s="10"/>
    </row>
    <row r="458" spans="13:54" ht="15.75" customHeight="1" x14ac:dyDescent="0.2">
      <c r="M458" s="7"/>
      <c r="R458" s="8"/>
      <c r="S458" s="8"/>
      <c r="U458" s="16"/>
      <c r="AC458" s="16"/>
      <c r="AY458" s="17"/>
      <c r="AZ458" s="17"/>
      <c r="BA458" s="10"/>
      <c r="BB458" s="10"/>
    </row>
    <row r="459" spans="13:54" ht="15.75" customHeight="1" x14ac:dyDescent="0.2">
      <c r="M459" s="7"/>
      <c r="R459" s="8"/>
      <c r="S459" s="8"/>
      <c r="U459" s="16"/>
      <c r="AC459" s="16"/>
      <c r="AY459" s="17"/>
      <c r="AZ459" s="17"/>
      <c r="BA459" s="10"/>
      <c r="BB459" s="10"/>
    </row>
    <row r="460" spans="13:54" ht="15.75" customHeight="1" x14ac:dyDescent="0.2">
      <c r="M460" s="7"/>
      <c r="R460" s="8"/>
      <c r="S460" s="8"/>
      <c r="U460" s="16"/>
      <c r="AC460" s="16"/>
      <c r="AY460" s="17"/>
      <c r="AZ460" s="17"/>
      <c r="BA460" s="10"/>
      <c r="BB460" s="10"/>
    </row>
    <row r="461" spans="13:54" ht="15.75" customHeight="1" x14ac:dyDescent="0.2">
      <c r="M461" s="7"/>
      <c r="R461" s="8"/>
      <c r="S461" s="8"/>
      <c r="U461" s="16"/>
      <c r="AC461" s="16"/>
      <c r="AY461" s="17"/>
      <c r="AZ461" s="17"/>
      <c r="BA461" s="10"/>
      <c r="BB461" s="10"/>
    </row>
    <row r="462" spans="13:54" ht="15.75" customHeight="1" x14ac:dyDescent="0.2">
      <c r="M462" s="7"/>
      <c r="R462" s="8"/>
      <c r="S462" s="8"/>
      <c r="U462" s="16"/>
      <c r="AC462" s="16"/>
      <c r="AY462" s="17"/>
      <c r="AZ462" s="17"/>
      <c r="BA462" s="10"/>
      <c r="BB462" s="10"/>
    </row>
    <row r="463" spans="13:54" ht="15.75" customHeight="1" x14ac:dyDescent="0.2">
      <c r="M463" s="7"/>
      <c r="R463" s="8"/>
      <c r="S463" s="8"/>
      <c r="U463" s="16"/>
      <c r="AC463" s="16"/>
      <c r="AY463" s="17"/>
      <c r="AZ463" s="17"/>
      <c r="BA463" s="10"/>
      <c r="BB463" s="10"/>
    </row>
    <row r="464" spans="13:54" ht="15.75" customHeight="1" x14ac:dyDescent="0.2">
      <c r="M464" s="7"/>
      <c r="R464" s="8"/>
      <c r="S464" s="8"/>
      <c r="U464" s="16"/>
      <c r="AC464" s="16"/>
      <c r="AY464" s="17"/>
      <c r="AZ464" s="17"/>
      <c r="BA464" s="10"/>
      <c r="BB464" s="10"/>
    </row>
    <row r="465" spans="13:54" ht="15.75" customHeight="1" x14ac:dyDescent="0.2">
      <c r="M465" s="7"/>
      <c r="R465" s="8"/>
      <c r="S465" s="8"/>
      <c r="U465" s="16"/>
      <c r="AC465" s="16"/>
      <c r="AY465" s="17"/>
      <c r="AZ465" s="17"/>
      <c r="BA465" s="10"/>
      <c r="BB465" s="10"/>
    </row>
    <row r="466" spans="13:54" ht="15.75" customHeight="1" x14ac:dyDescent="0.2">
      <c r="M466" s="7"/>
      <c r="R466" s="8"/>
      <c r="S466" s="8"/>
      <c r="U466" s="16"/>
      <c r="AC466" s="16"/>
      <c r="AY466" s="17"/>
      <c r="AZ466" s="17"/>
      <c r="BA466" s="10"/>
      <c r="BB466" s="10"/>
    </row>
    <row r="467" spans="13:54" ht="15.75" customHeight="1" x14ac:dyDescent="0.2">
      <c r="M467" s="7"/>
      <c r="R467" s="8"/>
      <c r="S467" s="8"/>
      <c r="U467" s="16"/>
      <c r="AC467" s="16"/>
      <c r="AY467" s="17"/>
      <c r="AZ467" s="17"/>
      <c r="BA467" s="10"/>
      <c r="BB467" s="10"/>
    </row>
    <row r="468" spans="13:54" ht="15.75" customHeight="1" x14ac:dyDescent="0.2">
      <c r="M468" s="7"/>
      <c r="R468" s="8"/>
      <c r="S468" s="8"/>
      <c r="U468" s="16"/>
      <c r="AC468" s="16"/>
      <c r="AY468" s="17"/>
      <c r="AZ468" s="17"/>
      <c r="BA468" s="10"/>
      <c r="BB468" s="10"/>
    </row>
    <row r="469" spans="13:54" ht="15.75" customHeight="1" x14ac:dyDescent="0.2">
      <c r="M469" s="7"/>
      <c r="R469" s="8"/>
      <c r="S469" s="8"/>
      <c r="U469" s="16"/>
      <c r="AC469" s="16"/>
      <c r="AY469" s="17"/>
      <c r="AZ469" s="17"/>
      <c r="BA469" s="10"/>
      <c r="BB469" s="10"/>
    </row>
    <row r="470" spans="13:54" ht="15.75" customHeight="1" x14ac:dyDescent="0.2">
      <c r="M470" s="7"/>
      <c r="R470" s="8"/>
      <c r="S470" s="8"/>
      <c r="U470" s="16"/>
      <c r="AC470" s="16"/>
      <c r="AY470" s="17"/>
      <c r="AZ470" s="17"/>
      <c r="BA470" s="10"/>
      <c r="BB470" s="10"/>
    </row>
    <row r="471" spans="13:54" ht="15.75" customHeight="1" x14ac:dyDescent="0.2">
      <c r="M471" s="7"/>
      <c r="R471" s="8"/>
      <c r="S471" s="8"/>
      <c r="U471" s="16"/>
      <c r="AC471" s="16"/>
      <c r="AY471" s="17"/>
      <c r="AZ471" s="17"/>
      <c r="BA471" s="10"/>
      <c r="BB471" s="10"/>
    </row>
    <row r="472" spans="13:54" ht="15.75" customHeight="1" x14ac:dyDescent="0.2">
      <c r="M472" s="7"/>
      <c r="R472" s="8"/>
      <c r="S472" s="8"/>
      <c r="U472" s="16"/>
      <c r="AC472" s="16"/>
      <c r="AY472" s="17"/>
      <c r="AZ472" s="17"/>
      <c r="BA472" s="10"/>
      <c r="BB472" s="10"/>
    </row>
    <row r="473" spans="13:54" ht="15.75" customHeight="1" x14ac:dyDescent="0.2">
      <c r="M473" s="7"/>
      <c r="R473" s="8"/>
      <c r="S473" s="8"/>
      <c r="U473" s="16"/>
      <c r="AC473" s="16"/>
      <c r="AY473" s="17"/>
      <c r="AZ473" s="17"/>
      <c r="BA473" s="10"/>
      <c r="BB473" s="10"/>
    </row>
    <row r="474" spans="13:54" ht="15.75" customHeight="1" x14ac:dyDescent="0.2">
      <c r="M474" s="7"/>
      <c r="R474" s="8"/>
      <c r="S474" s="8"/>
      <c r="U474" s="16"/>
      <c r="AC474" s="16"/>
      <c r="AY474" s="17"/>
      <c r="AZ474" s="17"/>
      <c r="BA474" s="10"/>
      <c r="BB474" s="10"/>
    </row>
    <row r="475" spans="13:54" ht="15.75" customHeight="1" x14ac:dyDescent="0.2">
      <c r="M475" s="7"/>
      <c r="R475" s="8"/>
      <c r="S475" s="8"/>
      <c r="U475" s="16"/>
      <c r="AC475" s="16"/>
      <c r="AY475" s="17"/>
      <c r="AZ475" s="17"/>
      <c r="BA475" s="10"/>
      <c r="BB475" s="10"/>
    </row>
    <row r="476" spans="13:54" ht="15.75" customHeight="1" x14ac:dyDescent="0.2">
      <c r="M476" s="7"/>
      <c r="R476" s="8"/>
      <c r="S476" s="8"/>
      <c r="U476" s="16"/>
      <c r="AC476" s="16"/>
      <c r="AY476" s="17"/>
      <c r="AZ476" s="17"/>
      <c r="BA476" s="10"/>
      <c r="BB476" s="10"/>
    </row>
    <row r="477" spans="13:54" ht="15.75" customHeight="1" x14ac:dyDescent="0.2">
      <c r="M477" s="7"/>
      <c r="R477" s="8"/>
      <c r="S477" s="8"/>
      <c r="U477" s="16"/>
      <c r="AC477" s="16"/>
      <c r="AY477" s="17"/>
      <c r="AZ477" s="17"/>
      <c r="BA477" s="10"/>
      <c r="BB477" s="10"/>
    </row>
    <row r="478" spans="13:54" ht="15.75" customHeight="1" x14ac:dyDescent="0.2">
      <c r="M478" s="7"/>
      <c r="R478" s="8"/>
      <c r="S478" s="8"/>
      <c r="U478" s="16"/>
      <c r="AC478" s="16"/>
      <c r="AY478" s="17"/>
      <c r="AZ478" s="17"/>
      <c r="BA478" s="10"/>
      <c r="BB478" s="10"/>
    </row>
    <row r="479" spans="13:54" ht="15.75" customHeight="1" x14ac:dyDescent="0.2">
      <c r="M479" s="7"/>
      <c r="R479" s="8"/>
      <c r="S479" s="8"/>
      <c r="U479" s="16"/>
      <c r="AC479" s="16"/>
      <c r="AY479" s="17"/>
      <c r="AZ479" s="17"/>
      <c r="BA479" s="10"/>
      <c r="BB479" s="10"/>
    </row>
    <row r="480" spans="13:54" ht="15.75" customHeight="1" x14ac:dyDescent="0.2">
      <c r="M480" s="7"/>
      <c r="R480" s="8"/>
      <c r="S480" s="8"/>
      <c r="U480" s="16"/>
      <c r="AC480" s="16"/>
      <c r="AY480" s="17"/>
      <c r="AZ480" s="17"/>
      <c r="BA480" s="10"/>
      <c r="BB480" s="10"/>
    </row>
    <row r="481" spans="13:54" ht="15.75" customHeight="1" x14ac:dyDescent="0.2">
      <c r="M481" s="7"/>
      <c r="R481" s="8"/>
      <c r="S481" s="8"/>
      <c r="U481" s="16"/>
      <c r="AC481" s="16"/>
      <c r="AY481" s="17"/>
      <c r="AZ481" s="17"/>
      <c r="BA481" s="10"/>
      <c r="BB481" s="10"/>
    </row>
    <row r="482" spans="13:54" ht="15.75" customHeight="1" x14ac:dyDescent="0.2">
      <c r="M482" s="7"/>
      <c r="R482" s="8"/>
      <c r="S482" s="8"/>
      <c r="U482" s="16"/>
      <c r="AC482" s="16"/>
      <c r="AY482" s="17"/>
      <c r="AZ482" s="17"/>
      <c r="BA482" s="10"/>
      <c r="BB482" s="10"/>
    </row>
    <row r="483" spans="13:54" ht="15.75" customHeight="1" x14ac:dyDescent="0.2">
      <c r="M483" s="7"/>
      <c r="R483" s="8"/>
      <c r="S483" s="8"/>
      <c r="U483" s="16"/>
      <c r="AC483" s="16"/>
      <c r="AY483" s="17"/>
      <c r="AZ483" s="17"/>
      <c r="BA483" s="10"/>
      <c r="BB483" s="10"/>
    </row>
    <row r="484" spans="13:54" ht="15.75" customHeight="1" x14ac:dyDescent="0.2">
      <c r="M484" s="7"/>
      <c r="R484" s="8"/>
      <c r="S484" s="8"/>
      <c r="U484" s="16"/>
      <c r="AC484" s="16"/>
      <c r="AY484" s="17"/>
      <c r="AZ484" s="17"/>
      <c r="BA484" s="10"/>
      <c r="BB484" s="10"/>
    </row>
    <row r="485" spans="13:54" ht="15.75" customHeight="1" x14ac:dyDescent="0.2">
      <c r="M485" s="7"/>
      <c r="R485" s="8"/>
      <c r="S485" s="8"/>
      <c r="U485" s="16"/>
      <c r="AC485" s="16"/>
      <c r="AY485" s="17"/>
      <c r="AZ485" s="17"/>
      <c r="BA485" s="10"/>
      <c r="BB485" s="10"/>
    </row>
    <row r="486" spans="13:54" ht="15.75" customHeight="1" x14ac:dyDescent="0.2">
      <c r="M486" s="7"/>
      <c r="R486" s="8"/>
      <c r="S486" s="8"/>
      <c r="U486" s="16"/>
      <c r="AC486" s="16"/>
      <c r="AY486" s="17"/>
      <c r="AZ486" s="17"/>
      <c r="BA486" s="10"/>
      <c r="BB486" s="10"/>
    </row>
    <row r="487" spans="13:54" ht="15.75" customHeight="1" x14ac:dyDescent="0.2">
      <c r="M487" s="7"/>
      <c r="R487" s="8"/>
      <c r="S487" s="8"/>
      <c r="U487" s="16"/>
      <c r="AC487" s="16"/>
      <c r="AY487" s="17"/>
      <c r="AZ487" s="17"/>
      <c r="BA487" s="10"/>
      <c r="BB487" s="10"/>
    </row>
    <row r="488" spans="13:54" ht="15.75" customHeight="1" x14ac:dyDescent="0.2">
      <c r="M488" s="7"/>
      <c r="R488" s="8"/>
      <c r="S488" s="8"/>
      <c r="U488" s="16"/>
      <c r="AC488" s="16"/>
      <c r="AY488" s="17"/>
      <c r="AZ488" s="17"/>
      <c r="BA488" s="10"/>
      <c r="BB488" s="10"/>
    </row>
    <row r="489" spans="13:54" ht="15.75" customHeight="1" x14ac:dyDescent="0.2">
      <c r="M489" s="7"/>
      <c r="R489" s="8"/>
      <c r="S489" s="8"/>
      <c r="U489" s="16"/>
      <c r="AC489" s="16"/>
      <c r="AY489" s="17"/>
      <c r="AZ489" s="17"/>
      <c r="BA489" s="10"/>
      <c r="BB489" s="10"/>
    </row>
    <row r="490" spans="13:54" ht="15.75" customHeight="1" x14ac:dyDescent="0.2">
      <c r="M490" s="7"/>
      <c r="R490" s="8"/>
      <c r="S490" s="8"/>
      <c r="U490" s="16"/>
      <c r="AC490" s="16"/>
      <c r="AY490" s="17"/>
      <c r="AZ490" s="17"/>
      <c r="BA490" s="10"/>
      <c r="BB490" s="10"/>
    </row>
    <row r="491" spans="13:54" ht="15.75" customHeight="1" x14ac:dyDescent="0.2">
      <c r="M491" s="7"/>
      <c r="R491" s="8"/>
      <c r="S491" s="8"/>
      <c r="U491" s="16"/>
      <c r="AC491" s="16"/>
      <c r="AY491" s="17"/>
      <c r="AZ491" s="17"/>
      <c r="BA491" s="10"/>
      <c r="BB491" s="10"/>
    </row>
    <row r="492" spans="13:54" ht="15.75" customHeight="1" x14ac:dyDescent="0.2">
      <c r="M492" s="7"/>
      <c r="R492" s="8"/>
      <c r="S492" s="8"/>
      <c r="U492" s="16"/>
      <c r="AC492" s="16"/>
      <c r="AY492" s="17"/>
      <c r="AZ492" s="17"/>
      <c r="BA492" s="10"/>
      <c r="BB492" s="10"/>
    </row>
    <row r="493" spans="13:54" ht="15.75" customHeight="1" x14ac:dyDescent="0.2">
      <c r="M493" s="7"/>
      <c r="R493" s="8"/>
      <c r="S493" s="8"/>
      <c r="U493" s="16"/>
      <c r="AC493" s="16"/>
      <c r="AY493" s="17"/>
      <c r="AZ493" s="17"/>
      <c r="BA493" s="10"/>
      <c r="BB493" s="10"/>
    </row>
    <row r="494" spans="13:54" ht="15.75" customHeight="1" x14ac:dyDescent="0.2">
      <c r="M494" s="7"/>
      <c r="R494" s="8"/>
      <c r="S494" s="8"/>
      <c r="U494" s="16"/>
      <c r="AC494" s="16"/>
      <c r="AY494" s="17"/>
      <c r="AZ494" s="17"/>
      <c r="BA494" s="10"/>
      <c r="BB494" s="10"/>
    </row>
    <row r="495" spans="13:54" ht="15.75" customHeight="1" x14ac:dyDescent="0.2">
      <c r="M495" s="7"/>
      <c r="R495" s="8"/>
      <c r="S495" s="8"/>
      <c r="U495" s="16"/>
      <c r="AC495" s="16"/>
      <c r="AY495" s="17"/>
      <c r="AZ495" s="17"/>
      <c r="BA495" s="10"/>
      <c r="BB495" s="10"/>
    </row>
    <row r="496" spans="13:54" ht="15.75" customHeight="1" x14ac:dyDescent="0.2">
      <c r="M496" s="7"/>
      <c r="R496" s="8"/>
      <c r="S496" s="8"/>
      <c r="U496" s="16"/>
      <c r="AC496" s="16"/>
      <c r="AY496" s="17"/>
      <c r="AZ496" s="17"/>
      <c r="BA496" s="10"/>
      <c r="BB496" s="10"/>
    </row>
    <row r="497" spans="13:54" ht="15.75" customHeight="1" x14ac:dyDescent="0.2">
      <c r="M497" s="7"/>
      <c r="R497" s="8"/>
      <c r="S497" s="8"/>
      <c r="U497" s="16"/>
      <c r="AC497" s="16"/>
      <c r="AY497" s="17"/>
      <c r="AZ497" s="17"/>
      <c r="BA497" s="10"/>
      <c r="BB497" s="10"/>
    </row>
    <row r="498" spans="13:54" ht="15.75" customHeight="1" x14ac:dyDescent="0.2">
      <c r="M498" s="7"/>
      <c r="R498" s="8"/>
      <c r="S498" s="8"/>
      <c r="U498" s="16"/>
      <c r="AC498" s="16"/>
      <c r="AY498" s="17"/>
      <c r="AZ498" s="17"/>
      <c r="BA498" s="10"/>
      <c r="BB498" s="10"/>
    </row>
    <row r="499" spans="13:54" ht="15.75" customHeight="1" x14ac:dyDescent="0.2">
      <c r="M499" s="7"/>
      <c r="R499" s="8"/>
      <c r="S499" s="8"/>
      <c r="U499" s="16"/>
      <c r="AC499" s="16"/>
      <c r="AY499" s="17"/>
      <c r="AZ499" s="17"/>
      <c r="BA499" s="10"/>
      <c r="BB499" s="10"/>
    </row>
    <row r="500" spans="13:54" ht="15.75" customHeight="1" x14ac:dyDescent="0.2">
      <c r="M500" s="7"/>
      <c r="R500" s="8"/>
      <c r="S500" s="8"/>
      <c r="U500" s="16"/>
      <c r="AC500" s="16"/>
      <c r="AY500" s="17"/>
      <c r="AZ500" s="17"/>
      <c r="BA500" s="10"/>
      <c r="BB500" s="10"/>
    </row>
    <row r="501" spans="13:54" ht="15.75" customHeight="1" x14ac:dyDescent="0.2">
      <c r="M501" s="7"/>
      <c r="R501" s="8"/>
      <c r="S501" s="8"/>
      <c r="U501" s="16"/>
      <c r="AC501" s="16"/>
      <c r="AY501" s="17"/>
      <c r="AZ501" s="17"/>
      <c r="BA501" s="10"/>
      <c r="BB501" s="10"/>
    </row>
    <row r="502" spans="13:54" ht="15.75" customHeight="1" x14ac:dyDescent="0.2">
      <c r="M502" s="7"/>
      <c r="R502" s="8"/>
      <c r="S502" s="8"/>
      <c r="U502" s="16"/>
      <c r="AC502" s="16"/>
      <c r="AY502" s="17"/>
      <c r="AZ502" s="17"/>
      <c r="BA502" s="10"/>
      <c r="BB502" s="10"/>
    </row>
    <row r="503" spans="13:54" ht="15.75" customHeight="1" x14ac:dyDescent="0.2">
      <c r="M503" s="7"/>
      <c r="R503" s="8"/>
      <c r="S503" s="8"/>
      <c r="U503" s="16"/>
      <c r="AC503" s="16"/>
      <c r="AY503" s="17"/>
      <c r="AZ503" s="17"/>
      <c r="BA503" s="10"/>
      <c r="BB503" s="10"/>
    </row>
    <row r="504" spans="13:54" ht="15.75" customHeight="1" x14ac:dyDescent="0.2">
      <c r="M504" s="7"/>
      <c r="R504" s="8"/>
      <c r="S504" s="8"/>
      <c r="U504" s="16"/>
      <c r="AC504" s="16"/>
      <c r="AY504" s="17"/>
      <c r="AZ504" s="17"/>
      <c r="BA504" s="10"/>
      <c r="BB504" s="10"/>
    </row>
    <row r="505" spans="13:54" ht="15.75" customHeight="1" x14ac:dyDescent="0.2">
      <c r="M505" s="7"/>
      <c r="R505" s="8"/>
      <c r="S505" s="8"/>
      <c r="U505" s="16"/>
      <c r="AC505" s="16"/>
      <c r="AY505" s="17"/>
      <c r="AZ505" s="17"/>
      <c r="BA505" s="10"/>
      <c r="BB505" s="10"/>
    </row>
    <row r="506" spans="13:54" ht="15.75" customHeight="1" x14ac:dyDescent="0.2">
      <c r="M506" s="7"/>
      <c r="R506" s="8"/>
      <c r="S506" s="8"/>
      <c r="U506" s="16"/>
      <c r="AC506" s="16"/>
      <c r="AY506" s="17"/>
      <c r="AZ506" s="17"/>
      <c r="BA506" s="10"/>
      <c r="BB506" s="10"/>
    </row>
    <row r="507" spans="13:54" ht="15.75" customHeight="1" x14ac:dyDescent="0.2">
      <c r="M507" s="7"/>
      <c r="R507" s="8"/>
      <c r="S507" s="8"/>
      <c r="U507" s="16"/>
      <c r="AC507" s="16"/>
      <c r="AY507" s="17"/>
      <c r="AZ507" s="17"/>
      <c r="BA507" s="10"/>
      <c r="BB507" s="10"/>
    </row>
    <row r="508" spans="13:54" ht="15.75" customHeight="1" x14ac:dyDescent="0.2">
      <c r="M508" s="7"/>
      <c r="R508" s="8"/>
      <c r="S508" s="8"/>
      <c r="U508" s="16"/>
      <c r="AC508" s="16"/>
      <c r="AY508" s="17"/>
      <c r="AZ508" s="17"/>
      <c r="BA508" s="10"/>
      <c r="BB508" s="10"/>
    </row>
    <row r="509" spans="13:54" ht="15.75" customHeight="1" x14ac:dyDescent="0.2">
      <c r="M509" s="7"/>
      <c r="R509" s="8"/>
      <c r="S509" s="8"/>
      <c r="U509" s="16"/>
      <c r="AC509" s="16"/>
      <c r="AY509" s="17"/>
      <c r="AZ509" s="17"/>
      <c r="BA509" s="10"/>
      <c r="BB509" s="10"/>
    </row>
    <row r="510" spans="13:54" ht="15.75" customHeight="1" x14ac:dyDescent="0.2">
      <c r="M510" s="7"/>
      <c r="R510" s="8"/>
      <c r="S510" s="8"/>
      <c r="U510" s="16"/>
      <c r="AC510" s="16"/>
      <c r="AY510" s="17"/>
      <c r="AZ510" s="17"/>
      <c r="BA510" s="10"/>
      <c r="BB510" s="10"/>
    </row>
    <row r="511" spans="13:54" ht="15.75" customHeight="1" x14ac:dyDescent="0.2">
      <c r="M511" s="7"/>
      <c r="R511" s="8"/>
      <c r="S511" s="8"/>
      <c r="U511" s="16"/>
      <c r="AC511" s="16"/>
      <c r="AY511" s="17"/>
      <c r="AZ511" s="17"/>
      <c r="BA511" s="10"/>
      <c r="BB511" s="10"/>
    </row>
    <row r="512" spans="13:54" ht="15.75" customHeight="1" x14ac:dyDescent="0.2">
      <c r="M512" s="7"/>
      <c r="R512" s="8"/>
      <c r="S512" s="8"/>
      <c r="U512" s="16"/>
      <c r="AC512" s="16"/>
      <c r="AY512" s="17"/>
      <c r="AZ512" s="17"/>
      <c r="BA512" s="10"/>
      <c r="BB512" s="10"/>
    </row>
    <row r="513" spans="13:54" ht="15.75" customHeight="1" x14ac:dyDescent="0.2">
      <c r="M513" s="7"/>
      <c r="R513" s="8"/>
      <c r="S513" s="8"/>
      <c r="U513" s="16"/>
      <c r="AC513" s="16"/>
      <c r="AY513" s="17"/>
      <c r="AZ513" s="17"/>
      <c r="BA513" s="10"/>
      <c r="BB513" s="10"/>
    </row>
    <row r="514" spans="13:54" ht="15.75" customHeight="1" x14ac:dyDescent="0.2">
      <c r="M514" s="7"/>
      <c r="R514" s="8"/>
      <c r="S514" s="8"/>
      <c r="U514" s="16"/>
      <c r="AC514" s="16"/>
      <c r="AY514" s="17"/>
      <c r="AZ514" s="17"/>
      <c r="BA514" s="10"/>
      <c r="BB514" s="10"/>
    </row>
    <row r="515" spans="13:54" ht="15.75" customHeight="1" x14ac:dyDescent="0.2">
      <c r="M515" s="7"/>
      <c r="R515" s="8"/>
      <c r="S515" s="8"/>
      <c r="U515" s="16"/>
      <c r="AC515" s="16"/>
      <c r="AY515" s="17"/>
      <c r="AZ515" s="17"/>
      <c r="BA515" s="10"/>
      <c r="BB515" s="10"/>
    </row>
    <row r="516" spans="13:54" ht="15.75" customHeight="1" x14ac:dyDescent="0.2">
      <c r="M516" s="7"/>
      <c r="R516" s="8"/>
      <c r="S516" s="8"/>
      <c r="U516" s="16"/>
      <c r="AC516" s="16"/>
      <c r="AY516" s="17"/>
      <c r="AZ516" s="17"/>
      <c r="BA516" s="10"/>
      <c r="BB516" s="10"/>
    </row>
    <row r="517" spans="13:54" ht="15.75" customHeight="1" x14ac:dyDescent="0.2">
      <c r="M517" s="7"/>
      <c r="R517" s="8"/>
      <c r="S517" s="8"/>
      <c r="U517" s="16"/>
      <c r="AC517" s="16"/>
      <c r="AY517" s="17"/>
      <c r="AZ517" s="17"/>
      <c r="BA517" s="10"/>
      <c r="BB517" s="10"/>
    </row>
    <row r="518" spans="13:54" ht="15.75" customHeight="1" x14ac:dyDescent="0.2">
      <c r="M518" s="7"/>
      <c r="R518" s="8"/>
      <c r="S518" s="8"/>
      <c r="U518" s="16"/>
      <c r="AC518" s="16"/>
      <c r="AY518" s="17"/>
      <c r="AZ518" s="17"/>
      <c r="BA518" s="10"/>
      <c r="BB518" s="10"/>
    </row>
    <row r="519" spans="13:54" ht="15.75" customHeight="1" x14ac:dyDescent="0.2">
      <c r="M519" s="7"/>
      <c r="R519" s="8"/>
      <c r="S519" s="8"/>
      <c r="U519" s="16"/>
      <c r="AC519" s="16"/>
      <c r="AY519" s="17"/>
      <c r="AZ519" s="17"/>
      <c r="BA519" s="10"/>
      <c r="BB519" s="10"/>
    </row>
    <row r="520" spans="13:54" ht="15.75" customHeight="1" x14ac:dyDescent="0.2">
      <c r="M520" s="7"/>
      <c r="R520" s="8"/>
      <c r="S520" s="8"/>
      <c r="U520" s="16"/>
      <c r="AC520" s="16"/>
      <c r="AY520" s="17"/>
      <c r="AZ520" s="17"/>
      <c r="BA520" s="10"/>
      <c r="BB520" s="10"/>
    </row>
    <row r="521" spans="13:54" ht="15.75" customHeight="1" x14ac:dyDescent="0.2">
      <c r="M521" s="7"/>
      <c r="R521" s="8"/>
      <c r="S521" s="8"/>
      <c r="U521" s="16"/>
      <c r="AC521" s="16"/>
      <c r="AY521" s="17"/>
      <c r="AZ521" s="17"/>
      <c r="BA521" s="10"/>
      <c r="BB521" s="10"/>
    </row>
    <row r="522" spans="13:54" ht="15.75" customHeight="1" x14ac:dyDescent="0.2">
      <c r="M522" s="7"/>
      <c r="R522" s="8"/>
      <c r="S522" s="8"/>
      <c r="U522" s="16"/>
      <c r="AC522" s="16"/>
      <c r="AY522" s="17"/>
      <c r="AZ522" s="17"/>
      <c r="BA522" s="10"/>
      <c r="BB522" s="10"/>
    </row>
    <row r="523" spans="13:54" ht="15.75" customHeight="1" x14ac:dyDescent="0.2">
      <c r="M523" s="7"/>
      <c r="R523" s="8"/>
      <c r="S523" s="8"/>
      <c r="U523" s="16"/>
      <c r="AC523" s="16"/>
      <c r="AY523" s="17"/>
      <c r="AZ523" s="17"/>
      <c r="BA523" s="10"/>
      <c r="BB523" s="10"/>
    </row>
    <row r="524" spans="13:54" ht="15.75" customHeight="1" x14ac:dyDescent="0.2">
      <c r="M524" s="7"/>
      <c r="R524" s="8"/>
      <c r="S524" s="8"/>
      <c r="U524" s="16"/>
      <c r="AC524" s="16"/>
      <c r="AY524" s="17"/>
      <c r="AZ524" s="17"/>
      <c r="BA524" s="10"/>
      <c r="BB524" s="10"/>
    </row>
    <row r="525" spans="13:54" ht="15.75" customHeight="1" x14ac:dyDescent="0.2">
      <c r="M525" s="7"/>
      <c r="R525" s="8"/>
      <c r="S525" s="8"/>
      <c r="U525" s="16"/>
      <c r="AC525" s="16"/>
      <c r="AY525" s="17"/>
      <c r="AZ525" s="17"/>
      <c r="BA525" s="10"/>
      <c r="BB525" s="10"/>
    </row>
    <row r="526" spans="13:54" ht="15.75" customHeight="1" x14ac:dyDescent="0.2">
      <c r="M526" s="7"/>
      <c r="R526" s="8"/>
      <c r="S526" s="8"/>
      <c r="U526" s="16"/>
      <c r="AC526" s="16"/>
      <c r="AY526" s="17"/>
      <c r="AZ526" s="17"/>
      <c r="BA526" s="10"/>
      <c r="BB526" s="10"/>
    </row>
    <row r="527" spans="13:54" ht="15.75" customHeight="1" x14ac:dyDescent="0.2">
      <c r="M527" s="7"/>
      <c r="R527" s="8"/>
      <c r="S527" s="8"/>
      <c r="U527" s="16"/>
      <c r="AC527" s="16"/>
      <c r="AY527" s="17"/>
      <c r="AZ527" s="17"/>
      <c r="BA527" s="10"/>
      <c r="BB527" s="10"/>
    </row>
    <row r="528" spans="13:54" ht="15.75" customHeight="1" x14ac:dyDescent="0.2">
      <c r="M528" s="7"/>
      <c r="R528" s="8"/>
      <c r="S528" s="8"/>
      <c r="U528" s="16"/>
      <c r="AC528" s="16"/>
      <c r="AY528" s="17"/>
      <c r="AZ528" s="17"/>
      <c r="BA528" s="10"/>
      <c r="BB528" s="10"/>
    </row>
    <row r="529" spans="13:54" ht="15.75" customHeight="1" x14ac:dyDescent="0.2">
      <c r="M529" s="7"/>
      <c r="R529" s="8"/>
      <c r="S529" s="8"/>
      <c r="U529" s="16"/>
      <c r="AC529" s="16"/>
      <c r="AY529" s="17"/>
      <c r="AZ529" s="17"/>
      <c r="BA529" s="10"/>
      <c r="BB529" s="10"/>
    </row>
    <row r="530" spans="13:54" ht="15.75" customHeight="1" x14ac:dyDescent="0.2">
      <c r="M530" s="7"/>
      <c r="R530" s="8"/>
      <c r="S530" s="8"/>
      <c r="U530" s="16"/>
      <c r="AC530" s="16"/>
      <c r="AY530" s="17"/>
      <c r="AZ530" s="17"/>
      <c r="BA530" s="10"/>
      <c r="BB530" s="10"/>
    </row>
    <row r="531" spans="13:54" ht="15.75" customHeight="1" x14ac:dyDescent="0.2">
      <c r="M531" s="7"/>
      <c r="R531" s="8"/>
      <c r="S531" s="8"/>
      <c r="U531" s="16"/>
      <c r="AC531" s="16"/>
      <c r="AY531" s="17"/>
      <c r="AZ531" s="17"/>
      <c r="BA531" s="10"/>
      <c r="BB531" s="10"/>
    </row>
    <row r="532" spans="13:54" ht="15.75" customHeight="1" x14ac:dyDescent="0.2">
      <c r="M532" s="7"/>
      <c r="R532" s="8"/>
      <c r="S532" s="8"/>
      <c r="U532" s="16"/>
      <c r="AC532" s="16"/>
      <c r="AY532" s="17"/>
      <c r="AZ532" s="17"/>
      <c r="BA532" s="10"/>
      <c r="BB532" s="10"/>
    </row>
    <row r="533" spans="13:54" ht="15.75" customHeight="1" x14ac:dyDescent="0.2">
      <c r="M533" s="7"/>
      <c r="R533" s="8"/>
      <c r="S533" s="8"/>
      <c r="U533" s="16"/>
      <c r="AC533" s="16"/>
      <c r="AY533" s="17"/>
      <c r="AZ533" s="17"/>
      <c r="BA533" s="10"/>
      <c r="BB533" s="10"/>
    </row>
    <row r="534" spans="13:54" ht="15.75" customHeight="1" x14ac:dyDescent="0.2">
      <c r="M534" s="7"/>
      <c r="R534" s="8"/>
      <c r="S534" s="8"/>
      <c r="U534" s="16"/>
      <c r="AC534" s="16"/>
      <c r="AY534" s="17"/>
      <c r="AZ534" s="17"/>
      <c r="BA534" s="10"/>
      <c r="BB534" s="10"/>
    </row>
    <row r="535" spans="13:54" ht="15.75" customHeight="1" x14ac:dyDescent="0.2">
      <c r="M535" s="7"/>
      <c r="R535" s="8"/>
      <c r="S535" s="8"/>
      <c r="U535" s="16"/>
      <c r="AC535" s="16"/>
      <c r="AY535" s="17"/>
      <c r="AZ535" s="17"/>
      <c r="BA535" s="10"/>
      <c r="BB535" s="10"/>
    </row>
    <row r="536" spans="13:54" ht="15.75" customHeight="1" x14ac:dyDescent="0.2">
      <c r="M536" s="7"/>
      <c r="R536" s="8"/>
      <c r="S536" s="8"/>
      <c r="U536" s="16"/>
      <c r="AC536" s="16"/>
      <c r="AY536" s="17"/>
      <c r="AZ536" s="17"/>
      <c r="BA536" s="10"/>
      <c r="BB536" s="10"/>
    </row>
    <row r="537" spans="13:54" ht="15.75" customHeight="1" x14ac:dyDescent="0.2">
      <c r="M537" s="7"/>
      <c r="R537" s="8"/>
      <c r="S537" s="8"/>
      <c r="U537" s="16"/>
      <c r="AC537" s="16"/>
      <c r="AY537" s="17"/>
      <c r="AZ537" s="17"/>
      <c r="BA537" s="10"/>
      <c r="BB537" s="10"/>
    </row>
    <row r="538" spans="13:54" ht="15.75" customHeight="1" x14ac:dyDescent="0.2">
      <c r="M538" s="7"/>
      <c r="R538" s="8"/>
      <c r="S538" s="8"/>
      <c r="U538" s="16"/>
      <c r="AC538" s="16"/>
      <c r="AY538" s="17"/>
      <c r="AZ538" s="17"/>
      <c r="BA538" s="10"/>
      <c r="BB538" s="10"/>
    </row>
    <row r="539" spans="13:54" ht="15.75" customHeight="1" x14ac:dyDescent="0.2">
      <c r="M539" s="7"/>
      <c r="R539" s="8"/>
      <c r="S539" s="8"/>
      <c r="U539" s="16"/>
      <c r="AC539" s="16"/>
      <c r="AY539" s="17"/>
      <c r="AZ539" s="17"/>
      <c r="BA539" s="10"/>
      <c r="BB539" s="10"/>
    </row>
    <row r="540" spans="13:54" ht="15.75" customHeight="1" x14ac:dyDescent="0.2">
      <c r="M540" s="7"/>
      <c r="R540" s="8"/>
      <c r="S540" s="8"/>
      <c r="U540" s="16"/>
      <c r="AC540" s="16"/>
      <c r="AY540" s="17"/>
      <c r="AZ540" s="17"/>
      <c r="BA540" s="10"/>
      <c r="BB540" s="10"/>
    </row>
    <row r="541" spans="13:54" ht="15.75" customHeight="1" x14ac:dyDescent="0.2">
      <c r="M541" s="7"/>
      <c r="R541" s="8"/>
      <c r="S541" s="8"/>
      <c r="U541" s="16"/>
      <c r="AC541" s="16"/>
      <c r="AY541" s="17"/>
      <c r="AZ541" s="17"/>
      <c r="BA541" s="10"/>
      <c r="BB541" s="10"/>
    </row>
    <row r="542" spans="13:54" ht="15.75" customHeight="1" x14ac:dyDescent="0.2">
      <c r="M542" s="7"/>
      <c r="R542" s="8"/>
      <c r="S542" s="8"/>
      <c r="U542" s="16"/>
      <c r="AC542" s="16"/>
      <c r="AY542" s="17"/>
      <c r="AZ542" s="17"/>
      <c r="BA542" s="10"/>
      <c r="BB542" s="10"/>
    </row>
    <row r="543" spans="13:54" ht="15.75" customHeight="1" x14ac:dyDescent="0.2">
      <c r="M543" s="7"/>
      <c r="R543" s="8"/>
      <c r="S543" s="8"/>
      <c r="U543" s="16"/>
      <c r="AC543" s="16"/>
      <c r="AY543" s="17"/>
      <c r="AZ543" s="17"/>
      <c r="BA543" s="10"/>
      <c r="BB543" s="10"/>
    </row>
    <row r="544" spans="13:54" ht="15.75" customHeight="1" x14ac:dyDescent="0.2">
      <c r="M544" s="7"/>
      <c r="R544" s="8"/>
      <c r="S544" s="8"/>
      <c r="U544" s="16"/>
      <c r="AC544" s="16"/>
      <c r="AY544" s="17"/>
      <c r="AZ544" s="17"/>
      <c r="BA544" s="10"/>
      <c r="BB544" s="10"/>
    </row>
    <row r="545" spans="13:54" ht="15.75" customHeight="1" x14ac:dyDescent="0.2">
      <c r="M545" s="7"/>
      <c r="R545" s="8"/>
      <c r="S545" s="8"/>
      <c r="U545" s="16"/>
      <c r="AC545" s="16"/>
      <c r="AY545" s="17"/>
      <c r="AZ545" s="17"/>
      <c r="BA545" s="10"/>
      <c r="BB545" s="10"/>
    </row>
    <row r="546" spans="13:54" ht="15.75" customHeight="1" x14ac:dyDescent="0.2">
      <c r="M546" s="7"/>
      <c r="R546" s="8"/>
      <c r="S546" s="8"/>
      <c r="U546" s="16"/>
      <c r="AC546" s="16"/>
      <c r="AY546" s="17"/>
      <c r="AZ546" s="17"/>
      <c r="BA546" s="10"/>
      <c r="BB546" s="10"/>
    </row>
    <row r="547" spans="13:54" ht="15.75" customHeight="1" x14ac:dyDescent="0.2">
      <c r="M547" s="7"/>
      <c r="R547" s="8"/>
      <c r="S547" s="8"/>
      <c r="U547" s="16"/>
      <c r="AC547" s="16"/>
      <c r="AY547" s="17"/>
      <c r="AZ547" s="17"/>
      <c r="BA547" s="10"/>
      <c r="BB547" s="10"/>
    </row>
    <row r="548" spans="13:54" ht="15.75" customHeight="1" x14ac:dyDescent="0.2">
      <c r="M548" s="7"/>
      <c r="R548" s="8"/>
      <c r="S548" s="8"/>
      <c r="U548" s="16"/>
      <c r="AC548" s="16"/>
      <c r="AY548" s="17"/>
      <c r="AZ548" s="17"/>
      <c r="BA548" s="10"/>
      <c r="BB548" s="10"/>
    </row>
    <row r="549" spans="13:54" ht="15.75" customHeight="1" x14ac:dyDescent="0.2">
      <c r="M549" s="7"/>
      <c r="R549" s="8"/>
      <c r="S549" s="8"/>
      <c r="U549" s="16"/>
      <c r="AC549" s="16"/>
      <c r="AY549" s="17"/>
      <c r="AZ549" s="17"/>
      <c r="BA549" s="10"/>
      <c r="BB549" s="10"/>
    </row>
    <row r="550" spans="13:54" ht="15.75" customHeight="1" x14ac:dyDescent="0.2">
      <c r="M550" s="7"/>
      <c r="R550" s="8"/>
      <c r="S550" s="8"/>
      <c r="U550" s="16"/>
      <c r="AC550" s="16"/>
      <c r="AY550" s="17"/>
      <c r="AZ550" s="17"/>
      <c r="BA550" s="10"/>
      <c r="BB550" s="10"/>
    </row>
    <row r="551" spans="13:54" ht="15.75" customHeight="1" x14ac:dyDescent="0.2">
      <c r="M551" s="7"/>
      <c r="R551" s="8"/>
      <c r="S551" s="8"/>
      <c r="U551" s="16"/>
      <c r="AC551" s="16"/>
      <c r="AY551" s="17"/>
      <c r="AZ551" s="17"/>
      <c r="BA551" s="10"/>
      <c r="BB551" s="10"/>
    </row>
    <row r="552" spans="13:54" ht="15.75" customHeight="1" x14ac:dyDescent="0.2">
      <c r="M552" s="7"/>
      <c r="R552" s="8"/>
      <c r="S552" s="8"/>
      <c r="U552" s="16"/>
      <c r="AC552" s="16"/>
      <c r="AY552" s="17"/>
      <c r="AZ552" s="17"/>
      <c r="BA552" s="10"/>
      <c r="BB552" s="10"/>
    </row>
    <row r="553" spans="13:54" ht="15.75" customHeight="1" x14ac:dyDescent="0.2">
      <c r="M553" s="7"/>
      <c r="R553" s="8"/>
      <c r="S553" s="8"/>
      <c r="U553" s="16"/>
      <c r="AC553" s="16"/>
      <c r="AY553" s="17"/>
      <c r="AZ553" s="17"/>
      <c r="BA553" s="10"/>
      <c r="BB553" s="10"/>
    </row>
    <row r="554" spans="13:54" ht="15.75" customHeight="1" x14ac:dyDescent="0.2">
      <c r="M554" s="7"/>
      <c r="R554" s="8"/>
      <c r="S554" s="8"/>
      <c r="U554" s="16"/>
      <c r="AC554" s="16"/>
      <c r="AY554" s="17"/>
      <c r="AZ554" s="17"/>
      <c r="BA554" s="10"/>
      <c r="BB554" s="10"/>
    </row>
    <row r="555" spans="13:54" ht="15.75" customHeight="1" x14ac:dyDescent="0.2">
      <c r="M555" s="7"/>
      <c r="R555" s="8"/>
      <c r="S555" s="8"/>
      <c r="U555" s="16"/>
      <c r="AC555" s="16"/>
      <c r="AY555" s="17"/>
      <c r="AZ555" s="17"/>
      <c r="BA555" s="10"/>
      <c r="BB555" s="10"/>
    </row>
    <row r="556" spans="13:54" ht="15.75" customHeight="1" x14ac:dyDescent="0.2">
      <c r="M556" s="7"/>
      <c r="R556" s="8"/>
      <c r="S556" s="8"/>
      <c r="U556" s="16"/>
      <c r="AC556" s="16"/>
      <c r="AY556" s="17"/>
      <c r="AZ556" s="17"/>
      <c r="BA556" s="10"/>
      <c r="BB556" s="10"/>
    </row>
    <row r="557" spans="13:54" ht="15.75" customHeight="1" x14ac:dyDescent="0.2">
      <c r="M557" s="7"/>
      <c r="R557" s="8"/>
      <c r="S557" s="8"/>
      <c r="U557" s="16"/>
      <c r="AC557" s="16"/>
      <c r="AY557" s="17"/>
      <c r="AZ557" s="17"/>
      <c r="BA557" s="10"/>
      <c r="BB557" s="10"/>
    </row>
    <row r="558" spans="13:54" ht="15.75" customHeight="1" x14ac:dyDescent="0.2">
      <c r="M558" s="7"/>
      <c r="R558" s="8"/>
      <c r="S558" s="8"/>
      <c r="U558" s="16"/>
      <c r="AC558" s="16"/>
      <c r="AY558" s="17"/>
      <c r="AZ558" s="17"/>
      <c r="BA558" s="10"/>
      <c r="BB558" s="10"/>
    </row>
    <row r="559" spans="13:54" ht="15.75" customHeight="1" x14ac:dyDescent="0.2">
      <c r="M559" s="7"/>
      <c r="R559" s="8"/>
      <c r="S559" s="8"/>
      <c r="U559" s="16"/>
      <c r="AC559" s="16"/>
      <c r="AY559" s="17"/>
      <c r="AZ559" s="17"/>
      <c r="BA559" s="10"/>
      <c r="BB559" s="10"/>
    </row>
    <row r="560" spans="13:54" ht="15.75" customHeight="1" x14ac:dyDescent="0.2">
      <c r="M560" s="7"/>
      <c r="R560" s="8"/>
      <c r="S560" s="8"/>
      <c r="U560" s="16"/>
      <c r="AC560" s="16"/>
      <c r="AY560" s="17"/>
      <c r="AZ560" s="17"/>
      <c r="BA560" s="10"/>
      <c r="BB560" s="10"/>
    </row>
    <row r="561" spans="13:54" ht="15.75" customHeight="1" x14ac:dyDescent="0.2">
      <c r="M561" s="7"/>
      <c r="R561" s="8"/>
      <c r="S561" s="8"/>
      <c r="U561" s="16"/>
      <c r="AC561" s="16"/>
      <c r="AY561" s="17"/>
      <c r="AZ561" s="17"/>
      <c r="BA561" s="10"/>
      <c r="BB561" s="10"/>
    </row>
    <row r="562" spans="13:54" ht="15.75" customHeight="1" x14ac:dyDescent="0.2">
      <c r="M562" s="7"/>
      <c r="R562" s="8"/>
      <c r="S562" s="8"/>
      <c r="U562" s="16"/>
      <c r="AC562" s="16"/>
      <c r="AY562" s="17"/>
      <c r="AZ562" s="17"/>
      <c r="BA562" s="10"/>
      <c r="BB562" s="10"/>
    </row>
    <row r="563" spans="13:54" ht="15.75" customHeight="1" x14ac:dyDescent="0.2">
      <c r="M563" s="7"/>
      <c r="R563" s="8"/>
      <c r="S563" s="8"/>
      <c r="U563" s="16"/>
      <c r="AC563" s="16"/>
      <c r="AY563" s="17"/>
      <c r="AZ563" s="17"/>
      <c r="BA563" s="10"/>
      <c r="BB563" s="10"/>
    </row>
    <row r="564" spans="13:54" ht="15.75" customHeight="1" x14ac:dyDescent="0.2">
      <c r="M564" s="7"/>
      <c r="R564" s="8"/>
      <c r="S564" s="8"/>
      <c r="U564" s="16"/>
      <c r="AC564" s="16"/>
      <c r="AY564" s="17"/>
      <c r="AZ564" s="17"/>
      <c r="BA564" s="10"/>
      <c r="BB564" s="10"/>
    </row>
    <row r="565" spans="13:54" ht="15.75" customHeight="1" x14ac:dyDescent="0.2">
      <c r="M565" s="7"/>
      <c r="R565" s="8"/>
      <c r="S565" s="8"/>
      <c r="U565" s="16"/>
      <c r="AC565" s="16"/>
      <c r="AY565" s="17"/>
      <c r="AZ565" s="17"/>
      <c r="BA565" s="10"/>
      <c r="BB565" s="10"/>
    </row>
    <row r="566" spans="13:54" ht="15.75" customHeight="1" x14ac:dyDescent="0.2">
      <c r="M566" s="7"/>
      <c r="R566" s="8"/>
      <c r="S566" s="8"/>
      <c r="U566" s="16"/>
      <c r="AC566" s="16"/>
      <c r="AY566" s="17"/>
      <c r="AZ566" s="17"/>
      <c r="BA566" s="10"/>
      <c r="BB566" s="10"/>
    </row>
    <row r="567" spans="13:54" ht="15.75" customHeight="1" x14ac:dyDescent="0.2">
      <c r="M567" s="7"/>
      <c r="R567" s="8"/>
      <c r="S567" s="8"/>
      <c r="U567" s="16"/>
      <c r="AC567" s="16"/>
      <c r="AY567" s="17"/>
      <c r="AZ567" s="17"/>
      <c r="BA567" s="10"/>
      <c r="BB567" s="10"/>
    </row>
    <row r="568" spans="13:54" ht="15.75" customHeight="1" x14ac:dyDescent="0.2">
      <c r="M568" s="7"/>
      <c r="R568" s="8"/>
      <c r="S568" s="8"/>
      <c r="U568" s="16"/>
      <c r="AC568" s="16"/>
      <c r="AY568" s="17"/>
      <c r="AZ568" s="17"/>
      <c r="BA568" s="10"/>
      <c r="BB568" s="10"/>
    </row>
    <row r="569" spans="13:54" ht="15.75" customHeight="1" x14ac:dyDescent="0.2">
      <c r="M569" s="7"/>
      <c r="R569" s="8"/>
      <c r="S569" s="8"/>
      <c r="U569" s="16"/>
      <c r="AC569" s="16"/>
      <c r="AY569" s="17"/>
      <c r="AZ569" s="17"/>
      <c r="BA569" s="10"/>
      <c r="BB569" s="10"/>
    </row>
    <row r="570" spans="13:54" ht="15.75" customHeight="1" x14ac:dyDescent="0.2">
      <c r="M570" s="7"/>
      <c r="R570" s="8"/>
      <c r="S570" s="8"/>
      <c r="U570" s="16"/>
      <c r="AC570" s="16"/>
      <c r="AY570" s="17"/>
      <c r="AZ570" s="17"/>
      <c r="BA570" s="10"/>
      <c r="BB570" s="10"/>
    </row>
    <row r="571" spans="13:54" ht="15.75" customHeight="1" x14ac:dyDescent="0.2">
      <c r="M571" s="7"/>
      <c r="R571" s="8"/>
      <c r="S571" s="8"/>
      <c r="U571" s="16"/>
      <c r="AC571" s="16"/>
      <c r="AY571" s="17"/>
      <c r="AZ571" s="17"/>
      <c r="BA571" s="10"/>
      <c r="BB571" s="10"/>
    </row>
    <row r="572" spans="13:54" ht="15.75" customHeight="1" x14ac:dyDescent="0.2">
      <c r="M572" s="7"/>
      <c r="R572" s="8"/>
      <c r="S572" s="8"/>
      <c r="U572" s="16"/>
      <c r="AC572" s="16"/>
      <c r="AY572" s="17"/>
      <c r="AZ572" s="17"/>
      <c r="BA572" s="10"/>
      <c r="BB572" s="10"/>
    </row>
    <row r="573" spans="13:54" ht="15.75" customHeight="1" x14ac:dyDescent="0.2">
      <c r="M573" s="7"/>
      <c r="R573" s="8"/>
      <c r="S573" s="8"/>
      <c r="U573" s="16"/>
      <c r="AC573" s="16"/>
      <c r="AY573" s="17"/>
      <c r="AZ573" s="17"/>
      <c r="BA573" s="10"/>
      <c r="BB573" s="10"/>
    </row>
    <row r="574" spans="13:54" ht="15.75" customHeight="1" x14ac:dyDescent="0.2">
      <c r="M574" s="7"/>
      <c r="R574" s="8"/>
      <c r="S574" s="8"/>
      <c r="U574" s="16"/>
      <c r="AC574" s="16"/>
      <c r="AY574" s="17"/>
      <c r="AZ574" s="17"/>
      <c r="BA574" s="10"/>
      <c r="BB574" s="10"/>
    </row>
    <row r="575" spans="13:54" ht="15.75" customHeight="1" x14ac:dyDescent="0.2">
      <c r="M575" s="7"/>
      <c r="R575" s="8"/>
      <c r="S575" s="8"/>
      <c r="U575" s="16"/>
      <c r="AC575" s="16"/>
      <c r="AY575" s="17"/>
      <c r="AZ575" s="17"/>
      <c r="BA575" s="10"/>
      <c r="BB575" s="10"/>
    </row>
    <row r="576" spans="13:54" ht="15.75" customHeight="1" x14ac:dyDescent="0.2">
      <c r="M576" s="7"/>
      <c r="R576" s="8"/>
      <c r="S576" s="8"/>
      <c r="U576" s="16"/>
      <c r="AC576" s="16"/>
      <c r="AY576" s="17"/>
      <c r="AZ576" s="17"/>
      <c r="BA576" s="10"/>
      <c r="BB576" s="10"/>
    </row>
    <row r="577" spans="13:54" ht="15.75" customHeight="1" x14ac:dyDescent="0.2">
      <c r="M577" s="7"/>
      <c r="R577" s="8"/>
      <c r="S577" s="8"/>
      <c r="U577" s="16"/>
      <c r="AC577" s="16"/>
      <c r="AY577" s="17"/>
      <c r="AZ577" s="17"/>
      <c r="BA577" s="10"/>
      <c r="BB577" s="10"/>
    </row>
    <row r="578" spans="13:54" ht="15.75" customHeight="1" x14ac:dyDescent="0.2">
      <c r="M578" s="7"/>
      <c r="R578" s="8"/>
      <c r="S578" s="8"/>
      <c r="U578" s="16"/>
      <c r="AC578" s="16"/>
      <c r="AY578" s="17"/>
      <c r="AZ578" s="17"/>
      <c r="BA578" s="10"/>
      <c r="BB578" s="10"/>
    </row>
    <row r="579" spans="13:54" ht="15.75" customHeight="1" x14ac:dyDescent="0.2">
      <c r="M579" s="7"/>
      <c r="R579" s="8"/>
      <c r="S579" s="8"/>
      <c r="U579" s="16"/>
      <c r="AC579" s="16"/>
      <c r="AY579" s="17"/>
      <c r="AZ579" s="17"/>
      <c r="BA579" s="10"/>
      <c r="BB579" s="10"/>
    </row>
    <row r="580" spans="13:54" ht="15.75" customHeight="1" x14ac:dyDescent="0.2">
      <c r="M580" s="7"/>
      <c r="R580" s="8"/>
      <c r="S580" s="8"/>
      <c r="U580" s="16"/>
      <c r="AC580" s="16"/>
      <c r="AY580" s="17"/>
      <c r="AZ580" s="17"/>
      <c r="BA580" s="10"/>
      <c r="BB580" s="10"/>
    </row>
    <row r="581" spans="13:54" ht="15.75" customHeight="1" x14ac:dyDescent="0.2">
      <c r="M581" s="7"/>
      <c r="R581" s="8"/>
      <c r="S581" s="8"/>
      <c r="U581" s="16"/>
      <c r="AC581" s="16"/>
      <c r="AY581" s="17"/>
      <c r="AZ581" s="17"/>
      <c r="BA581" s="10"/>
      <c r="BB581" s="10"/>
    </row>
    <row r="582" spans="13:54" ht="15.75" customHeight="1" x14ac:dyDescent="0.2">
      <c r="M582" s="7"/>
      <c r="R582" s="8"/>
      <c r="S582" s="8"/>
      <c r="U582" s="16"/>
      <c r="AC582" s="16"/>
      <c r="AY582" s="17"/>
      <c r="AZ582" s="17"/>
      <c r="BA582" s="10"/>
      <c r="BB582" s="10"/>
    </row>
    <row r="583" spans="13:54" ht="15.75" customHeight="1" x14ac:dyDescent="0.2">
      <c r="M583" s="7"/>
      <c r="R583" s="8"/>
      <c r="S583" s="8"/>
      <c r="U583" s="16"/>
      <c r="AC583" s="16"/>
      <c r="AY583" s="17"/>
      <c r="AZ583" s="17"/>
      <c r="BA583" s="10"/>
      <c r="BB583" s="10"/>
    </row>
    <row r="584" spans="13:54" ht="15.75" customHeight="1" x14ac:dyDescent="0.2">
      <c r="M584" s="7"/>
      <c r="R584" s="8"/>
      <c r="S584" s="8"/>
      <c r="U584" s="16"/>
      <c r="AC584" s="16"/>
      <c r="AY584" s="17"/>
      <c r="AZ584" s="17"/>
      <c r="BA584" s="10"/>
      <c r="BB584" s="10"/>
    </row>
    <row r="585" spans="13:54" ht="15.75" customHeight="1" x14ac:dyDescent="0.2">
      <c r="M585" s="7"/>
      <c r="R585" s="8"/>
      <c r="S585" s="8"/>
      <c r="U585" s="16"/>
      <c r="AC585" s="16"/>
      <c r="AY585" s="17"/>
      <c r="AZ585" s="17"/>
      <c r="BA585" s="10"/>
      <c r="BB585" s="10"/>
    </row>
    <row r="586" spans="13:54" ht="15.75" customHeight="1" x14ac:dyDescent="0.2">
      <c r="M586" s="7"/>
      <c r="R586" s="8"/>
      <c r="S586" s="8"/>
      <c r="U586" s="16"/>
      <c r="AC586" s="16"/>
      <c r="AY586" s="17"/>
      <c r="AZ586" s="17"/>
      <c r="BA586" s="10"/>
      <c r="BB586" s="10"/>
    </row>
    <row r="587" spans="13:54" ht="15.75" customHeight="1" x14ac:dyDescent="0.2">
      <c r="M587" s="7"/>
      <c r="R587" s="8"/>
      <c r="S587" s="8"/>
      <c r="U587" s="16"/>
      <c r="AC587" s="16"/>
      <c r="AY587" s="17"/>
      <c r="AZ587" s="17"/>
      <c r="BA587" s="10"/>
      <c r="BB587" s="10"/>
    </row>
    <row r="588" spans="13:54" ht="15.75" customHeight="1" x14ac:dyDescent="0.2">
      <c r="M588" s="7"/>
      <c r="R588" s="8"/>
      <c r="S588" s="8"/>
      <c r="U588" s="16"/>
      <c r="AC588" s="16"/>
      <c r="AY588" s="17"/>
      <c r="AZ588" s="17"/>
      <c r="BA588" s="10"/>
      <c r="BB588" s="10"/>
    </row>
    <row r="589" spans="13:54" ht="15.75" customHeight="1" x14ac:dyDescent="0.2">
      <c r="M589" s="7"/>
      <c r="R589" s="8"/>
      <c r="S589" s="8"/>
      <c r="U589" s="16"/>
      <c r="AC589" s="16"/>
      <c r="AY589" s="17"/>
      <c r="AZ589" s="17"/>
      <c r="BA589" s="10"/>
      <c r="BB589" s="10"/>
    </row>
    <row r="590" spans="13:54" ht="15.75" customHeight="1" x14ac:dyDescent="0.2">
      <c r="M590" s="7"/>
      <c r="R590" s="8"/>
      <c r="S590" s="8"/>
      <c r="U590" s="16"/>
      <c r="AC590" s="16"/>
      <c r="AY590" s="17"/>
      <c r="AZ590" s="17"/>
      <c r="BA590" s="10"/>
      <c r="BB590" s="10"/>
    </row>
    <row r="591" spans="13:54" ht="15.75" customHeight="1" x14ac:dyDescent="0.2">
      <c r="M591" s="7"/>
      <c r="R591" s="8"/>
      <c r="S591" s="8"/>
      <c r="U591" s="16"/>
      <c r="AC591" s="16"/>
      <c r="AY591" s="17"/>
      <c r="AZ591" s="17"/>
      <c r="BA591" s="10"/>
      <c r="BB591" s="10"/>
    </row>
    <row r="592" spans="13:54" ht="15.75" customHeight="1" x14ac:dyDescent="0.2">
      <c r="M592" s="7"/>
      <c r="R592" s="8"/>
      <c r="S592" s="8"/>
      <c r="U592" s="16"/>
      <c r="AC592" s="16"/>
      <c r="AY592" s="17"/>
      <c r="AZ592" s="17"/>
      <c r="BA592" s="10"/>
      <c r="BB592" s="10"/>
    </row>
    <row r="593" spans="13:54" ht="15.75" customHeight="1" x14ac:dyDescent="0.2">
      <c r="M593" s="7"/>
      <c r="R593" s="8"/>
      <c r="S593" s="8"/>
      <c r="U593" s="16"/>
      <c r="AC593" s="16"/>
      <c r="AY593" s="17"/>
      <c r="AZ593" s="17"/>
      <c r="BA593" s="10"/>
      <c r="BB593" s="10"/>
    </row>
    <row r="594" spans="13:54" ht="15.75" customHeight="1" x14ac:dyDescent="0.2">
      <c r="M594" s="7"/>
      <c r="R594" s="8"/>
      <c r="S594" s="8"/>
      <c r="U594" s="16"/>
      <c r="AC594" s="16"/>
      <c r="AY594" s="17"/>
      <c r="AZ594" s="17"/>
      <c r="BA594" s="10"/>
      <c r="BB594" s="10"/>
    </row>
    <row r="595" spans="13:54" ht="15.75" customHeight="1" x14ac:dyDescent="0.2">
      <c r="M595" s="7"/>
      <c r="R595" s="8"/>
      <c r="S595" s="8"/>
      <c r="U595" s="16"/>
      <c r="AC595" s="16"/>
      <c r="AY595" s="17"/>
      <c r="AZ595" s="17"/>
      <c r="BA595" s="10"/>
      <c r="BB595" s="10"/>
    </row>
    <row r="596" spans="13:54" ht="15.75" customHeight="1" x14ac:dyDescent="0.2">
      <c r="M596" s="7"/>
      <c r="R596" s="8"/>
      <c r="S596" s="8"/>
      <c r="U596" s="16"/>
      <c r="AC596" s="16"/>
      <c r="AY596" s="17"/>
      <c r="AZ596" s="17"/>
      <c r="BA596" s="10"/>
      <c r="BB596" s="10"/>
    </row>
    <row r="597" spans="13:54" ht="15.75" customHeight="1" x14ac:dyDescent="0.2">
      <c r="M597" s="7"/>
      <c r="R597" s="8"/>
      <c r="S597" s="8"/>
      <c r="U597" s="16"/>
      <c r="AC597" s="16"/>
      <c r="AY597" s="17"/>
      <c r="AZ597" s="17"/>
      <c r="BA597" s="10"/>
      <c r="BB597" s="10"/>
    </row>
    <row r="598" spans="13:54" ht="15.75" customHeight="1" x14ac:dyDescent="0.2">
      <c r="M598" s="7"/>
      <c r="R598" s="8"/>
      <c r="S598" s="8"/>
      <c r="U598" s="16"/>
      <c r="AC598" s="16"/>
      <c r="AY598" s="17"/>
      <c r="AZ598" s="17"/>
      <c r="BA598" s="10"/>
      <c r="BB598" s="10"/>
    </row>
    <row r="599" spans="13:54" ht="15.75" customHeight="1" x14ac:dyDescent="0.2">
      <c r="M599" s="7"/>
      <c r="R599" s="8"/>
      <c r="S599" s="8"/>
      <c r="U599" s="16"/>
      <c r="AC599" s="16"/>
      <c r="AY599" s="17"/>
      <c r="AZ599" s="17"/>
      <c r="BA599" s="10"/>
      <c r="BB599" s="10"/>
    </row>
    <row r="600" spans="13:54" ht="15.75" customHeight="1" x14ac:dyDescent="0.2">
      <c r="M600" s="7"/>
      <c r="R600" s="8"/>
      <c r="S600" s="8"/>
      <c r="U600" s="16"/>
      <c r="AC600" s="16"/>
      <c r="AY600" s="17"/>
      <c r="AZ600" s="17"/>
      <c r="BA600" s="10"/>
      <c r="BB600" s="10"/>
    </row>
    <row r="601" spans="13:54" ht="15.75" customHeight="1" x14ac:dyDescent="0.2">
      <c r="M601" s="7"/>
      <c r="R601" s="8"/>
      <c r="S601" s="8"/>
      <c r="U601" s="16"/>
      <c r="AC601" s="16"/>
      <c r="AY601" s="17"/>
      <c r="AZ601" s="17"/>
      <c r="BA601" s="10"/>
      <c r="BB601" s="10"/>
    </row>
    <row r="602" spans="13:54" ht="15.75" customHeight="1" x14ac:dyDescent="0.2">
      <c r="M602" s="7"/>
      <c r="R602" s="8"/>
      <c r="S602" s="8"/>
      <c r="U602" s="16"/>
      <c r="AC602" s="16"/>
      <c r="AY602" s="17"/>
      <c r="AZ602" s="17"/>
      <c r="BA602" s="10"/>
      <c r="BB602" s="10"/>
    </row>
    <row r="603" spans="13:54" ht="15.75" customHeight="1" x14ac:dyDescent="0.2">
      <c r="M603" s="7"/>
      <c r="R603" s="8"/>
      <c r="S603" s="8"/>
      <c r="U603" s="16"/>
      <c r="AC603" s="16"/>
      <c r="AY603" s="17"/>
      <c r="AZ603" s="17"/>
      <c r="BA603" s="10"/>
      <c r="BB603" s="10"/>
    </row>
    <row r="604" spans="13:54" ht="15.75" customHeight="1" x14ac:dyDescent="0.2">
      <c r="M604" s="7"/>
      <c r="R604" s="8"/>
      <c r="S604" s="8"/>
      <c r="U604" s="16"/>
      <c r="AC604" s="16"/>
      <c r="AY604" s="17"/>
      <c r="AZ604" s="17"/>
      <c r="BA604" s="10"/>
      <c r="BB604" s="10"/>
    </row>
    <row r="605" spans="13:54" ht="15.75" customHeight="1" x14ac:dyDescent="0.2">
      <c r="M605" s="7"/>
      <c r="R605" s="8"/>
      <c r="S605" s="8"/>
      <c r="U605" s="16"/>
      <c r="AC605" s="16"/>
      <c r="AY605" s="17"/>
      <c r="AZ605" s="17"/>
      <c r="BA605" s="10"/>
      <c r="BB605" s="10"/>
    </row>
    <row r="606" spans="13:54" ht="15.75" customHeight="1" x14ac:dyDescent="0.2">
      <c r="M606" s="7"/>
      <c r="R606" s="8"/>
      <c r="S606" s="8"/>
      <c r="U606" s="16"/>
      <c r="AC606" s="16"/>
      <c r="AY606" s="17"/>
      <c r="AZ606" s="17"/>
      <c r="BA606" s="10"/>
      <c r="BB606" s="10"/>
    </row>
    <row r="607" spans="13:54" ht="15.75" customHeight="1" x14ac:dyDescent="0.2">
      <c r="M607" s="7"/>
      <c r="R607" s="8"/>
      <c r="S607" s="8"/>
      <c r="U607" s="16"/>
      <c r="AC607" s="16"/>
      <c r="AY607" s="17"/>
      <c r="AZ607" s="17"/>
      <c r="BA607" s="10"/>
      <c r="BB607" s="10"/>
    </row>
    <row r="608" spans="13:54" ht="15.75" customHeight="1" x14ac:dyDescent="0.2">
      <c r="M608" s="7"/>
      <c r="R608" s="8"/>
      <c r="S608" s="8"/>
      <c r="U608" s="16"/>
      <c r="AC608" s="16"/>
      <c r="AY608" s="17"/>
      <c r="AZ608" s="17"/>
      <c r="BA608" s="10"/>
      <c r="BB608" s="10"/>
    </row>
    <row r="609" spans="13:54" ht="15.75" customHeight="1" x14ac:dyDescent="0.2">
      <c r="M609" s="7"/>
      <c r="R609" s="8"/>
      <c r="S609" s="8"/>
      <c r="U609" s="16"/>
      <c r="AC609" s="16"/>
      <c r="AY609" s="17"/>
      <c r="AZ609" s="17"/>
      <c r="BA609" s="10"/>
      <c r="BB609" s="10"/>
    </row>
    <row r="610" spans="13:54" ht="15.75" customHeight="1" x14ac:dyDescent="0.2">
      <c r="M610" s="7"/>
      <c r="R610" s="8"/>
      <c r="S610" s="8"/>
      <c r="U610" s="16"/>
      <c r="AC610" s="16"/>
      <c r="AY610" s="17"/>
      <c r="AZ610" s="17"/>
      <c r="BA610" s="10"/>
      <c r="BB610" s="10"/>
    </row>
    <row r="611" spans="13:54" ht="15.75" customHeight="1" x14ac:dyDescent="0.2">
      <c r="M611" s="7"/>
      <c r="R611" s="8"/>
      <c r="S611" s="8"/>
      <c r="U611" s="16"/>
      <c r="AC611" s="16"/>
      <c r="AY611" s="17"/>
      <c r="AZ611" s="17"/>
      <c r="BA611" s="10"/>
      <c r="BB611" s="10"/>
    </row>
    <row r="612" spans="13:54" ht="15.75" customHeight="1" x14ac:dyDescent="0.2">
      <c r="M612" s="7"/>
      <c r="R612" s="8"/>
      <c r="S612" s="8"/>
      <c r="U612" s="16"/>
      <c r="AC612" s="16"/>
      <c r="AY612" s="17"/>
      <c r="AZ612" s="17"/>
      <c r="BA612" s="10"/>
      <c r="BB612" s="10"/>
    </row>
    <row r="613" spans="13:54" ht="15.75" customHeight="1" x14ac:dyDescent="0.2">
      <c r="M613" s="7"/>
      <c r="R613" s="8"/>
      <c r="S613" s="8"/>
      <c r="U613" s="16"/>
      <c r="AC613" s="16"/>
      <c r="AY613" s="17"/>
      <c r="AZ613" s="17"/>
      <c r="BA613" s="10"/>
      <c r="BB613" s="10"/>
    </row>
    <row r="614" spans="13:54" ht="15.75" customHeight="1" x14ac:dyDescent="0.2">
      <c r="M614" s="7"/>
      <c r="R614" s="8"/>
      <c r="S614" s="8"/>
      <c r="U614" s="16"/>
      <c r="AC614" s="16"/>
      <c r="AY614" s="17"/>
      <c r="AZ614" s="17"/>
      <c r="BA614" s="10"/>
      <c r="BB614" s="10"/>
    </row>
    <row r="615" spans="13:54" ht="15.75" customHeight="1" x14ac:dyDescent="0.2">
      <c r="M615" s="7"/>
      <c r="R615" s="8"/>
      <c r="S615" s="8"/>
      <c r="U615" s="16"/>
      <c r="AC615" s="16"/>
      <c r="AY615" s="17"/>
      <c r="AZ615" s="17"/>
      <c r="BA615" s="10"/>
      <c r="BB615" s="10"/>
    </row>
    <row r="616" spans="13:54" ht="15.75" customHeight="1" x14ac:dyDescent="0.2">
      <c r="M616" s="7"/>
      <c r="R616" s="8"/>
      <c r="S616" s="8"/>
      <c r="U616" s="16"/>
      <c r="AC616" s="16"/>
      <c r="AY616" s="17"/>
      <c r="AZ616" s="17"/>
      <c r="BA616" s="10"/>
      <c r="BB616" s="10"/>
    </row>
    <row r="617" spans="13:54" ht="15.75" customHeight="1" x14ac:dyDescent="0.2">
      <c r="M617" s="7"/>
      <c r="R617" s="8"/>
      <c r="S617" s="8"/>
      <c r="U617" s="16"/>
      <c r="AC617" s="16"/>
      <c r="AY617" s="17"/>
      <c r="AZ617" s="17"/>
      <c r="BA617" s="10"/>
      <c r="BB617" s="10"/>
    </row>
    <row r="618" spans="13:54" ht="15.75" customHeight="1" x14ac:dyDescent="0.2">
      <c r="M618" s="7"/>
      <c r="R618" s="8"/>
      <c r="S618" s="8"/>
      <c r="U618" s="16"/>
      <c r="AC618" s="16"/>
      <c r="AY618" s="17"/>
      <c r="AZ618" s="17"/>
      <c r="BA618" s="10"/>
      <c r="BB618" s="10"/>
    </row>
    <row r="619" spans="13:54" ht="15.75" customHeight="1" x14ac:dyDescent="0.2">
      <c r="M619" s="7"/>
      <c r="R619" s="8"/>
      <c r="S619" s="8"/>
      <c r="U619" s="16"/>
      <c r="AC619" s="16"/>
      <c r="AY619" s="17"/>
      <c r="AZ619" s="17"/>
      <c r="BA619" s="10"/>
      <c r="BB619" s="10"/>
    </row>
    <row r="620" spans="13:54" ht="15.75" customHeight="1" x14ac:dyDescent="0.2">
      <c r="M620" s="7"/>
      <c r="R620" s="8"/>
      <c r="S620" s="8"/>
      <c r="U620" s="16"/>
      <c r="AC620" s="16"/>
      <c r="AY620" s="17"/>
      <c r="AZ620" s="17"/>
      <c r="BA620" s="10"/>
      <c r="BB620" s="10"/>
    </row>
    <row r="621" spans="13:54" ht="15.75" customHeight="1" x14ac:dyDescent="0.2">
      <c r="M621" s="7"/>
      <c r="R621" s="8"/>
      <c r="S621" s="8"/>
      <c r="U621" s="16"/>
      <c r="AC621" s="16"/>
      <c r="AY621" s="17"/>
      <c r="AZ621" s="17"/>
      <c r="BA621" s="10"/>
      <c r="BB621" s="10"/>
    </row>
    <row r="622" spans="13:54" ht="15.75" customHeight="1" x14ac:dyDescent="0.2">
      <c r="M622" s="7"/>
      <c r="R622" s="8"/>
      <c r="S622" s="8"/>
      <c r="U622" s="16"/>
      <c r="AC622" s="16"/>
      <c r="AY622" s="17"/>
      <c r="AZ622" s="17"/>
      <c r="BA622" s="10"/>
      <c r="BB622" s="10"/>
    </row>
    <row r="623" spans="13:54" ht="15.75" customHeight="1" x14ac:dyDescent="0.2">
      <c r="M623" s="7"/>
      <c r="R623" s="8"/>
      <c r="S623" s="8"/>
      <c r="U623" s="16"/>
      <c r="AC623" s="16"/>
      <c r="AY623" s="17"/>
      <c r="AZ623" s="17"/>
      <c r="BA623" s="10"/>
      <c r="BB623" s="10"/>
    </row>
    <row r="624" spans="13:54" ht="15.75" customHeight="1" x14ac:dyDescent="0.2">
      <c r="M624" s="7"/>
      <c r="R624" s="8"/>
      <c r="S624" s="8"/>
      <c r="U624" s="16"/>
      <c r="AC624" s="16"/>
      <c r="AY624" s="17"/>
      <c r="AZ624" s="17"/>
      <c r="BA624" s="10"/>
      <c r="BB624" s="10"/>
    </row>
    <row r="625" spans="13:54" ht="15.75" customHeight="1" x14ac:dyDescent="0.2">
      <c r="M625" s="7"/>
      <c r="R625" s="8"/>
      <c r="S625" s="8"/>
      <c r="U625" s="16"/>
      <c r="AC625" s="16"/>
      <c r="AY625" s="17"/>
      <c r="AZ625" s="17"/>
      <c r="BA625" s="10"/>
      <c r="BB625" s="10"/>
    </row>
    <row r="626" spans="13:54" ht="15.75" customHeight="1" x14ac:dyDescent="0.2">
      <c r="M626" s="7"/>
      <c r="R626" s="8"/>
      <c r="S626" s="8"/>
      <c r="U626" s="16"/>
      <c r="AC626" s="16"/>
      <c r="AY626" s="17"/>
      <c r="AZ626" s="17"/>
      <c r="BA626" s="10"/>
      <c r="BB626" s="10"/>
    </row>
    <row r="627" spans="13:54" ht="15.75" customHeight="1" x14ac:dyDescent="0.2">
      <c r="M627" s="7"/>
      <c r="R627" s="8"/>
      <c r="S627" s="8"/>
      <c r="U627" s="16"/>
      <c r="AC627" s="16"/>
      <c r="AY627" s="17"/>
      <c r="AZ627" s="17"/>
      <c r="BA627" s="10"/>
      <c r="BB627" s="10"/>
    </row>
    <row r="628" spans="13:54" ht="15.75" customHeight="1" x14ac:dyDescent="0.2">
      <c r="M628" s="7"/>
      <c r="R628" s="8"/>
      <c r="S628" s="8"/>
      <c r="U628" s="16"/>
      <c r="AC628" s="16"/>
      <c r="AY628" s="17"/>
      <c r="AZ628" s="17"/>
      <c r="BA628" s="10"/>
      <c r="BB628" s="10"/>
    </row>
    <row r="629" spans="13:54" ht="15.75" customHeight="1" x14ac:dyDescent="0.2">
      <c r="M629" s="7"/>
      <c r="R629" s="8"/>
      <c r="S629" s="8"/>
      <c r="U629" s="16"/>
      <c r="AC629" s="16"/>
      <c r="AY629" s="17"/>
      <c r="AZ629" s="17"/>
      <c r="BA629" s="10"/>
      <c r="BB629" s="10"/>
    </row>
    <row r="630" spans="13:54" ht="15.75" customHeight="1" x14ac:dyDescent="0.2">
      <c r="M630" s="7"/>
      <c r="R630" s="8"/>
      <c r="S630" s="8"/>
      <c r="U630" s="16"/>
      <c r="AC630" s="16"/>
      <c r="AY630" s="17"/>
      <c r="AZ630" s="17"/>
      <c r="BA630" s="10"/>
      <c r="BB630" s="10"/>
    </row>
    <row r="631" spans="13:54" ht="15.75" customHeight="1" x14ac:dyDescent="0.2">
      <c r="M631" s="7"/>
      <c r="R631" s="8"/>
      <c r="S631" s="8"/>
      <c r="U631" s="16"/>
      <c r="AC631" s="16"/>
      <c r="AY631" s="17"/>
      <c r="AZ631" s="17"/>
      <c r="BA631" s="10"/>
      <c r="BB631" s="10"/>
    </row>
    <row r="632" spans="13:54" ht="15.75" customHeight="1" x14ac:dyDescent="0.2">
      <c r="M632" s="7"/>
      <c r="R632" s="8"/>
      <c r="S632" s="8"/>
      <c r="U632" s="16"/>
      <c r="AC632" s="16"/>
      <c r="AY632" s="17"/>
      <c r="AZ632" s="17"/>
      <c r="BA632" s="10"/>
      <c r="BB632" s="10"/>
    </row>
    <row r="633" spans="13:54" ht="15.75" customHeight="1" x14ac:dyDescent="0.2">
      <c r="M633" s="7"/>
      <c r="R633" s="8"/>
      <c r="S633" s="8"/>
      <c r="U633" s="16"/>
      <c r="AC633" s="16"/>
      <c r="AY633" s="17"/>
      <c r="AZ633" s="17"/>
      <c r="BA633" s="10"/>
      <c r="BB633" s="10"/>
    </row>
    <row r="634" spans="13:54" ht="15.75" customHeight="1" x14ac:dyDescent="0.2">
      <c r="M634" s="7"/>
      <c r="R634" s="8"/>
      <c r="S634" s="8"/>
      <c r="U634" s="16"/>
      <c r="AC634" s="16"/>
      <c r="AY634" s="17"/>
      <c r="AZ634" s="17"/>
      <c r="BA634" s="10"/>
      <c r="BB634" s="10"/>
    </row>
    <row r="635" spans="13:54" ht="15.75" customHeight="1" x14ac:dyDescent="0.2">
      <c r="M635" s="7"/>
      <c r="R635" s="8"/>
      <c r="S635" s="8"/>
      <c r="U635" s="16"/>
      <c r="AC635" s="16"/>
      <c r="AY635" s="17"/>
      <c r="AZ635" s="17"/>
      <c r="BA635" s="10"/>
      <c r="BB635" s="10"/>
    </row>
    <row r="636" spans="13:54" ht="15.75" customHeight="1" x14ac:dyDescent="0.2">
      <c r="M636" s="7"/>
      <c r="R636" s="8"/>
      <c r="S636" s="8"/>
      <c r="U636" s="16"/>
      <c r="AC636" s="16"/>
      <c r="AY636" s="17"/>
      <c r="AZ636" s="17"/>
      <c r="BA636" s="10"/>
      <c r="BB636" s="10"/>
    </row>
    <row r="637" spans="13:54" ht="15.75" customHeight="1" x14ac:dyDescent="0.2">
      <c r="M637" s="7"/>
      <c r="R637" s="8"/>
      <c r="S637" s="8"/>
      <c r="U637" s="16"/>
      <c r="AC637" s="16"/>
      <c r="AY637" s="17"/>
      <c r="AZ637" s="17"/>
      <c r="BA637" s="10"/>
      <c r="BB637" s="10"/>
    </row>
    <row r="638" spans="13:54" ht="15.75" customHeight="1" x14ac:dyDescent="0.2">
      <c r="M638" s="7"/>
      <c r="R638" s="8"/>
      <c r="S638" s="8"/>
      <c r="U638" s="16"/>
      <c r="AC638" s="16"/>
      <c r="AY638" s="17"/>
      <c r="AZ638" s="17"/>
      <c r="BA638" s="10"/>
      <c r="BB638" s="10"/>
    </row>
    <row r="639" spans="13:54" ht="15.75" customHeight="1" x14ac:dyDescent="0.2">
      <c r="M639" s="7"/>
      <c r="R639" s="8"/>
      <c r="S639" s="8"/>
      <c r="U639" s="16"/>
      <c r="AC639" s="16"/>
      <c r="AY639" s="17"/>
      <c r="AZ639" s="17"/>
      <c r="BA639" s="10"/>
      <c r="BB639" s="10"/>
    </row>
    <row r="640" spans="13:54" ht="15.75" customHeight="1" x14ac:dyDescent="0.2">
      <c r="M640" s="7"/>
      <c r="R640" s="8"/>
      <c r="S640" s="8"/>
      <c r="U640" s="16"/>
      <c r="AC640" s="16"/>
      <c r="AY640" s="17"/>
      <c r="AZ640" s="17"/>
      <c r="BA640" s="10"/>
      <c r="BB640" s="10"/>
    </row>
    <row r="641" spans="13:54" ht="15.75" customHeight="1" x14ac:dyDescent="0.2">
      <c r="M641" s="7"/>
      <c r="R641" s="8"/>
      <c r="S641" s="8"/>
      <c r="U641" s="16"/>
      <c r="AC641" s="16"/>
      <c r="AY641" s="17"/>
      <c r="AZ641" s="17"/>
      <c r="BA641" s="10"/>
      <c r="BB641" s="10"/>
    </row>
    <row r="642" spans="13:54" ht="15.75" customHeight="1" x14ac:dyDescent="0.2">
      <c r="M642" s="7"/>
      <c r="R642" s="8"/>
      <c r="S642" s="8"/>
      <c r="U642" s="16"/>
      <c r="AC642" s="16"/>
      <c r="AY642" s="17"/>
      <c r="AZ642" s="17"/>
      <c r="BA642" s="10"/>
      <c r="BB642" s="10"/>
    </row>
    <row r="643" spans="13:54" ht="15.75" customHeight="1" x14ac:dyDescent="0.2">
      <c r="M643" s="7"/>
      <c r="R643" s="8"/>
      <c r="S643" s="8"/>
      <c r="U643" s="16"/>
      <c r="AC643" s="16"/>
      <c r="AY643" s="17"/>
      <c r="AZ643" s="17"/>
      <c r="BA643" s="10"/>
      <c r="BB643" s="10"/>
    </row>
    <row r="644" spans="13:54" ht="15.75" customHeight="1" x14ac:dyDescent="0.2">
      <c r="M644" s="7"/>
      <c r="R644" s="8"/>
      <c r="S644" s="8"/>
      <c r="U644" s="16"/>
      <c r="AC644" s="16"/>
      <c r="AY644" s="17"/>
      <c r="AZ644" s="17"/>
      <c r="BA644" s="10"/>
      <c r="BB644" s="10"/>
    </row>
    <row r="645" spans="13:54" ht="15.75" customHeight="1" x14ac:dyDescent="0.2">
      <c r="M645" s="7"/>
      <c r="R645" s="8"/>
      <c r="S645" s="8"/>
      <c r="U645" s="16"/>
      <c r="AC645" s="16"/>
      <c r="AY645" s="17"/>
      <c r="AZ645" s="17"/>
      <c r="BA645" s="10"/>
      <c r="BB645" s="10"/>
    </row>
    <row r="646" spans="13:54" ht="15.75" customHeight="1" x14ac:dyDescent="0.2">
      <c r="M646" s="7"/>
      <c r="R646" s="8"/>
      <c r="S646" s="8"/>
      <c r="U646" s="16"/>
      <c r="AC646" s="16"/>
      <c r="AY646" s="17"/>
      <c r="AZ646" s="17"/>
      <c r="BA646" s="10"/>
      <c r="BB646" s="10"/>
    </row>
    <row r="647" spans="13:54" ht="15.75" customHeight="1" x14ac:dyDescent="0.2">
      <c r="M647" s="7"/>
      <c r="R647" s="8"/>
      <c r="S647" s="8"/>
      <c r="U647" s="16"/>
      <c r="AC647" s="16"/>
      <c r="AY647" s="17"/>
      <c r="AZ647" s="17"/>
      <c r="BA647" s="10"/>
      <c r="BB647" s="10"/>
    </row>
    <row r="648" spans="13:54" ht="15.75" customHeight="1" x14ac:dyDescent="0.2">
      <c r="M648" s="7"/>
      <c r="R648" s="8"/>
      <c r="S648" s="8"/>
      <c r="U648" s="16"/>
      <c r="AC648" s="16"/>
      <c r="AY648" s="17"/>
      <c r="AZ648" s="17"/>
      <c r="BA648" s="10"/>
      <c r="BB648" s="10"/>
    </row>
    <row r="649" spans="13:54" ht="15.75" customHeight="1" x14ac:dyDescent="0.2">
      <c r="M649" s="7"/>
      <c r="R649" s="8"/>
      <c r="S649" s="8"/>
      <c r="U649" s="16"/>
      <c r="AC649" s="16"/>
      <c r="AY649" s="17"/>
      <c r="AZ649" s="17"/>
      <c r="BA649" s="10"/>
      <c r="BB649" s="10"/>
    </row>
    <row r="650" spans="13:54" ht="15.75" customHeight="1" x14ac:dyDescent="0.2">
      <c r="M650" s="7"/>
      <c r="R650" s="8"/>
      <c r="S650" s="8"/>
      <c r="U650" s="16"/>
      <c r="AC650" s="16"/>
      <c r="AY650" s="17"/>
      <c r="AZ650" s="17"/>
      <c r="BA650" s="10"/>
      <c r="BB650" s="10"/>
    </row>
    <row r="651" spans="13:54" ht="15.75" customHeight="1" x14ac:dyDescent="0.2">
      <c r="M651" s="7"/>
      <c r="R651" s="8"/>
      <c r="S651" s="8"/>
      <c r="U651" s="16"/>
      <c r="AC651" s="16"/>
      <c r="AY651" s="17"/>
      <c r="AZ651" s="17"/>
      <c r="BA651" s="10"/>
      <c r="BB651" s="10"/>
    </row>
    <row r="652" spans="13:54" ht="15.75" customHeight="1" x14ac:dyDescent="0.2">
      <c r="M652" s="7"/>
      <c r="R652" s="8"/>
      <c r="S652" s="8"/>
      <c r="U652" s="16"/>
      <c r="AC652" s="16"/>
      <c r="AY652" s="17"/>
      <c r="AZ652" s="17"/>
      <c r="BA652" s="10"/>
      <c r="BB652" s="10"/>
    </row>
    <row r="653" spans="13:54" ht="15.75" customHeight="1" x14ac:dyDescent="0.2">
      <c r="M653" s="7"/>
      <c r="R653" s="8"/>
      <c r="S653" s="8"/>
      <c r="U653" s="16"/>
      <c r="AC653" s="16"/>
      <c r="AY653" s="17"/>
      <c r="AZ653" s="17"/>
      <c r="BA653" s="10"/>
      <c r="BB653" s="10"/>
    </row>
    <row r="654" spans="13:54" ht="15.75" customHeight="1" x14ac:dyDescent="0.2">
      <c r="M654" s="7"/>
      <c r="R654" s="8"/>
      <c r="S654" s="8"/>
      <c r="U654" s="16"/>
      <c r="AC654" s="16"/>
      <c r="AY654" s="17"/>
      <c r="AZ654" s="17"/>
      <c r="BA654" s="10"/>
      <c r="BB654" s="10"/>
    </row>
    <row r="655" spans="13:54" ht="15.75" customHeight="1" x14ac:dyDescent="0.2">
      <c r="M655" s="7"/>
      <c r="R655" s="8"/>
      <c r="S655" s="8"/>
      <c r="U655" s="16"/>
      <c r="AC655" s="16"/>
      <c r="AY655" s="17"/>
      <c r="AZ655" s="17"/>
      <c r="BA655" s="10"/>
      <c r="BB655" s="10"/>
    </row>
    <row r="656" spans="13:54" ht="15.75" customHeight="1" x14ac:dyDescent="0.2">
      <c r="M656" s="7"/>
      <c r="R656" s="8"/>
      <c r="S656" s="8"/>
      <c r="U656" s="16"/>
      <c r="AC656" s="16"/>
      <c r="AY656" s="17"/>
      <c r="AZ656" s="17"/>
      <c r="BA656" s="10"/>
      <c r="BB656" s="10"/>
    </row>
    <row r="657" spans="13:54" ht="15.75" customHeight="1" x14ac:dyDescent="0.2">
      <c r="M657" s="7"/>
      <c r="R657" s="8"/>
      <c r="S657" s="8"/>
      <c r="U657" s="16"/>
      <c r="AC657" s="16"/>
      <c r="AY657" s="17"/>
      <c r="AZ657" s="17"/>
      <c r="BA657" s="10"/>
      <c r="BB657" s="10"/>
    </row>
    <row r="658" spans="13:54" ht="15.75" customHeight="1" x14ac:dyDescent="0.2">
      <c r="M658" s="7"/>
      <c r="R658" s="8"/>
      <c r="S658" s="8"/>
      <c r="U658" s="16"/>
      <c r="AC658" s="16"/>
      <c r="AY658" s="17"/>
      <c r="AZ658" s="17"/>
      <c r="BA658" s="10"/>
      <c r="BB658" s="10"/>
    </row>
    <row r="659" spans="13:54" ht="15.75" customHeight="1" x14ac:dyDescent="0.2">
      <c r="M659" s="7"/>
      <c r="R659" s="8"/>
      <c r="S659" s="8"/>
      <c r="U659" s="16"/>
      <c r="AC659" s="16"/>
      <c r="AY659" s="17"/>
      <c r="AZ659" s="17"/>
      <c r="BA659" s="10"/>
      <c r="BB659" s="10"/>
    </row>
    <row r="660" spans="13:54" ht="15.75" customHeight="1" x14ac:dyDescent="0.2">
      <c r="M660" s="7"/>
      <c r="R660" s="8"/>
      <c r="S660" s="8"/>
      <c r="U660" s="16"/>
      <c r="AC660" s="16"/>
      <c r="AY660" s="17"/>
      <c r="AZ660" s="17"/>
      <c r="BA660" s="10"/>
      <c r="BB660" s="10"/>
    </row>
    <row r="661" spans="13:54" ht="15.75" customHeight="1" x14ac:dyDescent="0.2">
      <c r="M661" s="7"/>
      <c r="R661" s="8"/>
      <c r="S661" s="8"/>
      <c r="U661" s="16"/>
      <c r="AC661" s="16"/>
      <c r="AY661" s="17"/>
      <c r="AZ661" s="17"/>
      <c r="BA661" s="10"/>
      <c r="BB661" s="10"/>
    </row>
    <row r="662" spans="13:54" ht="15.75" customHeight="1" x14ac:dyDescent="0.2">
      <c r="M662" s="7"/>
      <c r="R662" s="8"/>
      <c r="S662" s="8"/>
      <c r="U662" s="16"/>
      <c r="AC662" s="16"/>
      <c r="AY662" s="17"/>
      <c r="AZ662" s="17"/>
      <c r="BA662" s="10"/>
      <c r="BB662" s="10"/>
    </row>
    <row r="663" spans="13:54" ht="15.75" customHeight="1" x14ac:dyDescent="0.2">
      <c r="M663" s="7"/>
      <c r="R663" s="8"/>
      <c r="S663" s="8"/>
      <c r="U663" s="16"/>
      <c r="AC663" s="16"/>
      <c r="AY663" s="17"/>
      <c r="AZ663" s="17"/>
      <c r="BA663" s="10"/>
      <c r="BB663" s="10"/>
    </row>
    <row r="664" spans="13:54" ht="15.75" customHeight="1" x14ac:dyDescent="0.2">
      <c r="M664" s="7"/>
      <c r="R664" s="8"/>
      <c r="S664" s="8"/>
      <c r="U664" s="16"/>
      <c r="AC664" s="16"/>
      <c r="AY664" s="17"/>
      <c r="AZ664" s="17"/>
      <c r="BA664" s="10"/>
      <c r="BB664" s="10"/>
    </row>
    <row r="665" spans="13:54" ht="15.75" customHeight="1" x14ac:dyDescent="0.2">
      <c r="M665" s="7"/>
      <c r="R665" s="8"/>
      <c r="S665" s="8"/>
      <c r="U665" s="16"/>
      <c r="AC665" s="16"/>
      <c r="AY665" s="17"/>
      <c r="AZ665" s="17"/>
      <c r="BA665" s="10"/>
      <c r="BB665" s="10"/>
    </row>
    <row r="666" spans="13:54" ht="15.75" customHeight="1" x14ac:dyDescent="0.2">
      <c r="M666" s="7"/>
      <c r="R666" s="8"/>
      <c r="S666" s="8"/>
      <c r="U666" s="16"/>
      <c r="AC666" s="16"/>
      <c r="AY666" s="17"/>
      <c r="AZ666" s="17"/>
      <c r="BA666" s="10"/>
      <c r="BB666" s="10"/>
    </row>
    <row r="667" spans="13:54" ht="15.75" customHeight="1" x14ac:dyDescent="0.2">
      <c r="M667" s="7"/>
      <c r="R667" s="8"/>
      <c r="S667" s="8"/>
      <c r="U667" s="16"/>
      <c r="AC667" s="16"/>
      <c r="AY667" s="17"/>
      <c r="AZ667" s="17"/>
      <c r="BA667" s="10"/>
      <c r="BB667" s="10"/>
    </row>
    <row r="668" spans="13:54" ht="15.75" customHeight="1" x14ac:dyDescent="0.2">
      <c r="M668" s="7"/>
      <c r="R668" s="8"/>
      <c r="S668" s="8"/>
      <c r="U668" s="16"/>
      <c r="AC668" s="16"/>
      <c r="AY668" s="17"/>
      <c r="AZ668" s="17"/>
      <c r="BA668" s="10"/>
      <c r="BB668" s="10"/>
    </row>
    <row r="669" spans="13:54" ht="15.75" customHeight="1" x14ac:dyDescent="0.2">
      <c r="M669" s="7"/>
      <c r="R669" s="8"/>
      <c r="S669" s="8"/>
      <c r="U669" s="16"/>
      <c r="AC669" s="16"/>
      <c r="AY669" s="17"/>
      <c r="AZ669" s="17"/>
      <c r="BA669" s="10"/>
      <c r="BB669" s="10"/>
    </row>
    <row r="670" spans="13:54" ht="15.75" customHeight="1" x14ac:dyDescent="0.2">
      <c r="M670" s="7"/>
      <c r="R670" s="8"/>
      <c r="S670" s="8"/>
      <c r="U670" s="16"/>
      <c r="AC670" s="16"/>
      <c r="AY670" s="17"/>
      <c r="AZ670" s="17"/>
      <c r="BA670" s="10"/>
      <c r="BB670" s="10"/>
    </row>
    <row r="671" spans="13:54" ht="15.75" customHeight="1" x14ac:dyDescent="0.2">
      <c r="M671" s="7"/>
      <c r="R671" s="8"/>
      <c r="S671" s="8"/>
      <c r="U671" s="16"/>
      <c r="AC671" s="16"/>
      <c r="AY671" s="17"/>
      <c r="AZ671" s="17"/>
      <c r="BA671" s="10"/>
      <c r="BB671" s="10"/>
    </row>
    <row r="672" spans="13:54" ht="15.75" customHeight="1" x14ac:dyDescent="0.2">
      <c r="M672" s="7"/>
      <c r="R672" s="8"/>
      <c r="S672" s="8"/>
      <c r="U672" s="16"/>
      <c r="AC672" s="16"/>
      <c r="AY672" s="17"/>
      <c r="AZ672" s="17"/>
      <c r="BA672" s="10"/>
      <c r="BB672" s="10"/>
    </row>
    <row r="673" spans="13:54" ht="15.75" customHeight="1" x14ac:dyDescent="0.2">
      <c r="M673" s="7"/>
      <c r="R673" s="8"/>
      <c r="S673" s="8"/>
      <c r="U673" s="16"/>
      <c r="AC673" s="16"/>
      <c r="AY673" s="17"/>
      <c r="AZ673" s="17"/>
      <c r="BA673" s="10"/>
      <c r="BB673" s="10"/>
    </row>
    <row r="674" spans="13:54" ht="15.75" customHeight="1" x14ac:dyDescent="0.2">
      <c r="M674" s="7"/>
      <c r="R674" s="8"/>
      <c r="S674" s="8"/>
      <c r="U674" s="16"/>
      <c r="AC674" s="16"/>
      <c r="AY674" s="17"/>
      <c r="AZ674" s="17"/>
      <c r="BA674" s="10"/>
      <c r="BB674" s="10"/>
    </row>
    <row r="675" spans="13:54" ht="15.75" customHeight="1" x14ac:dyDescent="0.2">
      <c r="M675" s="7"/>
      <c r="R675" s="8"/>
      <c r="S675" s="8"/>
      <c r="U675" s="16"/>
      <c r="AC675" s="16"/>
      <c r="AY675" s="17"/>
      <c r="AZ675" s="17"/>
      <c r="BA675" s="10"/>
      <c r="BB675" s="10"/>
    </row>
    <row r="676" spans="13:54" ht="15.75" customHeight="1" x14ac:dyDescent="0.2">
      <c r="M676" s="7"/>
      <c r="R676" s="8"/>
      <c r="S676" s="8"/>
      <c r="U676" s="16"/>
      <c r="AC676" s="16"/>
      <c r="AY676" s="17"/>
      <c r="AZ676" s="17"/>
      <c r="BA676" s="10"/>
      <c r="BB676" s="10"/>
    </row>
    <row r="677" spans="13:54" ht="15.75" customHeight="1" x14ac:dyDescent="0.2">
      <c r="M677" s="7"/>
      <c r="R677" s="8"/>
      <c r="S677" s="8"/>
      <c r="U677" s="16"/>
      <c r="AC677" s="16"/>
      <c r="AY677" s="17"/>
      <c r="AZ677" s="17"/>
      <c r="BA677" s="10"/>
      <c r="BB677" s="10"/>
    </row>
    <row r="678" spans="13:54" ht="15.75" customHeight="1" x14ac:dyDescent="0.2">
      <c r="M678" s="7"/>
      <c r="R678" s="8"/>
      <c r="S678" s="8"/>
      <c r="U678" s="16"/>
      <c r="AC678" s="16"/>
      <c r="AY678" s="17"/>
      <c r="AZ678" s="17"/>
      <c r="BA678" s="10"/>
      <c r="BB678" s="10"/>
    </row>
    <row r="679" spans="13:54" ht="15.75" customHeight="1" x14ac:dyDescent="0.2">
      <c r="M679" s="7"/>
      <c r="R679" s="8"/>
      <c r="S679" s="8"/>
      <c r="U679" s="16"/>
      <c r="AC679" s="16"/>
      <c r="AY679" s="17"/>
      <c r="AZ679" s="17"/>
      <c r="BA679" s="10"/>
      <c r="BB679" s="10"/>
    </row>
    <row r="680" spans="13:54" ht="15.75" customHeight="1" x14ac:dyDescent="0.2">
      <c r="M680" s="7"/>
      <c r="R680" s="8"/>
      <c r="S680" s="8"/>
      <c r="U680" s="16"/>
      <c r="AC680" s="16"/>
      <c r="AY680" s="17"/>
      <c r="AZ680" s="17"/>
      <c r="BA680" s="10"/>
      <c r="BB680" s="10"/>
    </row>
    <row r="681" spans="13:54" ht="15.75" customHeight="1" x14ac:dyDescent="0.2">
      <c r="M681" s="7"/>
      <c r="R681" s="8"/>
      <c r="S681" s="8"/>
      <c r="U681" s="16"/>
      <c r="AC681" s="16"/>
      <c r="AY681" s="17"/>
      <c r="AZ681" s="17"/>
      <c r="BA681" s="10"/>
      <c r="BB681" s="10"/>
    </row>
    <row r="682" spans="13:54" ht="15.75" customHeight="1" x14ac:dyDescent="0.2">
      <c r="M682" s="7"/>
      <c r="R682" s="8"/>
      <c r="S682" s="8"/>
      <c r="U682" s="16"/>
      <c r="AC682" s="16"/>
      <c r="AY682" s="17"/>
      <c r="AZ682" s="17"/>
      <c r="BA682" s="10"/>
      <c r="BB682" s="10"/>
    </row>
    <row r="683" spans="13:54" ht="15.75" customHeight="1" x14ac:dyDescent="0.2">
      <c r="M683" s="7"/>
      <c r="R683" s="8"/>
      <c r="S683" s="8"/>
      <c r="U683" s="16"/>
      <c r="AC683" s="16"/>
      <c r="AY683" s="17"/>
      <c r="AZ683" s="17"/>
      <c r="BA683" s="10"/>
      <c r="BB683" s="10"/>
    </row>
    <row r="684" spans="13:54" ht="15.75" customHeight="1" x14ac:dyDescent="0.2">
      <c r="M684" s="7"/>
      <c r="R684" s="8"/>
      <c r="S684" s="8"/>
      <c r="U684" s="16"/>
      <c r="AC684" s="16"/>
      <c r="AY684" s="17"/>
      <c r="AZ684" s="17"/>
      <c r="BA684" s="10"/>
      <c r="BB684" s="10"/>
    </row>
    <row r="685" spans="13:54" ht="15.75" customHeight="1" x14ac:dyDescent="0.2">
      <c r="M685" s="7"/>
      <c r="R685" s="8"/>
      <c r="S685" s="8"/>
      <c r="U685" s="16"/>
      <c r="AC685" s="16"/>
      <c r="AY685" s="17"/>
      <c r="AZ685" s="17"/>
      <c r="BA685" s="10"/>
      <c r="BB685" s="10"/>
    </row>
    <row r="686" spans="13:54" ht="15.75" customHeight="1" x14ac:dyDescent="0.2">
      <c r="M686" s="7"/>
      <c r="R686" s="8"/>
      <c r="S686" s="8"/>
      <c r="U686" s="16"/>
      <c r="AC686" s="16"/>
      <c r="AY686" s="17"/>
      <c r="AZ686" s="17"/>
      <c r="BA686" s="10"/>
      <c r="BB686" s="10"/>
    </row>
    <row r="687" spans="13:54" ht="15.75" customHeight="1" x14ac:dyDescent="0.2">
      <c r="M687" s="7"/>
      <c r="R687" s="8"/>
      <c r="S687" s="8"/>
      <c r="U687" s="16"/>
      <c r="AC687" s="16"/>
      <c r="AY687" s="17"/>
      <c r="AZ687" s="17"/>
      <c r="BA687" s="10"/>
      <c r="BB687" s="10"/>
    </row>
    <row r="688" spans="13:54" ht="15.75" customHeight="1" x14ac:dyDescent="0.2">
      <c r="M688" s="7"/>
      <c r="R688" s="8"/>
      <c r="S688" s="8"/>
      <c r="U688" s="16"/>
      <c r="AC688" s="16"/>
      <c r="AY688" s="17"/>
      <c r="AZ688" s="17"/>
      <c r="BA688" s="10"/>
      <c r="BB688" s="10"/>
    </row>
    <row r="689" spans="13:54" ht="15.75" customHeight="1" x14ac:dyDescent="0.2">
      <c r="M689" s="7"/>
      <c r="R689" s="8"/>
      <c r="S689" s="8"/>
      <c r="U689" s="16"/>
      <c r="AC689" s="16"/>
      <c r="AY689" s="17"/>
      <c r="AZ689" s="17"/>
      <c r="BA689" s="10"/>
      <c r="BB689" s="10"/>
    </row>
    <row r="690" spans="13:54" ht="15.75" customHeight="1" x14ac:dyDescent="0.2">
      <c r="M690" s="7"/>
      <c r="R690" s="8"/>
      <c r="S690" s="8"/>
      <c r="U690" s="16"/>
      <c r="AC690" s="16"/>
      <c r="AY690" s="17"/>
      <c r="AZ690" s="17"/>
      <c r="BA690" s="10"/>
      <c r="BB690" s="10"/>
    </row>
    <row r="691" spans="13:54" ht="15.75" customHeight="1" x14ac:dyDescent="0.2">
      <c r="M691" s="7"/>
      <c r="R691" s="8"/>
      <c r="S691" s="8"/>
      <c r="U691" s="16"/>
      <c r="AC691" s="16"/>
      <c r="AY691" s="17"/>
      <c r="AZ691" s="17"/>
      <c r="BA691" s="10"/>
      <c r="BB691" s="10"/>
    </row>
    <row r="692" spans="13:54" ht="15.75" customHeight="1" x14ac:dyDescent="0.2">
      <c r="M692" s="7"/>
      <c r="R692" s="8"/>
      <c r="S692" s="8"/>
      <c r="U692" s="16"/>
      <c r="AC692" s="16"/>
      <c r="AY692" s="17"/>
      <c r="AZ692" s="17"/>
      <c r="BA692" s="10"/>
      <c r="BB692" s="10"/>
    </row>
    <row r="693" spans="13:54" ht="15.75" customHeight="1" x14ac:dyDescent="0.2">
      <c r="M693" s="7"/>
      <c r="R693" s="8"/>
      <c r="S693" s="8"/>
      <c r="U693" s="16"/>
      <c r="AC693" s="16"/>
      <c r="AY693" s="17"/>
      <c r="AZ693" s="17"/>
      <c r="BA693" s="10"/>
      <c r="BB693" s="10"/>
    </row>
    <row r="694" spans="13:54" ht="15.75" customHeight="1" x14ac:dyDescent="0.2">
      <c r="M694" s="7"/>
      <c r="R694" s="8"/>
      <c r="S694" s="8"/>
      <c r="U694" s="16"/>
      <c r="AC694" s="16"/>
      <c r="AY694" s="17"/>
      <c r="AZ694" s="17"/>
      <c r="BA694" s="10"/>
      <c r="BB694" s="10"/>
    </row>
    <row r="695" spans="13:54" ht="15.75" customHeight="1" x14ac:dyDescent="0.2">
      <c r="M695" s="7"/>
      <c r="R695" s="8"/>
      <c r="S695" s="8"/>
      <c r="U695" s="16"/>
      <c r="AC695" s="16"/>
      <c r="AY695" s="17"/>
      <c r="AZ695" s="17"/>
      <c r="BA695" s="10"/>
      <c r="BB695" s="10"/>
    </row>
    <row r="696" spans="13:54" ht="15.75" customHeight="1" x14ac:dyDescent="0.2">
      <c r="M696" s="7"/>
      <c r="R696" s="8"/>
      <c r="S696" s="8"/>
      <c r="U696" s="16"/>
      <c r="AC696" s="16"/>
      <c r="AY696" s="17"/>
      <c r="AZ696" s="17"/>
      <c r="BA696" s="10"/>
      <c r="BB696" s="10"/>
    </row>
    <row r="697" spans="13:54" ht="15.75" customHeight="1" x14ac:dyDescent="0.2">
      <c r="M697" s="7"/>
      <c r="R697" s="8"/>
      <c r="S697" s="8"/>
      <c r="U697" s="16"/>
      <c r="AC697" s="16"/>
      <c r="AY697" s="17"/>
      <c r="AZ697" s="17"/>
      <c r="BA697" s="10"/>
      <c r="BB697" s="10"/>
    </row>
    <row r="698" spans="13:54" ht="15.75" customHeight="1" x14ac:dyDescent="0.2">
      <c r="M698" s="7"/>
      <c r="R698" s="8"/>
      <c r="S698" s="8"/>
      <c r="U698" s="16"/>
      <c r="AC698" s="16"/>
      <c r="AY698" s="17"/>
      <c r="AZ698" s="17"/>
      <c r="BA698" s="10"/>
      <c r="BB698" s="10"/>
    </row>
    <row r="699" spans="13:54" ht="15.75" customHeight="1" x14ac:dyDescent="0.2">
      <c r="M699" s="7"/>
      <c r="R699" s="8"/>
      <c r="S699" s="8"/>
      <c r="U699" s="16"/>
      <c r="AC699" s="16"/>
      <c r="AY699" s="17"/>
      <c r="AZ699" s="17"/>
      <c r="BA699" s="10"/>
      <c r="BB699" s="10"/>
    </row>
    <row r="700" spans="13:54" ht="15.75" customHeight="1" x14ac:dyDescent="0.2">
      <c r="M700" s="7"/>
      <c r="R700" s="8"/>
      <c r="S700" s="8"/>
      <c r="U700" s="16"/>
      <c r="AC700" s="16"/>
      <c r="AY700" s="17"/>
      <c r="AZ700" s="17"/>
      <c r="BA700" s="10"/>
      <c r="BB700" s="10"/>
    </row>
    <row r="701" spans="13:54" ht="15.75" customHeight="1" x14ac:dyDescent="0.2">
      <c r="M701" s="7"/>
      <c r="R701" s="8"/>
      <c r="S701" s="8"/>
      <c r="U701" s="16"/>
      <c r="AC701" s="16"/>
      <c r="AY701" s="17"/>
      <c r="AZ701" s="17"/>
      <c r="BA701" s="10"/>
      <c r="BB701" s="10"/>
    </row>
    <row r="702" spans="13:54" ht="15.75" customHeight="1" x14ac:dyDescent="0.2">
      <c r="M702" s="7"/>
      <c r="R702" s="8"/>
      <c r="S702" s="8"/>
      <c r="U702" s="16"/>
      <c r="AC702" s="16"/>
      <c r="AY702" s="17"/>
      <c r="AZ702" s="17"/>
      <c r="BA702" s="10"/>
      <c r="BB702" s="10"/>
    </row>
    <row r="703" spans="13:54" ht="15.75" customHeight="1" x14ac:dyDescent="0.2">
      <c r="M703" s="7"/>
      <c r="R703" s="8"/>
      <c r="S703" s="8"/>
      <c r="U703" s="16"/>
      <c r="AC703" s="16"/>
      <c r="AY703" s="17"/>
      <c r="AZ703" s="17"/>
      <c r="BA703" s="10"/>
      <c r="BB703" s="10"/>
    </row>
    <row r="704" spans="13:54" ht="15.75" customHeight="1" x14ac:dyDescent="0.2">
      <c r="M704" s="7"/>
      <c r="R704" s="8"/>
      <c r="S704" s="8"/>
      <c r="U704" s="16"/>
      <c r="AC704" s="16"/>
      <c r="AY704" s="17"/>
      <c r="AZ704" s="17"/>
      <c r="BA704" s="10"/>
      <c r="BB704" s="10"/>
    </row>
    <row r="705" spans="13:54" ht="15.75" customHeight="1" x14ac:dyDescent="0.2">
      <c r="M705" s="7"/>
      <c r="R705" s="8"/>
      <c r="S705" s="8"/>
      <c r="U705" s="16"/>
      <c r="AC705" s="16"/>
      <c r="AY705" s="17"/>
      <c r="AZ705" s="17"/>
      <c r="BA705" s="10"/>
      <c r="BB705" s="10"/>
    </row>
    <row r="706" spans="13:54" ht="15.75" customHeight="1" x14ac:dyDescent="0.2">
      <c r="M706" s="7"/>
      <c r="R706" s="8"/>
      <c r="S706" s="8"/>
      <c r="U706" s="16"/>
      <c r="AC706" s="16"/>
      <c r="AY706" s="17"/>
      <c r="AZ706" s="17"/>
      <c r="BA706" s="10"/>
      <c r="BB706" s="10"/>
    </row>
    <row r="707" spans="13:54" ht="15.75" customHeight="1" x14ac:dyDescent="0.2">
      <c r="M707" s="7"/>
      <c r="R707" s="8"/>
      <c r="S707" s="8"/>
      <c r="U707" s="16"/>
      <c r="AC707" s="16"/>
      <c r="AY707" s="17"/>
      <c r="AZ707" s="17"/>
      <c r="BA707" s="10"/>
      <c r="BB707" s="10"/>
    </row>
    <row r="708" spans="13:54" ht="15.75" customHeight="1" x14ac:dyDescent="0.2">
      <c r="M708" s="7"/>
      <c r="R708" s="8"/>
      <c r="S708" s="8"/>
      <c r="U708" s="16"/>
      <c r="AC708" s="16"/>
      <c r="AY708" s="17"/>
      <c r="AZ708" s="17"/>
      <c r="BA708" s="10"/>
      <c r="BB708" s="10"/>
    </row>
    <row r="709" spans="13:54" ht="15.75" customHeight="1" x14ac:dyDescent="0.2">
      <c r="M709" s="7"/>
      <c r="R709" s="8"/>
      <c r="S709" s="8"/>
      <c r="U709" s="16"/>
      <c r="AC709" s="16"/>
      <c r="AY709" s="17"/>
      <c r="AZ709" s="17"/>
      <c r="BA709" s="10"/>
      <c r="BB709" s="10"/>
    </row>
    <row r="710" spans="13:54" ht="15.75" customHeight="1" x14ac:dyDescent="0.2">
      <c r="M710" s="7"/>
      <c r="R710" s="8"/>
      <c r="S710" s="8"/>
      <c r="U710" s="16"/>
      <c r="AC710" s="16"/>
      <c r="AY710" s="17"/>
      <c r="AZ710" s="17"/>
      <c r="BA710" s="10"/>
      <c r="BB710" s="10"/>
    </row>
    <row r="711" spans="13:54" ht="15.75" customHeight="1" x14ac:dyDescent="0.2">
      <c r="M711" s="7"/>
      <c r="R711" s="8"/>
      <c r="S711" s="8"/>
      <c r="U711" s="16"/>
      <c r="AC711" s="16"/>
      <c r="AY711" s="17"/>
      <c r="AZ711" s="17"/>
      <c r="BA711" s="10"/>
      <c r="BB711" s="10"/>
    </row>
    <row r="712" spans="13:54" ht="15.75" customHeight="1" x14ac:dyDescent="0.2">
      <c r="M712" s="7"/>
      <c r="R712" s="8"/>
      <c r="S712" s="8"/>
      <c r="U712" s="16"/>
      <c r="AC712" s="16"/>
      <c r="AY712" s="17"/>
      <c r="AZ712" s="17"/>
      <c r="BA712" s="10"/>
      <c r="BB712" s="10"/>
    </row>
    <row r="713" spans="13:54" ht="15.75" customHeight="1" x14ac:dyDescent="0.2">
      <c r="M713" s="7"/>
      <c r="R713" s="8"/>
      <c r="S713" s="8"/>
      <c r="U713" s="16"/>
      <c r="AC713" s="16"/>
      <c r="AY713" s="17"/>
      <c r="AZ713" s="17"/>
      <c r="BA713" s="10"/>
      <c r="BB713" s="10"/>
    </row>
    <row r="714" spans="13:54" ht="15.75" customHeight="1" x14ac:dyDescent="0.2">
      <c r="M714" s="7"/>
      <c r="R714" s="8"/>
      <c r="S714" s="8"/>
      <c r="U714" s="16"/>
      <c r="AC714" s="16"/>
      <c r="AY714" s="17"/>
      <c r="AZ714" s="17"/>
      <c r="BA714" s="10"/>
      <c r="BB714" s="10"/>
    </row>
    <row r="715" spans="13:54" ht="15.75" customHeight="1" x14ac:dyDescent="0.2">
      <c r="M715" s="7"/>
      <c r="R715" s="8"/>
      <c r="S715" s="8"/>
      <c r="U715" s="16"/>
      <c r="AC715" s="16"/>
      <c r="AY715" s="17"/>
      <c r="AZ715" s="17"/>
      <c r="BA715" s="10"/>
      <c r="BB715" s="10"/>
    </row>
    <row r="716" spans="13:54" ht="15.75" customHeight="1" x14ac:dyDescent="0.2">
      <c r="M716" s="7"/>
      <c r="R716" s="8"/>
      <c r="S716" s="8"/>
      <c r="U716" s="16"/>
      <c r="AC716" s="16"/>
      <c r="AY716" s="17"/>
      <c r="AZ716" s="17"/>
      <c r="BA716" s="10"/>
      <c r="BB716" s="10"/>
    </row>
    <row r="717" spans="13:54" ht="15.75" customHeight="1" x14ac:dyDescent="0.2">
      <c r="M717" s="7"/>
      <c r="R717" s="8"/>
      <c r="S717" s="8"/>
      <c r="U717" s="16"/>
      <c r="AC717" s="16"/>
      <c r="AY717" s="17"/>
      <c r="AZ717" s="17"/>
      <c r="BA717" s="10"/>
      <c r="BB717" s="10"/>
    </row>
    <row r="718" spans="13:54" ht="15.75" customHeight="1" x14ac:dyDescent="0.2">
      <c r="M718" s="7"/>
      <c r="R718" s="8"/>
      <c r="S718" s="8"/>
      <c r="U718" s="16"/>
      <c r="AC718" s="16"/>
      <c r="AY718" s="17"/>
      <c r="AZ718" s="17"/>
      <c r="BA718" s="10"/>
      <c r="BB718" s="10"/>
    </row>
    <row r="719" spans="13:54" ht="15.75" customHeight="1" x14ac:dyDescent="0.2">
      <c r="M719" s="7"/>
      <c r="R719" s="8"/>
      <c r="S719" s="8"/>
      <c r="U719" s="16"/>
      <c r="AC719" s="16"/>
      <c r="AY719" s="17"/>
      <c r="AZ719" s="17"/>
      <c r="BA719" s="10"/>
      <c r="BB719" s="10"/>
    </row>
    <row r="720" spans="13:54" ht="15.75" customHeight="1" x14ac:dyDescent="0.2">
      <c r="M720" s="7"/>
      <c r="R720" s="8"/>
      <c r="S720" s="8"/>
      <c r="U720" s="16"/>
      <c r="AC720" s="16"/>
      <c r="AY720" s="17"/>
      <c r="AZ720" s="17"/>
      <c r="BA720" s="10"/>
      <c r="BB720" s="10"/>
    </row>
    <row r="721" spans="13:54" ht="15.75" customHeight="1" x14ac:dyDescent="0.2">
      <c r="M721" s="7"/>
      <c r="R721" s="8"/>
      <c r="S721" s="8"/>
      <c r="U721" s="16"/>
      <c r="AC721" s="16"/>
      <c r="AY721" s="17"/>
      <c r="AZ721" s="17"/>
      <c r="BA721" s="10"/>
      <c r="BB721" s="10"/>
    </row>
    <row r="722" spans="13:54" ht="15.75" customHeight="1" x14ac:dyDescent="0.2">
      <c r="M722" s="7"/>
      <c r="R722" s="8"/>
      <c r="S722" s="8"/>
      <c r="U722" s="16"/>
      <c r="AC722" s="16"/>
      <c r="AY722" s="17"/>
      <c r="AZ722" s="17"/>
      <c r="BA722" s="10"/>
      <c r="BB722" s="10"/>
    </row>
    <row r="723" spans="13:54" ht="15.75" customHeight="1" x14ac:dyDescent="0.2">
      <c r="M723" s="7"/>
      <c r="R723" s="8"/>
      <c r="S723" s="8"/>
      <c r="U723" s="16"/>
      <c r="AC723" s="16"/>
      <c r="AY723" s="17"/>
      <c r="AZ723" s="17"/>
      <c r="BA723" s="10"/>
      <c r="BB723" s="10"/>
    </row>
    <row r="724" spans="13:54" ht="15.75" customHeight="1" x14ac:dyDescent="0.2">
      <c r="M724" s="7"/>
      <c r="R724" s="8"/>
      <c r="S724" s="8"/>
      <c r="U724" s="16"/>
      <c r="AC724" s="16"/>
      <c r="AY724" s="17"/>
      <c r="AZ724" s="17"/>
      <c r="BA724" s="10"/>
      <c r="BB724" s="10"/>
    </row>
    <row r="725" spans="13:54" ht="15.75" customHeight="1" x14ac:dyDescent="0.2">
      <c r="M725" s="7"/>
      <c r="R725" s="8"/>
      <c r="S725" s="8"/>
      <c r="U725" s="16"/>
      <c r="AC725" s="16"/>
      <c r="AY725" s="17"/>
      <c r="AZ725" s="17"/>
      <c r="BA725" s="10"/>
      <c r="BB725" s="10"/>
    </row>
    <row r="726" spans="13:54" ht="15.75" customHeight="1" x14ac:dyDescent="0.2">
      <c r="M726" s="7"/>
      <c r="R726" s="8"/>
      <c r="S726" s="8"/>
      <c r="U726" s="16"/>
      <c r="AC726" s="16"/>
      <c r="AY726" s="17"/>
      <c r="AZ726" s="17"/>
      <c r="BA726" s="10"/>
      <c r="BB726" s="10"/>
    </row>
    <row r="727" spans="13:54" ht="15.75" customHeight="1" x14ac:dyDescent="0.2">
      <c r="M727" s="7"/>
      <c r="R727" s="8"/>
      <c r="S727" s="8"/>
      <c r="U727" s="16"/>
      <c r="AC727" s="16"/>
      <c r="AY727" s="17"/>
      <c r="AZ727" s="17"/>
      <c r="BA727" s="10"/>
      <c r="BB727" s="10"/>
    </row>
    <row r="728" spans="13:54" ht="15.75" customHeight="1" x14ac:dyDescent="0.2">
      <c r="M728" s="7"/>
      <c r="R728" s="8"/>
      <c r="S728" s="8"/>
      <c r="U728" s="16"/>
      <c r="AC728" s="16"/>
      <c r="AY728" s="17"/>
      <c r="AZ728" s="17"/>
      <c r="BA728" s="10"/>
      <c r="BB728" s="10"/>
    </row>
    <row r="729" spans="13:54" ht="15.75" customHeight="1" x14ac:dyDescent="0.2">
      <c r="M729" s="7"/>
      <c r="R729" s="8"/>
      <c r="S729" s="8"/>
      <c r="U729" s="16"/>
      <c r="AC729" s="16"/>
      <c r="AY729" s="17"/>
      <c r="AZ729" s="17"/>
      <c r="BA729" s="10"/>
      <c r="BB729" s="10"/>
    </row>
    <row r="730" spans="13:54" ht="15.75" customHeight="1" x14ac:dyDescent="0.2">
      <c r="M730" s="7"/>
      <c r="R730" s="8"/>
      <c r="S730" s="8"/>
      <c r="U730" s="16"/>
      <c r="AC730" s="16"/>
      <c r="AY730" s="17"/>
      <c r="AZ730" s="17"/>
      <c r="BA730" s="10"/>
      <c r="BB730" s="10"/>
    </row>
    <row r="731" spans="13:54" ht="15.75" customHeight="1" x14ac:dyDescent="0.2">
      <c r="M731" s="7"/>
      <c r="R731" s="8"/>
      <c r="S731" s="8"/>
      <c r="U731" s="16"/>
      <c r="AC731" s="16"/>
      <c r="AY731" s="17"/>
      <c r="AZ731" s="17"/>
      <c r="BA731" s="10"/>
      <c r="BB731" s="10"/>
    </row>
    <row r="732" spans="13:54" ht="15.75" customHeight="1" x14ac:dyDescent="0.2">
      <c r="M732" s="7"/>
      <c r="R732" s="8"/>
      <c r="S732" s="8"/>
      <c r="U732" s="16"/>
      <c r="AC732" s="16"/>
      <c r="AY732" s="17"/>
      <c r="AZ732" s="17"/>
      <c r="BA732" s="10"/>
      <c r="BB732" s="10"/>
    </row>
    <row r="733" spans="13:54" ht="15.75" customHeight="1" x14ac:dyDescent="0.2">
      <c r="M733" s="7"/>
      <c r="R733" s="8"/>
      <c r="S733" s="8"/>
      <c r="U733" s="16"/>
      <c r="AC733" s="16"/>
      <c r="AY733" s="17"/>
      <c r="AZ733" s="17"/>
      <c r="BA733" s="10"/>
      <c r="BB733" s="10"/>
    </row>
    <row r="734" spans="13:54" ht="15.75" customHeight="1" x14ac:dyDescent="0.2">
      <c r="M734" s="7"/>
      <c r="R734" s="8"/>
      <c r="S734" s="8"/>
      <c r="U734" s="16"/>
      <c r="AC734" s="16"/>
      <c r="AY734" s="17"/>
      <c r="AZ734" s="17"/>
      <c r="BA734" s="10"/>
      <c r="BB734" s="10"/>
    </row>
    <row r="735" spans="13:54" ht="15.75" customHeight="1" x14ac:dyDescent="0.2">
      <c r="M735" s="7"/>
      <c r="R735" s="8"/>
      <c r="S735" s="8"/>
      <c r="U735" s="16"/>
      <c r="AC735" s="16"/>
      <c r="AY735" s="17"/>
      <c r="AZ735" s="17"/>
      <c r="BA735" s="10"/>
      <c r="BB735" s="10"/>
    </row>
    <row r="736" spans="13:54" ht="15.75" customHeight="1" x14ac:dyDescent="0.2">
      <c r="M736" s="7"/>
      <c r="R736" s="8"/>
      <c r="S736" s="8"/>
      <c r="U736" s="16"/>
      <c r="AC736" s="16"/>
      <c r="AY736" s="17"/>
      <c r="AZ736" s="17"/>
      <c r="BA736" s="10"/>
      <c r="BB736" s="10"/>
    </row>
    <row r="737" spans="13:54" ht="15.75" customHeight="1" x14ac:dyDescent="0.2">
      <c r="M737" s="7"/>
      <c r="R737" s="8"/>
      <c r="S737" s="8"/>
      <c r="U737" s="16"/>
      <c r="AC737" s="16"/>
      <c r="AY737" s="17"/>
      <c r="AZ737" s="17"/>
      <c r="BA737" s="10"/>
      <c r="BB737" s="10"/>
    </row>
    <row r="738" spans="13:54" ht="15.75" customHeight="1" x14ac:dyDescent="0.2">
      <c r="M738" s="7"/>
      <c r="R738" s="8"/>
      <c r="S738" s="8"/>
      <c r="U738" s="16"/>
      <c r="AC738" s="16"/>
      <c r="AY738" s="17"/>
      <c r="AZ738" s="17"/>
      <c r="BA738" s="10"/>
      <c r="BB738" s="10"/>
    </row>
    <row r="739" spans="13:54" ht="15.75" customHeight="1" x14ac:dyDescent="0.2">
      <c r="M739" s="7"/>
      <c r="R739" s="8"/>
      <c r="S739" s="8"/>
      <c r="U739" s="16"/>
      <c r="AC739" s="16"/>
      <c r="AY739" s="17"/>
      <c r="AZ739" s="17"/>
      <c r="BA739" s="10"/>
      <c r="BB739" s="10"/>
    </row>
    <row r="740" spans="13:54" ht="15.75" customHeight="1" x14ac:dyDescent="0.2">
      <c r="M740" s="7"/>
      <c r="R740" s="8"/>
      <c r="S740" s="8"/>
      <c r="U740" s="16"/>
      <c r="AC740" s="16"/>
      <c r="AY740" s="17"/>
      <c r="AZ740" s="17"/>
      <c r="BA740" s="10"/>
      <c r="BB740" s="10"/>
    </row>
    <row r="741" spans="13:54" ht="15.75" customHeight="1" x14ac:dyDescent="0.2">
      <c r="M741" s="7"/>
      <c r="R741" s="8"/>
      <c r="S741" s="8"/>
      <c r="U741" s="16"/>
      <c r="AC741" s="16"/>
      <c r="AY741" s="17"/>
      <c r="AZ741" s="17"/>
      <c r="BA741" s="10"/>
      <c r="BB741" s="10"/>
    </row>
    <row r="742" spans="13:54" ht="15.75" customHeight="1" x14ac:dyDescent="0.2">
      <c r="M742" s="7"/>
      <c r="R742" s="8"/>
      <c r="S742" s="8"/>
      <c r="U742" s="16"/>
      <c r="AC742" s="16"/>
      <c r="AY742" s="17"/>
      <c r="AZ742" s="17"/>
      <c r="BA742" s="10"/>
      <c r="BB742" s="10"/>
    </row>
    <row r="743" spans="13:54" ht="15.75" customHeight="1" x14ac:dyDescent="0.2">
      <c r="M743" s="7"/>
      <c r="R743" s="8"/>
      <c r="S743" s="8"/>
      <c r="U743" s="16"/>
      <c r="AC743" s="16"/>
      <c r="AY743" s="17"/>
      <c r="AZ743" s="17"/>
      <c r="BA743" s="10"/>
      <c r="BB743" s="10"/>
    </row>
    <row r="744" spans="13:54" ht="15.75" customHeight="1" x14ac:dyDescent="0.2">
      <c r="M744" s="7"/>
      <c r="R744" s="8"/>
      <c r="S744" s="8"/>
      <c r="U744" s="16"/>
      <c r="AC744" s="16"/>
      <c r="AY744" s="17"/>
      <c r="AZ744" s="17"/>
      <c r="BA744" s="10"/>
      <c r="BB744" s="10"/>
    </row>
    <row r="745" spans="13:54" ht="15.75" customHeight="1" x14ac:dyDescent="0.2">
      <c r="M745" s="7"/>
      <c r="R745" s="8"/>
      <c r="S745" s="8"/>
      <c r="U745" s="16"/>
      <c r="AC745" s="16"/>
      <c r="AY745" s="17"/>
      <c r="AZ745" s="17"/>
      <c r="BA745" s="10"/>
      <c r="BB745" s="10"/>
    </row>
    <row r="746" spans="13:54" ht="15.75" customHeight="1" x14ac:dyDescent="0.2">
      <c r="M746" s="7"/>
      <c r="R746" s="8"/>
      <c r="S746" s="8"/>
      <c r="U746" s="16"/>
      <c r="AC746" s="16"/>
      <c r="AY746" s="17"/>
      <c r="AZ746" s="17"/>
      <c r="BA746" s="10"/>
      <c r="BB746" s="10"/>
    </row>
    <row r="747" spans="13:54" ht="15.75" customHeight="1" x14ac:dyDescent="0.2">
      <c r="M747" s="7"/>
      <c r="R747" s="8"/>
      <c r="S747" s="8"/>
      <c r="U747" s="16"/>
      <c r="AC747" s="16"/>
      <c r="AY747" s="17"/>
      <c r="AZ747" s="17"/>
      <c r="BA747" s="10"/>
      <c r="BB747" s="10"/>
    </row>
    <row r="748" spans="13:54" ht="15.75" customHeight="1" x14ac:dyDescent="0.2">
      <c r="M748" s="7"/>
      <c r="R748" s="8"/>
      <c r="S748" s="8"/>
      <c r="U748" s="16"/>
      <c r="AC748" s="16"/>
      <c r="AY748" s="17"/>
      <c r="AZ748" s="17"/>
      <c r="BA748" s="10"/>
      <c r="BB748" s="10"/>
    </row>
    <row r="749" spans="13:54" ht="15.75" customHeight="1" x14ac:dyDescent="0.2">
      <c r="M749" s="7"/>
      <c r="R749" s="8"/>
      <c r="S749" s="8"/>
      <c r="U749" s="16"/>
      <c r="AC749" s="16"/>
      <c r="AY749" s="17"/>
      <c r="AZ749" s="17"/>
      <c r="BA749" s="10"/>
      <c r="BB749" s="10"/>
    </row>
    <row r="750" spans="13:54" ht="15.75" customHeight="1" x14ac:dyDescent="0.2">
      <c r="M750" s="7"/>
      <c r="R750" s="8"/>
      <c r="S750" s="8"/>
      <c r="U750" s="16"/>
      <c r="AC750" s="16"/>
      <c r="AY750" s="17"/>
      <c r="AZ750" s="17"/>
      <c r="BA750" s="10"/>
      <c r="BB750" s="10"/>
    </row>
    <row r="751" spans="13:54" ht="15.75" customHeight="1" x14ac:dyDescent="0.2">
      <c r="M751" s="7"/>
      <c r="R751" s="8"/>
      <c r="S751" s="8"/>
      <c r="U751" s="16"/>
      <c r="AC751" s="16"/>
      <c r="AY751" s="17"/>
      <c r="AZ751" s="17"/>
      <c r="BA751" s="10"/>
      <c r="BB751" s="10"/>
    </row>
    <row r="752" spans="13:54" ht="15.75" customHeight="1" x14ac:dyDescent="0.2">
      <c r="M752" s="7"/>
      <c r="R752" s="8"/>
      <c r="S752" s="8"/>
      <c r="U752" s="16"/>
      <c r="AC752" s="16"/>
      <c r="AY752" s="17"/>
      <c r="AZ752" s="17"/>
      <c r="BA752" s="10"/>
      <c r="BB752" s="10"/>
    </row>
    <row r="753" spans="13:54" ht="15.75" customHeight="1" x14ac:dyDescent="0.2">
      <c r="M753" s="7"/>
      <c r="R753" s="8"/>
      <c r="S753" s="8"/>
      <c r="U753" s="16"/>
      <c r="AC753" s="16"/>
      <c r="AY753" s="17"/>
      <c r="AZ753" s="17"/>
      <c r="BA753" s="10"/>
      <c r="BB753" s="10"/>
    </row>
    <row r="754" spans="13:54" ht="15.75" customHeight="1" x14ac:dyDescent="0.2">
      <c r="M754" s="7"/>
      <c r="R754" s="8"/>
      <c r="S754" s="8"/>
      <c r="U754" s="16"/>
      <c r="AC754" s="16"/>
      <c r="AY754" s="17"/>
      <c r="AZ754" s="17"/>
      <c r="BA754" s="10"/>
      <c r="BB754" s="10"/>
    </row>
    <row r="755" spans="13:54" ht="15.75" customHeight="1" x14ac:dyDescent="0.2">
      <c r="M755" s="7"/>
      <c r="R755" s="8"/>
      <c r="S755" s="8"/>
      <c r="U755" s="16"/>
      <c r="AC755" s="16"/>
      <c r="AY755" s="17"/>
      <c r="AZ755" s="17"/>
      <c r="BA755" s="10"/>
      <c r="BB755" s="10"/>
    </row>
    <row r="756" spans="13:54" ht="15.75" customHeight="1" x14ac:dyDescent="0.2">
      <c r="M756" s="7"/>
      <c r="R756" s="8"/>
      <c r="S756" s="8"/>
      <c r="U756" s="16"/>
      <c r="AC756" s="16"/>
      <c r="AY756" s="17"/>
      <c r="AZ756" s="17"/>
      <c r="BA756" s="10"/>
      <c r="BB756" s="10"/>
    </row>
    <row r="757" spans="13:54" ht="15.75" customHeight="1" x14ac:dyDescent="0.2">
      <c r="M757" s="7"/>
      <c r="R757" s="8"/>
      <c r="S757" s="8"/>
      <c r="U757" s="16"/>
      <c r="AC757" s="16"/>
      <c r="AY757" s="17"/>
      <c r="AZ757" s="17"/>
      <c r="BA757" s="10"/>
      <c r="BB757" s="10"/>
    </row>
    <row r="758" spans="13:54" ht="15.75" customHeight="1" x14ac:dyDescent="0.2">
      <c r="M758" s="7"/>
      <c r="R758" s="8"/>
      <c r="S758" s="8"/>
      <c r="U758" s="16"/>
      <c r="AC758" s="16"/>
      <c r="AY758" s="17"/>
      <c r="AZ758" s="17"/>
      <c r="BA758" s="10"/>
      <c r="BB758" s="10"/>
    </row>
    <row r="759" spans="13:54" ht="15.75" customHeight="1" x14ac:dyDescent="0.2">
      <c r="M759" s="7"/>
      <c r="R759" s="8"/>
      <c r="S759" s="8"/>
      <c r="U759" s="16"/>
      <c r="AC759" s="16"/>
      <c r="AY759" s="17"/>
      <c r="AZ759" s="17"/>
      <c r="BA759" s="10"/>
      <c r="BB759" s="10"/>
    </row>
    <row r="760" spans="13:54" ht="15.75" customHeight="1" x14ac:dyDescent="0.2">
      <c r="M760" s="7"/>
      <c r="R760" s="8"/>
      <c r="S760" s="8"/>
      <c r="U760" s="16"/>
      <c r="AC760" s="16"/>
      <c r="AY760" s="17"/>
      <c r="AZ760" s="17"/>
      <c r="BA760" s="10"/>
      <c r="BB760" s="10"/>
    </row>
    <row r="761" spans="13:54" ht="15.75" customHeight="1" x14ac:dyDescent="0.2">
      <c r="M761" s="7"/>
      <c r="R761" s="8"/>
      <c r="S761" s="8"/>
      <c r="U761" s="16"/>
      <c r="AC761" s="16"/>
      <c r="AY761" s="17"/>
      <c r="AZ761" s="17"/>
      <c r="BA761" s="10"/>
      <c r="BB761" s="10"/>
    </row>
    <row r="762" spans="13:54" ht="15.75" customHeight="1" x14ac:dyDescent="0.2">
      <c r="M762" s="7"/>
      <c r="R762" s="8"/>
      <c r="S762" s="8"/>
      <c r="U762" s="16"/>
      <c r="AC762" s="16"/>
      <c r="AY762" s="17"/>
      <c r="AZ762" s="17"/>
      <c r="BA762" s="10"/>
      <c r="BB762" s="10"/>
    </row>
    <row r="763" spans="13:54" ht="15.75" customHeight="1" x14ac:dyDescent="0.2">
      <c r="M763" s="7"/>
      <c r="R763" s="8"/>
      <c r="S763" s="8"/>
      <c r="U763" s="16"/>
      <c r="AC763" s="16"/>
      <c r="AY763" s="17"/>
      <c r="AZ763" s="17"/>
      <c r="BA763" s="10"/>
      <c r="BB763" s="10"/>
    </row>
    <row r="764" spans="13:54" ht="15.75" customHeight="1" x14ac:dyDescent="0.2">
      <c r="M764" s="7"/>
      <c r="R764" s="8"/>
      <c r="S764" s="8"/>
      <c r="U764" s="16"/>
      <c r="AC764" s="16"/>
      <c r="AY764" s="17"/>
      <c r="AZ764" s="17"/>
      <c r="BA764" s="10"/>
      <c r="BB764" s="10"/>
    </row>
    <row r="765" spans="13:54" ht="15.75" customHeight="1" x14ac:dyDescent="0.2">
      <c r="M765" s="7"/>
      <c r="R765" s="8"/>
      <c r="S765" s="8"/>
      <c r="U765" s="16"/>
      <c r="AC765" s="16"/>
      <c r="AY765" s="17"/>
      <c r="AZ765" s="17"/>
      <c r="BA765" s="10"/>
      <c r="BB765" s="10"/>
    </row>
    <row r="766" spans="13:54" ht="15.75" customHeight="1" x14ac:dyDescent="0.2">
      <c r="M766" s="7"/>
      <c r="R766" s="8"/>
      <c r="S766" s="8"/>
      <c r="U766" s="16"/>
      <c r="AC766" s="16"/>
      <c r="AY766" s="17"/>
      <c r="AZ766" s="17"/>
      <c r="BA766" s="10"/>
      <c r="BB766" s="10"/>
    </row>
    <row r="767" spans="13:54" ht="15.75" customHeight="1" x14ac:dyDescent="0.2">
      <c r="M767" s="7"/>
      <c r="R767" s="8"/>
      <c r="S767" s="8"/>
      <c r="U767" s="16"/>
      <c r="AC767" s="16"/>
      <c r="AY767" s="17"/>
      <c r="AZ767" s="17"/>
      <c r="BA767" s="10"/>
      <c r="BB767" s="10"/>
    </row>
    <row r="768" spans="13:54" ht="15.75" customHeight="1" x14ac:dyDescent="0.2">
      <c r="M768" s="7"/>
      <c r="R768" s="8"/>
      <c r="S768" s="8"/>
      <c r="U768" s="16"/>
      <c r="AC768" s="16"/>
      <c r="AY768" s="17"/>
      <c r="AZ768" s="17"/>
      <c r="BA768" s="10"/>
      <c r="BB768" s="10"/>
    </row>
    <row r="769" spans="13:54" ht="15.75" customHeight="1" x14ac:dyDescent="0.2">
      <c r="M769" s="7"/>
      <c r="R769" s="8"/>
      <c r="S769" s="8"/>
      <c r="U769" s="16"/>
      <c r="AC769" s="16"/>
      <c r="AY769" s="17"/>
      <c r="AZ769" s="17"/>
      <c r="BA769" s="10"/>
      <c r="BB769" s="10"/>
    </row>
    <row r="770" spans="13:54" ht="15.75" customHeight="1" x14ac:dyDescent="0.2">
      <c r="M770" s="7"/>
      <c r="R770" s="8"/>
      <c r="S770" s="8"/>
      <c r="U770" s="16"/>
      <c r="AC770" s="16"/>
      <c r="AY770" s="17"/>
      <c r="AZ770" s="17"/>
      <c r="BA770" s="10"/>
      <c r="BB770" s="10"/>
    </row>
    <row r="771" spans="13:54" ht="15.75" customHeight="1" x14ac:dyDescent="0.2">
      <c r="M771" s="7"/>
      <c r="R771" s="8"/>
      <c r="S771" s="8"/>
      <c r="U771" s="16"/>
      <c r="AC771" s="16"/>
      <c r="AY771" s="17"/>
      <c r="AZ771" s="17"/>
      <c r="BA771" s="10"/>
      <c r="BB771" s="10"/>
    </row>
    <row r="772" spans="13:54" ht="15.75" customHeight="1" x14ac:dyDescent="0.2">
      <c r="M772" s="7"/>
      <c r="R772" s="8"/>
      <c r="S772" s="8"/>
      <c r="U772" s="16"/>
      <c r="AC772" s="16"/>
      <c r="AY772" s="17"/>
      <c r="AZ772" s="17"/>
      <c r="BA772" s="10"/>
      <c r="BB772" s="10"/>
    </row>
    <row r="773" spans="13:54" ht="15.75" customHeight="1" x14ac:dyDescent="0.2">
      <c r="M773" s="7"/>
      <c r="R773" s="8"/>
      <c r="S773" s="8"/>
      <c r="U773" s="16"/>
      <c r="AC773" s="16"/>
      <c r="AY773" s="17"/>
      <c r="AZ773" s="17"/>
      <c r="BA773" s="10"/>
      <c r="BB773" s="10"/>
    </row>
    <row r="774" spans="13:54" ht="15.75" customHeight="1" x14ac:dyDescent="0.2">
      <c r="M774" s="7"/>
      <c r="R774" s="8"/>
      <c r="S774" s="8"/>
      <c r="U774" s="16"/>
      <c r="AC774" s="16"/>
      <c r="AY774" s="17"/>
      <c r="AZ774" s="17"/>
      <c r="BA774" s="10"/>
      <c r="BB774" s="10"/>
    </row>
    <row r="775" spans="13:54" ht="15.75" customHeight="1" x14ac:dyDescent="0.2">
      <c r="M775" s="7"/>
      <c r="R775" s="8"/>
      <c r="S775" s="8"/>
      <c r="U775" s="16"/>
      <c r="AC775" s="16"/>
      <c r="AY775" s="17"/>
      <c r="AZ775" s="17"/>
      <c r="BA775" s="10"/>
      <c r="BB775" s="10"/>
    </row>
    <row r="776" spans="13:54" ht="15.75" customHeight="1" x14ac:dyDescent="0.2">
      <c r="M776" s="7"/>
      <c r="R776" s="8"/>
      <c r="S776" s="8"/>
      <c r="U776" s="16"/>
      <c r="AC776" s="16"/>
      <c r="AY776" s="17"/>
      <c r="AZ776" s="17"/>
      <c r="BA776" s="10"/>
      <c r="BB776" s="10"/>
    </row>
    <row r="777" spans="13:54" ht="15.75" customHeight="1" x14ac:dyDescent="0.2">
      <c r="M777" s="7"/>
      <c r="R777" s="8"/>
      <c r="S777" s="8"/>
      <c r="U777" s="16"/>
      <c r="AC777" s="16"/>
      <c r="AY777" s="17"/>
      <c r="AZ777" s="17"/>
      <c r="BA777" s="10"/>
      <c r="BB777" s="10"/>
    </row>
    <row r="778" spans="13:54" ht="15.75" customHeight="1" x14ac:dyDescent="0.2">
      <c r="M778" s="7"/>
      <c r="R778" s="8"/>
      <c r="S778" s="8"/>
      <c r="U778" s="16"/>
      <c r="AC778" s="16"/>
      <c r="AY778" s="17"/>
      <c r="AZ778" s="17"/>
      <c r="BA778" s="10"/>
      <c r="BB778" s="10"/>
    </row>
    <row r="779" spans="13:54" ht="15.75" customHeight="1" x14ac:dyDescent="0.2">
      <c r="M779" s="7"/>
      <c r="R779" s="8"/>
      <c r="S779" s="8"/>
      <c r="U779" s="16"/>
      <c r="AC779" s="16"/>
      <c r="AY779" s="17"/>
      <c r="AZ779" s="17"/>
      <c r="BA779" s="10"/>
      <c r="BB779" s="10"/>
    </row>
    <row r="780" spans="13:54" ht="15.75" customHeight="1" x14ac:dyDescent="0.2">
      <c r="M780" s="7"/>
      <c r="R780" s="8"/>
      <c r="S780" s="8"/>
      <c r="U780" s="16"/>
      <c r="AC780" s="16"/>
      <c r="AY780" s="17"/>
      <c r="AZ780" s="17"/>
      <c r="BA780" s="10"/>
      <c r="BB780" s="10"/>
    </row>
    <row r="781" spans="13:54" ht="15.75" customHeight="1" x14ac:dyDescent="0.2">
      <c r="M781" s="7"/>
      <c r="R781" s="8"/>
      <c r="S781" s="8"/>
      <c r="U781" s="16"/>
      <c r="AC781" s="16"/>
      <c r="AY781" s="17"/>
      <c r="AZ781" s="17"/>
      <c r="BA781" s="10"/>
      <c r="BB781" s="10"/>
    </row>
    <row r="782" spans="13:54" ht="15.75" customHeight="1" x14ac:dyDescent="0.2">
      <c r="M782" s="7"/>
      <c r="R782" s="8"/>
      <c r="S782" s="8"/>
      <c r="U782" s="16"/>
      <c r="AC782" s="16"/>
      <c r="AY782" s="17"/>
      <c r="AZ782" s="17"/>
      <c r="BA782" s="10"/>
      <c r="BB782" s="10"/>
    </row>
    <row r="783" spans="13:54" ht="15.75" customHeight="1" x14ac:dyDescent="0.2">
      <c r="M783" s="7"/>
      <c r="R783" s="8"/>
      <c r="S783" s="8"/>
      <c r="U783" s="16"/>
      <c r="AC783" s="16"/>
      <c r="AY783" s="17"/>
      <c r="AZ783" s="17"/>
      <c r="BA783" s="10"/>
      <c r="BB783" s="10"/>
    </row>
    <row r="784" spans="13:54" ht="15.75" customHeight="1" x14ac:dyDescent="0.2">
      <c r="M784" s="7"/>
      <c r="R784" s="8"/>
      <c r="S784" s="8"/>
      <c r="U784" s="16"/>
      <c r="AC784" s="16"/>
      <c r="AY784" s="17"/>
      <c r="AZ784" s="17"/>
      <c r="BA784" s="10"/>
      <c r="BB784" s="10"/>
    </row>
    <row r="785" spans="13:54" ht="15.75" customHeight="1" x14ac:dyDescent="0.2">
      <c r="M785" s="7"/>
      <c r="R785" s="8"/>
      <c r="S785" s="8"/>
      <c r="U785" s="16"/>
      <c r="AC785" s="16"/>
      <c r="AY785" s="17"/>
      <c r="AZ785" s="17"/>
      <c r="BA785" s="10"/>
      <c r="BB785" s="10"/>
    </row>
    <row r="786" spans="13:54" ht="15.75" customHeight="1" x14ac:dyDescent="0.2">
      <c r="M786" s="7"/>
      <c r="R786" s="8"/>
      <c r="S786" s="8"/>
      <c r="U786" s="16"/>
      <c r="AC786" s="16"/>
      <c r="AY786" s="17"/>
      <c r="AZ786" s="17"/>
      <c r="BA786" s="10"/>
      <c r="BB786" s="10"/>
    </row>
    <row r="787" spans="13:54" ht="15.75" customHeight="1" x14ac:dyDescent="0.2">
      <c r="M787" s="7"/>
      <c r="R787" s="8"/>
      <c r="S787" s="8"/>
      <c r="U787" s="16"/>
      <c r="AC787" s="16"/>
      <c r="AY787" s="17"/>
      <c r="AZ787" s="17"/>
      <c r="BA787" s="10"/>
      <c r="BB787" s="10"/>
    </row>
    <row r="788" spans="13:54" ht="15.75" customHeight="1" x14ac:dyDescent="0.2">
      <c r="M788" s="7"/>
      <c r="R788" s="8"/>
      <c r="S788" s="8"/>
      <c r="U788" s="16"/>
      <c r="AC788" s="16"/>
      <c r="AY788" s="17"/>
      <c r="AZ788" s="17"/>
      <c r="BA788" s="10"/>
      <c r="BB788" s="10"/>
    </row>
    <row r="789" spans="13:54" ht="15.75" customHeight="1" x14ac:dyDescent="0.2">
      <c r="M789" s="7"/>
      <c r="R789" s="8"/>
      <c r="S789" s="8"/>
      <c r="U789" s="16"/>
      <c r="AC789" s="16"/>
      <c r="AY789" s="17"/>
      <c r="AZ789" s="17"/>
      <c r="BA789" s="10"/>
      <c r="BB789" s="10"/>
    </row>
    <row r="790" spans="13:54" ht="15.75" customHeight="1" x14ac:dyDescent="0.2">
      <c r="M790" s="7"/>
      <c r="R790" s="8"/>
      <c r="S790" s="8"/>
      <c r="U790" s="16"/>
      <c r="AC790" s="16"/>
      <c r="AY790" s="17"/>
      <c r="AZ790" s="17"/>
      <c r="BA790" s="10"/>
      <c r="BB790" s="10"/>
    </row>
    <row r="791" spans="13:54" ht="15.75" customHeight="1" x14ac:dyDescent="0.2">
      <c r="M791" s="7"/>
      <c r="R791" s="8"/>
      <c r="S791" s="8"/>
      <c r="U791" s="16"/>
      <c r="AC791" s="16"/>
      <c r="AY791" s="17"/>
      <c r="AZ791" s="17"/>
      <c r="BA791" s="10"/>
      <c r="BB791" s="10"/>
    </row>
    <row r="792" spans="13:54" ht="15.75" customHeight="1" x14ac:dyDescent="0.2">
      <c r="M792" s="7"/>
      <c r="R792" s="8"/>
      <c r="S792" s="8"/>
      <c r="U792" s="16"/>
      <c r="AC792" s="16"/>
      <c r="AY792" s="17"/>
      <c r="AZ792" s="17"/>
      <c r="BA792" s="10"/>
      <c r="BB792" s="10"/>
    </row>
    <row r="793" spans="13:54" ht="15.75" customHeight="1" x14ac:dyDescent="0.2">
      <c r="M793" s="7"/>
      <c r="R793" s="8"/>
      <c r="S793" s="8"/>
      <c r="U793" s="16"/>
      <c r="AC793" s="16"/>
      <c r="AY793" s="17"/>
      <c r="AZ793" s="17"/>
      <c r="BA793" s="10"/>
      <c r="BB793" s="10"/>
    </row>
    <row r="794" spans="13:54" ht="15.75" customHeight="1" x14ac:dyDescent="0.2">
      <c r="M794" s="7"/>
      <c r="R794" s="8"/>
      <c r="S794" s="8"/>
      <c r="U794" s="16"/>
      <c r="AC794" s="16"/>
      <c r="AY794" s="17"/>
      <c r="AZ794" s="17"/>
      <c r="BA794" s="10"/>
      <c r="BB794" s="10"/>
    </row>
    <row r="795" spans="13:54" ht="15.75" customHeight="1" x14ac:dyDescent="0.2">
      <c r="M795" s="7"/>
      <c r="R795" s="8"/>
      <c r="S795" s="8"/>
      <c r="U795" s="16"/>
      <c r="AC795" s="16"/>
      <c r="AY795" s="17"/>
      <c r="AZ795" s="17"/>
      <c r="BA795" s="10"/>
      <c r="BB795" s="10"/>
    </row>
    <row r="796" spans="13:54" ht="15.75" customHeight="1" x14ac:dyDescent="0.2">
      <c r="M796" s="7"/>
      <c r="R796" s="8"/>
      <c r="S796" s="8"/>
      <c r="U796" s="16"/>
      <c r="AC796" s="16"/>
      <c r="AY796" s="17"/>
      <c r="AZ796" s="17"/>
      <c r="BA796" s="10"/>
      <c r="BB796" s="10"/>
    </row>
    <row r="797" spans="13:54" ht="15.75" customHeight="1" x14ac:dyDescent="0.2">
      <c r="M797" s="7"/>
      <c r="R797" s="8"/>
      <c r="S797" s="8"/>
      <c r="U797" s="16"/>
      <c r="AC797" s="16"/>
      <c r="AY797" s="17"/>
      <c r="AZ797" s="17"/>
      <c r="BA797" s="10"/>
      <c r="BB797" s="10"/>
    </row>
    <row r="798" spans="13:54" ht="15.75" customHeight="1" x14ac:dyDescent="0.2">
      <c r="M798" s="7"/>
      <c r="R798" s="8"/>
      <c r="S798" s="8"/>
      <c r="U798" s="16"/>
      <c r="AC798" s="16"/>
      <c r="AY798" s="17"/>
      <c r="AZ798" s="17"/>
      <c r="BA798" s="10"/>
      <c r="BB798" s="10"/>
    </row>
    <row r="799" spans="13:54" ht="15.75" customHeight="1" x14ac:dyDescent="0.2">
      <c r="M799" s="7"/>
      <c r="R799" s="8"/>
      <c r="S799" s="8"/>
      <c r="U799" s="16"/>
      <c r="AC799" s="16"/>
      <c r="AY799" s="17"/>
      <c r="AZ799" s="17"/>
      <c r="BA799" s="10"/>
      <c r="BB799" s="10"/>
    </row>
    <row r="800" spans="13:54" ht="15.75" customHeight="1" x14ac:dyDescent="0.2">
      <c r="M800" s="7"/>
      <c r="R800" s="8"/>
      <c r="S800" s="8"/>
      <c r="U800" s="16"/>
      <c r="AC800" s="16"/>
      <c r="AY800" s="17"/>
      <c r="AZ800" s="17"/>
      <c r="BA800" s="10"/>
      <c r="BB800" s="10"/>
    </row>
    <row r="801" spans="13:54" ht="15.75" customHeight="1" x14ac:dyDescent="0.2">
      <c r="M801" s="7"/>
      <c r="R801" s="8"/>
      <c r="S801" s="8"/>
      <c r="U801" s="16"/>
      <c r="AC801" s="16"/>
      <c r="AY801" s="17"/>
      <c r="AZ801" s="17"/>
      <c r="BA801" s="10"/>
      <c r="BB801" s="10"/>
    </row>
    <row r="802" spans="13:54" ht="15.75" customHeight="1" x14ac:dyDescent="0.2">
      <c r="M802" s="7"/>
      <c r="R802" s="8"/>
      <c r="S802" s="8"/>
      <c r="U802" s="16"/>
      <c r="AC802" s="16"/>
      <c r="AY802" s="17"/>
      <c r="AZ802" s="17"/>
      <c r="BA802" s="10"/>
      <c r="BB802" s="10"/>
    </row>
    <row r="803" spans="13:54" ht="15.75" customHeight="1" x14ac:dyDescent="0.2">
      <c r="M803" s="7"/>
      <c r="R803" s="8"/>
      <c r="S803" s="8"/>
      <c r="U803" s="16"/>
      <c r="AC803" s="16"/>
      <c r="AY803" s="17"/>
      <c r="AZ803" s="17"/>
      <c r="BA803" s="10"/>
      <c r="BB803" s="10"/>
    </row>
    <row r="804" spans="13:54" ht="15.75" customHeight="1" x14ac:dyDescent="0.2">
      <c r="M804" s="7"/>
      <c r="R804" s="8"/>
      <c r="S804" s="8"/>
      <c r="U804" s="16"/>
      <c r="AC804" s="16"/>
      <c r="AY804" s="17"/>
      <c r="AZ804" s="17"/>
      <c r="BA804" s="10"/>
      <c r="BB804" s="10"/>
    </row>
    <row r="805" spans="13:54" ht="15.75" customHeight="1" x14ac:dyDescent="0.2">
      <c r="M805" s="7"/>
      <c r="R805" s="8"/>
      <c r="S805" s="8"/>
      <c r="U805" s="16"/>
      <c r="AC805" s="16"/>
      <c r="AY805" s="17"/>
      <c r="AZ805" s="17"/>
      <c r="BA805" s="10"/>
      <c r="BB805" s="10"/>
    </row>
    <row r="806" spans="13:54" ht="15.75" customHeight="1" x14ac:dyDescent="0.2">
      <c r="M806" s="7"/>
      <c r="R806" s="8"/>
      <c r="S806" s="8"/>
      <c r="U806" s="16"/>
      <c r="AC806" s="16"/>
      <c r="AY806" s="17"/>
      <c r="AZ806" s="17"/>
      <c r="BA806" s="10"/>
      <c r="BB806" s="10"/>
    </row>
    <row r="807" spans="13:54" ht="15.75" customHeight="1" x14ac:dyDescent="0.2">
      <c r="M807" s="7"/>
      <c r="R807" s="8"/>
      <c r="S807" s="8"/>
      <c r="U807" s="16"/>
      <c r="AC807" s="16"/>
      <c r="AY807" s="17"/>
      <c r="AZ807" s="17"/>
      <c r="BA807" s="10"/>
      <c r="BB807" s="10"/>
    </row>
    <row r="808" spans="13:54" ht="15.75" customHeight="1" x14ac:dyDescent="0.2">
      <c r="M808" s="7"/>
      <c r="R808" s="8"/>
      <c r="S808" s="8"/>
      <c r="U808" s="16"/>
      <c r="AC808" s="16"/>
      <c r="AY808" s="17"/>
      <c r="AZ808" s="17"/>
      <c r="BA808" s="10"/>
      <c r="BB808" s="10"/>
    </row>
    <row r="809" spans="13:54" ht="15.75" customHeight="1" x14ac:dyDescent="0.2">
      <c r="M809" s="7"/>
      <c r="R809" s="8"/>
      <c r="S809" s="8"/>
      <c r="U809" s="16"/>
      <c r="AC809" s="16"/>
      <c r="AY809" s="17"/>
      <c r="AZ809" s="17"/>
      <c r="BA809" s="10"/>
      <c r="BB809" s="10"/>
    </row>
    <row r="810" spans="13:54" ht="15.75" customHeight="1" x14ac:dyDescent="0.2">
      <c r="M810" s="7"/>
      <c r="R810" s="8"/>
      <c r="S810" s="8"/>
      <c r="U810" s="16"/>
      <c r="AC810" s="16"/>
      <c r="AY810" s="17"/>
      <c r="AZ810" s="17"/>
      <c r="BA810" s="10"/>
      <c r="BB810" s="10"/>
    </row>
    <row r="811" spans="13:54" ht="15.75" customHeight="1" x14ac:dyDescent="0.2">
      <c r="M811" s="7"/>
      <c r="R811" s="8"/>
      <c r="S811" s="8"/>
      <c r="U811" s="16"/>
      <c r="AC811" s="16"/>
      <c r="AY811" s="17"/>
      <c r="AZ811" s="17"/>
      <c r="BA811" s="10"/>
      <c r="BB811" s="10"/>
    </row>
    <row r="812" spans="13:54" ht="15.75" customHeight="1" x14ac:dyDescent="0.2">
      <c r="M812" s="7"/>
      <c r="R812" s="8"/>
      <c r="S812" s="8"/>
      <c r="U812" s="16"/>
      <c r="AC812" s="16"/>
      <c r="AY812" s="17"/>
      <c r="AZ812" s="17"/>
      <c r="BA812" s="10"/>
      <c r="BB812" s="10"/>
    </row>
    <row r="813" spans="13:54" ht="15.75" customHeight="1" x14ac:dyDescent="0.2">
      <c r="M813" s="7"/>
      <c r="R813" s="8"/>
      <c r="S813" s="8"/>
      <c r="U813" s="16"/>
      <c r="AC813" s="16"/>
      <c r="AY813" s="17"/>
      <c r="AZ813" s="17"/>
      <c r="BA813" s="10"/>
      <c r="BB813" s="10"/>
    </row>
    <row r="814" spans="13:54" ht="15.75" customHeight="1" x14ac:dyDescent="0.2">
      <c r="M814" s="7"/>
      <c r="R814" s="8"/>
      <c r="S814" s="8"/>
      <c r="U814" s="16"/>
      <c r="AC814" s="16"/>
      <c r="AY814" s="17"/>
      <c r="AZ814" s="17"/>
      <c r="BA814" s="10"/>
      <c r="BB814" s="10"/>
    </row>
    <row r="815" spans="13:54" ht="15.75" customHeight="1" x14ac:dyDescent="0.2">
      <c r="M815" s="7"/>
      <c r="R815" s="8"/>
      <c r="S815" s="8"/>
      <c r="U815" s="16"/>
      <c r="AC815" s="16"/>
      <c r="AY815" s="17"/>
      <c r="AZ815" s="17"/>
      <c r="BA815" s="10"/>
      <c r="BB815" s="10"/>
    </row>
    <row r="816" spans="13:54" ht="15.75" customHeight="1" x14ac:dyDescent="0.2">
      <c r="M816" s="7"/>
      <c r="R816" s="8"/>
      <c r="S816" s="8"/>
      <c r="U816" s="16"/>
      <c r="AC816" s="16"/>
      <c r="AY816" s="17"/>
      <c r="AZ816" s="17"/>
      <c r="BA816" s="10"/>
      <c r="BB816" s="10"/>
    </row>
    <row r="817" spans="13:54" ht="15.75" customHeight="1" x14ac:dyDescent="0.2">
      <c r="M817" s="7"/>
      <c r="R817" s="8"/>
      <c r="S817" s="8"/>
      <c r="U817" s="16"/>
      <c r="AC817" s="16"/>
      <c r="AY817" s="17"/>
      <c r="AZ817" s="17"/>
      <c r="BA817" s="10"/>
      <c r="BB817" s="10"/>
    </row>
    <row r="818" spans="13:54" ht="15.75" customHeight="1" x14ac:dyDescent="0.2">
      <c r="M818" s="7"/>
      <c r="R818" s="8"/>
      <c r="S818" s="8"/>
      <c r="U818" s="16"/>
      <c r="AC818" s="16"/>
      <c r="AY818" s="17"/>
      <c r="AZ818" s="17"/>
      <c r="BA818" s="10"/>
      <c r="BB818" s="10"/>
    </row>
    <row r="819" spans="13:54" ht="15.75" customHeight="1" x14ac:dyDescent="0.2">
      <c r="M819" s="7"/>
      <c r="R819" s="8"/>
      <c r="S819" s="8"/>
      <c r="U819" s="16"/>
      <c r="AC819" s="16"/>
      <c r="AY819" s="17"/>
      <c r="AZ819" s="17"/>
      <c r="BA819" s="10"/>
      <c r="BB819" s="10"/>
    </row>
    <row r="820" spans="13:54" ht="15.75" customHeight="1" x14ac:dyDescent="0.2">
      <c r="M820" s="7"/>
      <c r="R820" s="8"/>
      <c r="S820" s="8"/>
      <c r="U820" s="16"/>
      <c r="AC820" s="16"/>
      <c r="AY820" s="17"/>
      <c r="AZ820" s="17"/>
      <c r="BA820" s="10"/>
      <c r="BB820" s="10"/>
    </row>
    <row r="821" spans="13:54" ht="15.75" customHeight="1" x14ac:dyDescent="0.2">
      <c r="M821" s="7"/>
      <c r="R821" s="8"/>
      <c r="S821" s="8"/>
      <c r="U821" s="16"/>
      <c r="AC821" s="16"/>
      <c r="AY821" s="17"/>
      <c r="AZ821" s="17"/>
      <c r="BA821" s="10"/>
      <c r="BB821" s="10"/>
    </row>
    <row r="822" spans="13:54" ht="15.75" customHeight="1" x14ac:dyDescent="0.2">
      <c r="M822" s="7"/>
      <c r="R822" s="8"/>
      <c r="S822" s="8"/>
      <c r="U822" s="16"/>
      <c r="AC822" s="16"/>
      <c r="AY822" s="17"/>
      <c r="AZ822" s="17"/>
      <c r="BA822" s="10"/>
      <c r="BB822" s="10"/>
    </row>
    <row r="823" spans="13:54" ht="15.75" customHeight="1" x14ac:dyDescent="0.2">
      <c r="M823" s="7"/>
      <c r="R823" s="8"/>
      <c r="S823" s="8"/>
      <c r="U823" s="16"/>
      <c r="AC823" s="16"/>
      <c r="AY823" s="17"/>
      <c r="AZ823" s="17"/>
      <c r="BA823" s="10"/>
      <c r="BB823" s="10"/>
    </row>
    <row r="824" spans="13:54" ht="15.75" customHeight="1" x14ac:dyDescent="0.2">
      <c r="M824" s="7"/>
      <c r="R824" s="8"/>
      <c r="S824" s="8"/>
      <c r="U824" s="16"/>
      <c r="AC824" s="16"/>
      <c r="AY824" s="17"/>
      <c r="AZ824" s="17"/>
      <c r="BA824" s="10"/>
      <c r="BB824" s="10"/>
    </row>
    <row r="825" spans="13:54" ht="15.75" customHeight="1" x14ac:dyDescent="0.2">
      <c r="M825" s="7"/>
      <c r="R825" s="8"/>
      <c r="S825" s="8"/>
      <c r="U825" s="16"/>
      <c r="AC825" s="16"/>
      <c r="AY825" s="17"/>
      <c r="AZ825" s="17"/>
      <c r="BA825" s="10"/>
      <c r="BB825" s="10"/>
    </row>
    <row r="826" spans="13:54" ht="15.75" customHeight="1" x14ac:dyDescent="0.2">
      <c r="M826" s="7"/>
      <c r="R826" s="8"/>
      <c r="S826" s="8"/>
      <c r="U826" s="16"/>
      <c r="AC826" s="16"/>
      <c r="AY826" s="17"/>
      <c r="AZ826" s="17"/>
      <c r="BA826" s="10"/>
      <c r="BB826" s="10"/>
    </row>
    <row r="827" spans="13:54" ht="15.75" customHeight="1" x14ac:dyDescent="0.2">
      <c r="M827" s="7"/>
      <c r="R827" s="8"/>
      <c r="S827" s="8"/>
      <c r="U827" s="16"/>
      <c r="AC827" s="16"/>
      <c r="AY827" s="17"/>
      <c r="AZ827" s="17"/>
      <c r="BA827" s="10"/>
      <c r="BB827" s="10"/>
    </row>
    <row r="828" spans="13:54" ht="15.75" customHeight="1" x14ac:dyDescent="0.2">
      <c r="M828" s="7"/>
      <c r="R828" s="8"/>
      <c r="S828" s="8"/>
      <c r="U828" s="16"/>
      <c r="AC828" s="16"/>
      <c r="AY828" s="17"/>
      <c r="AZ828" s="17"/>
      <c r="BA828" s="10"/>
      <c r="BB828" s="10"/>
    </row>
    <row r="829" spans="13:54" ht="15.75" customHeight="1" x14ac:dyDescent="0.2">
      <c r="M829" s="7"/>
      <c r="R829" s="8"/>
      <c r="S829" s="8"/>
      <c r="U829" s="16"/>
      <c r="AC829" s="16"/>
      <c r="AY829" s="17"/>
      <c r="AZ829" s="17"/>
      <c r="BA829" s="10"/>
      <c r="BB829" s="10"/>
    </row>
    <row r="830" spans="13:54" ht="15.75" customHeight="1" x14ac:dyDescent="0.2">
      <c r="M830" s="7"/>
      <c r="R830" s="8"/>
      <c r="S830" s="8"/>
      <c r="U830" s="16"/>
      <c r="AC830" s="16"/>
      <c r="AY830" s="17"/>
      <c r="AZ830" s="17"/>
      <c r="BA830" s="10"/>
      <c r="BB830" s="10"/>
    </row>
    <row r="831" spans="13:54" ht="15.75" customHeight="1" x14ac:dyDescent="0.2">
      <c r="M831" s="7"/>
      <c r="R831" s="8"/>
      <c r="S831" s="8"/>
      <c r="U831" s="16"/>
      <c r="AC831" s="16"/>
      <c r="AY831" s="17"/>
      <c r="AZ831" s="17"/>
      <c r="BA831" s="10"/>
      <c r="BB831" s="10"/>
    </row>
    <row r="832" spans="13:54" ht="15.75" customHeight="1" x14ac:dyDescent="0.2">
      <c r="M832" s="7"/>
      <c r="R832" s="8"/>
      <c r="S832" s="8"/>
      <c r="U832" s="16"/>
      <c r="AC832" s="16"/>
      <c r="AY832" s="17"/>
      <c r="AZ832" s="17"/>
      <c r="BA832" s="10"/>
      <c r="BB832" s="10"/>
    </row>
    <row r="833" spans="13:54" ht="15.75" customHeight="1" x14ac:dyDescent="0.2">
      <c r="M833" s="7"/>
      <c r="R833" s="8"/>
      <c r="S833" s="8"/>
      <c r="U833" s="16"/>
      <c r="AC833" s="16"/>
      <c r="AY833" s="17"/>
      <c r="AZ833" s="17"/>
      <c r="BA833" s="10"/>
      <c r="BB833" s="10"/>
    </row>
    <row r="834" spans="13:54" ht="15.75" customHeight="1" x14ac:dyDescent="0.2">
      <c r="M834" s="7"/>
      <c r="R834" s="8"/>
      <c r="S834" s="8"/>
      <c r="U834" s="16"/>
      <c r="AC834" s="16"/>
      <c r="AY834" s="17"/>
      <c r="AZ834" s="17"/>
      <c r="BA834" s="10"/>
      <c r="BB834" s="10"/>
    </row>
    <row r="835" spans="13:54" ht="15.75" customHeight="1" x14ac:dyDescent="0.2">
      <c r="M835" s="7"/>
      <c r="R835" s="8"/>
      <c r="S835" s="8"/>
      <c r="U835" s="16"/>
      <c r="AC835" s="16"/>
      <c r="AY835" s="17"/>
      <c r="AZ835" s="17"/>
      <c r="BA835" s="10"/>
      <c r="BB835" s="10"/>
    </row>
    <row r="836" spans="13:54" ht="15.75" customHeight="1" x14ac:dyDescent="0.2">
      <c r="M836" s="7"/>
      <c r="R836" s="8"/>
      <c r="S836" s="8"/>
      <c r="U836" s="16"/>
      <c r="AC836" s="16"/>
      <c r="AY836" s="17"/>
      <c r="AZ836" s="17"/>
      <c r="BA836" s="10"/>
      <c r="BB836" s="10"/>
    </row>
    <row r="837" spans="13:54" ht="15.75" customHeight="1" x14ac:dyDescent="0.2">
      <c r="M837" s="7"/>
      <c r="R837" s="8"/>
      <c r="S837" s="8"/>
      <c r="U837" s="16"/>
      <c r="AC837" s="16"/>
      <c r="AY837" s="17"/>
      <c r="AZ837" s="17"/>
      <c r="BA837" s="10"/>
      <c r="BB837" s="10"/>
    </row>
    <row r="838" spans="13:54" ht="15.75" customHeight="1" x14ac:dyDescent="0.2">
      <c r="M838" s="7"/>
      <c r="R838" s="8"/>
      <c r="S838" s="8"/>
      <c r="U838" s="16"/>
      <c r="AC838" s="16"/>
      <c r="AY838" s="17"/>
      <c r="AZ838" s="17"/>
      <c r="BA838" s="10"/>
      <c r="BB838" s="10"/>
    </row>
    <row r="839" spans="13:54" ht="15.75" customHeight="1" x14ac:dyDescent="0.2">
      <c r="M839" s="7"/>
      <c r="R839" s="8"/>
      <c r="S839" s="8"/>
      <c r="U839" s="16"/>
      <c r="AC839" s="16"/>
      <c r="AY839" s="17"/>
      <c r="AZ839" s="17"/>
      <c r="BA839" s="10"/>
      <c r="BB839" s="10"/>
    </row>
    <row r="840" spans="13:54" ht="15.75" customHeight="1" x14ac:dyDescent="0.2">
      <c r="M840" s="7"/>
      <c r="R840" s="8"/>
      <c r="S840" s="8"/>
      <c r="U840" s="16"/>
      <c r="AC840" s="16"/>
      <c r="AY840" s="17"/>
      <c r="AZ840" s="17"/>
      <c r="BA840" s="10"/>
      <c r="BB840" s="10"/>
    </row>
    <row r="841" spans="13:54" ht="15.75" customHeight="1" x14ac:dyDescent="0.2">
      <c r="M841" s="7"/>
      <c r="R841" s="8"/>
      <c r="S841" s="8"/>
      <c r="U841" s="16"/>
      <c r="AC841" s="16"/>
      <c r="AY841" s="17"/>
      <c r="AZ841" s="17"/>
      <c r="BA841" s="10"/>
      <c r="BB841" s="10"/>
    </row>
    <row r="842" spans="13:54" ht="15.75" customHeight="1" x14ac:dyDescent="0.2">
      <c r="M842" s="7"/>
      <c r="R842" s="8"/>
      <c r="S842" s="8"/>
      <c r="U842" s="16"/>
      <c r="AC842" s="16"/>
      <c r="AY842" s="17"/>
      <c r="AZ842" s="17"/>
      <c r="BA842" s="10"/>
      <c r="BB842" s="10"/>
    </row>
    <row r="843" spans="13:54" ht="15.75" customHeight="1" x14ac:dyDescent="0.2">
      <c r="M843" s="7"/>
      <c r="R843" s="8"/>
      <c r="S843" s="8"/>
      <c r="U843" s="16"/>
      <c r="AC843" s="16"/>
      <c r="AY843" s="17"/>
      <c r="AZ843" s="17"/>
      <c r="BA843" s="10"/>
      <c r="BB843" s="10"/>
    </row>
    <row r="844" spans="13:54" ht="15.75" customHeight="1" x14ac:dyDescent="0.2">
      <c r="M844" s="7"/>
      <c r="R844" s="8"/>
      <c r="S844" s="8"/>
      <c r="U844" s="16"/>
      <c r="AC844" s="16"/>
      <c r="AY844" s="17"/>
      <c r="AZ844" s="17"/>
      <c r="BA844" s="10"/>
      <c r="BB844" s="10"/>
    </row>
    <row r="845" spans="13:54" ht="15.75" customHeight="1" x14ac:dyDescent="0.2">
      <c r="M845" s="7"/>
      <c r="R845" s="8"/>
      <c r="S845" s="8"/>
      <c r="U845" s="16"/>
      <c r="AC845" s="16"/>
      <c r="AY845" s="17"/>
      <c r="AZ845" s="17"/>
      <c r="BA845" s="10"/>
      <c r="BB845" s="10"/>
    </row>
    <row r="846" spans="13:54" ht="15.75" customHeight="1" x14ac:dyDescent="0.2">
      <c r="M846" s="7"/>
      <c r="R846" s="8"/>
      <c r="S846" s="8"/>
      <c r="U846" s="16"/>
      <c r="AC846" s="16"/>
      <c r="AY846" s="17"/>
      <c r="AZ846" s="17"/>
      <c r="BA846" s="10"/>
      <c r="BB846" s="10"/>
    </row>
    <row r="847" spans="13:54" ht="15.75" customHeight="1" x14ac:dyDescent="0.2">
      <c r="M847" s="7"/>
      <c r="R847" s="8"/>
      <c r="S847" s="8"/>
      <c r="U847" s="16"/>
      <c r="AC847" s="16"/>
      <c r="AY847" s="17"/>
      <c r="AZ847" s="17"/>
      <c r="BA847" s="10"/>
      <c r="BB847" s="10"/>
    </row>
    <row r="848" spans="13:54" ht="15.75" customHeight="1" x14ac:dyDescent="0.2">
      <c r="M848" s="7"/>
      <c r="R848" s="8"/>
      <c r="S848" s="8"/>
      <c r="U848" s="16"/>
      <c r="AC848" s="16"/>
      <c r="AY848" s="17"/>
      <c r="AZ848" s="17"/>
      <c r="BA848" s="10"/>
      <c r="BB848" s="10"/>
    </row>
    <row r="849" spans="13:54" ht="15.75" customHeight="1" x14ac:dyDescent="0.2">
      <c r="M849" s="7"/>
      <c r="R849" s="8"/>
      <c r="S849" s="8"/>
      <c r="U849" s="16"/>
      <c r="AC849" s="16"/>
      <c r="AY849" s="17"/>
      <c r="AZ849" s="17"/>
      <c r="BA849" s="10"/>
      <c r="BB849" s="10"/>
    </row>
    <row r="850" spans="13:54" ht="15.75" customHeight="1" x14ac:dyDescent="0.2">
      <c r="M850" s="7"/>
      <c r="R850" s="8"/>
      <c r="S850" s="8"/>
      <c r="U850" s="16"/>
      <c r="AC850" s="16"/>
      <c r="AY850" s="17"/>
      <c r="AZ850" s="17"/>
      <c r="BA850" s="10"/>
      <c r="BB850" s="10"/>
    </row>
    <row r="851" spans="13:54" ht="15.75" customHeight="1" x14ac:dyDescent="0.2">
      <c r="M851" s="7"/>
      <c r="R851" s="8"/>
      <c r="S851" s="8"/>
      <c r="U851" s="16"/>
      <c r="AC851" s="16"/>
      <c r="AY851" s="17"/>
      <c r="AZ851" s="17"/>
      <c r="BA851" s="10"/>
      <c r="BB851" s="10"/>
    </row>
    <row r="852" spans="13:54" ht="15.75" customHeight="1" x14ac:dyDescent="0.2">
      <c r="M852" s="7"/>
      <c r="R852" s="8"/>
      <c r="S852" s="8"/>
      <c r="U852" s="16"/>
      <c r="AC852" s="16"/>
      <c r="AY852" s="17"/>
      <c r="AZ852" s="17"/>
      <c r="BA852" s="10"/>
      <c r="BB852" s="10"/>
    </row>
    <row r="853" spans="13:54" ht="15.75" customHeight="1" x14ac:dyDescent="0.2">
      <c r="M853" s="7"/>
      <c r="R853" s="8"/>
      <c r="S853" s="8"/>
      <c r="U853" s="16"/>
      <c r="AC853" s="16"/>
      <c r="AY853" s="17"/>
      <c r="AZ853" s="17"/>
      <c r="BA853" s="10"/>
      <c r="BB853" s="10"/>
    </row>
    <row r="854" spans="13:54" ht="15.75" customHeight="1" x14ac:dyDescent="0.2">
      <c r="M854" s="7"/>
      <c r="R854" s="8"/>
      <c r="S854" s="8"/>
      <c r="U854" s="16"/>
      <c r="AC854" s="16"/>
      <c r="AY854" s="17"/>
      <c r="AZ854" s="17"/>
      <c r="BA854" s="10"/>
      <c r="BB854" s="10"/>
    </row>
    <row r="855" spans="13:54" ht="15.75" customHeight="1" x14ac:dyDescent="0.2">
      <c r="M855" s="7"/>
      <c r="R855" s="8"/>
      <c r="S855" s="8"/>
      <c r="U855" s="16"/>
      <c r="AC855" s="16"/>
      <c r="AY855" s="17"/>
      <c r="AZ855" s="17"/>
      <c r="BA855" s="10"/>
      <c r="BB855" s="10"/>
    </row>
    <row r="856" spans="13:54" ht="15.75" customHeight="1" x14ac:dyDescent="0.2">
      <c r="M856" s="7"/>
      <c r="R856" s="8"/>
      <c r="S856" s="8"/>
      <c r="U856" s="16"/>
      <c r="AC856" s="16"/>
      <c r="AY856" s="17"/>
      <c r="AZ856" s="17"/>
      <c r="BA856" s="10"/>
      <c r="BB856" s="10"/>
    </row>
    <row r="857" spans="13:54" ht="15.75" customHeight="1" x14ac:dyDescent="0.2">
      <c r="M857" s="7"/>
      <c r="R857" s="8"/>
      <c r="S857" s="8"/>
      <c r="U857" s="16"/>
      <c r="AC857" s="16"/>
      <c r="AY857" s="17"/>
      <c r="AZ857" s="17"/>
      <c r="BA857" s="10"/>
      <c r="BB857" s="10"/>
    </row>
    <row r="858" spans="13:54" ht="15.75" customHeight="1" x14ac:dyDescent="0.2">
      <c r="M858" s="7"/>
      <c r="R858" s="8"/>
      <c r="S858" s="8"/>
      <c r="U858" s="16"/>
      <c r="AC858" s="16"/>
      <c r="AY858" s="17"/>
      <c r="AZ858" s="17"/>
      <c r="BA858" s="10"/>
      <c r="BB858" s="10"/>
    </row>
    <row r="859" spans="13:54" ht="15.75" customHeight="1" x14ac:dyDescent="0.2">
      <c r="M859" s="7"/>
      <c r="R859" s="8"/>
      <c r="S859" s="8"/>
      <c r="U859" s="16"/>
      <c r="AC859" s="16"/>
      <c r="AY859" s="17"/>
      <c r="AZ859" s="17"/>
      <c r="BA859" s="10"/>
      <c r="BB859" s="10"/>
    </row>
    <row r="860" spans="13:54" ht="15.75" customHeight="1" x14ac:dyDescent="0.2">
      <c r="M860" s="7"/>
      <c r="R860" s="8"/>
      <c r="S860" s="8"/>
      <c r="U860" s="16"/>
      <c r="AC860" s="16"/>
      <c r="AY860" s="17"/>
      <c r="AZ860" s="17"/>
      <c r="BA860" s="10"/>
      <c r="BB860" s="10"/>
    </row>
    <row r="861" spans="13:54" ht="15.75" customHeight="1" x14ac:dyDescent="0.2">
      <c r="M861" s="7"/>
      <c r="R861" s="8"/>
      <c r="S861" s="8"/>
      <c r="U861" s="16"/>
      <c r="AC861" s="16"/>
      <c r="AY861" s="17"/>
      <c r="AZ861" s="17"/>
      <c r="BA861" s="10"/>
      <c r="BB861" s="10"/>
    </row>
    <row r="862" spans="13:54" ht="15.75" customHeight="1" x14ac:dyDescent="0.2">
      <c r="M862" s="7"/>
      <c r="R862" s="8"/>
      <c r="S862" s="8"/>
      <c r="U862" s="16"/>
      <c r="AC862" s="16"/>
      <c r="AY862" s="17"/>
      <c r="AZ862" s="17"/>
      <c r="BA862" s="10"/>
      <c r="BB862" s="10"/>
    </row>
    <row r="863" spans="13:54" ht="15.75" customHeight="1" x14ac:dyDescent="0.2">
      <c r="M863" s="7"/>
      <c r="R863" s="8"/>
      <c r="S863" s="8"/>
      <c r="U863" s="16"/>
      <c r="AC863" s="16"/>
      <c r="AY863" s="17"/>
      <c r="AZ863" s="17"/>
      <c r="BA863" s="10"/>
      <c r="BB863" s="10"/>
    </row>
    <row r="864" spans="13:54" ht="15.75" customHeight="1" x14ac:dyDescent="0.2">
      <c r="M864" s="7"/>
      <c r="R864" s="8"/>
      <c r="S864" s="8"/>
      <c r="U864" s="16"/>
      <c r="AC864" s="16"/>
      <c r="AY864" s="17"/>
      <c r="AZ864" s="17"/>
      <c r="BA864" s="10"/>
      <c r="BB864" s="10"/>
    </row>
    <row r="865" spans="13:54" ht="15.75" customHeight="1" x14ac:dyDescent="0.2">
      <c r="M865" s="7"/>
      <c r="R865" s="8"/>
      <c r="S865" s="8"/>
      <c r="U865" s="16"/>
      <c r="AC865" s="16"/>
      <c r="AY865" s="17"/>
      <c r="AZ865" s="17"/>
      <c r="BA865" s="10"/>
      <c r="BB865" s="10"/>
    </row>
    <row r="866" spans="13:54" ht="15.75" customHeight="1" x14ac:dyDescent="0.2">
      <c r="M866" s="7"/>
      <c r="R866" s="8"/>
      <c r="S866" s="8"/>
      <c r="U866" s="16"/>
      <c r="AC866" s="16"/>
      <c r="AY866" s="17"/>
      <c r="AZ866" s="17"/>
      <c r="BA866" s="10"/>
      <c r="BB866" s="10"/>
    </row>
    <row r="867" spans="13:54" ht="15.75" customHeight="1" x14ac:dyDescent="0.2">
      <c r="M867" s="7"/>
      <c r="R867" s="8"/>
      <c r="S867" s="8"/>
      <c r="U867" s="16"/>
      <c r="AC867" s="16"/>
      <c r="AY867" s="17"/>
      <c r="AZ867" s="17"/>
      <c r="BA867" s="10"/>
      <c r="BB867" s="10"/>
    </row>
    <row r="868" spans="13:54" ht="15.75" customHeight="1" x14ac:dyDescent="0.2">
      <c r="M868" s="7"/>
      <c r="R868" s="8"/>
      <c r="S868" s="8"/>
      <c r="U868" s="16"/>
      <c r="AC868" s="16"/>
      <c r="AY868" s="17"/>
      <c r="AZ868" s="17"/>
      <c r="BA868" s="10"/>
      <c r="BB868" s="10"/>
    </row>
    <row r="869" spans="13:54" ht="15.75" customHeight="1" x14ac:dyDescent="0.2">
      <c r="M869" s="7"/>
      <c r="R869" s="8"/>
      <c r="S869" s="8"/>
      <c r="U869" s="16"/>
      <c r="AC869" s="16"/>
      <c r="AY869" s="17"/>
      <c r="AZ869" s="17"/>
      <c r="BA869" s="10"/>
      <c r="BB869" s="10"/>
    </row>
    <row r="870" spans="13:54" ht="15.75" customHeight="1" x14ac:dyDescent="0.2">
      <c r="M870" s="7"/>
      <c r="R870" s="8"/>
      <c r="S870" s="8"/>
      <c r="U870" s="16"/>
      <c r="AC870" s="16"/>
      <c r="AY870" s="17"/>
      <c r="AZ870" s="17"/>
      <c r="BA870" s="10"/>
      <c r="BB870" s="10"/>
    </row>
    <row r="871" spans="13:54" ht="15.75" customHeight="1" x14ac:dyDescent="0.2">
      <c r="M871" s="7"/>
      <c r="R871" s="8"/>
      <c r="S871" s="8"/>
      <c r="U871" s="16"/>
      <c r="AC871" s="16"/>
      <c r="AY871" s="17"/>
      <c r="AZ871" s="17"/>
      <c r="BA871" s="10"/>
      <c r="BB871" s="10"/>
    </row>
    <row r="872" spans="13:54" ht="15.75" customHeight="1" x14ac:dyDescent="0.2">
      <c r="M872" s="7"/>
      <c r="R872" s="8"/>
      <c r="S872" s="8"/>
      <c r="U872" s="16"/>
      <c r="AC872" s="16"/>
      <c r="AY872" s="17"/>
      <c r="AZ872" s="17"/>
      <c r="BA872" s="10"/>
      <c r="BB872" s="10"/>
    </row>
    <row r="873" spans="13:54" ht="15.75" customHeight="1" x14ac:dyDescent="0.2">
      <c r="M873" s="7"/>
      <c r="R873" s="8"/>
      <c r="S873" s="8"/>
      <c r="U873" s="16"/>
      <c r="AC873" s="16"/>
      <c r="AY873" s="17"/>
      <c r="AZ873" s="17"/>
      <c r="BA873" s="10"/>
      <c r="BB873" s="10"/>
    </row>
    <row r="874" spans="13:54" ht="15.75" customHeight="1" x14ac:dyDescent="0.2">
      <c r="M874" s="7"/>
      <c r="R874" s="8"/>
      <c r="S874" s="8"/>
      <c r="U874" s="16"/>
      <c r="AC874" s="16"/>
      <c r="AY874" s="17"/>
      <c r="AZ874" s="17"/>
      <c r="BA874" s="10"/>
      <c r="BB874" s="10"/>
    </row>
    <row r="875" spans="13:54" ht="15.75" customHeight="1" x14ac:dyDescent="0.2">
      <c r="M875" s="7"/>
      <c r="R875" s="8"/>
      <c r="S875" s="8"/>
      <c r="U875" s="16"/>
      <c r="AC875" s="16"/>
      <c r="AY875" s="17"/>
      <c r="AZ875" s="17"/>
      <c r="BA875" s="10"/>
      <c r="BB875" s="10"/>
    </row>
    <row r="876" spans="13:54" ht="15.75" customHeight="1" x14ac:dyDescent="0.2">
      <c r="M876" s="7"/>
      <c r="R876" s="8"/>
      <c r="S876" s="8"/>
      <c r="U876" s="16"/>
      <c r="AC876" s="16"/>
      <c r="AY876" s="17"/>
      <c r="AZ876" s="17"/>
      <c r="BA876" s="10"/>
      <c r="BB876" s="10"/>
    </row>
    <row r="877" spans="13:54" ht="15.75" customHeight="1" x14ac:dyDescent="0.2">
      <c r="M877" s="7"/>
      <c r="R877" s="8"/>
      <c r="S877" s="8"/>
      <c r="U877" s="16"/>
      <c r="AC877" s="16"/>
      <c r="AY877" s="17"/>
      <c r="AZ877" s="17"/>
      <c r="BA877" s="10"/>
      <c r="BB877" s="10"/>
    </row>
    <row r="878" spans="13:54" ht="15.75" customHeight="1" x14ac:dyDescent="0.2">
      <c r="M878" s="7"/>
      <c r="R878" s="8"/>
      <c r="S878" s="8"/>
      <c r="U878" s="16"/>
      <c r="AC878" s="16"/>
      <c r="AY878" s="17"/>
      <c r="AZ878" s="17"/>
      <c r="BA878" s="10"/>
      <c r="BB878" s="10"/>
    </row>
    <row r="879" spans="13:54" ht="15.75" customHeight="1" x14ac:dyDescent="0.2">
      <c r="M879" s="7"/>
      <c r="R879" s="8"/>
      <c r="S879" s="8"/>
      <c r="U879" s="16"/>
      <c r="AC879" s="16"/>
      <c r="AY879" s="17"/>
      <c r="AZ879" s="17"/>
      <c r="BA879" s="10"/>
      <c r="BB879" s="10"/>
    </row>
    <row r="880" spans="13:54" ht="15.75" customHeight="1" x14ac:dyDescent="0.2">
      <c r="M880" s="7"/>
      <c r="R880" s="8"/>
      <c r="S880" s="8"/>
      <c r="U880" s="16"/>
      <c r="AC880" s="16"/>
      <c r="AY880" s="17"/>
      <c r="AZ880" s="17"/>
      <c r="BA880" s="10"/>
      <c r="BB880" s="10"/>
    </row>
    <row r="881" spans="13:54" ht="15.75" customHeight="1" x14ac:dyDescent="0.2">
      <c r="M881" s="7"/>
      <c r="R881" s="8"/>
      <c r="S881" s="8"/>
      <c r="U881" s="16"/>
      <c r="AC881" s="16"/>
      <c r="AY881" s="17"/>
      <c r="AZ881" s="17"/>
      <c r="BA881" s="10"/>
      <c r="BB881" s="10"/>
    </row>
    <row r="882" spans="13:54" ht="15.75" customHeight="1" x14ac:dyDescent="0.2">
      <c r="M882" s="7"/>
      <c r="R882" s="8"/>
      <c r="S882" s="8"/>
      <c r="U882" s="16"/>
      <c r="AC882" s="16"/>
      <c r="AY882" s="17"/>
      <c r="AZ882" s="17"/>
      <c r="BA882" s="10"/>
      <c r="BB882" s="10"/>
    </row>
    <row r="883" spans="13:54" ht="15.75" customHeight="1" x14ac:dyDescent="0.2">
      <c r="M883" s="7"/>
      <c r="R883" s="8"/>
      <c r="S883" s="8"/>
      <c r="U883" s="16"/>
      <c r="AC883" s="16"/>
      <c r="AY883" s="17"/>
      <c r="AZ883" s="17"/>
      <c r="BA883" s="10"/>
      <c r="BB883" s="10"/>
    </row>
    <row r="884" spans="13:54" ht="15.75" customHeight="1" x14ac:dyDescent="0.2">
      <c r="M884" s="7"/>
      <c r="R884" s="8"/>
      <c r="S884" s="8"/>
      <c r="U884" s="16"/>
      <c r="AC884" s="16"/>
      <c r="AY884" s="17"/>
      <c r="AZ884" s="17"/>
      <c r="BA884" s="10"/>
      <c r="BB884" s="10"/>
    </row>
    <row r="885" spans="13:54" ht="15.75" customHeight="1" x14ac:dyDescent="0.2">
      <c r="M885" s="7"/>
      <c r="R885" s="8"/>
      <c r="S885" s="8"/>
      <c r="U885" s="16"/>
      <c r="AC885" s="16"/>
      <c r="AY885" s="17"/>
      <c r="AZ885" s="17"/>
      <c r="BA885" s="10"/>
      <c r="BB885" s="10"/>
    </row>
    <row r="886" spans="13:54" ht="15.75" customHeight="1" x14ac:dyDescent="0.2">
      <c r="M886" s="7"/>
      <c r="R886" s="8"/>
      <c r="S886" s="8"/>
      <c r="U886" s="16"/>
      <c r="AC886" s="16"/>
      <c r="AY886" s="17"/>
      <c r="AZ886" s="17"/>
      <c r="BA886" s="10"/>
      <c r="BB886" s="10"/>
    </row>
    <row r="887" spans="13:54" ht="15.75" customHeight="1" x14ac:dyDescent="0.2">
      <c r="M887" s="7"/>
      <c r="R887" s="8"/>
      <c r="S887" s="8"/>
      <c r="U887" s="16"/>
      <c r="AC887" s="16"/>
      <c r="AY887" s="17"/>
      <c r="AZ887" s="17"/>
      <c r="BA887" s="10"/>
      <c r="BB887" s="10"/>
    </row>
    <row r="888" spans="13:54" ht="15.75" customHeight="1" x14ac:dyDescent="0.2">
      <c r="M888" s="7"/>
      <c r="R888" s="8"/>
      <c r="S888" s="8"/>
      <c r="U888" s="16"/>
      <c r="AC888" s="16"/>
      <c r="AY888" s="17"/>
      <c r="AZ888" s="17"/>
      <c r="BA888" s="10"/>
      <c r="BB888" s="10"/>
    </row>
    <row r="889" spans="13:54" ht="15.75" customHeight="1" x14ac:dyDescent="0.2">
      <c r="M889" s="7"/>
      <c r="R889" s="8"/>
      <c r="S889" s="8"/>
      <c r="U889" s="16"/>
      <c r="AC889" s="16"/>
      <c r="AY889" s="17"/>
      <c r="AZ889" s="17"/>
      <c r="BA889" s="10"/>
      <c r="BB889" s="10"/>
    </row>
    <row r="890" spans="13:54" ht="15.75" customHeight="1" x14ac:dyDescent="0.2">
      <c r="M890" s="7"/>
      <c r="R890" s="8"/>
      <c r="S890" s="8"/>
      <c r="U890" s="16"/>
      <c r="AC890" s="16"/>
      <c r="AY890" s="17"/>
      <c r="AZ890" s="17"/>
      <c r="BA890" s="10"/>
      <c r="BB890" s="10"/>
    </row>
    <row r="891" spans="13:54" ht="15.75" customHeight="1" x14ac:dyDescent="0.2">
      <c r="M891" s="7"/>
      <c r="R891" s="8"/>
      <c r="S891" s="8"/>
      <c r="U891" s="16"/>
      <c r="AC891" s="16"/>
      <c r="AY891" s="17"/>
      <c r="AZ891" s="17"/>
      <c r="BA891" s="10"/>
      <c r="BB891" s="10"/>
    </row>
    <row r="892" spans="13:54" ht="15.75" customHeight="1" x14ac:dyDescent="0.2">
      <c r="M892" s="7"/>
      <c r="R892" s="8"/>
      <c r="S892" s="8"/>
      <c r="U892" s="16"/>
      <c r="AC892" s="16"/>
      <c r="AY892" s="17"/>
      <c r="AZ892" s="17"/>
      <c r="BA892" s="10"/>
      <c r="BB892" s="10"/>
    </row>
    <row r="893" spans="13:54" ht="15.75" customHeight="1" x14ac:dyDescent="0.2">
      <c r="M893" s="7"/>
      <c r="R893" s="8"/>
      <c r="S893" s="8"/>
      <c r="U893" s="16"/>
      <c r="AC893" s="16"/>
      <c r="AY893" s="17"/>
      <c r="AZ893" s="17"/>
      <c r="BA893" s="10"/>
      <c r="BB893" s="10"/>
    </row>
    <row r="894" spans="13:54" ht="15.75" customHeight="1" x14ac:dyDescent="0.2">
      <c r="M894" s="7"/>
      <c r="R894" s="8"/>
      <c r="S894" s="8"/>
      <c r="U894" s="16"/>
      <c r="AC894" s="16"/>
      <c r="AY894" s="17"/>
      <c r="AZ894" s="17"/>
      <c r="BA894" s="10"/>
      <c r="BB894" s="10"/>
    </row>
    <row r="895" spans="13:54" ht="15.75" customHeight="1" x14ac:dyDescent="0.2">
      <c r="M895" s="7"/>
      <c r="R895" s="8"/>
      <c r="S895" s="8"/>
      <c r="U895" s="16"/>
      <c r="AC895" s="16"/>
      <c r="AY895" s="17"/>
      <c r="AZ895" s="17"/>
      <c r="BA895" s="10"/>
      <c r="BB895" s="10"/>
    </row>
    <row r="896" spans="13:54" ht="15.75" customHeight="1" x14ac:dyDescent="0.2">
      <c r="M896" s="7"/>
      <c r="R896" s="8"/>
      <c r="S896" s="8"/>
      <c r="U896" s="16"/>
      <c r="AC896" s="16"/>
      <c r="AY896" s="17"/>
      <c r="AZ896" s="17"/>
      <c r="BA896" s="10"/>
      <c r="BB896" s="10"/>
    </row>
    <row r="897" spans="13:54" ht="15.75" customHeight="1" x14ac:dyDescent="0.2">
      <c r="M897" s="7"/>
      <c r="R897" s="8"/>
      <c r="S897" s="8"/>
      <c r="U897" s="16"/>
      <c r="AC897" s="16"/>
      <c r="AY897" s="17"/>
      <c r="AZ897" s="17"/>
      <c r="BA897" s="10"/>
      <c r="BB897" s="10"/>
    </row>
    <row r="898" spans="13:54" ht="15.75" customHeight="1" x14ac:dyDescent="0.2">
      <c r="M898" s="7"/>
      <c r="R898" s="8"/>
      <c r="S898" s="8"/>
      <c r="U898" s="16"/>
      <c r="AC898" s="16"/>
      <c r="AY898" s="17"/>
      <c r="AZ898" s="17"/>
      <c r="BA898" s="10"/>
      <c r="BB898" s="10"/>
    </row>
    <row r="899" spans="13:54" ht="15.75" customHeight="1" x14ac:dyDescent="0.2">
      <c r="M899" s="7"/>
      <c r="R899" s="8"/>
      <c r="S899" s="8"/>
      <c r="U899" s="16"/>
      <c r="AC899" s="16"/>
      <c r="AY899" s="17"/>
      <c r="AZ899" s="17"/>
      <c r="BA899" s="10"/>
      <c r="BB899" s="10"/>
    </row>
    <row r="900" spans="13:54" ht="15.75" customHeight="1" x14ac:dyDescent="0.2">
      <c r="M900" s="7"/>
      <c r="R900" s="8"/>
      <c r="S900" s="8"/>
      <c r="U900" s="16"/>
      <c r="AC900" s="16"/>
      <c r="AY900" s="17"/>
      <c r="AZ900" s="17"/>
      <c r="BA900" s="10"/>
      <c r="BB900" s="10"/>
    </row>
    <row r="901" spans="13:54" ht="15.75" customHeight="1" x14ac:dyDescent="0.2">
      <c r="M901" s="7"/>
      <c r="R901" s="8"/>
      <c r="S901" s="8"/>
      <c r="U901" s="16"/>
      <c r="AC901" s="16"/>
      <c r="AY901" s="17"/>
      <c r="AZ901" s="17"/>
      <c r="BA901" s="10"/>
      <c r="BB901" s="10"/>
    </row>
    <row r="902" spans="13:54" ht="15.75" customHeight="1" x14ac:dyDescent="0.2">
      <c r="M902" s="7"/>
      <c r="R902" s="8"/>
      <c r="S902" s="8"/>
      <c r="U902" s="16"/>
      <c r="AC902" s="16"/>
      <c r="AY902" s="17"/>
      <c r="AZ902" s="17"/>
      <c r="BA902" s="10"/>
      <c r="BB902" s="10"/>
    </row>
    <row r="903" spans="13:54" ht="15.75" customHeight="1" x14ac:dyDescent="0.2">
      <c r="M903" s="7"/>
      <c r="R903" s="8"/>
      <c r="S903" s="8"/>
      <c r="U903" s="16"/>
      <c r="AC903" s="16"/>
      <c r="AY903" s="17"/>
      <c r="AZ903" s="17"/>
      <c r="BA903" s="10"/>
      <c r="BB903" s="10"/>
    </row>
    <row r="904" spans="13:54" ht="15.75" customHeight="1" x14ac:dyDescent="0.2">
      <c r="M904" s="7"/>
      <c r="R904" s="8"/>
      <c r="S904" s="8"/>
      <c r="U904" s="16"/>
      <c r="AC904" s="16"/>
      <c r="AY904" s="17"/>
      <c r="AZ904" s="17"/>
      <c r="BA904" s="10"/>
      <c r="BB904" s="10"/>
    </row>
    <row r="905" spans="13:54" ht="15.75" customHeight="1" x14ac:dyDescent="0.2">
      <c r="M905" s="7"/>
      <c r="R905" s="8"/>
      <c r="S905" s="8"/>
      <c r="U905" s="16"/>
      <c r="AC905" s="16"/>
      <c r="AY905" s="17"/>
      <c r="AZ905" s="17"/>
      <c r="BA905" s="10"/>
      <c r="BB905" s="10"/>
    </row>
    <row r="906" spans="13:54" ht="15.75" customHeight="1" x14ac:dyDescent="0.2">
      <c r="M906" s="7"/>
      <c r="R906" s="8"/>
      <c r="S906" s="8"/>
      <c r="U906" s="16"/>
      <c r="AC906" s="16"/>
      <c r="AY906" s="17"/>
      <c r="AZ906" s="17"/>
      <c r="BA906" s="10"/>
      <c r="BB906" s="10"/>
    </row>
    <row r="907" spans="13:54" ht="15.75" customHeight="1" x14ac:dyDescent="0.2">
      <c r="M907" s="7"/>
      <c r="R907" s="8"/>
      <c r="S907" s="8"/>
      <c r="U907" s="16"/>
      <c r="AC907" s="16"/>
      <c r="AY907" s="17"/>
      <c r="AZ907" s="17"/>
      <c r="BA907" s="10"/>
      <c r="BB907" s="10"/>
    </row>
    <row r="908" spans="13:54" ht="15.75" customHeight="1" x14ac:dyDescent="0.2">
      <c r="M908" s="7"/>
      <c r="R908" s="8"/>
      <c r="S908" s="8"/>
      <c r="U908" s="16"/>
      <c r="AC908" s="16"/>
      <c r="AY908" s="17"/>
      <c r="AZ908" s="17"/>
      <c r="BA908" s="10"/>
      <c r="BB908" s="10"/>
    </row>
    <row r="909" spans="13:54" ht="15.75" customHeight="1" x14ac:dyDescent="0.2">
      <c r="M909" s="7"/>
      <c r="R909" s="8"/>
      <c r="S909" s="8"/>
      <c r="U909" s="16"/>
      <c r="AC909" s="16"/>
      <c r="AY909" s="17"/>
      <c r="AZ909" s="17"/>
      <c r="BA909" s="10"/>
      <c r="BB909" s="10"/>
    </row>
    <row r="910" spans="13:54" ht="15.75" customHeight="1" x14ac:dyDescent="0.2">
      <c r="M910" s="7"/>
      <c r="R910" s="8"/>
      <c r="S910" s="8"/>
      <c r="U910" s="16"/>
      <c r="AC910" s="16"/>
      <c r="AY910" s="17"/>
      <c r="AZ910" s="17"/>
      <c r="BA910" s="10"/>
      <c r="BB910" s="10"/>
    </row>
    <row r="911" spans="13:54" ht="15.75" customHeight="1" x14ac:dyDescent="0.2">
      <c r="M911" s="7"/>
      <c r="R911" s="8"/>
      <c r="S911" s="8"/>
      <c r="U911" s="16"/>
      <c r="AC911" s="16"/>
      <c r="AY911" s="17"/>
      <c r="AZ911" s="17"/>
      <c r="BA911" s="10"/>
      <c r="BB911" s="10"/>
    </row>
    <row r="912" spans="13:54" ht="15.75" customHeight="1" x14ac:dyDescent="0.2">
      <c r="M912" s="7"/>
      <c r="R912" s="8"/>
      <c r="S912" s="8"/>
      <c r="U912" s="16"/>
      <c r="AC912" s="16"/>
      <c r="AY912" s="17"/>
      <c r="AZ912" s="17"/>
      <c r="BA912" s="10"/>
      <c r="BB912" s="10"/>
    </row>
    <row r="913" spans="13:54" ht="15.75" customHeight="1" x14ac:dyDescent="0.2">
      <c r="M913" s="7"/>
      <c r="R913" s="8"/>
      <c r="S913" s="8"/>
      <c r="U913" s="16"/>
      <c r="AC913" s="16"/>
      <c r="AY913" s="17"/>
      <c r="AZ913" s="17"/>
      <c r="BA913" s="10"/>
      <c r="BB913" s="10"/>
    </row>
    <row r="914" spans="13:54" ht="15.75" customHeight="1" x14ac:dyDescent="0.2">
      <c r="M914" s="7"/>
      <c r="R914" s="8"/>
      <c r="S914" s="8"/>
      <c r="U914" s="16"/>
      <c r="AC914" s="16"/>
      <c r="AY914" s="17"/>
      <c r="AZ914" s="17"/>
      <c r="BA914" s="10"/>
      <c r="BB914" s="10"/>
    </row>
    <row r="915" spans="13:54" ht="15.75" customHeight="1" x14ac:dyDescent="0.2">
      <c r="M915" s="7"/>
      <c r="R915" s="8"/>
      <c r="S915" s="8"/>
      <c r="U915" s="16"/>
      <c r="AC915" s="16"/>
      <c r="AY915" s="17"/>
      <c r="AZ915" s="17"/>
      <c r="BA915" s="10"/>
      <c r="BB915" s="10"/>
    </row>
    <row r="916" spans="13:54" ht="15.75" customHeight="1" x14ac:dyDescent="0.2">
      <c r="M916" s="7"/>
      <c r="R916" s="8"/>
      <c r="S916" s="8"/>
      <c r="U916" s="16"/>
      <c r="AC916" s="16"/>
      <c r="AY916" s="17"/>
      <c r="AZ916" s="17"/>
      <c r="BA916" s="10"/>
      <c r="BB916" s="10"/>
    </row>
    <row r="917" spans="13:54" ht="15.75" customHeight="1" x14ac:dyDescent="0.2">
      <c r="M917" s="7"/>
      <c r="R917" s="8"/>
      <c r="S917" s="8"/>
      <c r="U917" s="16"/>
      <c r="AC917" s="16"/>
      <c r="AY917" s="17"/>
      <c r="AZ917" s="17"/>
      <c r="BA917" s="10"/>
      <c r="BB917" s="10"/>
    </row>
    <row r="918" spans="13:54" ht="15.75" customHeight="1" x14ac:dyDescent="0.2">
      <c r="M918" s="7"/>
      <c r="R918" s="8"/>
      <c r="S918" s="8"/>
      <c r="U918" s="16"/>
      <c r="AC918" s="16"/>
      <c r="AY918" s="17"/>
      <c r="AZ918" s="17"/>
      <c r="BA918" s="10"/>
      <c r="BB918" s="10"/>
    </row>
    <row r="919" spans="13:54" ht="15.75" customHeight="1" x14ac:dyDescent="0.2">
      <c r="M919" s="7"/>
      <c r="R919" s="8"/>
      <c r="S919" s="8"/>
      <c r="U919" s="16"/>
      <c r="AC919" s="16"/>
      <c r="AY919" s="17"/>
      <c r="AZ919" s="17"/>
      <c r="BA919" s="10"/>
      <c r="BB919" s="10"/>
    </row>
    <row r="920" spans="13:54" ht="15.75" customHeight="1" x14ac:dyDescent="0.2">
      <c r="M920" s="7"/>
      <c r="R920" s="8"/>
      <c r="S920" s="8"/>
      <c r="U920" s="16"/>
      <c r="AC920" s="16"/>
      <c r="AY920" s="17"/>
      <c r="AZ920" s="17"/>
      <c r="BA920" s="10"/>
      <c r="BB920" s="10"/>
    </row>
    <row r="921" spans="13:54" ht="15.75" customHeight="1" x14ac:dyDescent="0.2">
      <c r="M921" s="7"/>
      <c r="R921" s="8"/>
      <c r="S921" s="8"/>
      <c r="U921" s="16"/>
      <c r="AC921" s="16"/>
      <c r="AY921" s="17"/>
      <c r="AZ921" s="17"/>
      <c r="BA921" s="10"/>
      <c r="BB921" s="10"/>
    </row>
    <row r="922" spans="13:54" ht="15.75" customHeight="1" x14ac:dyDescent="0.2">
      <c r="M922" s="7"/>
      <c r="R922" s="8"/>
      <c r="S922" s="8"/>
      <c r="U922" s="16"/>
      <c r="AC922" s="16"/>
      <c r="AY922" s="17"/>
      <c r="AZ922" s="17"/>
      <c r="BA922" s="10"/>
      <c r="BB922" s="10"/>
    </row>
    <row r="923" spans="13:54" ht="15.75" customHeight="1" x14ac:dyDescent="0.2">
      <c r="M923" s="7"/>
      <c r="R923" s="8"/>
      <c r="S923" s="8"/>
      <c r="U923" s="16"/>
      <c r="AC923" s="16"/>
      <c r="AY923" s="17"/>
      <c r="AZ923" s="17"/>
      <c r="BA923" s="10"/>
      <c r="BB923" s="10"/>
    </row>
    <row r="924" spans="13:54" ht="15.75" customHeight="1" x14ac:dyDescent="0.2">
      <c r="M924" s="7"/>
      <c r="R924" s="8"/>
      <c r="S924" s="8"/>
      <c r="U924" s="16"/>
      <c r="AC924" s="16"/>
      <c r="AY924" s="17"/>
      <c r="AZ924" s="17"/>
      <c r="BA924" s="10"/>
      <c r="BB924" s="10"/>
    </row>
    <row r="925" spans="13:54" ht="15.75" customHeight="1" x14ac:dyDescent="0.2">
      <c r="M925" s="7"/>
      <c r="R925" s="8"/>
      <c r="S925" s="8"/>
      <c r="U925" s="16"/>
      <c r="AC925" s="16"/>
      <c r="AY925" s="17"/>
      <c r="AZ925" s="17"/>
      <c r="BA925" s="10"/>
      <c r="BB925" s="10"/>
    </row>
    <row r="926" spans="13:54" ht="15.75" customHeight="1" x14ac:dyDescent="0.2">
      <c r="M926" s="7"/>
      <c r="R926" s="8"/>
      <c r="S926" s="8"/>
      <c r="U926" s="16"/>
      <c r="AC926" s="16"/>
      <c r="AY926" s="17"/>
      <c r="AZ926" s="17"/>
      <c r="BA926" s="10"/>
      <c r="BB926" s="10"/>
    </row>
    <row r="927" spans="13:54" ht="15.75" customHeight="1" x14ac:dyDescent="0.2">
      <c r="M927" s="7"/>
      <c r="R927" s="8"/>
      <c r="S927" s="8"/>
      <c r="U927" s="16"/>
      <c r="AC927" s="16"/>
      <c r="AY927" s="17"/>
      <c r="AZ927" s="17"/>
      <c r="BA927" s="10"/>
      <c r="BB927" s="10"/>
    </row>
    <row r="928" spans="13:54" ht="15.75" customHeight="1" x14ac:dyDescent="0.2">
      <c r="M928" s="7"/>
      <c r="R928" s="8"/>
      <c r="S928" s="8"/>
      <c r="U928" s="16"/>
      <c r="AC928" s="16"/>
      <c r="AY928" s="17"/>
      <c r="AZ928" s="17"/>
      <c r="BA928" s="10"/>
      <c r="BB928" s="10"/>
    </row>
    <row r="929" spans="13:54" ht="15.75" customHeight="1" x14ac:dyDescent="0.2">
      <c r="M929" s="7"/>
      <c r="R929" s="8"/>
      <c r="S929" s="8"/>
      <c r="U929" s="16"/>
      <c r="AC929" s="16"/>
      <c r="AY929" s="17"/>
      <c r="AZ929" s="17"/>
      <c r="BA929" s="10"/>
      <c r="BB929" s="10"/>
    </row>
    <row r="930" spans="13:54" ht="15.75" customHeight="1" x14ac:dyDescent="0.2">
      <c r="M930" s="7"/>
      <c r="R930" s="8"/>
      <c r="S930" s="8"/>
      <c r="U930" s="16"/>
      <c r="AC930" s="16"/>
      <c r="AY930" s="17"/>
      <c r="AZ930" s="17"/>
      <c r="BA930" s="10"/>
      <c r="BB930" s="10"/>
    </row>
    <row r="931" spans="13:54" ht="15.75" customHeight="1" x14ac:dyDescent="0.2">
      <c r="M931" s="7"/>
      <c r="R931" s="8"/>
      <c r="S931" s="8"/>
      <c r="U931" s="16"/>
      <c r="AC931" s="16"/>
      <c r="AY931" s="17"/>
      <c r="AZ931" s="17"/>
      <c r="BA931" s="10"/>
      <c r="BB931" s="10"/>
    </row>
    <row r="932" spans="13:54" ht="15.75" customHeight="1" x14ac:dyDescent="0.2">
      <c r="M932" s="7"/>
      <c r="R932" s="8"/>
      <c r="S932" s="8"/>
      <c r="U932" s="16"/>
      <c r="AC932" s="16"/>
      <c r="AY932" s="17"/>
      <c r="AZ932" s="17"/>
      <c r="BA932" s="10"/>
      <c r="BB932" s="10"/>
    </row>
    <row r="933" spans="13:54" ht="15.75" customHeight="1" x14ac:dyDescent="0.2">
      <c r="M933" s="7"/>
      <c r="R933" s="8"/>
      <c r="S933" s="8"/>
      <c r="U933" s="16"/>
      <c r="AC933" s="16"/>
      <c r="AY933" s="17"/>
      <c r="AZ933" s="17"/>
      <c r="BA933" s="10"/>
      <c r="BB933" s="10"/>
    </row>
    <row r="934" spans="13:54" ht="15.75" customHeight="1" x14ac:dyDescent="0.2">
      <c r="M934" s="7"/>
      <c r="R934" s="8"/>
      <c r="S934" s="8"/>
      <c r="U934" s="16"/>
      <c r="AC934" s="16"/>
      <c r="AY934" s="17"/>
      <c r="AZ934" s="17"/>
      <c r="BA934" s="10"/>
      <c r="BB934" s="10"/>
    </row>
    <row r="935" spans="13:54" ht="15.75" customHeight="1" x14ac:dyDescent="0.2">
      <c r="M935" s="7"/>
      <c r="R935" s="8"/>
      <c r="S935" s="8"/>
      <c r="U935" s="16"/>
      <c r="AC935" s="16"/>
      <c r="AY935" s="17"/>
      <c r="AZ935" s="17"/>
      <c r="BA935" s="10"/>
      <c r="BB935" s="10"/>
    </row>
    <row r="936" spans="13:54" ht="15.75" customHeight="1" x14ac:dyDescent="0.2">
      <c r="M936" s="7"/>
      <c r="R936" s="8"/>
      <c r="S936" s="8"/>
      <c r="U936" s="16"/>
      <c r="AC936" s="16"/>
      <c r="AY936" s="17"/>
      <c r="AZ936" s="17"/>
      <c r="BA936" s="10"/>
      <c r="BB936" s="10"/>
    </row>
    <row r="937" spans="13:54" ht="15.75" customHeight="1" x14ac:dyDescent="0.2">
      <c r="M937" s="7"/>
      <c r="R937" s="8"/>
      <c r="S937" s="8"/>
      <c r="U937" s="16"/>
      <c r="AC937" s="16"/>
      <c r="AY937" s="17"/>
      <c r="AZ937" s="17"/>
      <c r="BA937" s="10"/>
      <c r="BB937" s="10"/>
    </row>
    <row r="938" spans="13:54" ht="15.75" customHeight="1" x14ac:dyDescent="0.2">
      <c r="M938" s="7"/>
      <c r="R938" s="8"/>
      <c r="S938" s="8"/>
      <c r="U938" s="16"/>
      <c r="AC938" s="16"/>
      <c r="AY938" s="17"/>
      <c r="AZ938" s="17"/>
      <c r="BA938" s="10"/>
      <c r="BB938" s="10"/>
    </row>
    <row r="939" spans="13:54" ht="15.75" customHeight="1" x14ac:dyDescent="0.2">
      <c r="M939" s="7"/>
      <c r="R939" s="8"/>
      <c r="S939" s="8"/>
      <c r="U939" s="16"/>
      <c r="AC939" s="16"/>
      <c r="AY939" s="17"/>
      <c r="AZ939" s="17"/>
      <c r="BA939" s="10"/>
      <c r="BB939" s="10"/>
    </row>
    <row r="940" spans="13:54" ht="15.75" customHeight="1" x14ac:dyDescent="0.2">
      <c r="M940" s="7"/>
      <c r="R940" s="8"/>
      <c r="S940" s="8"/>
      <c r="U940" s="16"/>
      <c r="AC940" s="16"/>
      <c r="AY940" s="17"/>
      <c r="AZ940" s="17"/>
      <c r="BA940" s="10"/>
      <c r="BB940" s="10"/>
    </row>
    <row r="941" spans="13:54" ht="15.75" customHeight="1" x14ac:dyDescent="0.2">
      <c r="M941" s="7"/>
      <c r="R941" s="8"/>
      <c r="S941" s="8"/>
      <c r="U941" s="16"/>
      <c r="AC941" s="16"/>
      <c r="AY941" s="17"/>
      <c r="AZ941" s="17"/>
      <c r="BA941" s="10"/>
      <c r="BB941" s="10"/>
    </row>
    <row r="942" spans="13:54" ht="15.75" customHeight="1" x14ac:dyDescent="0.2">
      <c r="M942" s="7"/>
      <c r="R942" s="8"/>
      <c r="S942" s="8"/>
      <c r="U942" s="16"/>
      <c r="AC942" s="16"/>
      <c r="AY942" s="17"/>
      <c r="AZ942" s="17"/>
      <c r="BA942" s="10"/>
      <c r="BB942" s="10"/>
    </row>
    <row r="943" spans="13:54" ht="15.75" customHeight="1" x14ac:dyDescent="0.2">
      <c r="M943" s="7"/>
      <c r="R943" s="8"/>
      <c r="S943" s="8"/>
      <c r="U943" s="16"/>
      <c r="AC943" s="16"/>
      <c r="AY943" s="17"/>
      <c r="AZ943" s="17"/>
      <c r="BA943" s="10"/>
      <c r="BB943" s="10"/>
    </row>
    <row r="944" spans="13:54" ht="15.75" customHeight="1" x14ac:dyDescent="0.2">
      <c r="M944" s="7"/>
      <c r="R944" s="8"/>
      <c r="S944" s="8"/>
      <c r="U944" s="16"/>
      <c r="AC944" s="16"/>
      <c r="AY944" s="17"/>
      <c r="AZ944" s="17"/>
      <c r="BA944" s="10"/>
      <c r="BB944" s="10"/>
    </row>
    <row r="945" spans="13:54" ht="15.75" customHeight="1" x14ac:dyDescent="0.2">
      <c r="M945" s="7"/>
      <c r="R945" s="8"/>
      <c r="S945" s="8"/>
      <c r="U945" s="16"/>
      <c r="AC945" s="16"/>
      <c r="AY945" s="17"/>
      <c r="AZ945" s="17"/>
      <c r="BA945" s="10"/>
      <c r="BB945" s="10"/>
    </row>
    <row r="946" spans="13:54" ht="15.75" customHeight="1" x14ac:dyDescent="0.2">
      <c r="M946" s="7"/>
      <c r="R946" s="8"/>
      <c r="S946" s="8"/>
      <c r="U946" s="16"/>
      <c r="AC946" s="16"/>
      <c r="AY946" s="17"/>
      <c r="AZ946" s="17"/>
      <c r="BA946" s="10"/>
      <c r="BB946" s="10"/>
    </row>
    <row r="947" spans="13:54" ht="15.75" customHeight="1" x14ac:dyDescent="0.2">
      <c r="M947" s="7"/>
      <c r="R947" s="8"/>
      <c r="S947" s="8"/>
      <c r="U947" s="16"/>
      <c r="AC947" s="16"/>
      <c r="AY947" s="17"/>
      <c r="AZ947" s="17"/>
      <c r="BA947" s="10"/>
      <c r="BB947" s="10"/>
    </row>
    <row r="948" spans="13:54" ht="15.75" customHeight="1" x14ac:dyDescent="0.2">
      <c r="M948" s="7"/>
      <c r="R948" s="8"/>
      <c r="S948" s="8"/>
      <c r="U948" s="16"/>
      <c r="AC948" s="16"/>
      <c r="AY948" s="17"/>
      <c r="AZ948" s="17"/>
      <c r="BA948" s="10"/>
      <c r="BB948" s="10"/>
    </row>
    <row r="949" spans="13:54" ht="15.75" customHeight="1" x14ac:dyDescent="0.2">
      <c r="M949" s="7"/>
      <c r="R949" s="8"/>
      <c r="S949" s="8"/>
      <c r="U949" s="16"/>
      <c r="AC949" s="16"/>
      <c r="AY949" s="17"/>
      <c r="AZ949" s="17"/>
      <c r="BA949" s="10"/>
      <c r="BB949" s="10"/>
    </row>
    <row r="950" spans="13:54" ht="15.75" customHeight="1" x14ac:dyDescent="0.2">
      <c r="M950" s="7"/>
      <c r="R950" s="8"/>
      <c r="S950" s="8"/>
      <c r="U950" s="16"/>
      <c r="AC950" s="16"/>
      <c r="AY950" s="17"/>
      <c r="AZ950" s="17"/>
      <c r="BA950" s="10"/>
      <c r="BB950" s="10"/>
    </row>
    <row r="951" spans="13:54" ht="15.75" customHeight="1" x14ac:dyDescent="0.2">
      <c r="M951" s="7"/>
      <c r="R951" s="8"/>
      <c r="S951" s="8"/>
      <c r="U951" s="16"/>
      <c r="AC951" s="16"/>
      <c r="AY951" s="17"/>
      <c r="AZ951" s="17"/>
      <c r="BA951" s="10"/>
      <c r="BB951" s="1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968"/>
  <sheetViews>
    <sheetView showGridLines="0" workbookViewId="0"/>
  </sheetViews>
  <sheetFormatPr defaultColWidth="12.5703125" defaultRowHeight="15" customHeight="1" x14ac:dyDescent="0.2"/>
  <cols>
    <col min="1" max="1" width="8.85546875" customWidth="1"/>
    <col min="2" max="2" width="19.85546875" customWidth="1"/>
    <col min="3" max="3" width="15.5703125" customWidth="1"/>
    <col min="4" max="4" width="11.5703125" customWidth="1"/>
    <col min="5" max="5" width="8.140625" customWidth="1"/>
    <col min="6" max="7" width="8.42578125" customWidth="1"/>
    <col min="8" max="26" width="8.85546875" customWidth="1"/>
  </cols>
  <sheetData>
    <row r="1" spans="2:7" ht="12" customHeight="1" x14ac:dyDescent="0.2">
      <c r="B1" s="18"/>
      <c r="C1" s="19"/>
      <c r="D1" s="19"/>
      <c r="E1" s="19"/>
      <c r="F1" s="19"/>
      <c r="G1" s="20"/>
    </row>
    <row r="2" spans="2:7" ht="12" customHeight="1" x14ac:dyDescent="0.2">
      <c r="B2" s="21" t="s">
        <v>135</v>
      </c>
      <c r="C2" s="22" t="s">
        <v>136</v>
      </c>
      <c r="D2" s="22" t="s">
        <v>137</v>
      </c>
      <c r="E2" s="22" t="s">
        <v>138</v>
      </c>
      <c r="F2" s="22" t="s">
        <v>139</v>
      </c>
      <c r="G2" s="23" t="s">
        <v>140</v>
      </c>
    </row>
    <row r="3" spans="2:7" ht="12" customHeight="1" x14ac:dyDescent="0.2">
      <c r="B3" s="21" t="s">
        <v>141</v>
      </c>
      <c r="C3" s="24" t="s">
        <v>142</v>
      </c>
      <c r="D3" s="24" t="s">
        <v>143</v>
      </c>
      <c r="E3" s="24" t="s">
        <v>144</v>
      </c>
      <c r="F3" s="24" t="s">
        <v>145</v>
      </c>
      <c r="G3" s="24" t="s">
        <v>146</v>
      </c>
    </row>
    <row r="4" spans="2:7" ht="12" customHeight="1" x14ac:dyDescent="0.2">
      <c r="B4" s="21" t="s">
        <v>147</v>
      </c>
      <c r="C4" s="24" t="s">
        <v>148</v>
      </c>
      <c r="D4" s="24" t="s">
        <v>143</v>
      </c>
      <c r="E4" s="24" t="s">
        <v>144</v>
      </c>
      <c r="F4" s="24" t="s">
        <v>149</v>
      </c>
      <c r="G4" s="24" t="s">
        <v>146</v>
      </c>
    </row>
    <row r="5" spans="2:7" ht="12" customHeight="1" x14ac:dyDescent="0.2">
      <c r="B5" s="21" t="s">
        <v>150</v>
      </c>
      <c r="C5" s="24" t="s">
        <v>151</v>
      </c>
      <c r="D5" s="24" t="s">
        <v>143</v>
      </c>
      <c r="E5" s="24" t="s">
        <v>144</v>
      </c>
      <c r="F5" s="24" t="s">
        <v>152</v>
      </c>
      <c r="G5" s="24" t="s">
        <v>146</v>
      </c>
    </row>
    <row r="6" spans="2:7" ht="12" customHeight="1" x14ac:dyDescent="0.2">
      <c r="B6" s="21" t="s">
        <v>153</v>
      </c>
      <c r="C6" s="24" t="s">
        <v>154</v>
      </c>
      <c r="D6" s="24" t="s">
        <v>143</v>
      </c>
      <c r="E6" s="24" t="s">
        <v>144</v>
      </c>
      <c r="F6" s="24" t="s">
        <v>155</v>
      </c>
      <c r="G6" s="24" t="s">
        <v>156</v>
      </c>
    </row>
    <row r="7" spans="2:7" ht="12" customHeight="1" x14ac:dyDescent="0.2">
      <c r="B7" s="21" t="s">
        <v>157</v>
      </c>
      <c r="C7" s="24" t="s">
        <v>158</v>
      </c>
      <c r="D7" s="24" t="s">
        <v>159</v>
      </c>
      <c r="E7" s="24" t="s">
        <v>144</v>
      </c>
      <c r="F7" s="24" t="s">
        <v>160</v>
      </c>
      <c r="G7" s="24" t="s">
        <v>146</v>
      </c>
    </row>
    <row r="8" spans="2:7" ht="12" customHeight="1" x14ac:dyDescent="0.2">
      <c r="B8" s="21" t="s">
        <v>161</v>
      </c>
      <c r="C8" s="24" t="s">
        <v>162</v>
      </c>
      <c r="D8" s="24" t="s">
        <v>143</v>
      </c>
      <c r="E8" s="24">
        <v>48</v>
      </c>
      <c r="F8" s="24" t="s">
        <v>152</v>
      </c>
      <c r="G8" s="24" t="s">
        <v>146</v>
      </c>
    </row>
    <row r="9" spans="2:7" ht="12" customHeight="1" x14ac:dyDescent="0.2">
      <c r="B9" s="21" t="s">
        <v>163</v>
      </c>
      <c r="C9" s="24" t="s">
        <v>164</v>
      </c>
      <c r="D9" s="24" t="s">
        <v>143</v>
      </c>
      <c r="E9" s="24">
        <v>672</v>
      </c>
      <c r="F9" s="24" t="s">
        <v>165</v>
      </c>
      <c r="G9" s="24" t="s">
        <v>146</v>
      </c>
    </row>
    <row r="10" spans="2:7" ht="12" customHeight="1" x14ac:dyDescent="0.2">
      <c r="B10" s="21" t="s">
        <v>166</v>
      </c>
      <c r="C10" s="24" t="s">
        <v>164</v>
      </c>
      <c r="D10" s="24" t="s">
        <v>143</v>
      </c>
      <c r="E10" s="24">
        <v>672</v>
      </c>
      <c r="F10" s="24" t="s">
        <v>165</v>
      </c>
      <c r="G10" s="24" t="s">
        <v>146</v>
      </c>
    </row>
    <row r="11" spans="2:7" ht="12" customHeight="1" x14ac:dyDescent="0.2">
      <c r="B11" s="21" t="s">
        <v>167</v>
      </c>
      <c r="C11" s="24" t="s">
        <v>168</v>
      </c>
      <c r="D11" s="24" t="s">
        <v>169</v>
      </c>
      <c r="E11" s="24">
        <v>24</v>
      </c>
      <c r="F11" s="24" t="s">
        <v>144</v>
      </c>
      <c r="G11" s="24" t="s">
        <v>146</v>
      </c>
    </row>
    <row r="12" spans="2:7" ht="12" customHeight="1" x14ac:dyDescent="0.2">
      <c r="B12" s="21" t="s">
        <v>170</v>
      </c>
      <c r="C12" s="24" t="s">
        <v>171</v>
      </c>
      <c r="D12" s="24" t="s">
        <v>169</v>
      </c>
      <c r="E12" s="24" t="s">
        <v>172</v>
      </c>
      <c r="F12" s="24" t="s">
        <v>144</v>
      </c>
      <c r="G12" s="24" t="s">
        <v>173</v>
      </c>
    </row>
    <row r="13" spans="2:7" ht="12" customHeight="1" x14ac:dyDescent="0.2">
      <c r="B13" s="21" t="s">
        <v>174</v>
      </c>
      <c r="C13" s="24" t="s">
        <v>175</v>
      </c>
      <c r="D13" s="24" t="s">
        <v>169</v>
      </c>
      <c r="E13" s="24">
        <v>48</v>
      </c>
      <c r="F13" s="24" t="s">
        <v>160</v>
      </c>
      <c r="G13" s="24" t="s">
        <v>146</v>
      </c>
    </row>
    <row r="14" spans="2:7" ht="12" customHeight="1" x14ac:dyDescent="0.2">
      <c r="B14" s="21" t="s">
        <v>176</v>
      </c>
      <c r="C14" s="24" t="s">
        <v>177</v>
      </c>
      <c r="D14" s="24" t="s">
        <v>169</v>
      </c>
      <c r="E14" s="24">
        <v>48</v>
      </c>
      <c r="F14" s="24" t="s">
        <v>178</v>
      </c>
      <c r="G14" s="24" t="s">
        <v>146</v>
      </c>
    </row>
    <row r="15" spans="2:7" ht="12" customHeight="1" x14ac:dyDescent="0.2">
      <c r="B15" s="21" t="s">
        <v>179</v>
      </c>
      <c r="C15" s="24" t="s">
        <v>180</v>
      </c>
      <c r="D15" s="24" t="s">
        <v>169</v>
      </c>
      <c r="E15" s="24">
        <v>48</v>
      </c>
      <c r="F15" s="24" t="s">
        <v>181</v>
      </c>
      <c r="G15" s="24" t="s">
        <v>146</v>
      </c>
    </row>
    <row r="16" spans="2:7" ht="12" customHeight="1" x14ac:dyDescent="0.2">
      <c r="B16" s="21" t="s">
        <v>182</v>
      </c>
      <c r="C16" s="24" t="s">
        <v>183</v>
      </c>
      <c r="D16" s="24" t="s">
        <v>169</v>
      </c>
      <c r="E16" s="24">
        <v>672</v>
      </c>
      <c r="F16" s="24" t="s">
        <v>184</v>
      </c>
      <c r="G16" s="24" t="s">
        <v>146</v>
      </c>
    </row>
    <row r="17" spans="2:7" ht="12" customHeight="1" x14ac:dyDescent="0.2">
      <c r="B17" s="21" t="s">
        <v>185</v>
      </c>
      <c r="C17" s="24" t="s">
        <v>186</v>
      </c>
      <c r="D17" s="24" t="s">
        <v>169</v>
      </c>
      <c r="E17" s="24">
        <v>672</v>
      </c>
      <c r="F17" s="24" t="s">
        <v>187</v>
      </c>
      <c r="G17" s="24" t="s">
        <v>146</v>
      </c>
    </row>
    <row r="18" spans="2:7" ht="12" customHeight="1" x14ac:dyDescent="0.2">
      <c r="B18" s="21" t="s">
        <v>188</v>
      </c>
      <c r="C18" s="24" t="s">
        <v>189</v>
      </c>
      <c r="D18" s="24" t="s">
        <v>169</v>
      </c>
      <c r="E18" s="24">
        <v>672</v>
      </c>
      <c r="F18" s="24" t="s">
        <v>184</v>
      </c>
      <c r="G18" s="24" t="s">
        <v>146</v>
      </c>
    </row>
    <row r="19" spans="2:7" ht="12" customHeight="1" x14ac:dyDescent="0.2">
      <c r="B19" s="4"/>
    </row>
    <row r="20" spans="2:7" ht="12" customHeight="1" x14ac:dyDescent="0.2"/>
    <row r="21" spans="2:7" ht="12" customHeight="1" x14ac:dyDescent="0.2"/>
    <row r="22" spans="2:7" ht="12" customHeight="1" x14ac:dyDescent="0.2"/>
    <row r="23" spans="2:7" ht="12" customHeight="1" x14ac:dyDescent="0.2"/>
    <row r="24" spans="2:7" ht="12" customHeight="1" x14ac:dyDescent="0.2"/>
    <row r="25" spans="2:7" ht="12" customHeight="1" x14ac:dyDescent="0.2"/>
    <row r="26" spans="2:7" ht="12" customHeight="1" x14ac:dyDescent="0.2"/>
    <row r="27" spans="2:7" ht="12" customHeight="1" x14ac:dyDescent="0.2"/>
    <row r="28" spans="2:7" ht="12" customHeight="1" x14ac:dyDescent="0.2"/>
    <row r="29" spans="2:7" ht="12" customHeight="1" x14ac:dyDescent="0.2"/>
    <row r="30" spans="2:7" ht="12" customHeight="1" x14ac:dyDescent="0.2"/>
    <row r="31" spans="2:7" ht="12" customHeight="1" x14ac:dyDescent="0.2"/>
    <row r="32" spans="2:7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000"/>
  <sheetViews>
    <sheetView workbookViewId="0"/>
  </sheetViews>
  <sheetFormatPr defaultColWidth="12.5703125" defaultRowHeight="15" customHeight="1" x14ac:dyDescent="0.2"/>
  <cols>
    <col min="1" max="1" width="27.140625" customWidth="1"/>
    <col min="3" max="3" width="16.85546875" customWidth="1"/>
    <col min="4" max="4" width="19.42578125" customWidth="1"/>
    <col min="7" max="7" width="14.42578125" customWidth="1"/>
  </cols>
  <sheetData>
    <row r="1" spans="1:32" ht="15.75" customHeight="1" x14ac:dyDescent="0.25">
      <c r="A1" s="25" t="s">
        <v>1</v>
      </c>
      <c r="B1" s="26" t="s">
        <v>3</v>
      </c>
      <c r="C1" s="26" t="s">
        <v>6</v>
      </c>
      <c r="D1" s="26" t="s">
        <v>7</v>
      </c>
      <c r="E1" s="26" t="s">
        <v>12</v>
      </c>
      <c r="F1" s="26" t="s">
        <v>190</v>
      </c>
      <c r="G1" s="27" t="s">
        <v>191</v>
      </c>
      <c r="H1" s="28"/>
      <c r="I1" s="28" t="s">
        <v>192</v>
      </c>
      <c r="J1" s="28" t="s">
        <v>193</v>
      </c>
      <c r="K1" s="28" t="s">
        <v>194</v>
      </c>
      <c r="L1" s="28" t="s">
        <v>195</v>
      </c>
      <c r="M1" s="28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ht="15.75" customHeight="1" x14ac:dyDescent="0.25">
      <c r="A2" s="25"/>
      <c r="B2" s="26"/>
      <c r="C2" s="26"/>
      <c r="D2" s="26"/>
      <c r="E2" s="30"/>
      <c r="F2" s="31"/>
      <c r="G2" s="32"/>
      <c r="H2" s="33"/>
      <c r="I2" s="34"/>
      <c r="J2" s="4"/>
      <c r="K2" s="35"/>
      <c r="L2" s="35"/>
      <c r="O2" s="36"/>
      <c r="P2" s="37"/>
      <c r="Q2" s="37"/>
      <c r="R2" s="36"/>
      <c r="S2" s="36"/>
      <c r="T2" s="37"/>
      <c r="U2" s="37"/>
      <c r="V2" s="37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2" ht="15.75" customHeight="1" x14ac:dyDescent="0.25">
      <c r="A3" s="25"/>
      <c r="B3" s="26"/>
      <c r="C3" s="26"/>
      <c r="D3" s="26"/>
      <c r="E3" s="30"/>
      <c r="F3" s="31"/>
      <c r="G3" s="32"/>
      <c r="H3" s="33"/>
      <c r="I3" s="34"/>
      <c r="J3" s="4"/>
      <c r="K3" s="33"/>
      <c r="L3" s="33"/>
      <c r="O3" s="37"/>
      <c r="P3" s="37"/>
      <c r="Q3" s="37"/>
      <c r="R3" s="37"/>
      <c r="S3" s="37"/>
      <c r="T3" s="37"/>
      <c r="U3" s="37"/>
      <c r="V3" s="37"/>
      <c r="W3" s="39"/>
      <c r="X3" s="39"/>
      <c r="Y3" s="39"/>
      <c r="Z3" s="39"/>
      <c r="AA3" s="39"/>
      <c r="AB3" s="39"/>
      <c r="AC3" s="39"/>
      <c r="AD3" s="39"/>
      <c r="AE3" s="39"/>
      <c r="AF3" s="39"/>
    </row>
    <row r="4" spans="1:32" ht="15.75" customHeight="1" x14ac:dyDescent="0.2">
      <c r="A4" s="25"/>
      <c r="B4" s="26"/>
      <c r="C4" s="26"/>
      <c r="D4" s="26"/>
      <c r="E4" s="30"/>
      <c r="F4" s="31"/>
      <c r="G4" s="32"/>
      <c r="H4" s="33"/>
      <c r="I4" s="32"/>
      <c r="J4" s="4"/>
      <c r="O4" s="37"/>
      <c r="P4" s="37"/>
      <c r="Q4" s="37"/>
      <c r="R4" s="37"/>
      <c r="S4" s="37"/>
      <c r="T4" s="37"/>
      <c r="U4" s="37"/>
      <c r="V4" s="37"/>
      <c r="W4" s="39"/>
      <c r="X4" s="39"/>
      <c r="Y4" s="39"/>
      <c r="Z4" s="39"/>
      <c r="AA4" s="39"/>
      <c r="AB4" s="39"/>
      <c r="AC4" s="39"/>
      <c r="AD4" s="39"/>
      <c r="AE4" s="39"/>
      <c r="AF4" s="39"/>
    </row>
    <row r="5" spans="1:32" ht="15.75" customHeight="1" x14ac:dyDescent="0.2">
      <c r="A5" s="25"/>
      <c r="B5" s="26"/>
      <c r="C5" s="26"/>
      <c r="D5" s="26"/>
      <c r="E5" s="30"/>
      <c r="F5" s="31"/>
      <c r="G5" s="32"/>
      <c r="H5" s="33"/>
      <c r="I5" s="32"/>
      <c r="J5" s="4"/>
      <c r="O5" s="37"/>
      <c r="P5" s="37"/>
      <c r="Q5" s="37"/>
      <c r="R5" s="37"/>
      <c r="S5" s="37"/>
      <c r="T5" s="37"/>
      <c r="U5" s="37"/>
      <c r="V5" s="37"/>
      <c r="W5" s="39"/>
      <c r="X5" s="39"/>
      <c r="Y5" s="39"/>
      <c r="Z5" s="39"/>
      <c r="AA5" s="39"/>
      <c r="AB5" s="39"/>
      <c r="AC5" s="39"/>
      <c r="AD5" s="39"/>
      <c r="AE5" s="39"/>
      <c r="AF5" s="39"/>
    </row>
    <row r="6" spans="1:32" ht="15.75" customHeight="1" x14ac:dyDescent="0.2">
      <c r="A6" s="25"/>
      <c r="B6" s="26"/>
      <c r="C6" s="26"/>
      <c r="D6" s="26"/>
      <c r="E6" s="30"/>
      <c r="F6" s="31"/>
      <c r="G6" s="32"/>
      <c r="H6" s="33"/>
      <c r="I6" s="32"/>
      <c r="J6" s="4"/>
      <c r="O6" s="37"/>
      <c r="P6" s="37"/>
      <c r="Q6" s="37"/>
      <c r="R6" s="37"/>
      <c r="S6" s="37"/>
      <c r="T6" s="37"/>
      <c r="U6" s="37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</row>
    <row r="7" spans="1:32" ht="15.75" customHeight="1" x14ac:dyDescent="0.25">
      <c r="A7" s="25"/>
      <c r="B7" s="26"/>
      <c r="C7" s="26"/>
      <c r="D7" s="26"/>
      <c r="E7" s="30"/>
      <c r="F7" s="31"/>
      <c r="G7" s="32"/>
      <c r="H7" s="33"/>
      <c r="I7" s="34"/>
      <c r="J7" s="4"/>
      <c r="O7" s="37"/>
      <c r="P7" s="37"/>
      <c r="Q7" s="37"/>
      <c r="R7" s="37"/>
      <c r="S7" s="37"/>
      <c r="T7" s="37"/>
      <c r="U7" s="37"/>
      <c r="V7" s="37"/>
      <c r="W7" s="38"/>
      <c r="X7" s="38"/>
      <c r="Y7" s="38"/>
      <c r="Z7" s="38"/>
      <c r="AA7" s="38"/>
      <c r="AB7" s="38"/>
      <c r="AC7" s="38"/>
      <c r="AD7" s="38"/>
      <c r="AE7" s="38"/>
      <c r="AF7" s="38"/>
    </row>
    <row r="8" spans="1:32" ht="15.75" customHeight="1" x14ac:dyDescent="0.25">
      <c r="A8" s="25"/>
      <c r="B8" s="26"/>
      <c r="C8" s="26"/>
      <c r="D8" s="26"/>
      <c r="E8" s="30"/>
      <c r="F8" s="31"/>
      <c r="G8" s="32"/>
      <c r="H8" s="33"/>
      <c r="I8" s="34"/>
      <c r="J8" s="4"/>
      <c r="O8" s="37"/>
      <c r="P8" s="37"/>
      <c r="Q8" s="37"/>
      <c r="R8" s="37"/>
      <c r="S8" s="37"/>
      <c r="T8" s="37"/>
      <c r="U8" s="37"/>
      <c r="V8" s="37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 spans="1:32" ht="15.75" customHeight="1" x14ac:dyDescent="0.25">
      <c r="A9" s="25"/>
      <c r="B9" s="26"/>
      <c r="C9" s="26"/>
      <c r="D9" s="26"/>
      <c r="E9" s="30"/>
      <c r="F9" s="31"/>
      <c r="G9" s="32"/>
      <c r="H9" s="33"/>
      <c r="I9" s="34"/>
      <c r="J9" s="4"/>
      <c r="O9" s="37"/>
      <c r="P9" s="37"/>
      <c r="Q9" s="37"/>
      <c r="R9" s="37"/>
      <c r="S9" s="37"/>
      <c r="T9" s="37"/>
      <c r="U9" s="37"/>
      <c r="V9" s="37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1:32" ht="15.75" customHeight="1" x14ac:dyDescent="0.2">
      <c r="A10" s="25"/>
      <c r="B10" s="26"/>
      <c r="C10" s="26"/>
      <c r="D10" s="26"/>
      <c r="E10" s="30"/>
      <c r="F10" s="31"/>
      <c r="G10" s="32"/>
      <c r="H10" s="33"/>
      <c r="O10" s="37"/>
      <c r="P10" s="37"/>
      <c r="Q10" s="37"/>
      <c r="R10" s="37"/>
      <c r="S10" s="37"/>
      <c r="T10" s="37"/>
      <c r="U10" s="37"/>
      <c r="V10" s="37"/>
      <c r="W10" s="39"/>
      <c r="X10" s="39"/>
      <c r="Y10" s="39"/>
      <c r="Z10" s="39"/>
      <c r="AA10" s="39"/>
      <c r="AB10" s="39"/>
      <c r="AC10" s="39"/>
      <c r="AD10" s="39"/>
      <c r="AE10" s="39"/>
      <c r="AF10" s="39"/>
    </row>
    <row r="11" spans="1:32" ht="15.75" customHeight="1" x14ac:dyDescent="0.2">
      <c r="A11" s="25"/>
      <c r="B11" s="26"/>
      <c r="C11" s="26"/>
      <c r="D11" s="26"/>
      <c r="E11" s="30"/>
      <c r="F11" s="31"/>
      <c r="G11" s="32"/>
      <c r="H11" s="33"/>
      <c r="O11" s="37"/>
      <c r="P11" s="37"/>
      <c r="Q11" s="37"/>
      <c r="R11" s="37"/>
      <c r="S11" s="37"/>
      <c r="T11" s="37"/>
      <c r="U11" s="37"/>
      <c r="V11" s="37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 spans="1:32" ht="15.75" customHeight="1" x14ac:dyDescent="0.2">
      <c r="A12" s="25"/>
      <c r="B12" s="26"/>
      <c r="C12" s="26"/>
      <c r="D12" s="26"/>
      <c r="E12" s="30"/>
      <c r="F12" s="31"/>
      <c r="G12" s="32"/>
      <c r="H12" s="33"/>
      <c r="O12" s="37"/>
      <c r="P12" s="37"/>
      <c r="Q12" s="37"/>
      <c r="R12" s="37"/>
      <c r="S12" s="37"/>
      <c r="T12" s="37"/>
      <c r="U12" s="37"/>
      <c r="V12" s="37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 spans="1:32" ht="15.75" customHeight="1" x14ac:dyDescent="0.2">
      <c r="A13" s="25"/>
      <c r="B13" s="26"/>
      <c r="C13" s="26"/>
      <c r="D13" s="26"/>
      <c r="E13" s="30"/>
      <c r="F13" s="31"/>
      <c r="G13" s="32"/>
      <c r="H13" s="33"/>
      <c r="O13" s="37"/>
      <c r="P13" s="37"/>
      <c r="Q13" s="37"/>
      <c r="R13" s="37"/>
      <c r="S13" s="37"/>
      <c r="T13" s="37"/>
      <c r="U13" s="37"/>
      <c r="V13" s="37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spans="1:32" ht="15.75" customHeight="1" x14ac:dyDescent="0.2">
      <c r="A14" s="25"/>
      <c r="B14" s="26"/>
      <c r="C14" s="26"/>
      <c r="D14" s="26"/>
      <c r="E14" s="30"/>
      <c r="F14" s="31"/>
      <c r="G14" s="32"/>
      <c r="H14" s="33"/>
      <c r="O14" s="37"/>
      <c r="P14" s="37"/>
      <c r="Q14" s="37"/>
      <c r="R14" s="37"/>
      <c r="S14" s="37"/>
      <c r="T14" s="37"/>
      <c r="U14" s="37"/>
      <c r="V14" s="37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 spans="1:32" ht="15.75" customHeight="1" x14ac:dyDescent="0.2">
      <c r="A15" s="25"/>
      <c r="B15" s="26"/>
      <c r="C15" s="26"/>
      <c r="D15" s="26"/>
      <c r="E15" s="30"/>
      <c r="F15" s="31"/>
      <c r="G15" s="32"/>
      <c r="H15" s="33"/>
      <c r="O15" s="37"/>
      <c r="P15" s="37"/>
      <c r="Q15" s="37"/>
      <c r="R15" s="37"/>
      <c r="S15" s="37"/>
      <c r="T15" s="37"/>
      <c r="U15" s="37"/>
      <c r="V15" s="37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 spans="1:32" ht="15.75" customHeight="1" x14ac:dyDescent="0.2">
      <c r="A16" s="25"/>
      <c r="B16" s="26"/>
      <c r="C16" s="26"/>
      <c r="D16" s="26"/>
      <c r="E16" s="30"/>
      <c r="F16" s="31"/>
      <c r="G16" s="32"/>
      <c r="H16" s="33"/>
      <c r="O16" s="37"/>
      <c r="P16" s="37"/>
      <c r="Q16" s="37"/>
      <c r="R16" s="37"/>
      <c r="S16" s="37"/>
      <c r="T16" s="37"/>
      <c r="U16" s="37"/>
      <c r="V16" s="37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 spans="1:32" ht="15.75" customHeight="1" x14ac:dyDescent="0.2">
      <c r="A17" s="25"/>
      <c r="B17" s="26"/>
      <c r="C17" s="26"/>
      <c r="D17" s="26"/>
      <c r="E17" s="30"/>
      <c r="F17" s="31"/>
      <c r="G17" s="32"/>
      <c r="H17" s="33"/>
      <c r="O17" s="37"/>
      <c r="P17" s="37"/>
      <c r="Q17" s="37"/>
      <c r="R17" s="37"/>
      <c r="S17" s="37"/>
      <c r="T17" s="37"/>
      <c r="U17" s="37"/>
      <c r="V17" s="37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spans="1:32" ht="15.75" customHeight="1" x14ac:dyDescent="0.2">
      <c r="A18" s="25"/>
      <c r="B18" s="26"/>
      <c r="C18" s="26"/>
      <c r="D18" s="26"/>
      <c r="E18" s="30"/>
      <c r="F18" s="31"/>
      <c r="G18" s="32"/>
      <c r="H18" s="33"/>
      <c r="O18" s="37"/>
      <c r="P18" s="37"/>
      <c r="Q18" s="37"/>
      <c r="R18" s="37"/>
      <c r="S18" s="37"/>
      <c r="T18" s="37"/>
      <c r="U18" s="37"/>
      <c r="V18" s="37"/>
      <c r="W18" s="39"/>
      <c r="X18" s="39"/>
      <c r="Y18" s="39"/>
      <c r="Z18" s="39"/>
      <c r="AA18" s="39"/>
      <c r="AB18" s="39"/>
      <c r="AC18" s="39"/>
      <c r="AD18" s="39"/>
      <c r="AE18" s="39"/>
      <c r="AF18" s="39"/>
    </row>
    <row r="19" spans="1:32" ht="15.75" customHeight="1" x14ac:dyDescent="0.2">
      <c r="A19" s="25"/>
      <c r="B19" s="26"/>
      <c r="C19" s="26"/>
      <c r="D19" s="26"/>
      <c r="E19" s="30"/>
      <c r="F19" s="31"/>
      <c r="G19" s="32"/>
      <c r="H19" s="33"/>
      <c r="O19" s="37"/>
      <c r="P19" s="37"/>
      <c r="Q19" s="37"/>
      <c r="R19" s="37"/>
      <c r="S19" s="37"/>
      <c r="T19" s="37"/>
      <c r="U19" s="37"/>
      <c r="V19" s="37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2" ht="15.75" customHeight="1" x14ac:dyDescent="0.2">
      <c r="A20" s="25"/>
      <c r="B20" s="26"/>
      <c r="C20" s="26"/>
      <c r="D20" s="26"/>
      <c r="E20" s="30"/>
      <c r="F20" s="31"/>
      <c r="G20" s="32"/>
      <c r="H20" s="33"/>
      <c r="O20" s="37"/>
      <c r="P20" s="37"/>
      <c r="Q20" s="37"/>
      <c r="R20" s="37"/>
      <c r="S20" s="37"/>
      <c r="T20" s="37"/>
      <c r="U20" s="37"/>
      <c r="V20" s="37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2" ht="15.75" customHeight="1" x14ac:dyDescent="0.2">
      <c r="A21" s="25"/>
      <c r="B21" s="26"/>
      <c r="C21" s="26"/>
      <c r="D21" s="26"/>
      <c r="E21" s="30"/>
      <c r="F21" s="31"/>
      <c r="G21" s="32"/>
      <c r="H21" s="33"/>
      <c r="O21" s="37"/>
      <c r="P21" s="37"/>
      <c r="Q21" s="37"/>
      <c r="R21" s="37"/>
      <c r="S21" s="37"/>
      <c r="T21" s="37"/>
      <c r="U21" s="37"/>
      <c r="V21" s="37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1:32" ht="15.75" customHeight="1" x14ac:dyDescent="0.2">
      <c r="A22" s="25"/>
      <c r="B22" s="26"/>
      <c r="C22" s="26"/>
      <c r="D22" s="26"/>
      <c r="E22" s="30"/>
      <c r="F22" s="31"/>
      <c r="G22" s="32"/>
      <c r="H22" s="33"/>
      <c r="O22" s="37"/>
      <c r="P22" s="37"/>
      <c r="Q22" s="37"/>
      <c r="R22" s="37"/>
      <c r="S22" s="37"/>
      <c r="T22" s="37"/>
      <c r="U22" s="37"/>
      <c r="V22" s="37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spans="1:32" ht="15.75" customHeight="1" x14ac:dyDescent="0.2">
      <c r="A23" s="25"/>
      <c r="B23" s="26"/>
      <c r="C23" s="26"/>
      <c r="D23" s="26"/>
      <c r="E23" s="30"/>
      <c r="F23" s="31"/>
      <c r="G23" s="32"/>
      <c r="H23" s="33"/>
      <c r="O23" s="37"/>
      <c r="P23" s="37"/>
      <c r="Q23" s="37"/>
      <c r="R23" s="37"/>
      <c r="S23" s="37"/>
      <c r="T23" s="37"/>
      <c r="U23" s="37"/>
      <c r="V23" s="37"/>
      <c r="W23" s="39"/>
      <c r="X23" s="39"/>
      <c r="Y23" s="39"/>
      <c r="Z23" s="39"/>
      <c r="AA23" s="39"/>
      <c r="AB23" s="39"/>
      <c r="AC23" s="39"/>
      <c r="AD23" s="39"/>
      <c r="AE23" s="39"/>
      <c r="AF23" s="39"/>
    </row>
    <row r="24" spans="1:32" ht="15.75" customHeight="1" x14ac:dyDescent="0.25">
      <c r="A24" s="25"/>
      <c r="B24" s="26"/>
      <c r="C24" s="26"/>
      <c r="D24" s="26"/>
      <c r="E24" s="30"/>
      <c r="F24" s="31"/>
      <c r="G24" s="32"/>
      <c r="H24" s="33"/>
      <c r="O24" s="40"/>
      <c r="P24" s="40"/>
      <c r="Q24" s="40"/>
      <c r="R24" s="40"/>
      <c r="S24" s="40"/>
      <c r="T24" s="40"/>
      <c r="U24" s="40"/>
      <c r="V24" s="40"/>
      <c r="W24" s="41"/>
      <c r="X24" s="41"/>
      <c r="Y24" s="41"/>
      <c r="Z24" s="41"/>
      <c r="AA24" s="41"/>
      <c r="AB24" s="41"/>
      <c r="AC24" s="41"/>
      <c r="AD24" s="41"/>
      <c r="AE24" s="41"/>
      <c r="AF24" s="41"/>
    </row>
    <row r="25" spans="1:32" ht="15.75" customHeight="1" x14ac:dyDescent="0.25">
      <c r="A25" s="25"/>
      <c r="B25" s="26"/>
      <c r="C25" s="26"/>
      <c r="D25" s="26"/>
      <c r="E25" s="30"/>
      <c r="F25" s="31"/>
      <c r="G25" s="32"/>
      <c r="H25" s="33"/>
      <c r="O25" s="40"/>
      <c r="P25" s="40"/>
      <c r="Q25" s="40"/>
      <c r="R25" s="40"/>
      <c r="S25" s="40"/>
      <c r="T25" s="40"/>
      <c r="U25" s="40"/>
      <c r="V25" s="40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spans="1:32" ht="15.75" customHeight="1" x14ac:dyDescent="0.25">
      <c r="A26" s="25"/>
      <c r="B26" s="26"/>
      <c r="C26" s="26"/>
      <c r="D26" s="26"/>
      <c r="E26" s="30"/>
      <c r="F26" s="31"/>
      <c r="G26" s="32"/>
      <c r="H26" s="33"/>
      <c r="O26" s="40"/>
      <c r="P26" s="40"/>
      <c r="Q26" s="40"/>
      <c r="R26" s="40"/>
      <c r="S26" s="40"/>
      <c r="T26" s="40"/>
      <c r="U26" s="40"/>
      <c r="V26" s="40"/>
      <c r="W26" s="41"/>
      <c r="X26" s="41"/>
      <c r="Y26" s="41"/>
      <c r="Z26" s="41"/>
      <c r="AA26" s="41"/>
      <c r="AB26" s="41"/>
      <c r="AC26" s="41"/>
      <c r="AD26" s="41"/>
      <c r="AE26" s="41"/>
      <c r="AF26" s="41"/>
    </row>
    <row r="27" spans="1:32" ht="15.75" customHeight="1" x14ac:dyDescent="0.25">
      <c r="A27" s="25"/>
      <c r="B27" s="26"/>
      <c r="C27" s="26"/>
      <c r="D27" s="26"/>
      <c r="E27" s="30"/>
      <c r="F27" s="31"/>
      <c r="G27" s="32"/>
      <c r="H27" s="33"/>
      <c r="O27" s="40"/>
      <c r="P27" s="40"/>
      <c r="Q27" s="40"/>
      <c r="R27" s="40"/>
      <c r="S27" s="40"/>
      <c r="T27" s="40"/>
      <c r="U27" s="40"/>
      <c r="V27" s="40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spans="1:32" ht="15.75" customHeight="1" x14ac:dyDescent="0.25">
      <c r="A28" s="25"/>
      <c r="B28" s="26"/>
      <c r="C28" s="26"/>
      <c r="D28" s="26"/>
      <c r="E28" s="30"/>
      <c r="F28" s="31"/>
      <c r="G28" s="32"/>
      <c r="H28" s="33"/>
      <c r="O28" s="40"/>
      <c r="P28" s="40"/>
      <c r="Q28" s="40"/>
      <c r="R28" s="40"/>
      <c r="S28" s="40"/>
      <c r="T28" s="40"/>
      <c r="U28" s="40"/>
      <c r="V28" s="40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 spans="1:32" ht="15.75" customHeight="1" x14ac:dyDescent="0.25">
      <c r="A29" s="25"/>
      <c r="B29" s="26"/>
      <c r="C29" s="26"/>
      <c r="D29" s="26"/>
      <c r="E29" s="30"/>
      <c r="F29" s="31"/>
      <c r="G29" s="32"/>
      <c r="H29" s="33"/>
      <c r="O29" s="40"/>
      <c r="P29" s="40"/>
      <c r="Q29" s="40"/>
      <c r="R29" s="40"/>
      <c r="S29" s="40"/>
      <c r="T29" s="40"/>
      <c r="U29" s="40"/>
      <c r="V29" s="40"/>
      <c r="W29" s="41"/>
      <c r="X29" s="41"/>
      <c r="Y29" s="41"/>
      <c r="Z29" s="41"/>
      <c r="AA29" s="41"/>
      <c r="AB29" s="41"/>
      <c r="AC29" s="41"/>
      <c r="AD29" s="41"/>
      <c r="AE29" s="41"/>
      <c r="AF29" s="41"/>
    </row>
    <row r="30" spans="1:32" ht="15.75" customHeight="1" x14ac:dyDescent="0.25">
      <c r="A30" s="25"/>
      <c r="B30" s="26"/>
      <c r="C30" s="26"/>
      <c r="D30" s="26"/>
      <c r="E30" s="30"/>
      <c r="F30" s="31"/>
      <c r="G30" s="32"/>
      <c r="H30" s="33"/>
      <c r="O30" s="40"/>
      <c r="P30" s="40"/>
      <c r="Q30" s="40"/>
      <c r="R30" s="40"/>
      <c r="S30" s="40"/>
      <c r="T30" s="40"/>
      <c r="U30" s="40"/>
      <c r="V30" s="40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spans="1:32" ht="15.75" customHeight="1" x14ac:dyDescent="0.25">
      <c r="A31" s="25"/>
      <c r="B31" s="26"/>
      <c r="C31" s="26"/>
      <c r="D31" s="26"/>
      <c r="E31" s="30"/>
      <c r="F31" s="31"/>
      <c r="G31" s="32"/>
      <c r="H31" s="33"/>
      <c r="O31" s="40"/>
      <c r="P31" s="40"/>
      <c r="Q31" s="40"/>
      <c r="R31" s="40"/>
      <c r="S31" s="40"/>
      <c r="T31" s="40"/>
      <c r="U31" s="40"/>
      <c r="V31" s="40"/>
      <c r="W31" s="41"/>
      <c r="X31" s="41"/>
      <c r="Y31" s="41"/>
      <c r="Z31" s="41"/>
      <c r="AA31" s="41"/>
      <c r="AB31" s="41"/>
      <c r="AC31" s="41"/>
      <c r="AD31" s="41"/>
      <c r="AE31" s="41"/>
      <c r="AF31" s="41"/>
    </row>
    <row r="32" spans="1:32" ht="15.75" customHeight="1" x14ac:dyDescent="0.25">
      <c r="A32" s="25"/>
      <c r="B32" s="26"/>
      <c r="C32" s="26"/>
      <c r="D32" s="26"/>
      <c r="E32" s="30"/>
      <c r="F32" s="31"/>
      <c r="G32" s="32"/>
      <c r="H32" s="33"/>
      <c r="O32" s="40"/>
      <c r="P32" s="40"/>
      <c r="Q32" s="40"/>
      <c r="R32" s="40"/>
      <c r="S32" s="40"/>
      <c r="T32" s="40"/>
      <c r="U32" s="40"/>
      <c r="V32" s="40"/>
      <c r="W32" s="41"/>
      <c r="X32" s="41"/>
      <c r="Y32" s="41"/>
      <c r="Z32" s="41"/>
      <c r="AA32" s="41"/>
      <c r="AB32" s="41"/>
      <c r="AC32" s="41"/>
      <c r="AD32" s="41"/>
      <c r="AE32" s="41"/>
      <c r="AF32" s="41"/>
    </row>
    <row r="33" spans="1:32" ht="15.75" customHeight="1" x14ac:dyDescent="0.25">
      <c r="A33" s="25"/>
      <c r="B33" s="26"/>
      <c r="C33" s="26"/>
      <c r="D33" s="26"/>
      <c r="E33" s="30"/>
      <c r="F33" s="31"/>
      <c r="G33" s="32"/>
      <c r="H33" s="33"/>
      <c r="O33" s="40"/>
      <c r="P33" s="40"/>
      <c r="Q33" s="40"/>
      <c r="R33" s="40"/>
      <c r="S33" s="40"/>
      <c r="T33" s="40"/>
      <c r="U33" s="40"/>
      <c r="V33" s="40"/>
      <c r="W33" s="41"/>
      <c r="X33" s="41"/>
      <c r="Y33" s="41"/>
      <c r="Z33" s="41"/>
      <c r="AA33" s="41"/>
      <c r="AB33" s="41"/>
      <c r="AC33" s="41"/>
      <c r="AD33" s="41"/>
      <c r="AE33" s="41"/>
      <c r="AF33" s="41"/>
    </row>
    <row r="34" spans="1:32" ht="15.75" customHeight="1" x14ac:dyDescent="0.25">
      <c r="A34" s="25"/>
      <c r="B34" s="26"/>
      <c r="C34" s="26"/>
      <c r="D34" s="26"/>
      <c r="E34" s="30"/>
      <c r="F34" s="31"/>
      <c r="G34" s="32"/>
      <c r="H34" s="33"/>
      <c r="O34" s="40"/>
      <c r="P34" s="40"/>
      <c r="Q34" s="40"/>
      <c r="R34" s="40"/>
      <c r="S34" s="40"/>
      <c r="T34" s="40"/>
      <c r="U34" s="40"/>
      <c r="V34" s="40"/>
      <c r="W34" s="41"/>
      <c r="X34" s="41"/>
      <c r="Y34" s="41"/>
      <c r="Z34" s="41"/>
      <c r="AA34" s="41"/>
      <c r="AB34" s="41"/>
      <c r="AC34" s="41"/>
      <c r="AD34" s="41"/>
      <c r="AE34" s="41"/>
      <c r="AF34" s="41"/>
    </row>
    <row r="35" spans="1:32" ht="15.75" customHeight="1" x14ac:dyDescent="0.25">
      <c r="A35" s="25"/>
      <c r="B35" s="26"/>
      <c r="C35" s="26"/>
      <c r="D35" s="26"/>
      <c r="E35" s="30"/>
      <c r="F35" s="31"/>
      <c r="G35" s="32"/>
      <c r="H35" s="33"/>
      <c r="O35" s="40"/>
      <c r="P35" s="40"/>
      <c r="Q35" s="40"/>
      <c r="R35" s="40"/>
      <c r="S35" s="40"/>
      <c r="T35" s="40"/>
      <c r="U35" s="40"/>
      <c r="V35" s="40"/>
      <c r="W35" s="41"/>
      <c r="X35" s="41"/>
      <c r="Y35" s="41"/>
      <c r="Z35" s="41"/>
      <c r="AA35" s="41"/>
      <c r="AB35" s="41"/>
      <c r="AC35" s="41"/>
      <c r="AD35" s="41"/>
      <c r="AE35" s="41"/>
      <c r="AF35" s="41"/>
    </row>
    <row r="36" spans="1:32" ht="15.75" customHeight="1" x14ac:dyDescent="0.25">
      <c r="A36" s="25"/>
      <c r="B36" s="26"/>
      <c r="C36" s="26"/>
      <c r="D36" s="26"/>
      <c r="E36" s="30"/>
      <c r="F36" s="31"/>
      <c r="G36" s="32"/>
      <c r="H36" s="33"/>
      <c r="O36" s="40"/>
      <c r="P36" s="40"/>
      <c r="Q36" s="40"/>
      <c r="R36" s="40"/>
      <c r="S36" s="40"/>
      <c r="T36" s="40"/>
      <c r="U36" s="40"/>
      <c r="V36" s="40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spans="1:32" ht="15.75" customHeight="1" x14ac:dyDescent="0.25">
      <c r="A37" s="25"/>
      <c r="B37" s="26"/>
      <c r="C37" s="26"/>
      <c r="D37" s="26"/>
      <c r="E37" s="30"/>
      <c r="F37" s="31"/>
      <c r="G37" s="32"/>
      <c r="H37" s="33"/>
      <c r="O37" s="40"/>
      <c r="P37" s="40"/>
      <c r="Q37" s="40"/>
      <c r="R37" s="40"/>
      <c r="S37" s="40"/>
      <c r="T37" s="40"/>
      <c r="U37" s="40"/>
      <c r="V37" s="40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8" spans="1:32" ht="15.75" customHeight="1" x14ac:dyDescent="0.25">
      <c r="A38" s="25"/>
      <c r="B38" s="26"/>
      <c r="C38" s="26"/>
      <c r="D38" s="26"/>
      <c r="E38" s="30"/>
      <c r="F38" s="31"/>
      <c r="G38" s="32"/>
      <c r="H38" s="33"/>
      <c r="O38" s="40"/>
      <c r="P38" s="40"/>
      <c r="Q38" s="40"/>
      <c r="R38" s="40"/>
      <c r="S38" s="40"/>
      <c r="T38" s="40"/>
      <c r="U38" s="40"/>
      <c r="V38" s="40"/>
      <c r="W38" s="41"/>
      <c r="X38" s="41"/>
      <c r="Y38" s="41"/>
      <c r="Z38" s="41"/>
      <c r="AA38" s="41"/>
      <c r="AB38" s="41"/>
      <c r="AC38" s="41"/>
      <c r="AD38" s="41"/>
      <c r="AE38" s="41"/>
      <c r="AF38" s="41"/>
    </row>
    <row r="39" spans="1:32" ht="15.75" customHeight="1" x14ac:dyDescent="0.25">
      <c r="A39" s="25"/>
      <c r="B39" s="26"/>
      <c r="C39" s="26"/>
      <c r="D39" s="26"/>
      <c r="E39" s="30"/>
      <c r="F39" s="31"/>
      <c r="G39" s="32"/>
      <c r="H39" s="33"/>
      <c r="O39" s="42"/>
      <c r="P39" s="40"/>
      <c r="Q39" s="40"/>
      <c r="R39" s="42"/>
      <c r="S39" s="42"/>
      <c r="T39" s="40"/>
      <c r="U39" s="40"/>
      <c r="V39" s="40"/>
      <c r="W39" s="41"/>
      <c r="X39" s="41"/>
      <c r="Y39" s="41"/>
      <c r="Z39" s="41"/>
      <c r="AA39" s="41"/>
      <c r="AB39" s="41"/>
      <c r="AC39" s="41"/>
      <c r="AD39" s="41"/>
      <c r="AE39" s="41"/>
      <c r="AF39" s="41"/>
    </row>
    <row r="40" spans="1:32" ht="15.75" customHeight="1" x14ac:dyDescent="0.25">
      <c r="A40" s="25"/>
      <c r="B40" s="26"/>
      <c r="C40" s="26"/>
      <c r="D40" s="26"/>
      <c r="E40" s="30"/>
      <c r="F40" s="31"/>
      <c r="G40" s="32"/>
      <c r="H40" s="33"/>
      <c r="O40" s="40"/>
      <c r="P40" s="40"/>
      <c r="Q40" s="40"/>
      <c r="R40" s="40"/>
      <c r="S40" s="40"/>
      <c r="T40" s="40"/>
      <c r="U40" s="40"/>
      <c r="V40" s="40"/>
      <c r="W40" s="41"/>
      <c r="X40" s="41"/>
      <c r="Y40" s="41"/>
      <c r="Z40" s="41"/>
      <c r="AA40" s="41"/>
      <c r="AB40" s="41"/>
      <c r="AC40" s="41"/>
      <c r="AD40" s="41"/>
      <c r="AE40" s="41"/>
      <c r="AF40" s="41"/>
    </row>
    <row r="41" spans="1:32" ht="15.75" customHeight="1" x14ac:dyDescent="0.25">
      <c r="A41" s="25"/>
      <c r="B41" s="26"/>
      <c r="C41" s="26"/>
      <c r="D41" s="26"/>
      <c r="E41" s="30"/>
      <c r="F41" s="31"/>
      <c r="G41" s="32"/>
      <c r="H41" s="33"/>
      <c r="O41" s="42"/>
      <c r="P41" s="42"/>
      <c r="Q41" s="42"/>
      <c r="R41" s="42"/>
      <c r="S41" s="42"/>
      <c r="T41" s="42"/>
      <c r="U41" s="42"/>
      <c r="V41" s="42"/>
      <c r="W41" s="41"/>
      <c r="X41" s="41"/>
      <c r="Y41" s="41"/>
      <c r="Z41" s="41"/>
      <c r="AA41" s="41"/>
      <c r="AB41" s="41"/>
      <c r="AC41" s="41"/>
      <c r="AD41" s="41"/>
      <c r="AE41" s="41"/>
      <c r="AF41" s="41"/>
    </row>
    <row r="42" spans="1:32" ht="15.75" customHeight="1" x14ac:dyDescent="0.2">
      <c r="A42" s="25"/>
      <c r="B42" s="26"/>
      <c r="C42" s="26"/>
      <c r="D42" s="26"/>
      <c r="E42" s="30"/>
      <c r="F42" s="31"/>
      <c r="G42" s="32"/>
      <c r="H42" s="33"/>
      <c r="O42" s="36"/>
      <c r="P42" s="36"/>
      <c r="Q42" s="36"/>
      <c r="R42" s="36"/>
      <c r="S42" s="36"/>
      <c r="T42" s="37"/>
      <c r="U42" s="37"/>
      <c r="V42" s="37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ht="15.75" customHeight="1" x14ac:dyDescent="0.2">
      <c r="A43" s="25"/>
      <c r="B43" s="26"/>
      <c r="C43" s="26"/>
      <c r="D43" s="26"/>
      <c r="E43" s="30"/>
      <c r="F43" s="31"/>
      <c r="G43" s="32"/>
      <c r="H43" s="33"/>
      <c r="O43" s="36"/>
      <c r="P43" s="36"/>
      <c r="Q43" s="36"/>
      <c r="R43" s="36"/>
      <c r="S43" s="36"/>
      <c r="T43" s="36"/>
      <c r="U43" s="36"/>
      <c r="V43" s="36"/>
      <c r="W43" s="43"/>
      <c r="X43" s="43"/>
      <c r="Y43" s="43"/>
      <c r="Z43" s="43"/>
      <c r="AA43" s="43"/>
      <c r="AB43" s="43"/>
      <c r="AC43" s="43"/>
      <c r="AD43" s="43"/>
      <c r="AE43" s="43"/>
      <c r="AF43" s="43"/>
    </row>
    <row r="44" spans="1:32" ht="15.75" customHeight="1" x14ac:dyDescent="0.25">
      <c r="A44" s="25"/>
      <c r="B44" s="26"/>
      <c r="C44" s="26"/>
      <c r="D44" s="26"/>
      <c r="E44" s="30"/>
      <c r="F44" s="31"/>
      <c r="G44" s="32"/>
      <c r="H44" s="33"/>
      <c r="O44" s="42"/>
      <c r="P44" s="42"/>
      <c r="Q44" s="42"/>
      <c r="R44" s="42"/>
      <c r="S44" s="42"/>
      <c r="T44" s="42"/>
      <c r="U44" s="42"/>
      <c r="V44" s="42"/>
      <c r="W44" s="41"/>
      <c r="X44" s="41"/>
      <c r="Y44" s="41"/>
      <c r="Z44" s="41"/>
      <c r="AA44" s="41"/>
      <c r="AB44" s="41"/>
      <c r="AC44" s="41"/>
      <c r="AD44" s="41"/>
      <c r="AE44" s="41"/>
      <c r="AF44" s="41"/>
    </row>
    <row r="45" spans="1:32" ht="15.75" customHeight="1" x14ac:dyDescent="0.2">
      <c r="A45" s="25"/>
      <c r="B45" s="26"/>
      <c r="C45" s="26"/>
      <c r="D45" s="26"/>
      <c r="E45" s="30"/>
      <c r="F45" s="31"/>
      <c r="G45" s="32"/>
      <c r="H45" s="33"/>
      <c r="O45" s="36"/>
      <c r="P45" s="36"/>
      <c r="Q45" s="36"/>
      <c r="R45" s="36"/>
      <c r="S45" s="36"/>
      <c r="T45" s="36"/>
      <c r="U45" s="36"/>
      <c r="V45" s="36"/>
      <c r="W45" s="43"/>
      <c r="X45" s="43"/>
      <c r="Y45" s="43"/>
      <c r="Z45" s="43"/>
      <c r="AA45" s="43"/>
      <c r="AB45" s="43"/>
      <c r="AC45" s="43"/>
      <c r="AD45" s="43"/>
      <c r="AE45" s="43"/>
      <c r="AF45" s="43"/>
    </row>
    <row r="46" spans="1:32" ht="15.75" customHeight="1" x14ac:dyDescent="0.2">
      <c r="A46" s="44"/>
      <c r="B46" s="45"/>
      <c r="C46" s="45"/>
      <c r="D46" s="45"/>
      <c r="E46" s="46"/>
      <c r="F46" s="47"/>
      <c r="G46" s="32"/>
      <c r="H46" s="33"/>
      <c r="O46" s="36"/>
      <c r="P46" s="36"/>
      <c r="Q46" s="36"/>
      <c r="R46" s="36"/>
      <c r="S46" s="36"/>
      <c r="T46" s="36"/>
      <c r="U46" s="36"/>
      <c r="V46" s="36"/>
      <c r="W46" s="43"/>
      <c r="X46" s="43"/>
      <c r="Y46" s="43"/>
      <c r="Z46" s="43"/>
      <c r="AA46" s="43"/>
      <c r="AB46" s="43"/>
      <c r="AC46" s="43"/>
      <c r="AD46" s="43"/>
      <c r="AE46" s="43"/>
      <c r="AF46" s="43"/>
    </row>
    <row r="47" spans="1:32" ht="15.75" customHeight="1" x14ac:dyDescent="0.2">
      <c r="A47" s="74" t="s">
        <v>196</v>
      </c>
      <c r="B47" s="75"/>
      <c r="C47" s="75"/>
      <c r="D47" s="75"/>
      <c r="E47" s="75"/>
      <c r="F47" s="75"/>
      <c r="G47" s="76"/>
      <c r="H47" s="33"/>
      <c r="O47" s="36"/>
      <c r="P47" s="36"/>
      <c r="Q47" s="36"/>
      <c r="R47" s="36"/>
      <c r="S47" s="36"/>
      <c r="T47" s="36"/>
      <c r="U47" s="36"/>
      <c r="V47" s="36"/>
      <c r="W47" s="43"/>
      <c r="X47" s="43"/>
      <c r="Y47" s="43"/>
      <c r="Z47" s="43"/>
      <c r="AA47" s="43"/>
      <c r="AB47" s="43"/>
      <c r="AC47" s="43"/>
      <c r="AD47" s="43"/>
      <c r="AE47" s="43"/>
      <c r="AF47" s="43"/>
    </row>
    <row r="48" spans="1:32" ht="15.75" customHeight="1" x14ac:dyDescent="0.2">
      <c r="A48" s="48"/>
      <c r="B48" s="49"/>
      <c r="C48" s="49"/>
      <c r="D48" s="49"/>
      <c r="E48" s="50"/>
      <c r="F48" s="51"/>
      <c r="G48" s="52"/>
      <c r="H48" s="33"/>
      <c r="O48" s="37"/>
      <c r="P48" s="37"/>
      <c r="Q48" s="37"/>
      <c r="R48" s="37"/>
      <c r="S48" s="37"/>
      <c r="T48" s="37"/>
      <c r="U48" s="37"/>
      <c r="V48" s="37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1:32" ht="15.75" customHeight="1" x14ac:dyDescent="0.2">
      <c r="A49" s="25"/>
      <c r="B49" s="26"/>
      <c r="C49" s="26"/>
      <c r="D49" s="26"/>
      <c r="E49" s="30"/>
      <c r="F49" s="31"/>
      <c r="G49" s="32"/>
      <c r="H49" s="33"/>
      <c r="O49" s="37"/>
      <c r="P49" s="37"/>
      <c r="Q49" s="37"/>
      <c r="R49" s="37"/>
      <c r="S49" s="37"/>
      <c r="T49" s="37"/>
      <c r="U49" s="37"/>
      <c r="V49" s="37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ht="15.75" customHeight="1" x14ac:dyDescent="0.2">
      <c r="A50" s="25"/>
      <c r="B50" s="26"/>
      <c r="C50" s="26"/>
      <c r="D50" s="26"/>
      <c r="E50" s="30"/>
      <c r="F50" s="31"/>
      <c r="G50" s="32"/>
      <c r="H50" s="33"/>
      <c r="O50" s="37"/>
      <c r="P50" s="37"/>
      <c r="Q50" s="37"/>
      <c r="R50" s="37"/>
      <c r="S50" s="37"/>
      <c r="T50" s="37"/>
      <c r="U50" s="37"/>
      <c r="V50" s="37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spans="1:32" ht="15.75" customHeight="1" x14ac:dyDescent="0.25">
      <c r="A51" s="25"/>
      <c r="B51" s="26"/>
      <c r="C51" s="26"/>
      <c r="D51" s="26"/>
      <c r="E51" s="30"/>
      <c r="F51" s="31"/>
      <c r="G51" s="32"/>
      <c r="H51" s="33"/>
      <c r="J51" s="40"/>
      <c r="O51" s="37"/>
      <c r="P51" s="37"/>
      <c r="Q51" s="37"/>
      <c r="R51" s="37"/>
      <c r="S51" s="37"/>
      <c r="T51" s="37"/>
      <c r="U51" s="37"/>
      <c r="V51" s="37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1:32" ht="15.75" customHeight="1" x14ac:dyDescent="0.25">
      <c r="A52" s="25"/>
      <c r="B52" s="26"/>
      <c r="C52" s="26"/>
      <c r="D52" s="26"/>
      <c r="E52" s="30"/>
      <c r="F52" s="31"/>
      <c r="G52" s="32"/>
      <c r="H52" s="40"/>
      <c r="I52" s="36"/>
      <c r="J52" s="36"/>
      <c r="K52" s="40"/>
      <c r="L52" s="40"/>
      <c r="M52" s="40"/>
      <c r="O52" s="40"/>
      <c r="P52" s="40"/>
      <c r="Q52" s="40"/>
      <c r="R52" s="40"/>
      <c r="S52" s="40"/>
      <c r="T52" s="40"/>
      <c r="U52" s="40"/>
      <c r="V52" s="40"/>
      <c r="W52" s="41"/>
      <c r="X52" s="41"/>
      <c r="Y52" s="41"/>
      <c r="Z52" s="41"/>
      <c r="AA52" s="41"/>
      <c r="AB52" s="41"/>
      <c r="AC52" s="41"/>
      <c r="AD52" s="41"/>
      <c r="AE52" s="41"/>
      <c r="AF52" s="41"/>
    </row>
    <row r="53" spans="1:32" ht="15.75" customHeight="1" x14ac:dyDescent="0.2">
      <c r="A53" s="53"/>
      <c r="B53" s="54"/>
      <c r="C53" s="55"/>
      <c r="D53" s="55"/>
      <c r="E53" s="55"/>
      <c r="F53" s="36"/>
      <c r="G53" s="36"/>
      <c r="H53" s="36"/>
      <c r="I53" s="56"/>
      <c r="J53" s="56"/>
      <c r="K53" s="36"/>
      <c r="L53" s="36"/>
      <c r="M53" s="36"/>
      <c r="O53" s="36"/>
      <c r="P53" s="36"/>
      <c r="Q53" s="36"/>
      <c r="R53" s="36"/>
      <c r="S53" s="36"/>
      <c r="T53" s="36"/>
      <c r="U53" s="36"/>
      <c r="V53" s="36"/>
      <c r="W53" s="43"/>
      <c r="X53" s="43"/>
      <c r="Y53" s="43"/>
      <c r="Z53" s="43"/>
      <c r="AA53" s="43"/>
      <c r="AB53" s="43"/>
      <c r="AC53" s="43"/>
      <c r="AD53" s="43"/>
      <c r="AE53" s="43"/>
      <c r="AF53" s="43"/>
    </row>
    <row r="54" spans="1:32" ht="15.75" customHeight="1" x14ac:dyDescent="0.2">
      <c r="A54" s="53"/>
      <c r="B54" s="54"/>
      <c r="C54" s="54"/>
      <c r="D54" s="54"/>
      <c r="E54" s="54"/>
      <c r="F54" s="56"/>
      <c r="G54" s="56"/>
      <c r="H54" s="56"/>
      <c r="I54" s="56"/>
      <c r="J54" s="56"/>
      <c r="K54" s="56"/>
      <c r="L54" s="56"/>
      <c r="M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</row>
    <row r="55" spans="1:32" ht="15.75" customHeight="1" x14ac:dyDescent="0.2">
      <c r="A55" s="53"/>
      <c r="B55" s="54"/>
      <c r="C55" s="54"/>
      <c r="D55" s="54"/>
      <c r="E55" s="54"/>
      <c r="F55" s="56"/>
      <c r="G55" s="56"/>
      <c r="H55" s="56"/>
      <c r="I55" s="56"/>
      <c r="J55" s="56"/>
      <c r="K55" s="56"/>
      <c r="L55" s="56"/>
      <c r="M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</row>
    <row r="56" spans="1:32" ht="15.75" customHeight="1" x14ac:dyDescent="0.2">
      <c r="A56" s="53"/>
      <c r="B56" s="54"/>
      <c r="C56" s="54"/>
      <c r="D56" s="54"/>
      <c r="E56" s="54"/>
      <c r="F56" s="56"/>
      <c r="G56" s="56"/>
      <c r="H56" s="56"/>
      <c r="I56" s="56"/>
      <c r="J56" s="56"/>
      <c r="K56" s="56"/>
      <c r="L56" s="56"/>
      <c r="M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</row>
    <row r="57" spans="1:32" ht="15.75" customHeight="1" x14ac:dyDescent="0.2">
      <c r="A57" s="53"/>
      <c r="B57" s="54"/>
      <c r="C57" s="54"/>
      <c r="D57" s="54"/>
      <c r="E57" s="54"/>
      <c r="F57" s="56"/>
      <c r="G57" s="56"/>
      <c r="H57" s="56"/>
      <c r="I57" s="36"/>
      <c r="J57" s="36"/>
      <c r="K57" s="56"/>
      <c r="L57" s="56"/>
      <c r="M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</row>
    <row r="58" spans="1:32" ht="15.75" customHeight="1" x14ac:dyDescent="0.2">
      <c r="A58" s="53"/>
      <c r="B58" s="54"/>
      <c r="C58" s="55"/>
      <c r="D58" s="55"/>
      <c r="E58" s="55"/>
      <c r="F58" s="36"/>
      <c r="G58" s="36"/>
      <c r="H58" s="36"/>
      <c r="I58" s="36"/>
      <c r="J58" s="36"/>
      <c r="K58" s="36"/>
      <c r="L58" s="36"/>
      <c r="M58" s="36"/>
      <c r="O58" s="36"/>
      <c r="P58" s="36"/>
      <c r="Q58" s="36"/>
      <c r="R58" s="36"/>
      <c r="S58" s="36"/>
      <c r="T58" s="36"/>
      <c r="U58" s="36"/>
      <c r="V58" s="36"/>
      <c r="W58" s="43"/>
      <c r="X58" s="43"/>
      <c r="Y58" s="43"/>
      <c r="Z58" s="43"/>
      <c r="AA58" s="43"/>
      <c r="AB58" s="43"/>
      <c r="AC58" s="43"/>
      <c r="AD58" s="43"/>
      <c r="AE58" s="43"/>
      <c r="AF58" s="43"/>
    </row>
    <row r="59" spans="1:32" ht="15.75" customHeight="1" x14ac:dyDescent="0.2">
      <c r="A59" s="53"/>
      <c r="B59" s="54"/>
      <c r="C59" s="55"/>
      <c r="D59" s="55"/>
      <c r="E59" s="55"/>
      <c r="F59" s="36"/>
      <c r="G59" s="36"/>
      <c r="H59" s="36"/>
      <c r="I59" s="36"/>
      <c r="J59" s="36"/>
      <c r="K59" s="36"/>
      <c r="L59" s="36"/>
      <c r="M59" s="36"/>
      <c r="O59" s="36"/>
      <c r="P59" s="36"/>
      <c r="Q59" s="36"/>
      <c r="R59" s="36"/>
      <c r="S59" s="36"/>
      <c r="T59" s="36"/>
      <c r="U59" s="36"/>
      <c r="V59" s="36"/>
      <c r="W59" s="43"/>
      <c r="X59" s="43"/>
      <c r="Y59" s="43"/>
      <c r="Z59" s="43"/>
      <c r="AA59" s="43"/>
      <c r="AB59" s="43"/>
      <c r="AC59" s="43"/>
      <c r="AD59" s="43"/>
      <c r="AE59" s="43"/>
      <c r="AF59" s="43"/>
    </row>
    <row r="60" spans="1:32" ht="15.75" customHeight="1" x14ac:dyDescent="0.2">
      <c r="A60" s="53"/>
      <c r="B60" s="54"/>
      <c r="C60" s="55"/>
      <c r="D60" s="55"/>
      <c r="E60" s="55"/>
      <c r="F60" s="36"/>
      <c r="G60" s="36"/>
      <c r="H60" s="36"/>
      <c r="I60" s="36"/>
      <c r="J60" s="36"/>
      <c r="K60" s="36"/>
      <c r="L60" s="36"/>
      <c r="M60" s="36"/>
      <c r="O60" s="36"/>
      <c r="P60" s="36"/>
      <c r="Q60" s="36"/>
      <c r="R60" s="36"/>
      <c r="S60" s="36"/>
      <c r="T60" s="36"/>
      <c r="U60" s="36"/>
      <c r="V60" s="36"/>
      <c r="W60" s="43"/>
      <c r="X60" s="43"/>
      <c r="Y60" s="43"/>
      <c r="Z60" s="43"/>
      <c r="AA60" s="43"/>
      <c r="AB60" s="43"/>
      <c r="AC60" s="43"/>
      <c r="AD60" s="43"/>
      <c r="AE60" s="43"/>
      <c r="AF60" s="43"/>
    </row>
    <row r="61" spans="1:32" ht="15.75" customHeight="1" x14ac:dyDescent="0.2">
      <c r="A61" s="53"/>
      <c r="B61" s="54"/>
      <c r="C61" s="55"/>
      <c r="D61" s="55"/>
      <c r="E61" s="55"/>
      <c r="F61" s="36"/>
      <c r="G61" s="36"/>
      <c r="H61" s="36"/>
      <c r="I61" s="36"/>
      <c r="J61" s="36"/>
      <c r="K61" s="36"/>
      <c r="L61" s="36"/>
      <c r="M61" s="36"/>
      <c r="O61" s="36"/>
      <c r="P61" s="36"/>
      <c r="Q61" s="36"/>
      <c r="R61" s="36"/>
      <c r="S61" s="36"/>
      <c r="T61" s="36"/>
      <c r="U61" s="36"/>
      <c r="V61" s="36"/>
      <c r="W61" s="43"/>
      <c r="X61" s="43"/>
      <c r="Y61" s="43"/>
      <c r="Z61" s="43"/>
      <c r="AA61" s="43"/>
      <c r="AB61" s="43"/>
      <c r="AC61" s="43"/>
      <c r="AD61" s="43"/>
      <c r="AE61" s="43"/>
      <c r="AF61" s="43"/>
    </row>
    <row r="62" spans="1:32" ht="15.75" customHeight="1" x14ac:dyDescent="0.2">
      <c r="A62" s="53"/>
      <c r="B62" s="54"/>
      <c r="C62" s="55"/>
      <c r="D62" s="55"/>
      <c r="E62" s="55"/>
      <c r="F62" s="36"/>
      <c r="G62" s="36"/>
      <c r="H62" s="36"/>
      <c r="I62" s="36"/>
      <c r="J62" s="36"/>
      <c r="K62" s="36"/>
      <c r="L62" s="36"/>
      <c r="M62" s="36"/>
      <c r="O62" s="36"/>
      <c r="P62" s="36"/>
      <c r="Q62" s="36"/>
      <c r="R62" s="36"/>
      <c r="S62" s="36"/>
      <c r="T62" s="36"/>
      <c r="U62" s="36"/>
      <c r="V62" s="36"/>
      <c r="W62" s="43"/>
      <c r="X62" s="43"/>
      <c r="Y62" s="43"/>
      <c r="Z62" s="43"/>
      <c r="AA62" s="43"/>
      <c r="AB62" s="43"/>
      <c r="AC62" s="43"/>
      <c r="AD62" s="43"/>
      <c r="AE62" s="43"/>
      <c r="AF62" s="43"/>
    </row>
    <row r="63" spans="1:32" ht="15.75" customHeight="1" x14ac:dyDescent="0.2">
      <c r="A63" s="53"/>
      <c r="B63" s="54"/>
      <c r="C63" s="55"/>
      <c r="D63" s="55"/>
      <c r="E63" s="55"/>
      <c r="F63" s="36"/>
      <c r="G63" s="36"/>
      <c r="H63" s="36"/>
      <c r="I63" s="36"/>
      <c r="J63" s="36"/>
      <c r="K63" s="36"/>
      <c r="L63" s="36"/>
      <c r="M63" s="36"/>
      <c r="O63" s="36"/>
      <c r="P63" s="36"/>
      <c r="Q63" s="36"/>
      <c r="R63" s="36"/>
      <c r="S63" s="36"/>
      <c r="T63" s="36"/>
      <c r="U63" s="36"/>
      <c r="V63" s="36"/>
      <c r="W63" s="43"/>
      <c r="X63" s="43"/>
      <c r="Y63" s="43"/>
      <c r="Z63" s="43"/>
      <c r="AA63" s="43"/>
      <c r="AB63" s="43"/>
      <c r="AC63" s="43"/>
      <c r="AD63" s="43"/>
      <c r="AE63" s="43"/>
      <c r="AF63" s="43"/>
    </row>
    <row r="64" spans="1:32" ht="15.75" customHeight="1" x14ac:dyDescent="0.2">
      <c r="A64" s="53"/>
      <c r="B64" s="54"/>
      <c r="C64" s="55"/>
      <c r="D64" s="55"/>
      <c r="E64" s="55"/>
      <c r="F64" s="36"/>
      <c r="G64" s="36"/>
      <c r="H64" s="36"/>
      <c r="I64" s="36"/>
      <c r="J64" s="36"/>
      <c r="K64" s="36"/>
      <c r="L64" s="36"/>
      <c r="M64" s="36"/>
      <c r="O64" s="36"/>
      <c r="P64" s="36"/>
      <c r="Q64" s="36"/>
      <c r="R64" s="36"/>
      <c r="S64" s="36"/>
      <c r="T64" s="36"/>
      <c r="U64" s="36"/>
      <c r="V64" s="36"/>
      <c r="W64" s="43"/>
      <c r="X64" s="43"/>
      <c r="Y64" s="43"/>
      <c r="Z64" s="43"/>
      <c r="AA64" s="43"/>
      <c r="AB64" s="43"/>
      <c r="AC64" s="43"/>
      <c r="AD64" s="43"/>
      <c r="AE64" s="43"/>
      <c r="AF64" s="43"/>
    </row>
    <row r="65" spans="1:32" ht="15.75" customHeight="1" x14ac:dyDescent="0.2">
      <c r="A65" s="53"/>
      <c r="B65" s="54"/>
      <c r="C65" s="55"/>
      <c r="D65" s="55"/>
      <c r="E65" s="55"/>
      <c r="F65" s="36"/>
      <c r="G65" s="36"/>
      <c r="H65" s="36"/>
      <c r="I65" s="36"/>
      <c r="J65" s="36"/>
      <c r="K65" s="36"/>
      <c r="L65" s="36"/>
      <c r="M65" s="36"/>
      <c r="O65" s="36"/>
      <c r="P65" s="36"/>
      <c r="Q65" s="36"/>
      <c r="R65" s="36"/>
      <c r="S65" s="36"/>
      <c r="T65" s="36"/>
      <c r="U65" s="36"/>
      <c r="V65" s="36"/>
      <c r="W65" s="43"/>
      <c r="X65" s="43"/>
      <c r="Y65" s="43"/>
      <c r="Z65" s="43"/>
      <c r="AA65" s="43"/>
      <c r="AB65" s="43"/>
      <c r="AC65" s="43"/>
      <c r="AD65" s="43"/>
      <c r="AE65" s="43"/>
      <c r="AF65" s="43"/>
    </row>
    <row r="66" spans="1:32" ht="15.75" customHeight="1" x14ac:dyDescent="0.2">
      <c r="A66" s="53"/>
      <c r="B66" s="54"/>
      <c r="C66" s="55"/>
      <c r="D66" s="55"/>
      <c r="E66" s="55"/>
      <c r="F66" s="36"/>
      <c r="G66" s="36"/>
      <c r="H66" s="36"/>
      <c r="I66" s="36"/>
      <c r="J66" s="36"/>
      <c r="K66" s="36"/>
      <c r="L66" s="36"/>
      <c r="M66" s="36"/>
      <c r="O66" s="36"/>
      <c r="P66" s="36"/>
      <c r="Q66" s="36"/>
      <c r="R66" s="36"/>
      <c r="S66" s="36"/>
      <c r="T66" s="36"/>
      <c r="U66" s="36"/>
      <c r="V66" s="36"/>
      <c r="W66" s="43"/>
      <c r="X66" s="43"/>
      <c r="Y66" s="43"/>
      <c r="Z66" s="43"/>
      <c r="AA66" s="43"/>
      <c r="AB66" s="43"/>
      <c r="AC66" s="43"/>
      <c r="AD66" s="43"/>
      <c r="AE66" s="43"/>
      <c r="AF66" s="43"/>
    </row>
    <row r="67" spans="1:32" ht="15.75" customHeight="1" x14ac:dyDescent="0.2">
      <c r="A67" s="53"/>
      <c r="B67" s="54"/>
      <c r="C67" s="55"/>
      <c r="D67" s="55"/>
      <c r="E67" s="55"/>
      <c r="F67" s="36"/>
      <c r="G67" s="36"/>
      <c r="H67" s="36"/>
      <c r="I67" s="36"/>
      <c r="J67" s="36"/>
      <c r="K67" s="36"/>
      <c r="L67" s="36"/>
      <c r="M67" s="36"/>
      <c r="O67" s="36"/>
      <c r="P67" s="36"/>
      <c r="Q67" s="36"/>
      <c r="R67" s="36"/>
      <c r="S67" s="36"/>
      <c r="T67" s="36"/>
      <c r="U67" s="36"/>
      <c r="V67" s="36"/>
      <c r="W67" s="43"/>
      <c r="X67" s="43"/>
      <c r="Y67" s="43"/>
      <c r="Z67" s="43"/>
      <c r="AA67" s="43"/>
      <c r="AB67" s="43"/>
      <c r="AC67" s="43"/>
      <c r="AD67" s="43"/>
      <c r="AE67" s="43"/>
      <c r="AF67" s="43"/>
    </row>
    <row r="68" spans="1:32" ht="15.75" customHeight="1" x14ac:dyDescent="0.2">
      <c r="A68" s="53"/>
      <c r="B68" s="54"/>
      <c r="C68" s="55"/>
      <c r="D68" s="55"/>
      <c r="E68" s="55"/>
      <c r="F68" s="36"/>
      <c r="G68" s="36"/>
      <c r="H68" s="36"/>
      <c r="I68" s="36"/>
      <c r="J68" s="36"/>
      <c r="K68" s="36"/>
      <c r="L68" s="36"/>
      <c r="M68" s="36"/>
      <c r="O68" s="36"/>
      <c r="P68" s="36"/>
      <c r="Q68" s="36"/>
      <c r="R68" s="36"/>
      <c r="S68" s="36"/>
      <c r="T68" s="36"/>
      <c r="U68" s="36"/>
      <c r="V68" s="36"/>
      <c r="W68" s="43"/>
      <c r="X68" s="43"/>
      <c r="Y68" s="43"/>
      <c r="Z68" s="43"/>
      <c r="AA68" s="43"/>
      <c r="AB68" s="43"/>
      <c r="AC68" s="43"/>
      <c r="AD68" s="43"/>
      <c r="AE68" s="43"/>
      <c r="AF68" s="43"/>
    </row>
    <row r="69" spans="1:32" ht="15.75" customHeight="1" x14ac:dyDescent="0.2">
      <c r="A69" s="53"/>
      <c r="B69" s="54"/>
      <c r="C69" s="55"/>
      <c r="D69" s="55"/>
      <c r="E69" s="55"/>
      <c r="F69" s="36"/>
      <c r="G69" s="36"/>
      <c r="H69" s="36"/>
      <c r="I69" s="36"/>
      <c r="J69" s="36"/>
      <c r="K69" s="36"/>
      <c r="L69" s="36"/>
      <c r="M69" s="36"/>
      <c r="O69" s="36"/>
      <c r="P69" s="36"/>
      <c r="Q69" s="36"/>
      <c r="R69" s="36"/>
      <c r="S69" s="36"/>
      <c r="T69" s="36"/>
      <c r="U69" s="36"/>
      <c r="V69" s="36"/>
      <c r="W69" s="43"/>
      <c r="X69" s="43"/>
      <c r="Y69" s="43"/>
      <c r="Z69" s="43"/>
      <c r="AA69" s="43"/>
      <c r="AB69" s="43"/>
      <c r="AC69" s="43"/>
      <c r="AD69" s="43"/>
      <c r="AE69" s="43"/>
      <c r="AF69" s="43"/>
    </row>
    <row r="70" spans="1:32" ht="15.75" customHeight="1" x14ac:dyDescent="0.2">
      <c r="A70" s="53"/>
      <c r="B70" s="54"/>
      <c r="C70" s="55"/>
      <c r="D70" s="55"/>
      <c r="E70" s="55"/>
      <c r="F70" s="36"/>
      <c r="G70" s="36"/>
      <c r="H70" s="36"/>
      <c r="I70" s="36"/>
      <c r="J70" s="36"/>
      <c r="K70" s="36"/>
      <c r="L70" s="36"/>
      <c r="M70" s="36"/>
      <c r="O70" s="36"/>
      <c r="P70" s="36"/>
      <c r="Q70" s="36"/>
      <c r="R70" s="36"/>
      <c r="S70" s="36"/>
      <c r="T70" s="36"/>
      <c r="U70" s="36"/>
      <c r="V70" s="36"/>
      <c r="W70" s="43"/>
      <c r="X70" s="43"/>
      <c r="Y70" s="43"/>
      <c r="Z70" s="43"/>
      <c r="AA70" s="43"/>
      <c r="AB70" s="43"/>
      <c r="AC70" s="43"/>
      <c r="AD70" s="43"/>
      <c r="AE70" s="43"/>
      <c r="AF70" s="43"/>
    </row>
    <row r="71" spans="1:32" ht="15.75" customHeight="1" x14ac:dyDescent="0.2">
      <c r="A71" s="53"/>
      <c r="B71" s="54"/>
      <c r="C71" s="55"/>
      <c r="D71" s="55"/>
      <c r="E71" s="55"/>
      <c r="F71" s="36"/>
      <c r="G71" s="36"/>
      <c r="H71" s="36"/>
      <c r="I71" s="36"/>
      <c r="J71" s="36"/>
      <c r="K71" s="36"/>
      <c r="L71" s="36"/>
      <c r="M71" s="36"/>
      <c r="O71" s="36"/>
      <c r="P71" s="36"/>
      <c r="Q71" s="36"/>
      <c r="R71" s="36"/>
      <c r="S71" s="36"/>
      <c r="T71" s="36"/>
      <c r="U71" s="36"/>
      <c r="V71" s="36"/>
      <c r="W71" s="43"/>
      <c r="X71" s="43"/>
      <c r="Y71" s="43"/>
      <c r="Z71" s="43"/>
      <c r="AA71" s="43"/>
      <c r="AB71" s="43"/>
      <c r="AC71" s="43"/>
      <c r="AD71" s="43"/>
      <c r="AE71" s="43"/>
      <c r="AF71" s="43"/>
    </row>
    <row r="72" spans="1:32" ht="15.75" customHeight="1" x14ac:dyDescent="0.2">
      <c r="A72" s="53"/>
      <c r="B72" s="54"/>
      <c r="C72" s="55"/>
      <c r="D72" s="55"/>
      <c r="E72" s="55"/>
      <c r="F72" s="36"/>
      <c r="G72" s="36"/>
      <c r="H72" s="36"/>
      <c r="I72" s="36"/>
      <c r="J72" s="36"/>
      <c r="K72" s="36"/>
      <c r="L72" s="36"/>
      <c r="M72" s="36"/>
      <c r="O72" s="36"/>
      <c r="P72" s="36"/>
      <c r="Q72" s="36"/>
      <c r="R72" s="36"/>
      <c r="S72" s="36"/>
      <c r="T72" s="36"/>
      <c r="U72" s="36"/>
      <c r="V72" s="36"/>
      <c r="W72" s="43"/>
      <c r="X72" s="43"/>
      <c r="Y72" s="43"/>
      <c r="Z72" s="43"/>
      <c r="AA72" s="43"/>
      <c r="AB72" s="43"/>
      <c r="AC72" s="43"/>
      <c r="AD72" s="43"/>
      <c r="AE72" s="43"/>
      <c r="AF72" s="43"/>
    </row>
    <row r="73" spans="1:32" ht="15.75" customHeight="1" x14ac:dyDescent="0.2">
      <c r="A73" s="53"/>
      <c r="B73" s="54"/>
      <c r="C73" s="55"/>
      <c r="D73" s="55"/>
      <c r="E73" s="55"/>
      <c r="F73" s="36"/>
      <c r="G73" s="36"/>
      <c r="H73" s="36"/>
      <c r="I73" s="36"/>
      <c r="J73" s="36"/>
      <c r="K73" s="36"/>
      <c r="L73" s="36"/>
      <c r="M73" s="36"/>
      <c r="O73" s="36"/>
      <c r="P73" s="36"/>
      <c r="Q73" s="36"/>
      <c r="R73" s="36"/>
      <c r="S73" s="36"/>
      <c r="T73" s="36"/>
      <c r="U73" s="36"/>
      <c r="V73" s="36"/>
      <c r="W73" s="43"/>
      <c r="X73" s="43"/>
      <c r="Y73" s="43"/>
      <c r="Z73" s="43"/>
      <c r="AA73" s="43"/>
      <c r="AB73" s="43"/>
      <c r="AC73" s="43"/>
      <c r="AD73" s="43"/>
      <c r="AE73" s="43"/>
      <c r="AF73" s="43"/>
    </row>
    <row r="74" spans="1:32" ht="15.75" customHeight="1" x14ac:dyDescent="0.2">
      <c r="A74" s="53"/>
      <c r="B74" s="54"/>
      <c r="C74" s="55"/>
      <c r="D74" s="55"/>
      <c r="E74" s="55"/>
      <c r="F74" s="36"/>
      <c r="G74" s="36"/>
      <c r="H74" s="36"/>
      <c r="I74" s="36"/>
      <c r="J74" s="36"/>
      <c r="K74" s="36"/>
      <c r="L74" s="36"/>
      <c r="M74" s="36"/>
      <c r="O74" s="36"/>
      <c r="P74" s="36"/>
      <c r="Q74" s="36"/>
      <c r="R74" s="36"/>
      <c r="S74" s="36"/>
      <c r="T74" s="36"/>
      <c r="U74" s="36"/>
      <c r="V74" s="36"/>
      <c r="W74" s="43"/>
      <c r="X74" s="43"/>
      <c r="Y74" s="43"/>
      <c r="Z74" s="43"/>
      <c r="AA74" s="43"/>
      <c r="AB74" s="43"/>
      <c r="AC74" s="43"/>
      <c r="AD74" s="43"/>
      <c r="AE74" s="43"/>
      <c r="AF74" s="43"/>
    </row>
    <row r="75" spans="1:32" ht="15.75" customHeight="1" x14ac:dyDescent="0.2">
      <c r="A75" s="53"/>
      <c r="B75" s="54"/>
      <c r="C75" s="55"/>
      <c r="D75" s="55"/>
      <c r="E75" s="55"/>
      <c r="F75" s="36"/>
      <c r="G75" s="36"/>
      <c r="H75" s="36"/>
      <c r="I75" s="36"/>
      <c r="J75" s="36"/>
      <c r="K75" s="36"/>
      <c r="L75" s="36"/>
      <c r="M75" s="36"/>
      <c r="O75" s="36"/>
      <c r="P75" s="36"/>
      <c r="Q75" s="36"/>
      <c r="R75" s="36"/>
      <c r="S75" s="36"/>
      <c r="T75" s="36"/>
      <c r="U75" s="36"/>
      <c r="V75" s="36"/>
      <c r="W75" s="43"/>
      <c r="X75" s="43"/>
      <c r="Y75" s="43"/>
      <c r="Z75" s="43"/>
      <c r="AA75" s="43"/>
      <c r="AB75" s="43"/>
      <c r="AC75" s="43"/>
      <c r="AD75" s="43"/>
      <c r="AE75" s="43"/>
      <c r="AF75" s="43"/>
    </row>
    <row r="76" spans="1:32" ht="15.75" customHeight="1" x14ac:dyDescent="0.2">
      <c r="A76" s="53"/>
      <c r="B76" s="54"/>
      <c r="C76" s="55"/>
      <c r="D76" s="55"/>
      <c r="E76" s="55"/>
      <c r="F76" s="36"/>
      <c r="G76" s="36"/>
      <c r="H76" s="36"/>
      <c r="I76" s="36"/>
      <c r="J76" s="36"/>
      <c r="K76" s="36"/>
      <c r="L76" s="36"/>
      <c r="M76" s="36"/>
      <c r="O76" s="36"/>
      <c r="P76" s="36"/>
      <c r="Q76" s="36"/>
      <c r="R76" s="36"/>
      <c r="S76" s="36"/>
      <c r="T76" s="36"/>
      <c r="U76" s="36"/>
      <c r="V76" s="36"/>
      <c r="W76" s="43"/>
      <c r="X76" s="43"/>
      <c r="Y76" s="43"/>
      <c r="Z76" s="43"/>
      <c r="AA76" s="43"/>
      <c r="AB76" s="43"/>
      <c r="AC76" s="43"/>
      <c r="AD76" s="43"/>
      <c r="AE76" s="43"/>
      <c r="AF76" s="43"/>
    </row>
    <row r="77" spans="1:32" ht="15.75" customHeight="1" x14ac:dyDescent="0.2">
      <c r="A77" s="53"/>
      <c r="B77" s="54"/>
      <c r="C77" s="55"/>
      <c r="D77" s="55"/>
      <c r="E77" s="55"/>
      <c r="F77" s="36"/>
      <c r="G77" s="36"/>
      <c r="H77" s="36"/>
      <c r="I77" s="36"/>
      <c r="J77" s="36"/>
      <c r="K77" s="36"/>
      <c r="L77" s="36"/>
      <c r="M77" s="36"/>
      <c r="O77" s="36"/>
      <c r="P77" s="36"/>
      <c r="Q77" s="36"/>
      <c r="R77" s="36"/>
      <c r="S77" s="36"/>
      <c r="T77" s="36"/>
      <c r="U77" s="36"/>
      <c r="V77" s="36"/>
      <c r="W77" s="43"/>
      <c r="X77" s="43"/>
      <c r="Y77" s="43"/>
      <c r="Z77" s="43"/>
      <c r="AA77" s="43"/>
      <c r="AB77" s="43"/>
      <c r="AC77" s="43"/>
      <c r="AD77" s="43"/>
      <c r="AE77" s="43"/>
      <c r="AF77" s="43"/>
    </row>
    <row r="78" spans="1:32" ht="15.75" customHeight="1" x14ac:dyDescent="0.2">
      <c r="A78" s="53"/>
      <c r="B78" s="54"/>
      <c r="C78" s="55"/>
      <c r="D78" s="55"/>
      <c r="E78" s="55"/>
      <c r="F78" s="36"/>
      <c r="G78" s="36"/>
      <c r="H78" s="36"/>
      <c r="I78" s="36"/>
      <c r="J78" s="36"/>
      <c r="K78" s="36"/>
      <c r="L78" s="36"/>
      <c r="M78" s="36"/>
      <c r="O78" s="36"/>
      <c r="P78" s="36"/>
      <c r="Q78" s="36"/>
      <c r="R78" s="36"/>
      <c r="S78" s="36"/>
      <c r="T78" s="36"/>
      <c r="U78" s="36"/>
      <c r="V78" s="36"/>
      <c r="W78" s="43"/>
      <c r="X78" s="43"/>
      <c r="Y78" s="43"/>
      <c r="Z78" s="43"/>
      <c r="AA78" s="43"/>
      <c r="AB78" s="43"/>
      <c r="AC78" s="43"/>
      <c r="AD78" s="43"/>
      <c r="AE78" s="43"/>
      <c r="AF78" s="43"/>
    </row>
    <row r="79" spans="1:32" ht="15.75" customHeight="1" x14ac:dyDescent="0.2">
      <c r="A79" s="53"/>
      <c r="B79" s="54"/>
      <c r="C79" s="55"/>
      <c r="D79" s="55"/>
      <c r="E79" s="55"/>
      <c r="F79" s="36"/>
      <c r="G79" s="36"/>
      <c r="H79" s="36"/>
      <c r="I79" s="36"/>
      <c r="J79" s="36"/>
      <c r="K79" s="36"/>
      <c r="L79" s="36"/>
      <c r="M79" s="36"/>
      <c r="O79" s="36"/>
      <c r="P79" s="36"/>
      <c r="Q79" s="36"/>
      <c r="R79" s="36"/>
      <c r="S79" s="36"/>
      <c r="T79" s="36"/>
      <c r="U79" s="36"/>
      <c r="V79" s="36"/>
      <c r="W79" s="43"/>
      <c r="X79" s="43"/>
      <c r="Y79" s="43"/>
      <c r="Z79" s="43"/>
      <c r="AA79" s="43"/>
      <c r="AB79" s="43"/>
      <c r="AC79" s="43"/>
      <c r="AD79" s="43"/>
      <c r="AE79" s="43"/>
      <c r="AF79" s="43"/>
    </row>
    <row r="80" spans="1:32" ht="15.75" customHeight="1" x14ac:dyDescent="0.2">
      <c r="A80" s="53"/>
      <c r="B80" s="54"/>
      <c r="C80" s="55"/>
      <c r="D80" s="55"/>
      <c r="E80" s="55"/>
      <c r="F80" s="36"/>
      <c r="G80" s="36"/>
      <c r="H80" s="36"/>
      <c r="I80" s="36"/>
      <c r="J80" s="36"/>
      <c r="K80" s="36"/>
      <c r="L80" s="36"/>
      <c r="M80" s="36"/>
      <c r="O80" s="36"/>
      <c r="P80" s="36"/>
      <c r="Q80" s="36"/>
      <c r="R80" s="36"/>
      <c r="S80" s="36"/>
      <c r="T80" s="36"/>
      <c r="U80" s="36"/>
      <c r="V80" s="36"/>
      <c r="W80" s="43"/>
      <c r="X80" s="43"/>
      <c r="Y80" s="43"/>
      <c r="Z80" s="43"/>
      <c r="AA80" s="43"/>
      <c r="AB80" s="43"/>
      <c r="AC80" s="43"/>
      <c r="AD80" s="43"/>
      <c r="AE80" s="43"/>
      <c r="AF80" s="43"/>
    </row>
    <row r="81" spans="1:32" ht="15.75" customHeight="1" x14ac:dyDescent="0.2">
      <c r="A81" s="53"/>
      <c r="B81" s="54"/>
      <c r="C81" s="55"/>
      <c r="D81" s="55"/>
      <c r="E81" s="55"/>
      <c r="F81" s="36"/>
      <c r="G81" s="36"/>
      <c r="H81" s="36"/>
      <c r="I81" s="36"/>
      <c r="J81" s="36"/>
      <c r="K81" s="36"/>
      <c r="L81" s="36"/>
      <c r="M81" s="36"/>
      <c r="O81" s="36"/>
      <c r="P81" s="36"/>
      <c r="Q81" s="36"/>
      <c r="R81" s="36"/>
      <c r="S81" s="36"/>
      <c r="T81" s="36"/>
      <c r="U81" s="36"/>
      <c r="V81" s="36"/>
      <c r="W81" s="43"/>
      <c r="X81" s="43"/>
      <c r="Y81" s="43"/>
      <c r="Z81" s="43"/>
      <c r="AA81" s="43"/>
      <c r="AB81" s="43"/>
      <c r="AC81" s="43"/>
      <c r="AD81" s="43"/>
      <c r="AE81" s="43"/>
      <c r="AF81" s="43"/>
    </row>
    <row r="82" spans="1:32" ht="15.75" customHeight="1" x14ac:dyDescent="0.2">
      <c r="A82" s="53"/>
      <c r="B82" s="54"/>
      <c r="C82" s="55"/>
      <c r="D82" s="55"/>
      <c r="E82" s="55"/>
      <c r="F82" s="36"/>
      <c r="G82" s="36"/>
      <c r="H82" s="36"/>
      <c r="I82" s="36"/>
      <c r="J82" s="36"/>
      <c r="K82" s="36"/>
      <c r="L82" s="36"/>
      <c r="M82" s="36"/>
      <c r="O82" s="36"/>
      <c r="P82" s="36"/>
      <c r="Q82" s="36"/>
      <c r="R82" s="36"/>
      <c r="S82" s="36"/>
      <c r="T82" s="36"/>
      <c r="U82" s="36"/>
      <c r="V82" s="36"/>
      <c r="W82" s="43"/>
      <c r="X82" s="43"/>
      <c r="Y82" s="43"/>
      <c r="Z82" s="43"/>
      <c r="AA82" s="43"/>
      <c r="AB82" s="43"/>
      <c r="AC82" s="43"/>
      <c r="AD82" s="43"/>
      <c r="AE82" s="43"/>
      <c r="AF82" s="43"/>
    </row>
    <row r="83" spans="1:32" ht="15.75" customHeight="1" x14ac:dyDescent="0.2">
      <c r="A83" s="53"/>
      <c r="B83" s="54"/>
      <c r="C83" s="55"/>
      <c r="D83" s="55"/>
      <c r="E83" s="55"/>
      <c r="F83" s="36"/>
      <c r="G83" s="36"/>
      <c r="H83" s="36"/>
      <c r="I83" s="36"/>
      <c r="J83" s="36"/>
      <c r="K83" s="36"/>
      <c r="L83" s="36"/>
      <c r="M83" s="36"/>
      <c r="O83" s="36"/>
      <c r="P83" s="36"/>
      <c r="Q83" s="36"/>
      <c r="R83" s="36"/>
      <c r="S83" s="36"/>
      <c r="T83" s="36"/>
      <c r="U83" s="36"/>
      <c r="V83" s="36"/>
      <c r="W83" s="43"/>
      <c r="X83" s="43"/>
      <c r="Y83" s="43"/>
      <c r="Z83" s="43"/>
      <c r="AA83" s="43"/>
      <c r="AB83" s="43"/>
      <c r="AC83" s="43"/>
      <c r="AD83" s="43"/>
      <c r="AE83" s="43"/>
      <c r="AF83" s="43"/>
    </row>
    <row r="84" spans="1:32" ht="15.75" customHeight="1" x14ac:dyDescent="0.2">
      <c r="A84" s="53"/>
      <c r="B84" s="54"/>
      <c r="C84" s="55"/>
      <c r="D84" s="55"/>
      <c r="E84" s="55"/>
      <c r="F84" s="36"/>
      <c r="G84" s="36"/>
      <c r="H84" s="36"/>
      <c r="I84" s="36"/>
      <c r="J84" s="36"/>
      <c r="K84" s="36"/>
      <c r="L84" s="36"/>
      <c r="M84" s="36"/>
      <c r="O84" s="36"/>
      <c r="P84" s="36"/>
      <c r="Q84" s="36"/>
      <c r="R84" s="36"/>
      <c r="S84" s="36"/>
      <c r="T84" s="36"/>
      <c r="U84" s="36"/>
      <c r="V84" s="36"/>
      <c r="W84" s="43"/>
      <c r="X84" s="43"/>
      <c r="Y84" s="43"/>
      <c r="Z84" s="43"/>
      <c r="AA84" s="43"/>
      <c r="AB84" s="43"/>
      <c r="AC84" s="43"/>
      <c r="AD84" s="43"/>
      <c r="AE84" s="43"/>
      <c r="AF84" s="43"/>
    </row>
    <row r="85" spans="1:32" ht="15.75" customHeight="1" x14ac:dyDescent="0.2">
      <c r="A85" s="53"/>
      <c r="B85" s="54"/>
      <c r="C85" s="55"/>
      <c r="D85" s="55"/>
      <c r="E85" s="55"/>
      <c r="F85" s="36"/>
      <c r="G85" s="36"/>
      <c r="H85" s="36"/>
      <c r="I85" s="36"/>
      <c r="J85" s="36"/>
      <c r="K85" s="36"/>
      <c r="L85" s="36"/>
      <c r="M85" s="36"/>
      <c r="O85" s="36"/>
      <c r="P85" s="36"/>
      <c r="Q85" s="36"/>
      <c r="R85" s="36"/>
      <c r="S85" s="36"/>
      <c r="T85" s="36"/>
      <c r="U85" s="36"/>
      <c r="V85" s="36"/>
      <c r="W85" s="43"/>
      <c r="X85" s="43"/>
      <c r="Y85" s="43"/>
      <c r="Z85" s="43"/>
      <c r="AA85" s="43"/>
      <c r="AB85" s="43"/>
      <c r="AC85" s="43"/>
      <c r="AD85" s="43"/>
      <c r="AE85" s="43"/>
      <c r="AF85" s="43"/>
    </row>
    <row r="86" spans="1:32" ht="15.75" customHeight="1" x14ac:dyDescent="0.2">
      <c r="A86" s="53"/>
      <c r="B86" s="54"/>
      <c r="C86" s="55"/>
      <c r="D86" s="55"/>
      <c r="E86" s="55"/>
      <c r="F86" s="36"/>
      <c r="G86" s="36"/>
      <c r="H86" s="36"/>
      <c r="I86" s="36"/>
      <c r="J86" s="36"/>
      <c r="K86" s="36"/>
      <c r="L86" s="36"/>
      <c r="M86" s="36"/>
      <c r="O86" s="36"/>
      <c r="P86" s="36"/>
      <c r="Q86" s="36"/>
      <c r="R86" s="36"/>
      <c r="S86" s="36"/>
      <c r="T86" s="36"/>
      <c r="U86" s="36"/>
      <c r="V86" s="36"/>
      <c r="W86" s="43"/>
      <c r="X86" s="43"/>
      <c r="Y86" s="43"/>
      <c r="Z86" s="43"/>
      <c r="AA86" s="43"/>
      <c r="AB86" s="43"/>
      <c r="AC86" s="43"/>
      <c r="AD86" s="43"/>
      <c r="AE86" s="43"/>
      <c r="AF86" s="43"/>
    </row>
    <row r="87" spans="1:32" ht="15.75" customHeight="1" x14ac:dyDescent="0.2">
      <c r="A87" s="53"/>
      <c r="B87" s="54"/>
      <c r="C87" s="55"/>
      <c r="D87" s="55"/>
      <c r="E87" s="55"/>
      <c r="F87" s="36"/>
      <c r="G87" s="36"/>
      <c r="H87" s="36"/>
      <c r="I87" s="36"/>
      <c r="J87" s="36"/>
      <c r="K87" s="36"/>
      <c r="L87" s="36"/>
      <c r="M87" s="36"/>
      <c r="O87" s="36"/>
      <c r="P87" s="36"/>
      <c r="Q87" s="36"/>
      <c r="R87" s="36"/>
      <c r="S87" s="36"/>
      <c r="T87" s="36"/>
      <c r="U87" s="36"/>
      <c r="V87" s="36"/>
      <c r="W87" s="43"/>
      <c r="X87" s="43"/>
      <c r="Y87" s="43"/>
      <c r="Z87" s="43"/>
      <c r="AA87" s="43"/>
      <c r="AB87" s="43"/>
      <c r="AC87" s="43"/>
      <c r="AD87" s="43"/>
      <c r="AE87" s="43"/>
      <c r="AF87" s="43"/>
    </row>
    <row r="88" spans="1:32" ht="15.75" customHeight="1" x14ac:dyDescent="0.2">
      <c r="A88" s="53"/>
      <c r="B88" s="54"/>
      <c r="C88" s="55"/>
      <c r="D88" s="55"/>
      <c r="E88" s="55"/>
      <c r="F88" s="36"/>
      <c r="G88" s="36"/>
      <c r="H88" s="36"/>
      <c r="I88" s="36"/>
      <c r="J88" s="36"/>
      <c r="K88" s="36"/>
      <c r="L88" s="36"/>
      <c r="M88" s="36"/>
      <c r="O88" s="36"/>
      <c r="P88" s="36"/>
      <c r="Q88" s="36"/>
      <c r="R88" s="36"/>
      <c r="S88" s="36"/>
      <c r="T88" s="36"/>
      <c r="U88" s="36"/>
      <c r="V88" s="36"/>
      <c r="W88" s="43"/>
      <c r="X88" s="43"/>
      <c r="Y88" s="43"/>
      <c r="Z88" s="43"/>
      <c r="AA88" s="43"/>
      <c r="AB88" s="43"/>
      <c r="AC88" s="43"/>
      <c r="AD88" s="43"/>
      <c r="AE88" s="43"/>
      <c r="AF88" s="43"/>
    </row>
    <row r="89" spans="1:32" ht="15.75" customHeight="1" x14ac:dyDescent="0.2">
      <c r="A89" s="53"/>
      <c r="B89" s="54"/>
      <c r="C89" s="55"/>
      <c r="D89" s="55"/>
      <c r="E89" s="55"/>
      <c r="F89" s="36"/>
      <c r="G89" s="36"/>
      <c r="H89" s="36"/>
      <c r="I89" s="36"/>
      <c r="J89" s="36"/>
      <c r="K89" s="36"/>
      <c r="L89" s="36"/>
      <c r="M89" s="36"/>
      <c r="O89" s="36"/>
      <c r="P89" s="36"/>
      <c r="Q89" s="36"/>
      <c r="R89" s="36"/>
      <c r="S89" s="36"/>
      <c r="T89" s="36"/>
      <c r="U89" s="36"/>
      <c r="V89" s="36"/>
      <c r="W89" s="43"/>
      <c r="X89" s="43"/>
      <c r="Y89" s="43"/>
      <c r="Z89" s="43"/>
      <c r="AA89" s="43"/>
      <c r="AB89" s="43"/>
      <c r="AC89" s="43"/>
      <c r="AD89" s="43"/>
      <c r="AE89" s="43"/>
      <c r="AF89" s="43"/>
    </row>
    <row r="90" spans="1:32" ht="15.75" customHeight="1" x14ac:dyDescent="0.2">
      <c r="A90" s="53"/>
      <c r="B90" s="54"/>
      <c r="C90" s="55"/>
      <c r="D90" s="55"/>
      <c r="E90" s="55"/>
      <c r="F90" s="36"/>
      <c r="G90" s="36"/>
      <c r="H90" s="36"/>
      <c r="I90" s="36"/>
      <c r="J90" s="36"/>
      <c r="K90" s="36"/>
      <c r="L90" s="36"/>
      <c r="M90" s="36"/>
      <c r="O90" s="36"/>
      <c r="P90" s="36"/>
      <c r="Q90" s="36"/>
      <c r="R90" s="36"/>
      <c r="S90" s="36"/>
      <c r="T90" s="36"/>
      <c r="U90" s="36"/>
      <c r="V90" s="36"/>
      <c r="W90" s="43"/>
      <c r="X90" s="43"/>
      <c r="Y90" s="43"/>
      <c r="Z90" s="43"/>
      <c r="AA90" s="43"/>
      <c r="AB90" s="43"/>
      <c r="AC90" s="43"/>
      <c r="AD90" s="43"/>
      <c r="AE90" s="43"/>
      <c r="AF90" s="43"/>
    </row>
    <row r="91" spans="1:32" ht="15.75" customHeight="1" x14ac:dyDescent="0.2">
      <c r="A91" s="53"/>
      <c r="B91" s="54"/>
      <c r="C91" s="55"/>
      <c r="D91" s="55"/>
      <c r="E91" s="55"/>
      <c r="F91" s="36"/>
      <c r="G91" s="36"/>
      <c r="H91" s="36"/>
      <c r="I91" s="36"/>
      <c r="J91" s="36"/>
      <c r="K91" s="36"/>
      <c r="L91" s="36"/>
      <c r="M91" s="36"/>
      <c r="O91" s="36"/>
      <c r="P91" s="36"/>
      <c r="Q91" s="36"/>
      <c r="R91" s="36"/>
      <c r="S91" s="36"/>
      <c r="T91" s="36"/>
      <c r="U91" s="36"/>
      <c r="V91" s="36"/>
      <c r="W91" s="43"/>
      <c r="X91" s="43"/>
      <c r="Y91" s="43"/>
      <c r="Z91" s="43"/>
      <c r="AA91" s="43"/>
      <c r="AB91" s="43"/>
      <c r="AC91" s="43"/>
      <c r="AD91" s="43"/>
      <c r="AE91" s="43"/>
      <c r="AF91" s="43"/>
    </row>
    <row r="92" spans="1:32" ht="15.75" customHeight="1" x14ac:dyDescent="0.2">
      <c r="A92" s="53"/>
      <c r="B92" s="54"/>
      <c r="C92" s="55"/>
      <c r="D92" s="55"/>
      <c r="E92" s="55"/>
      <c r="F92" s="36"/>
      <c r="G92" s="36"/>
      <c r="H92" s="36"/>
      <c r="I92" s="36"/>
      <c r="J92" s="36"/>
      <c r="K92" s="36"/>
      <c r="L92" s="36"/>
      <c r="M92" s="36"/>
      <c r="O92" s="36"/>
      <c r="P92" s="36"/>
      <c r="Q92" s="36"/>
      <c r="R92" s="36"/>
      <c r="S92" s="36"/>
      <c r="T92" s="36"/>
      <c r="U92" s="36"/>
      <c r="V92" s="36"/>
      <c r="W92" s="43"/>
      <c r="X92" s="43"/>
      <c r="Y92" s="43"/>
      <c r="Z92" s="43"/>
      <c r="AA92" s="43"/>
      <c r="AB92" s="43"/>
      <c r="AC92" s="43"/>
      <c r="AD92" s="43"/>
      <c r="AE92" s="43"/>
      <c r="AF92" s="43"/>
    </row>
    <row r="93" spans="1:32" ht="15.75" customHeight="1" x14ac:dyDescent="0.2">
      <c r="A93" s="53"/>
      <c r="B93" s="54"/>
      <c r="C93" s="55"/>
      <c r="D93" s="55"/>
      <c r="E93" s="55"/>
      <c r="F93" s="36"/>
      <c r="G93" s="36"/>
      <c r="H93" s="36"/>
      <c r="I93" s="36"/>
      <c r="J93" s="36"/>
      <c r="K93" s="36"/>
      <c r="L93" s="36"/>
      <c r="M93" s="36"/>
      <c r="O93" s="36"/>
      <c r="P93" s="36"/>
      <c r="Q93" s="36"/>
      <c r="R93" s="36"/>
      <c r="S93" s="36"/>
      <c r="T93" s="36"/>
      <c r="U93" s="36"/>
      <c r="V93" s="36"/>
      <c r="W93" s="43"/>
      <c r="X93" s="43"/>
      <c r="Y93" s="43"/>
      <c r="Z93" s="43"/>
      <c r="AA93" s="43"/>
      <c r="AB93" s="43"/>
      <c r="AC93" s="43"/>
      <c r="AD93" s="43"/>
      <c r="AE93" s="43"/>
      <c r="AF93" s="43"/>
    </row>
    <row r="94" spans="1:32" ht="15.75" customHeight="1" x14ac:dyDescent="0.2">
      <c r="A94" s="53"/>
      <c r="B94" s="54"/>
      <c r="C94" s="55"/>
      <c r="D94" s="55"/>
      <c r="E94" s="55"/>
      <c r="F94" s="36"/>
      <c r="G94" s="36"/>
      <c r="H94" s="36"/>
      <c r="I94" s="36"/>
      <c r="J94" s="36"/>
      <c r="K94" s="36"/>
      <c r="L94" s="36"/>
      <c r="M94" s="36"/>
      <c r="O94" s="36"/>
      <c r="P94" s="36"/>
      <c r="Q94" s="36"/>
      <c r="R94" s="36"/>
      <c r="S94" s="36"/>
      <c r="T94" s="36"/>
      <c r="U94" s="36"/>
      <c r="V94" s="36"/>
      <c r="W94" s="43"/>
      <c r="X94" s="43"/>
      <c r="Y94" s="43"/>
      <c r="Z94" s="43"/>
      <c r="AA94" s="43"/>
      <c r="AB94" s="43"/>
      <c r="AC94" s="43"/>
      <c r="AD94" s="43"/>
      <c r="AE94" s="43"/>
      <c r="AF94" s="43"/>
    </row>
    <row r="95" spans="1:32" ht="15.75" customHeight="1" x14ac:dyDescent="0.2">
      <c r="A95" s="53"/>
      <c r="B95" s="54"/>
      <c r="C95" s="55"/>
      <c r="D95" s="55"/>
      <c r="E95" s="55"/>
      <c r="F95" s="36"/>
      <c r="G95" s="36"/>
      <c r="H95" s="36"/>
      <c r="I95" s="36"/>
      <c r="J95" s="36"/>
      <c r="K95" s="36"/>
      <c r="L95" s="36"/>
      <c r="M95" s="36"/>
      <c r="O95" s="36"/>
      <c r="P95" s="36"/>
      <c r="Q95" s="36"/>
      <c r="R95" s="36"/>
      <c r="S95" s="36"/>
      <c r="T95" s="36"/>
      <c r="U95" s="36"/>
      <c r="V95" s="36"/>
      <c r="W95" s="43"/>
      <c r="X95" s="43"/>
      <c r="Y95" s="43"/>
      <c r="Z95" s="43"/>
      <c r="AA95" s="43"/>
      <c r="AB95" s="43"/>
      <c r="AC95" s="43"/>
      <c r="AD95" s="43"/>
      <c r="AE95" s="43"/>
      <c r="AF95" s="43"/>
    </row>
    <row r="96" spans="1:32" ht="15.75" customHeight="1" x14ac:dyDescent="0.2">
      <c r="A96" s="53"/>
      <c r="B96" s="54"/>
      <c r="C96" s="55"/>
      <c r="D96" s="55"/>
      <c r="E96" s="55"/>
      <c r="F96" s="36"/>
      <c r="G96" s="36"/>
      <c r="H96" s="36"/>
      <c r="I96" s="36"/>
      <c r="J96" s="36"/>
      <c r="K96" s="36"/>
      <c r="L96" s="36"/>
      <c r="M96" s="36"/>
      <c r="O96" s="36"/>
      <c r="P96" s="36"/>
      <c r="Q96" s="36"/>
      <c r="R96" s="36"/>
      <c r="S96" s="36"/>
      <c r="T96" s="36"/>
      <c r="U96" s="36"/>
      <c r="V96" s="36"/>
      <c r="W96" s="43"/>
      <c r="X96" s="43"/>
      <c r="Y96" s="43"/>
      <c r="Z96" s="43"/>
      <c r="AA96" s="43"/>
      <c r="AB96" s="43"/>
      <c r="AC96" s="43"/>
      <c r="AD96" s="43"/>
      <c r="AE96" s="43"/>
      <c r="AF96" s="43"/>
    </row>
    <row r="97" spans="1:32" ht="15.75" customHeight="1" x14ac:dyDescent="0.2">
      <c r="A97" s="53"/>
      <c r="B97" s="54"/>
      <c r="C97" s="55"/>
      <c r="D97" s="55"/>
      <c r="E97" s="55"/>
      <c r="F97" s="36"/>
      <c r="G97" s="36"/>
      <c r="H97" s="36"/>
      <c r="I97" s="36"/>
      <c r="J97" s="36"/>
      <c r="K97" s="36"/>
      <c r="L97" s="36"/>
      <c r="M97" s="36"/>
      <c r="O97" s="36"/>
      <c r="P97" s="36"/>
      <c r="Q97" s="36"/>
      <c r="R97" s="36"/>
      <c r="S97" s="36"/>
      <c r="T97" s="36"/>
      <c r="U97" s="36"/>
      <c r="V97" s="36"/>
      <c r="W97" s="43"/>
      <c r="X97" s="43"/>
      <c r="Y97" s="43"/>
      <c r="Z97" s="43"/>
      <c r="AA97" s="43"/>
      <c r="AB97" s="43"/>
      <c r="AC97" s="43"/>
      <c r="AD97" s="43"/>
      <c r="AE97" s="43"/>
      <c r="AF97" s="43"/>
    </row>
    <row r="98" spans="1:32" ht="15.75" customHeight="1" x14ac:dyDescent="0.2">
      <c r="A98" s="53"/>
      <c r="B98" s="54"/>
      <c r="C98" s="55"/>
      <c r="D98" s="55"/>
      <c r="E98" s="55"/>
      <c r="F98" s="36"/>
      <c r="G98" s="36"/>
      <c r="H98" s="36"/>
      <c r="I98" s="36"/>
      <c r="J98" s="36"/>
      <c r="K98" s="36"/>
      <c r="L98" s="36"/>
      <c r="M98" s="36"/>
      <c r="O98" s="36"/>
      <c r="P98" s="36"/>
      <c r="Q98" s="36"/>
      <c r="R98" s="36"/>
      <c r="S98" s="36"/>
      <c r="T98" s="36"/>
      <c r="U98" s="36"/>
      <c r="V98" s="36"/>
      <c r="W98" s="43"/>
      <c r="X98" s="43"/>
      <c r="Y98" s="43"/>
      <c r="Z98" s="43"/>
      <c r="AA98" s="43"/>
      <c r="AB98" s="43"/>
      <c r="AC98" s="43"/>
      <c r="AD98" s="43"/>
      <c r="AE98" s="43"/>
      <c r="AF98" s="43"/>
    </row>
    <row r="99" spans="1:32" ht="15.75" customHeight="1" x14ac:dyDescent="0.2">
      <c r="A99" s="53"/>
      <c r="B99" s="54"/>
      <c r="C99" s="55"/>
      <c r="D99" s="55"/>
      <c r="E99" s="55"/>
      <c r="F99" s="36"/>
      <c r="G99" s="36"/>
      <c r="H99" s="36"/>
      <c r="I99" s="56"/>
      <c r="J99" s="56"/>
      <c r="K99" s="36"/>
      <c r="L99" s="36"/>
      <c r="M99" s="36"/>
      <c r="O99" s="36"/>
      <c r="P99" s="36"/>
      <c r="Q99" s="36"/>
      <c r="R99" s="36"/>
      <c r="S99" s="36"/>
      <c r="T99" s="36"/>
      <c r="U99" s="36"/>
      <c r="V99" s="36"/>
      <c r="W99" s="43"/>
      <c r="X99" s="43"/>
      <c r="Y99" s="43"/>
      <c r="Z99" s="43"/>
      <c r="AA99" s="43"/>
      <c r="AB99" s="43"/>
      <c r="AC99" s="43"/>
      <c r="AD99" s="43"/>
      <c r="AE99" s="43"/>
      <c r="AF99" s="43"/>
    </row>
    <row r="100" spans="1:32" ht="15.75" customHeight="1" x14ac:dyDescent="0.2">
      <c r="A100" s="53"/>
      <c r="B100" s="54"/>
      <c r="C100" s="54"/>
      <c r="D100" s="54"/>
      <c r="E100" s="54"/>
      <c r="F100" s="56"/>
      <c r="G100" s="56"/>
      <c r="H100" s="56"/>
      <c r="I100" s="56"/>
      <c r="J100" s="56"/>
      <c r="K100" s="56"/>
      <c r="L100" s="56"/>
      <c r="M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</row>
    <row r="101" spans="1:32" ht="15.75" customHeight="1" x14ac:dyDescent="0.2">
      <c r="A101" s="53"/>
      <c r="B101" s="54"/>
      <c r="C101" s="54"/>
      <c r="D101" s="54"/>
      <c r="E101" s="54"/>
      <c r="F101" s="56"/>
      <c r="G101" s="56"/>
      <c r="H101" s="56"/>
      <c r="I101" s="56"/>
      <c r="J101" s="56"/>
      <c r="K101" s="56"/>
      <c r="L101" s="56"/>
      <c r="M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</row>
    <row r="102" spans="1:32" ht="15.75" customHeight="1" x14ac:dyDescent="0.2">
      <c r="A102" s="53"/>
      <c r="B102" s="54"/>
      <c r="C102" s="54"/>
      <c r="D102" s="54"/>
      <c r="E102" s="54"/>
      <c r="F102" s="56"/>
      <c r="G102" s="56"/>
      <c r="H102" s="56"/>
      <c r="I102" s="56"/>
      <c r="J102" s="56"/>
      <c r="K102" s="56"/>
      <c r="L102" s="56"/>
      <c r="M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</row>
    <row r="103" spans="1:32" ht="15.75" customHeight="1" x14ac:dyDescent="0.2">
      <c r="A103" s="53"/>
      <c r="B103" s="54"/>
      <c r="C103" s="54"/>
      <c r="D103" s="54"/>
      <c r="E103" s="54"/>
      <c r="F103" s="56"/>
      <c r="G103" s="56"/>
      <c r="H103" s="56"/>
      <c r="I103" s="56"/>
      <c r="J103" s="56"/>
      <c r="K103" s="56"/>
      <c r="L103" s="56"/>
      <c r="M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</row>
    <row r="104" spans="1:32" ht="15.75" customHeight="1" x14ac:dyDescent="0.2">
      <c r="A104" s="53"/>
      <c r="B104" s="54"/>
      <c r="C104" s="54"/>
      <c r="D104" s="54"/>
      <c r="E104" s="54"/>
      <c r="F104" s="56"/>
      <c r="G104" s="56"/>
      <c r="H104" s="56"/>
      <c r="I104" s="56"/>
      <c r="J104" s="56"/>
      <c r="K104" s="56"/>
      <c r="L104" s="56"/>
      <c r="M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</row>
    <row r="105" spans="1:32" ht="15.75" customHeight="1" x14ac:dyDescent="0.2">
      <c r="A105" s="53"/>
      <c r="B105" s="54"/>
      <c r="C105" s="54"/>
      <c r="D105" s="54"/>
      <c r="E105" s="54"/>
      <c r="F105" s="56"/>
      <c r="G105" s="56"/>
      <c r="H105" s="56"/>
      <c r="I105" s="56"/>
      <c r="J105" s="56"/>
      <c r="K105" s="56"/>
      <c r="L105" s="56"/>
      <c r="M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</row>
    <row r="106" spans="1:32" ht="15.75" customHeight="1" x14ac:dyDescent="0.2">
      <c r="A106" s="53"/>
      <c r="B106" s="54"/>
      <c r="C106" s="54"/>
      <c r="D106" s="54"/>
      <c r="E106" s="54"/>
      <c r="F106" s="56"/>
      <c r="G106" s="56"/>
      <c r="H106" s="56"/>
      <c r="I106" s="56"/>
      <c r="J106" s="56"/>
      <c r="K106" s="56"/>
      <c r="L106" s="56"/>
      <c r="M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</row>
    <row r="107" spans="1:32" ht="15.75" customHeight="1" x14ac:dyDescent="0.2">
      <c r="A107" s="53"/>
      <c r="B107" s="54"/>
      <c r="C107" s="54"/>
      <c r="D107" s="54"/>
      <c r="E107" s="54"/>
      <c r="F107" s="56"/>
      <c r="G107" s="56"/>
      <c r="H107" s="56"/>
      <c r="I107" s="56"/>
      <c r="J107" s="56"/>
      <c r="K107" s="56"/>
      <c r="L107" s="56"/>
      <c r="M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</row>
    <row r="108" spans="1:32" ht="15.75" customHeight="1" x14ac:dyDescent="0.2">
      <c r="A108" s="53"/>
      <c r="B108" s="54"/>
      <c r="C108" s="54"/>
      <c r="D108" s="54"/>
      <c r="E108" s="54"/>
      <c r="F108" s="56"/>
      <c r="G108" s="56"/>
      <c r="H108" s="56"/>
      <c r="I108" s="56"/>
      <c r="J108" s="56"/>
      <c r="K108" s="56"/>
      <c r="L108" s="56"/>
      <c r="M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</row>
    <row r="109" spans="1:32" ht="15.75" customHeight="1" x14ac:dyDescent="0.2">
      <c r="A109" s="53"/>
      <c r="B109" s="54"/>
      <c r="C109" s="54"/>
      <c r="D109" s="54"/>
      <c r="E109" s="54"/>
      <c r="F109" s="56"/>
      <c r="G109" s="56"/>
      <c r="H109" s="56"/>
      <c r="I109" s="56"/>
      <c r="J109" s="56"/>
      <c r="K109" s="56"/>
      <c r="L109" s="56"/>
      <c r="M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</row>
    <row r="110" spans="1:32" ht="15.75" customHeight="1" x14ac:dyDescent="0.2">
      <c r="A110" s="53"/>
      <c r="B110" s="54"/>
      <c r="C110" s="54"/>
      <c r="D110" s="54"/>
      <c r="E110" s="54"/>
      <c r="F110" s="56"/>
      <c r="G110" s="56"/>
      <c r="H110" s="56"/>
      <c r="I110" s="56"/>
      <c r="J110" s="56"/>
      <c r="K110" s="56"/>
      <c r="L110" s="56"/>
      <c r="M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</row>
    <row r="111" spans="1:32" ht="15.75" customHeight="1" x14ac:dyDescent="0.2">
      <c r="A111" s="53"/>
      <c r="B111" s="54"/>
      <c r="C111" s="54"/>
      <c r="D111" s="54"/>
      <c r="E111" s="54"/>
      <c r="F111" s="56"/>
      <c r="G111" s="56"/>
      <c r="H111" s="56"/>
      <c r="I111" s="56"/>
      <c r="J111" s="56"/>
      <c r="K111" s="56"/>
      <c r="L111" s="56"/>
      <c r="M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</row>
    <row r="112" spans="1:32" ht="15.75" customHeight="1" x14ac:dyDescent="0.2">
      <c r="A112" s="53"/>
      <c r="B112" s="54"/>
      <c r="C112" s="54"/>
      <c r="D112" s="54"/>
      <c r="E112" s="54"/>
      <c r="F112" s="56"/>
      <c r="G112" s="56"/>
      <c r="H112" s="56"/>
      <c r="I112" s="56"/>
      <c r="J112" s="56"/>
      <c r="K112" s="56"/>
      <c r="L112" s="56"/>
      <c r="M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</row>
    <row r="113" spans="1:32" ht="15.75" customHeight="1" x14ac:dyDescent="0.2">
      <c r="A113" s="53"/>
      <c r="B113" s="54"/>
      <c r="C113" s="54"/>
      <c r="D113" s="54"/>
      <c r="E113" s="54"/>
      <c r="F113" s="56"/>
      <c r="G113" s="56"/>
      <c r="H113" s="56"/>
      <c r="I113" s="56"/>
      <c r="J113" s="56"/>
      <c r="K113" s="56"/>
      <c r="L113" s="56"/>
      <c r="M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</row>
    <row r="114" spans="1:32" ht="15.75" customHeight="1" x14ac:dyDescent="0.2">
      <c r="A114" s="53"/>
      <c r="B114" s="54"/>
      <c r="C114" s="54"/>
      <c r="D114" s="54"/>
      <c r="E114" s="54"/>
      <c r="F114" s="56"/>
      <c r="G114" s="56"/>
      <c r="H114" s="56"/>
      <c r="I114" s="56"/>
      <c r="J114" s="56"/>
      <c r="K114" s="56"/>
      <c r="L114" s="56"/>
      <c r="M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</row>
    <row r="115" spans="1:32" ht="15.75" customHeight="1" x14ac:dyDescent="0.2">
      <c r="A115" s="53"/>
      <c r="B115" s="54"/>
      <c r="C115" s="54"/>
      <c r="D115" s="54"/>
      <c r="E115" s="54"/>
      <c r="F115" s="56"/>
      <c r="G115" s="56"/>
      <c r="H115" s="56"/>
      <c r="I115" s="56"/>
      <c r="J115" s="56"/>
      <c r="K115" s="56"/>
      <c r="L115" s="56"/>
      <c r="M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</row>
    <row r="116" spans="1:32" ht="15.75" customHeight="1" x14ac:dyDescent="0.2">
      <c r="A116" s="53"/>
      <c r="B116" s="54"/>
      <c r="C116" s="54"/>
      <c r="D116" s="54"/>
      <c r="E116" s="54"/>
      <c r="F116" s="56"/>
      <c r="G116" s="56"/>
      <c r="H116" s="56"/>
      <c r="I116" s="56"/>
      <c r="J116" s="56"/>
      <c r="K116" s="56"/>
      <c r="L116" s="56"/>
      <c r="M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</row>
    <row r="117" spans="1:32" ht="15.75" customHeight="1" x14ac:dyDescent="0.2">
      <c r="A117" s="53"/>
      <c r="B117" s="54"/>
      <c r="C117" s="54"/>
      <c r="D117" s="54"/>
      <c r="E117" s="54"/>
      <c r="F117" s="56"/>
      <c r="G117" s="56"/>
      <c r="H117" s="56"/>
      <c r="I117" s="56"/>
      <c r="J117" s="56"/>
      <c r="K117" s="56"/>
      <c r="L117" s="56"/>
      <c r="M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</row>
    <row r="118" spans="1:32" ht="15.75" customHeight="1" x14ac:dyDescent="0.2">
      <c r="A118" s="53"/>
      <c r="B118" s="54"/>
      <c r="C118" s="54"/>
      <c r="D118" s="54"/>
      <c r="E118" s="54"/>
      <c r="F118" s="56"/>
      <c r="G118" s="56"/>
      <c r="H118" s="56"/>
      <c r="I118" s="56"/>
      <c r="J118" s="56"/>
      <c r="K118" s="56"/>
      <c r="L118" s="56"/>
      <c r="M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</row>
    <row r="119" spans="1:32" ht="15.75" customHeight="1" x14ac:dyDescent="0.2">
      <c r="A119" s="53"/>
      <c r="B119" s="54"/>
      <c r="C119" s="54"/>
      <c r="D119" s="54"/>
      <c r="E119" s="54"/>
      <c r="F119" s="56"/>
      <c r="G119" s="56"/>
      <c r="H119" s="56"/>
      <c r="I119" s="56"/>
      <c r="J119" s="56"/>
      <c r="K119" s="56"/>
      <c r="L119" s="56"/>
      <c r="M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</row>
    <row r="120" spans="1:32" ht="15.75" customHeight="1" x14ac:dyDescent="0.2">
      <c r="A120" s="53"/>
      <c r="B120" s="54"/>
      <c r="C120" s="54"/>
      <c r="D120" s="54"/>
      <c r="E120" s="54"/>
      <c r="F120" s="56"/>
      <c r="G120" s="56"/>
      <c r="H120" s="56"/>
      <c r="I120" s="56"/>
      <c r="J120" s="56"/>
      <c r="K120" s="56"/>
      <c r="L120" s="56"/>
      <c r="M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</row>
    <row r="121" spans="1:32" ht="15.75" customHeight="1" x14ac:dyDescent="0.2">
      <c r="A121" s="53"/>
      <c r="B121" s="54"/>
      <c r="C121" s="54"/>
      <c r="D121" s="54"/>
      <c r="E121" s="54"/>
      <c r="F121" s="56"/>
      <c r="G121" s="56"/>
      <c r="H121" s="56"/>
      <c r="I121" s="56"/>
      <c r="J121" s="56"/>
      <c r="K121" s="56"/>
      <c r="L121" s="56"/>
      <c r="M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</row>
    <row r="122" spans="1:32" ht="15.75" customHeight="1" x14ac:dyDescent="0.2">
      <c r="A122" s="53"/>
      <c r="B122" s="54"/>
      <c r="C122" s="54"/>
      <c r="D122" s="54"/>
      <c r="E122" s="54"/>
      <c r="F122" s="56"/>
      <c r="G122" s="56"/>
      <c r="H122" s="56"/>
      <c r="I122" s="56"/>
      <c r="J122" s="56"/>
      <c r="K122" s="56"/>
      <c r="L122" s="56"/>
      <c r="M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</row>
    <row r="123" spans="1:32" ht="15.75" customHeight="1" x14ac:dyDescent="0.2">
      <c r="A123" s="53"/>
      <c r="B123" s="54"/>
      <c r="C123" s="54"/>
      <c r="D123" s="54"/>
      <c r="E123" s="54"/>
      <c r="F123" s="56"/>
      <c r="G123" s="56"/>
      <c r="H123" s="56"/>
      <c r="I123" s="56"/>
      <c r="J123" s="56"/>
      <c r="K123" s="56"/>
      <c r="L123" s="56"/>
      <c r="M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</row>
    <row r="124" spans="1:32" ht="15.75" customHeight="1" x14ac:dyDescent="0.2">
      <c r="A124" s="53"/>
      <c r="B124" s="54"/>
      <c r="C124" s="54"/>
      <c r="D124" s="54"/>
      <c r="E124" s="54"/>
      <c r="F124" s="56"/>
      <c r="G124" s="56"/>
      <c r="H124" s="56"/>
      <c r="I124" s="56"/>
      <c r="J124" s="56"/>
      <c r="K124" s="56"/>
      <c r="L124" s="56"/>
      <c r="M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</row>
    <row r="125" spans="1:32" ht="15.75" customHeight="1" x14ac:dyDescent="0.2">
      <c r="A125" s="53"/>
      <c r="B125" s="54"/>
      <c r="C125" s="54"/>
      <c r="D125" s="54"/>
      <c r="E125" s="54"/>
      <c r="F125" s="56"/>
      <c r="G125" s="56"/>
      <c r="H125" s="56"/>
      <c r="I125" s="56"/>
      <c r="J125" s="56"/>
      <c r="K125" s="56"/>
      <c r="L125" s="56"/>
      <c r="M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</row>
    <row r="126" spans="1:32" ht="15.75" customHeight="1" x14ac:dyDescent="0.2">
      <c r="A126" s="53"/>
      <c r="B126" s="54"/>
      <c r="C126" s="54"/>
      <c r="D126" s="54"/>
      <c r="E126" s="54"/>
      <c r="F126" s="56"/>
      <c r="G126" s="56"/>
      <c r="H126" s="56"/>
      <c r="I126" s="56"/>
      <c r="J126" s="56"/>
      <c r="K126" s="56"/>
      <c r="L126" s="56"/>
      <c r="M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</row>
    <row r="127" spans="1:32" ht="15.75" customHeight="1" x14ac:dyDescent="0.2">
      <c r="A127" s="53"/>
      <c r="B127" s="54"/>
      <c r="C127" s="54"/>
      <c r="D127" s="54"/>
      <c r="E127" s="54"/>
      <c r="F127" s="56"/>
      <c r="G127" s="56"/>
      <c r="H127" s="56"/>
      <c r="I127" s="56"/>
      <c r="J127" s="56"/>
      <c r="K127" s="56"/>
      <c r="L127" s="56"/>
      <c r="M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</row>
    <row r="128" spans="1:32" ht="15.75" customHeight="1" x14ac:dyDescent="0.2">
      <c r="A128" s="53"/>
      <c r="B128" s="54"/>
      <c r="C128" s="54"/>
      <c r="D128" s="54"/>
      <c r="E128" s="54"/>
      <c r="F128" s="56"/>
      <c r="G128" s="56"/>
      <c r="H128" s="56"/>
      <c r="I128" s="56"/>
      <c r="J128" s="56"/>
      <c r="K128" s="56"/>
      <c r="L128" s="56"/>
      <c r="M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</row>
    <row r="129" spans="1:32" ht="15.75" customHeight="1" x14ac:dyDescent="0.2">
      <c r="A129" s="53"/>
      <c r="B129" s="54"/>
      <c r="C129" s="54"/>
      <c r="D129" s="54"/>
      <c r="E129" s="54"/>
      <c r="F129" s="56"/>
      <c r="G129" s="56"/>
      <c r="H129" s="56"/>
      <c r="I129" s="56"/>
      <c r="J129" s="56"/>
      <c r="K129" s="56"/>
      <c r="L129" s="56"/>
      <c r="M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</row>
    <row r="130" spans="1:32" ht="15.75" customHeight="1" x14ac:dyDescent="0.2">
      <c r="A130" s="53"/>
      <c r="B130" s="54"/>
      <c r="C130" s="54"/>
      <c r="D130" s="54"/>
      <c r="E130" s="54"/>
      <c r="F130" s="56"/>
      <c r="G130" s="56"/>
      <c r="H130" s="56"/>
      <c r="I130" s="56"/>
      <c r="J130" s="56"/>
      <c r="K130" s="56"/>
      <c r="L130" s="56"/>
      <c r="M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</row>
    <row r="131" spans="1:32" ht="15.75" customHeight="1" x14ac:dyDescent="0.2">
      <c r="A131" s="53"/>
      <c r="B131" s="54"/>
      <c r="C131" s="54"/>
      <c r="D131" s="54"/>
      <c r="E131" s="54"/>
      <c r="F131" s="56"/>
      <c r="G131" s="56"/>
      <c r="H131" s="56"/>
      <c r="I131" s="56"/>
      <c r="J131" s="56"/>
      <c r="K131" s="56"/>
      <c r="L131" s="56"/>
      <c r="M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</row>
    <row r="132" spans="1:32" ht="15.75" customHeight="1" x14ac:dyDescent="0.2">
      <c r="A132" s="53"/>
      <c r="B132" s="54"/>
      <c r="C132" s="54"/>
      <c r="D132" s="54"/>
      <c r="E132" s="54"/>
      <c r="F132" s="56"/>
      <c r="G132" s="56"/>
      <c r="H132" s="56"/>
      <c r="I132" s="56"/>
      <c r="J132" s="56"/>
      <c r="K132" s="56"/>
      <c r="L132" s="56"/>
      <c r="M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</row>
    <row r="133" spans="1:32" ht="15.75" customHeight="1" x14ac:dyDescent="0.2">
      <c r="A133" s="53"/>
      <c r="B133" s="54"/>
      <c r="C133" s="54"/>
      <c r="D133" s="54"/>
      <c r="E133" s="54"/>
      <c r="F133" s="56"/>
      <c r="G133" s="56"/>
      <c r="H133" s="56"/>
      <c r="I133" s="56"/>
      <c r="J133" s="56"/>
      <c r="K133" s="56"/>
      <c r="L133" s="56"/>
      <c r="M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</row>
    <row r="134" spans="1:32" ht="15.75" customHeight="1" x14ac:dyDescent="0.2">
      <c r="A134" s="53"/>
      <c r="B134" s="54"/>
      <c r="C134" s="54"/>
      <c r="D134" s="54"/>
      <c r="E134" s="54"/>
      <c r="F134" s="56"/>
      <c r="G134" s="56"/>
      <c r="H134" s="56"/>
      <c r="I134" s="56"/>
      <c r="J134" s="56"/>
      <c r="K134" s="56"/>
      <c r="L134" s="56"/>
      <c r="M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</row>
    <row r="135" spans="1:32" ht="15.75" customHeight="1" x14ac:dyDescent="0.2">
      <c r="A135" s="53"/>
      <c r="B135" s="54"/>
      <c r="C135" s="54"/>
      <c r="D135" s="54"/>
      <c r="E135" s="54"/>
      <c r="F135" s="56"/>
      <c r="G135" s="56"/>
      <c r="H135" s="56"/>
      <c r="I135" s="56"/>
      <c r="J135" s="56"/>
      <c r="K135" s="56"/>
      <c r="L135" s="56"/>
      <c r="M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</row>
    <row r="136" spans="1:32" ht="15.75" customHeight="1" x14ac:dyDescent="0.2">
      <c r="A136" s="53"/>
      <c r="B136" s="54"/>
      <c r="C136" s="54"/>
      <c r="D136" s="54"/>
      <c r="E136" s="54"/>
      <c r="F136" s="56"/>
      <c r="G136" s="56"/>
      <c r="H136" s="56"/>
      <c r="I136" s="56"/>
      <c r="J136" s="56"/>
      <c r="K136" s="56"/>
      <c r="L136" s="56"/>
      <c r="M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</row>
    <row r="137" spans="1:32" ht="15.75" customHeight="1" x14ac:dyDescent="0.2">
      <c r="A137" s="53"/>
      <c r="B137" s="54"/>
      <c r="C137" s="54"/>
      <c r="D137" s="54"/>
      <c r="E137" s="54"/>
      <c r="F137" s="56"/>
      <c r="G137" s="56"/>
      <c r="H137" s="56"/>
      <c r="I137" s="56"/>
      <c r="J137" s="56"/>
      <c r="K137" s="56"/>
      <c r="L137" s="56"/>
      <c r="M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</row>
    <row r="138" spans="1:32" ht="15.75" customHeight="1" x14ac:dyDescent="0.2">
      <c r="A138" s="53"/>
      <c r="B138" s="54"/>
      <c r="C138" s="54"/>
      <c r="D138" s="54"/>
      <c r="E138" s="54"/>
      <c r="F138" s="56"/>
      <c r="G138" s="56"/>
      <c r="H138" s="56"/>
      <c r="I138" s="56"/>
      <c r="J138" s="56"/>
      <c r="K138" s="56"/>
      <c r="L138" s="56"/>
      <c r="M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</row>
    <row r="139" spans="1:32" ht="15.75" customHeight="1" x14ac:dyDescent="0.2">
      <c r="A139" s="53"/>
      <c r="B139" s="54"/>
      <c r="C139" s="54"/>
      <c r="D139" s="54"/>
      <c r="E139" s="54"/>
      <c r="F139" s="56"/>
      <c r="G139" s="56"/>
      <c r="H139" s="56"/>
      <c r="I139" s="56"/>
      <c r="J139" s="56"/>
      <c r="K139" s="56"/>
      <c r="L139" s="56"/>
      <c r="M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</row>
    <row r="140" spans="1:32" ht="15.75" customHeight="1" x14ac:dyDescent="0.2">
      <c r="A140" s="53"/>
      <c r="B140" s="54"/>
      <c r="C140" s="54"/>
      <c r="D140" s="54"/>
      <c r="E140" s="54"/>
      <c r="F140" s="56"/>
      <c r="G140" s="56"/>
      <c r="H140" s="56"/>
      <c r="I140" s="56"/>
      <c r="J140" s="56"/>
      <c r="K140" s="56"/>
      <c r="L140" s="56"/>
      <c r="M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spans="1:32" ht="15.75" customHeight="1" x14ac:dyDescent="0.2">
      <c r="A141" s="53"/>
      <c r="B141" s="54"/>
      <c r="C141" s="54"/>
      <c r="D141" s="54"/>
      <c r="E141" s="54"/>
      <c r="F141" s="56"/>
      <c r="G141" s="56"/>
      <c r="H141" s="56"/>
      <c r="I141" s="56"/>
      <c r="J141" s="56"/>
      <c r="K141" s="56"/>
      <c r="L141" s="56"/>
      <c r="M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</row>
    <row r="142" spans="1:32" ht="15.75" customHeight="1" x14ac:dyDescent="0.2">
      <c r="A142" s="53"/>
      <c r="B142" s="54"/>
      <c r="C142" s="54"/>
      <c r="D142" s="54"/>
      <c r="E142" s="54"/>
      <c r="F142" s="56"/>
      <c r="G142" s="56"/>
      <c r="H142" s="56"/>
      <c r="I142" s="56"/>
      <c r="J142" s="56"/>
      <c r="K142" s="56"/>
      <c r="L142" s="56"/>
      <c r="M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</row>
    <row r="143" spans="1:32" ht="15.75" customHeight="1" x14ac:dyDescent="0.2">
      <c r="A143" s="53"/>
      <c r="B143" s="54"/>
      <c r="C143" s="54"/>
      <c r="D143" s="54"/>
      <c r="E143" s="54"/>
      <c r="F143" s="56"/>
      <c r="G143" s="56"/>
      <c r="H143" s="56"/>
      <c r="I143" s="56"/>
      <c r="J143" s="56"/>
      <c r="K143" s="56"/>
      <c r="L143" s="56"/>
      <c r="M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</row>
    <row r="144" spans="1:32" ht="15.75" customHeight="1" x14ac:dyDescent="0.2">
      <c r="A144" s="53"/>
      <c r="B144" s="54"/>
      <c r="C144" s="54"/>
      <c r="D144" s="54"/>
      <c r="E144" s="54"/>
      <c r="F144" s="56"/>
      <c r="G144" s="56"/>
      <c r="H144" s="56"/>
      <c r="I144" s="56"/>
      <c r="J144" s="56"/>
      <c r="K144" s="56"/>
      <c r="L144" s="56"/>
      <c r="M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</row>
    <row r="145" spans="1:32" ht="15.75" customHeight="1" x14ac:dyDescent="0.2">
      <c r="A145" s="53"/>
      <c r="B145" s="54"/>
      <c r="C145" s="54"/>
      <c r="D145" s="54"/>
      <c r="E145" s="54"/>
      <c r="F145" s="56"/>
      <c r="G145" s="56"/>
      <c r="H145" s="56"/>
      <c r="I145" s="56"/>
      <c r="J145" s="56"/>
      <c r="K145" s="56"/>
      <c r="L145" s="56"/>
      <c r="M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</row>
    <row r="146" spans="1:32" ht="15.75" customHeight="1" x14ac:dyDescent="0.2">
      <c r="A146" s="53"/>
      <c r="B146" s="54"/>
      <c r="C146" s="54"/>
      <c r="D146" s="54"/>
      <c r="E146" s="54"/>
      <c r="F146" s="56"/>
      <c r="G146" s="56"/>
      <c r="H146" s="56"/>
      <c r="I146" s="56"/>
      <c r="J146" s="56"/>
      <c r="K146" s="56"/>
      <c r="L146" s="56"/>
      <c r="M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</row>
    <row r="147" spans="1:32" ht="15.75" customHeight="1" x14ac:dyDescent="0.2">
      <c r="A147" s="53"/>
      <c r="B147" s="54"/>
      <c r="C147" s="54"/>
      <c r="D147" s="54"/>
      <c r="E147" s="54"/>
      <c r="F147" s="56"/>
      <c r="G147" s="56"/>
      <c r="H147" s="56"/>
      <c r="I147" s="56"/>
      <c r="J147" s="56"/>
      <c r="K147" s="56"/>
      <c r="L147" s="56"/>
      <c r="M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</row>
    <row r="148" spans="1:32" ht="15.75" customHeight="1" x14ac:dyDescent="0.2">
      <c r="A148" s="53"/>
      <c r="B148" s="54"/>
      <c r="C148" s="54"/>
      <c r="D148" s="54"/>
      <c r="E148" s="54"/>
      <c r="F148" s="56"/>
      <c r="G148" s="56"/>
      <c r="H148" s="56"/>
      <c r="I148" s="56"/>
      <c r="J148" s="56"/>
      <c r="K148" s="56"/>
      <c r="L148" s="56"/>
      <c r="M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</row>
    <row r="149" spans="1:32" ht="15.75" customHeight="1" x14ac:dyDescent="0.2">
      <c r="A149" s="53"/>
      <c r="B149" s="54"/>
      <c r="C149" s="54"/>
      <c r="D149" s="54"/>
      <c r="E149" s="54"/>
      <c r="F149" s="56"/>
      <c r="G149" s="56"/>
      <c r="H149" s="56"/>
      <c r="I149" s="56"/>
      <c r="J149" s="56"/>
      <c r="K149" s="56"/>
      <c r="L149" s="56"/>
      <c r="M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</row>
    <row r="150" spans="1:32" ht="15.75" customHeight="1" x14ac:dyDescent="0.2">
      <c r="A150" s="53"/>
      <c r="B150" s="54"/>
      <c r="C150" s="54"/>
      <c r="D150" s="54"/>
      <c r="E150" s="54"/>
      <c r="F150" s="56"/>
      <c r="G150" s="56"/>
      <c r="H150" s="56"/>
      <c r="I150" s="56"/>
      <c r="J150" s="56"/>
      <c r="K150" s="56"/>
      <c r="L150" s="56"/>
      <c r="M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</row>
    <row r="151" spans="1:32" ht="15.75" customHeight="1" x14ac:dyDescent="0.2">
      <c r="A151" s="53"/>
      <c r="B151" s="54"/>
      <c r="C151" s="54"/>
      <c r="D151" s="54"/>
      <c r="E151" s="54"/>
      <c r="F151" s="56"/>
      <c r="G151" s="56"/>
      <c r="H151" s="56"/>
      <c r="I151" s="56"/>
      <c r="J151" s="56"/>
      <c r="K151" s="56"/>
      <c r="L151" s="56"/>
      <c r="M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</row>
    <row r="152" spans="1:32" ht="15.75" customHeight="1" x14ac:dyDescent="0.2">
      <c r="A152" s="53"/>
      <c r="B152" s="54"/>
      <c r="C152" s="54"/>
      <c r="D152" s="54"/>
      <c r="E152" s="54"/>
      <c r="F152" s="56"/>
      <c r="G152" s="56"/>
      <c r="H152" s="56"/>
      <c r="I152" s="56"/>
      <c r="J152" s="56"/>
      <c r="K152" s="56"/>
      <c r="L152" s="56"/>
      <c r="M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</row>
    <row r="153" spans="1:32" ht="15.75" customHeight="1" x14ac:dyDescent="0.2">
      <c r="A153" s="53"/>
      <c r="B153" s="54"/>
      <c r="C153" s="54"/>
      <c r="D153" s="54"/>
      <c r="E153" s="54"/>
      <c r="F153" s="56"/>
      <c r="G153" s="56"/>
      <c r="H153" s="56"/>
      <c r="I153" s="56"/>
      <c r="J153" s="56"/>
      <c r="K153" s="56"/>
      <c r="L153" s="56"/>
      <c r="M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</row>
    <row r="154" spans="1:32" ht="15.75" customHeight="1" x14ac:dyDescent="0.2">
      <c r="A154" s="53"/>
      <c r="B154" s="54"/>
      <c r="C154" s="54"/>
      <c r="D154" s="54"/>
      <c r="E154" s="54"/>
      <c r="F154" s="56"/>
      <c r="G154" s="56"/>
      <c r="H154" s="56"/>
      <c r="I154" s="56"/>
      <c r="J154" s="56"/>
      <c r="K154" s="56"/>
      <c r="L154" s="56"/>
      <c r="M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</row>
    <row r="155" spans="1:32" ht="15.75" customHeight="1" x14ac:dyDescent="0.2">
      <c r="A155" s="53"/>
      <c r="B155" s="54"/>
      <c r="C155" s="54"/>
      <c r="D155" s="54"/>
      <c r="E155" s="54"/>
      <c r="F155" s="56"/>
      <c r="G155" s="56"/>
      <c r="H155" s="56"/>
      <c r="I155" s="56"/>
      <c r="J155" s="56"/>
      <c r="K155" s="56"/>
      <c r="L155" s="56"/>
      <c r="M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</row>
    <row r="156" spans="1:32" ht="15.75" customHeight="1" x14ac:dyDescent="0.2">
      <c r="A156" s="53"/>
      <c r="B156" s="54"/>
      <c r="C156" s="54"/>
      <c r="D156" s="54"/>
      <c r="E156" s="54"/>
      <c r="F156" s="56"/>
      <c r="G156" s="56"/>
      <c r="H156" s="56"/>
      <c r="I156" s="56"/>
      <c r="J156" s="56"/>
      <c r="K156" s="56"/>
      <c r="L156" s="56"/>
      <c r="M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</row>
    <row r="157" spans="1:32" ht="15.75" customHeight="1" x14ac:dyDescent="0.2">
      <c r="A157" s="53"/>
      <c r="B157" s="54"/>
      <c r="C157" s="54"/>
      <c r="D157" s="54"/>
      <c r="E157" s="54"/>
      <c r="F157" s="56"/>
      <c r="G157" s="56"/>
      <c r="H157" s="56"/>
      <c r="I157" s="56"/>
      <c r="J157" s="56"/>
      <c r="K157" s="56"/>
      <c r="L157" s="56"/>
      <c r="M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</row>
    <row r="158" spans="1:32" ht="15.75" customHeight="1" x14ac:dyDescent="0.2">
      <c r="A158" s="53"/>
      <c r="B158" s="54"/>
      <c r="C158" s="54"/>
      <c r="D158" s="54"/>
      <c r="E158" s="54"/>
      <c r="F158" s="56"/>
      <c r="G158" s="56"/>
      <c r="H158" s="56"/>
      <c r="I158" s="56"/>
      <c r="J158" s="56"/>
      <c r="K158" s="56"/>
      <c r="L158" s="56"/>
      <c r="M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</row>
    <row r="159" spans="1:32" ht="15.75" customHeight="1" x14ac:dyDescent="0.2">
      <c r="A159" s="53"/>
      <c r="B159" s="54"/>
      <c r="C159" s="54"/>
      <c r="D159" s="54"/>
      <c r="E159" s="54"/>
      <c r="F159" s="56"/>
      <c r="G159" s="56"/>
      <c r="H159" s="56"/>
      <c r="I159" s="56"/>
      <c r="J159" s="56"/>
      <c r="K159" s="56"/>
      <c r="L159" s="56"/>
      <c r="M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</row>
    <row r="160" spans="1:32" ht="15.75" customHeight="1" x14ac:dyDescent="0.2">
      <c r="A160" s="53"/>
      <c r="B160" s="54"/>
      <c r="C160" s="54"/>
      <c r="D160" s="54"/>
      <c r="E160" s="54"/>
      <c r="F160" s="56"/>
      <c r="G160" s="56"/>
      <c r="H160" s="56"/>
      <c r="I160" s="56"/>
      <c r="J160" s="56"/>
      <c r="K160" s="56"/>
      <c r="L160" s="56"/>
      <c r="M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</row>
    <row r="161" spans="1:32" ht="15.75" customHeight="1" x14ac:dyDescent="0.2">
      <c r="A161" s="53"/>
      <c r="B161" s="54"/>
      <c r="C161" s="54"/>
      <c r="D161" s="54"/>
      <c r="E161" s="54"/>
      <c r="F161" s="56"/>
      <c r="G161" s="56"/>
      <c r="H161" s="56"/>
      <c r="I161" s="56"/>
      <c r="J161" s="56"/>
      <c r="K161" s="56"/>
      <c r="L161" s="56"/>
      <c r="M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</row>
    <row r="162" spans="1:32" ht="15.75" customHeight="1" x14ac:dyDescent="0.2">
      <c r="A162" s="53"/>
      <c r="B162" s="54"/>
      <c r="C162" s="54"/>
      <c r="D162" s="54"/>
      <c r="E162" s="54"/>
      <c r="F162" s="56"/>
      <c r="G162" s="56"/>
      <c r="H162" s="56"/>
      <c r="I162" s="56"/>
      <c r="J162" s="56"/>
      <c r="K162" s="56"/>
      <c r="L162" s="56"/>
      <c r="M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</row>
    <row r="163" spans="1:32" ht="15.75" customHeight="1" x14ac:dyDescent="0.2">
      <c r="A163" s="53"/>
      <c r="B163" s="54"/>
      <c r="C163" s="54"/>
      <c r="D163" s="54"/>
      <c r="E163" s="54"/>
      <c r="F163" s="56"/>
      <c r="G163" s="56"/>
      <c r="H163" s="56"/>
      <c r="I163" s="56"/>
      <c r="J163" s="56"/>
      <c r="K163" s="56"/>
      <c r="L163" s="56"/>
      <c r="M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</row>
    <row r="164" spans="1:32" ht="15.75" customHeight="1" x14ac:dyDescent="0.2">
      <c r="A164" s="53"/>
      <c r="B164" s="54"/>
      <c r="C164" s="54"/>
      <c r="D164" s="54"/>
      <c r="E164" s="54"/>
      <c r="F164" s="56"/>
      <c r="G164" s="56"/>
      <c r="H164" s="56"/>
      <c r="I164" s="56"/>
      <c r="J164" s="56"/>
      <c r="K164" s="56"/>
      <c r="L164" s="56"/>
      <c r="M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</row>
    <row r="165" spans="1:32" ht="15.75" customHeight="1" x14ac:dyDescent="0.2">
      <c r="A165" s="53"/>
      <c r="B165" s="54"/>
      <c r="C165" s="54"/>
      <c r="D165" s="54"/>
      <c r="E165" s="54"/>
      <c r="F165" s="56"/>
      <c r="G165" s="56"/>
      <c r="H165" s="56"/>
      <c r="I165" s="56"/>
      <c r="J165" s="56"/>
      <c r="K165" s="56"/>
      <c r="L165" s="56"/>
      <c r="M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</row>
    <row r="166" spans="1:32" ht="15.75" customHeight="1" x14ac:dyDescent="0.2">
      <c r="A166" s="53"/>
      <c r="B166" s="54"/>
      <c r="C166" s="54"/>
      <c r="D166" s="54"/>
      <c r="E166" s="54"/>
      <c r="F166" s="56"/>
      <c r="G166" s="56"/>
      <c r="H166" s="56"/>
      <c r="I166" s="56"/>
      <c r="J166" s="56"/>
      <c r="K166" s="56"/>
      <c r="L166" s="56"/>
      <c r="M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</row>
    <row r="167" spans="1:32" ht="15.75" customHeight="1" x14ac:dyDescent="0.2">
      <c r="A167" s="53"/>
      <c r="B167" s="54"/>
      <c r="C167" s="54"/>
      <c r="D167" s="54"/>
      <c r="E167" s="54"/>
      <c r="F167" s="56"/>
      <c r="G167" s="56"/>
      <c r="H167" s="56"/>
      <c r="I167" s="56"/>
      <c r="J167" s="56"/>
      <c r="K167" s="56"/>
      <c r="L167" s="56"/>
      <c r="M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</row>
    <row r="168" spans="1:32" ht="15.75" customHeight="1" x14ac:dyDescent="0.2">
      <c r="A168" s="53"/>
      <c r="B168" s="54"/>
      <c r="C168" s="54"/>
      <c r="D168" s="54"/>
      <c r="E168" s="54"/>
      <c r="F168" s="56"/>
      <c r="G168" s="56"/>
      <c r="H168" s="56"/>
      <c r="I168" s="56"/>
      <c r="J168" s="56"/>
      <c r="K168" s="56"/>
      <c r="L168" s="56"/>
      <c r="M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</row>
    <row r="169" spans="1:32" ht="15.75" customHeight="1" x14ac:dyDescent="0.2">
      <c r="A169" s="53"/>
      <c r="B169" s="54"/>
      <c r="C169" s="54"/>
      <c r="D169" s="54"/>
      <c r="E169" s="54"/>
      <c r="F169" s="56"/>
      <c r="G169" s="56"/>
      <c r="H169" s="56"/>
      <c r="I169" s="56"/>
      <c r="J169" s="56"/>
      <c r="K169" s="56"/>
      <c r="L169" s="56"/>
      <c r="M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</row>
    <row r="170" spans="1:32" ht="15.75" customHeight="1" x14ac:dyDescent="0.2">
      <c r="A170" s="53"/>
      <c r="B170" s="54"/>
      <c r="C170" s="54"/>
      <c r="D170" s="54"/>
      <c r="E170" s="54"/>
      <c r="F170" s="56"/>
      <c r="G170" s="56"/>
      <c r="H170" s="56"/>
      <c r="I170" s="56"/>
      <c r="J170" s="56"/>
      <c r="K170" s="56"/>
      <c r="L170" s="56"/>
      <c r="M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</row>
    <row r="171" spans="1:32" ht="15.75" customHeight="1" x14ac:dyDescent="0.2">
      <c r="A171" s="53"/>
      <c r="B171" s="54"/>
      <c r="C171" s="54"/>
      <c r="D171" s="54"/>
      <c r="E171" s="54"/>
      <c r="F171" s="56"/>
      <c r="G171" s="56"/>
      <c r="H171" s="56"/>
      <c r="I171" s="56"/>
      <c r="J171" s="56"/>
      <c r="K171" s="56"/>
      <c r="L171" s="56"/>
      <c r="M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</row>
    <row r="172" spans="1:32" ht="15.75" customHeight="1" x14ac:dyDescent="0.2">
      <c r="A172" s="53"/>
      <c r="B172" s="54"/>
      <c r="C172" s="54"/>
      <c r="D172" s="54"/>
      <c r="E172" s="54"/>
      <c r="F172" s="56"/>
      <c r="G172" s="56"/>
      <c r="H172" s="56"/>
      <c r="I172" s="56"/>
      <c r="J172" s="56"/>
      <c r="K172" s="56"/>
      <c r="L172" s="56"/>
      <c r="M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</row>
    <row r="173" spans="1:32" ht="15.75" customHeight="1" x14ac:dyDescent="0.2">
      <c r="A173" s="53"/>
      <c r="B173" s="54"/>
      <c r="C173" s="54"/>
      <c r="D173" s="54"/>
      <c r="E173" s="54"/>
      <c r="F173" s="56"/>
      <c r="G173" s="56"/>
      <c r="H173" s="56"/>
      <c r="I173" s="56"/>
      <c r="J173" s="56"/>
      <c r="K173" s="56"/>
      <c r="L173" s="56"/>
      <c r="M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</row>
    <row r="174" spans="1:32" ht="15.75" customHeight="1" x14ac:dyDescent="0.2">
      <c r="A174" s="53"/>
      <c r="B174" s="54"/>
      <c r="C174" s="54"/>
      <c r="D174" s="54"/>
      <c r="E174" s="54"/>
      <c r="F174" s="56"/>
      <c r="G174" s="56"/>
      <c r="H174" s="56"/>
      <c r="I174" s="56"/>
      <c r="J174" s="56"/>
      <c r="K174" s="56"/>
      <c r="L174" s="56"/>
      <c r="M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</row>
    <row r="175" spans="1:32" ht="15.75" customHeight="1" x14ac:dyDescent="0.2">
      <c r="A175" s="53"/>
      <c r="B175" s="54"/>
      <c r="C175" s="54"/>
      <c r="D175" s="54"/>
      <c r="E175" s="54"/>
      <c r="F175" s="56"/>
      <c r="G175" s="56"/>
      <c r="H175" s="56"/>
      <c r="I175" s="56"/>
      <c r="J175" s="56"/>
      <c r="K175" s="56"/>
      <c r="L175" s="56"/>
      <c r="M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</row>
    <row r="176" spans="1:32" ht="15.75" customHeight="1" x14ac:dyDescent="0.2">
      <c r="A176" s="53"/>
      <c r="B176" s="54"/>
      <c r="C176" s="54"/>
      <c r="D176" s="54"/>
      <c r="E176" s="54"/>
      <c r="F176" s="56"/>
      <c r="G176" s="56"/>
      <c r="H176" s="56"/>
      <c r="I176" s="56"/>
      <c r="J176" s="56"/>
      <c r="K176" s="56"/>
      <c r="L176" s="56"/>
      <c r="M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</row>
    <row r="177" spans="1:32" ht="15.75" customHeight="1" x14ac:dyDescent="0.2">
      <c r="A177" s="53"/>
      <c r="B177" s="54"/>
      <c r="C177" s="54"/>
      <c r="D177" s="54"/>
      <c r="E177" s="54"/>
      <c r="F177" s="56"/>
      <c r="G177" s="56"/>
      <c r="H177" s="56"/>
      <c r="I177" s="56"/>
      <c r="J177" s="56"/>
      <c r="K177" s="56"/>
      <c r="L177" s="56"/>
      <c r="M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</row>
    <row r="178" spans="1:32" ht="15.75" customHeight="1" x14ac:dyDescent="0.2">
      <c r="A178" s="53"/>
      <c r="B178" s="54"/>
      <c r="C178" s="54"/>
      <c r="D178" s="54"/>
      <c r="E178" s="54"/>
      <c r="F178" s="56"/>
      <c r="G178" s="56"/>
      <c r="H178" s="56"/>
      <c r="I178" s="56"/>
      <c r="J178" s="56"/>
      <c r="K178" s="56"/>
      <c r="L178" s="56"/>
      <c r="M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</row>
    <row r="179" spans="1:32" ht="15.75" customHeight="1" x14ac:dyDescent="0.2">
      <c r="A179" s="53"/>
      <c r="B179" s="54"/>
      <c r="C179" s="54"/>
      <c r="D179" s="54"/>
      <c r="E179" s="54"/>
      <c r="F179" s="56"/>
      <c r="G179" s="56"/>
      <c r="H179" s="56"/>
      <c r="I179" s="56"/>
      <c r="J179" s="56"/>
      <c r="K179" s="56"/>
      <c r="L179" s="56"/>
      <c r="M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</row>
    <row r="180" spans="1:32" ht="15.75" customHeight="1" x14ac:dyDescent="0.2">
      <c r="A180" s="53"/>
      <c r="B180" s="54"/>
      <c r="C180" s="54"/>
      <c r="D180" s="54"/>
      <c r="E180" s="54"/>
      <c r="F180" s="56"/>
      <c r="G180" s="56"/>
      <c r="H180" s="56"/>
      <c r="I180" s="56"/>
      <c r="J180" s="56"/>
      <c r="K180" s="56"/>
      <c r="L180" s="56"/>
      <c r="M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</row>
    <row r="181" spans="1:32" ht="15.75" customHeight="1" x14ac:dyDescent="0.2">
      <c r="A181" s="53"/>
      <c r="B181" s="54"/>
      <c r="C181" s="54"/>
      <c r="D181" s="54"/>
      <c r="E181" s="54"/>
      <c r="F181" s="56"/>
      <c r="G181" s="56"/>
      <c r="H181" s="56"/>
      <c r="I181" s="56"/>
      <c r="J181" s="56"/>
      <c r="K181" s="56"/>
      <c r="L181" s="56"/>
      <c r="M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</row>
    <row r="182" spans="1:32" ht="15.75" customHeight="1" x14ac:dyDescent="0.2">
      <c r="A182" s="53"/>
      <c r="B182" s="54"/>
      <c r="C182" s="54"/>
      <c r="D182" s="54"/>
      <c r="E182" s="54"/>
      <c r="F182" s="56"/>
      <c r="G182" s="56"/>
      <c r="H182" s="56"/>
      <c r="I182" s="56"/>
      <c r="J182" s="56"/>
      <c r="K182" s="56"/>
      <c r="L182" s="56"/>
      <c r="M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</row>
    <row r="183" spans="1:32" ht="15.75" customHeight="1" x14ac:dyDescent="0.2">
      <c r="A183" s="53"/>
      <c r="B183" s="54"/>
      <c r="C183" s="54"/>
      <c r="D183" s="54"/>
      <c r="E183" s="54"/>
      <c r="F183" s="56"/>
      <c r="G183" s="56"/>
      <c r="H183" s="56"/>
      <c r="I183" s="56"/>
      <c r="J183" s="56"/>
      <c r="K183" s="56"/>
      <c r="L183" s="56"/>
      <c r="M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</row>
    <row r="184" spans="1:32" ht="15.75" customHeight="1" x14ac:dyDescent="0.2">
      <c r="A184" s="53"/>
      <c r="B184" s="54"/>
      <c r="C184" s="54"/>
      <c r="D184" s="54"/>
      <c r="E184" s="54"/>
      <c r="F184" s="56"/>
      <c r="G184" s="56"/>
      <c r="H184" s="56"/>
      <c r="I184" s="56"/>
      <c r="J184" s="56"/>
      <c r="K184" s="56"/>
      <c r="L184" s="56"/>
      <c r="M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</row>
    <row r="185" spans="1:32" ht="15.75" customHeight="1" x14ac:dyDescent="0.2">
      <c r="A185" s="53"/>
      <c r="B185" s="54"/>
      <c r="C185" s="54"/>
      <c r="D185" s="54"/>
      <c r="E185" s="54"/>
      <c r="F185" s="56"/>
      <c r="G185" s="56"/>
      <c r="H185" s="56"/>
      <c r="I185" s="56"/>
      <c r="J185" s="56"/>
      <c r="K185" s="56"/>
      <c r="L185" s="56"/>
      <c r="M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</row>
    <row r="186" spans="1:32" ht="15.75" customHeight="1" x14ac:dyDescent="0.2">
      <c r="A186" s="53"/>
      <c r="B186" s="54"/>
      <c r="C186" s="54"/>
      <c r="D186" s="54"/>
      <c r="E186" s="54"/>
      <c r="F186" s="56"/>
      <c r="G186" s="56"/>
      <c r="H186" s="56"/>
      <c r="I186" s="56"/>
      <c r="J186" s="56"/>
      <c r="K186" s="56"/>
      <c r="L186" s="56"/>
      <c r="M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</row>
    <row r="187" spans="1:32" ht="15.75" customHeight="1" x14ac:dyDescent="0.2">
      <c r="A187" s="53"/>
      <c r="B187" s="54"/>
      <c r="C187" s="54"/>
      <c r="D187" s="54"/>
      <c r="E187" s="54"/>
      <c r="F187" s="56"/>
      <c r="G187" s="56"/>
      <c r="H187" s="56"/>
      <c r="I187" s="56"/>
      <c r="J187" s="56"/>
      <c r="K187" s="56"/>
      <c r="L187" s="56"/>
      <c r="M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</row>
    <row r="188" spans="1:32" ht="15.75" customHeight="1" x14ac:dyDescent="0.2">
      <c r="A188" s="53"/>
      <c r="B188" s="54"/>
      <c r="C188" s="54"/>
      <c r="D188" s="54"/>
      <c r="E188" s="54"/>
      <c r="F188" s="56"/>
      <c r="G188" s="56"/>
      <c r="H188" s="56"/>
      <c r="I188" s="56"/>
      <c r="J188" s="56"/>
      <c r="K188" s="56"/>
      <c r="L188" s="56"/>
      <c r="M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</row>
    <row r="189" spans="1:32" ht="15.75" customHeight="1" x14ac:dyDescent="0.2">
      <c r="A189" s="53"/>
      <c r="B189" s="54"/>
      <c r="C189" s="54"/>
      <c r="D189" s="54"/>
      <c r="E189" s="54"/>
      <c r="F189" s="56"/>
      <c r="G189" s="56"/>
      <c r="H189" s="56"/>
      <c r="I189" s="56"/>
      <c r="J189" s="56"/>
      <c r="K189" s="56"/>
      <c r="L189" s="56"/>
      <c r="M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</row>
    <row r="190" spans="1:32" ht="15.75" customHeight="1" x14ac:dyDescent="0.2">
      <c r="A190" s="53"/>
      <c r="B190" s="54"/>
      <c r="C190" s="54"/>
      <c r="D190" s="54"/>
      <c r="E190" s="54"/>
      <c r="F190" s="56"/>
      <c r="G190" s="56"/>
      <c r="H190" s="56"/>
      <c r="I190" s="56"/>
      <c r="J190" s="56"/>
      <c r="K190" s="56"/>
      <c r="L190" s="56"/>
      <c r="M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</row>
    <row r="191" spans="1:32" ht="15.75" customHeight="1" x14ac:dyDescent="0.2">
      <c r="A191" s="53"/>
      <c r="B191" s="54"/>
      <c r="C191" s="54"/>
      <c r="D191" s="54"/>
      <c r="E191" s="54"/>
      <c r="F191" s="56"/>
      <c r="G191" s="56"/>
      <c r="H191" s="56"/>
      <c r="I191" s="56"/>
      <c r="J191" s="56"/>
      <c r="K191" s="56"/>
      <c r="L191" s="56"/>
      <c r="M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</row>
    <row r="192" spans="1:32" ht="15.75" customHeight="1" x14ac:dyDescent="0.2">
      <c r="A192" s="53"/>
      <c r="B192" s="54"/>
      <c r="C192" s="54"/>
      <c r="D192" s="54"/>
      <c r="E192" s="54"/>
      <c r="F192" s="56"/>
      <c r="G192" s="56"/>
      <c r="H192" s="56"/>
      <c r="I192" s="56"/>
      <c r="J192" s="56"/>
      <c r="K192" s="56"/>
      <c r="L192" s="56"/>
      <c r="M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</row>
    <row r="193" spans="1:32" ht="15.75" customHeight="1" x14ac:dyDescent="0.2">
      <c r="A193" s="53"/>
      <c r="B193" s="54"/>
      <c r="C193" s="54"/>
      <c r="D193" s="54"/>
      <c r="E193" s="54"/>
      <c r="F193" s="56"/>
      <c r="G193" s="56"/>
      <c r="H193" s="56"/>
      <c r="I193" s="56"/>
      <c r="J193" s="56"/>
      <c r="K193" s="56"/>
      <c r="L193" s="56"/>
      <c r="M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</row>
    <row r="194" spans="1:32" ht="15.75" customHeight="1" x14ac:dyDescent="0.2">
      <c r="A194" s="53"/>
      <c r="B194" s="54"/>
      <c r="C194" s="54"/>
      <c r="D194" s="54"/>
      <c r="E194" s="54"/>
      <c r="F194" s="56"/>
      <c r="G194" s="56"/>
      <c r="H194" s="56"/>
      <c r="I194" s="56"/>
      <c r="J194" s="56"/>
      <c r="K194" s="56"/>
      <c r="L194" s="56"/>
      <c r="M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</row>
    <row r="195" spans="1:32" ht="15.75" customHeight="1" x14ac:dyDescent="0.2">
      <c r="A195" s="53"/>
      <c r="B195" s="54"/>
      <c r="C195" s="54"/>
      <c r="D195" s="54"/>
      <c r="E195" s="54"/>
      <c r="F195" s="56"/>
      <c r="G195" s="56"/>
      <c r="H195" s="56"/>
      <c r="I195" s="56"/>
      <c r="J195" s="56"/>
      <c r="K195" s="56"/>
      <c r="L195" s="56"/>
      <c r="M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</row>
    <row r="196" spans="1:32" ht="15.75" customHeight="1" x14ac:dyDescent="0.2">
      <c r="A196" s="53"/>
      <c r="B196" s="54"/>
      <c r="C196" s="54"/>
      <c r="D196" s="54"/>
      <c r="E196" s="54"/>
      <c r="F196" s="56"/>
      <c r="G196" s="56"/>
      <c r="H196" s="56"/>
      <c r="I196" s="56"/>
      <c r="J196" s="56"/>
      <c r="K196" s="56"/>
      <c r="L196" s="56"/>
      <c r="M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</row>
    <row r="197" spans="1:32" ht="15.75" customHeight="1" x14ac:dyDescent="0.2">
      <c r="A197" s="53"/>
      <c r="B197" s="54"/>
      <c r="C197" s="54"/>
      <c r="D197" s="54"/>
      <c r="E197" s="54"/>
      <c r="F197" s="56"/>
      <c r="G197" s="56"/>
      <c r="H197" s="56"/>
      <c r="I197" s="56"/>
      <c r="J197" s="56"/>
      <c r="K197" s="56"/>
      <c r="L197" s="56"/>
      <c r="M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</row>
    <row r="198" spans="1:32" ht="15.75" customHeight="1" x14ac:dyDescent="0.2">
      <c r="A198" s="53"/>
      <c r="B198" s="54"/>
      <c r="C198" s="54"/>
      <c r="D198" s="54"/>
      <c r="E198" s="54"/>
      <c r="F198" s="56"/>
      <c r="G198" s="56"/>
      <c r="H198" s="56"/>
      <c r="I198" s="56"/>
      <c r="J198" s="56"/>
      <c r="K198" s="56"/>
      <c r="L198" s="56"/>
      <c r="M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</row>
    <row r="199" spans="1:32" ht="15.75" customHeight="1" x14ac:dyDescent="0.2">
      <c r="A199" s="53"/>
      <c r="B199" s="54"/>
      <c r="C199" s="54"/>
      <c r="D199" s="54"/>
      <c r="E199" s="54"/>
      <c r="F199" s="56"/>
      <c r="G199" s="56"/>
      <c r="H199" s="56"/>
      <c r="I199" s="56"/>
      <c r="J199" s="56"/>
      <c r="K199" s="56"/>
      <c r="L199" s="56"/>
      <c r="M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</row>
    <row r="200" spans="1:32" ht="15.75" customHeight="1" x14ac:dyDescent="0.2">
      <c r="A200" s="53"/>
      <c r="B200" s="54"/>
      <c r="C200" s="54"/>
      <c r="D200" s="54"/>
      <c r="E200" s="54"/>
      <c r="F200" s="56"/>
      <c r="G200" s="56"/>
      <c r="H200" s="56"/>
      <c r="I200" s="56"/>
      <c r="J200" s="56"/>
      <c r="K200" s="56"/>
      <c r="L200" s="56"/>
      <c r="M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</row>
    <row r="201" spans="1:32" ht="15.75" customHeight="1" x14ac:dyDescent="0.2">
      <c r="A201" s="53"/>
      <c r="B201" s="54"/>
      <c r="C201" s="54"/>
      <c r="D201" s="54"/>
      <c r="E201" s="54"/>
      <c r="F201" s="56"/>
      <c r="G201" s="56"/>
      <c r="H201" s="56"/>
      <c r="I201" s="56"/>
      <c r="J201" s="56"/>
      <c r="K201" s="56"/>
      <c r="L201" s="56"/>
      <c r="M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</row>
    <row r="202" spans="1:32" ht="15.75" customHeight="1" x14ac:dyDescent="0.2">
      <c r="A202" s="53"/>
      <c r="B202" s="54"/>
      <c r="C202" s="54"/>
      <c r="D202" s="54"/>
      <c r="E202" s="54"/>
      <c r="F202" s="56"/>
      <c r="G202" s="56"/>
      <c r="H202" s="56"/>
      <c r="I202" s="56"/>
      <c r="J202" s="56"/>
      <c r="K202" s="56"/>
      <c r="L202" s="56"/>
      <c r="M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</row>
    <row r="203" spans="1:32" ht="15.75" customHeight="1" x14ac:dyDescent="0.2">
      <c r="A203" s="53"/>
      <c r="B203" s="54"/>
      <c r="C203" s="54"/>
      <c r="D203" s="54"/>
      <c r="E203" s="54"/>
      <c r="F203" s="56"/>
      <c r="G203" s="56"/>
      <c r="H203" s="56"/>
      <c r="I203" s="56"/>
      <c r="J203" s="56"/>
      <c r="K203" s="56"/>
      <c r="L203" s="56"/>
      <c r="M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</row>
    <row r="204" spans="1:32" ht="15.75" customHeight="1" x14ac:dyDescent="0.2">
      <c r="A204" s="53"/>
      <c r="B204" s="54"/>
      <c r="C204" s="54"/>
      <c r="D204" s="54"/>
      <c r="E204" s="54"/>
      <c r="F204" s="56"/>
      <c r="G204" s="56"/>
      <c r="H204" s="56"/>
      <c r="I204" s="56"/>
      <c r="J204" s="56"/>
      <c r="K204" s="56"/>
      <c r="L204" s="56"/>
      <c r="M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</row>
    <row r="205" spans="1:32" ht="15.75" customHeight="1" x14ac:dyDescent="0.2">
      <c r="A205" s="53"/>
      <c r="B205" s="54"/>
      <c r="C205" s="54"/>
      <c r="D205" s="54"/>
      <c r="E205" s="54"/>
      <c r="F205" s="56"/>
      <c r="G205" s="56"/>
      <c r="H205" s="56"/>
      <c r="I205" s="56"/>
      <c r="J205" s="56"/>
      <c r="K205" s="56"/>
      <c r="L205" s="56"/>
      <c r="M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</row>
    <row r="206" spans="1:32" ht="15.75" customHeight="1" x14ac:dyDescent="0.2">
      <c r="A206" s="53"/>
      <c r="B206" s="54"/>
      <c r="C206" s="54"/>
      <c r="D206" s="54"/>
      <c r="E206" s="54"/>
      <c r="F206" s="56"/>
      <c r="G206" s="56"/>
      <c r="H206" s="56"/>
      <c r="I206" s="56"/>
      <c r="J206" s="56"/>
      <c r="K206" s="56"/>
      <c r="L206" s="56"/>
      <c r="M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</row>
    <row r="207" spans="1:32" ht="15.75" customHeight="1" x14ac:dyDescent="0.2">
      <c r="A207" s="53"/>
      <c r="B207" s="54"/>
      <c r="C207" s="54"/>
      <c r="D207" s="54"/>
      <c r="E207" s="54"/>
      <c r="F207" s="56"/>
      <c r="G207" s="56"/>
      <c r="H207" s="56"/>
      <c r="I207" s="56"/>
      <c r="J207" s="56"/>
      <c r="K207" s="56"/>
      <c r="L207" s="56"/>
      <c r="M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</row>
    <row r="208" spans="1:32" ht="15.75" customHeight="1" x14ac:dyDescent="0.2">
      <c r="A208" s="53"/>
      <c r="B208" s="54"/>
      <c r="C208" s="54"/>
      <c r="D208" s="54"/>
      <c r="E208" s="54"/>
      <c r="F208" s="56"/>
      <c r="G208" s="56"/>
      <c r="H208" s="56"/>
      <c r="I208" s="56"/>
      <c r="J208" s="56"/>
      <c r="K208" s="56"/>
      <c r="L208" s="56"/>
      <c r="M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</row>
    <row r="209" spans="1:32" ht="15.75" customHeight="1" x14ac:dyDescent="0.2">
      <c r="A209" s="53"/>
      <c r="B209" s="54"/>
      <c r="C209" s="54"/>
      <c r="D209" s="54"/>
      <c r="E209" s="54"/>
      <c r="F209" s="56"/>
      <c r="G209" s="56"/>
      <c r="H209" s="56"/>
      <c r="I209" s="56"/>
      <c r="J209" s="56"/>
      <c r="K209" s="56"/>
      <c r="L209" s="56"/>
      <c r="M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</row>
    <row r="210" spans="1:32" ht="15.75" customHeight="1" x14ac:dyDescent="0.2">
      <c r="A210" s="53"/>
      <c r="B210" s="54"/>
      <c r="C210" s="54"/>
      <c r="D210" s="54"/>
      <c r="E210" s="54"/>
      <c r="F210" s="56"/>
      <c r="G210" s="56"/>
      <c r="H210" s="56"/>
      <c r="I210" s="56"/>
      <c r="J210" s="56"/>
      <c r="K210" s="56"/>
      <c r="L210" s="56"/>
      <c r="M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</row>
    <row r="211" spans="1:32" ht="15.75" customHeight="1" x14ac:dyDescent="0.2">
      <c r="A211" s="53"/>
      <c r="B211" s="54"/>
      <c r="C211" s="54"/>
      <c r="D211" s="54"/>
      <c r="E211" s="54"/>
      <c r="F211" s="56"/>
      <c r="G211" s="56"/>
      <c r="H211" s="56"/>
      <c r="I211" s="56"/>
      <c r="J211" s="56"/>
      <c r="K211" s="56"/>
      <c r="L211" s="56"/>
      <c r="M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</row>
    <row r="212" spans="1:32" ht="15.75" customHeight="1" x14ac:dyDescent="0.2">
      <c r="A212" s="53"/>
      <c r="B212" s="54"/>
      <c r="C212" s="54"/>
      <c r="D212" s="54"/>
      <c r="E212" s="54"/>
      <c r="F212" s="56"/>
      <c r="G212" s="56"/>
      <c r="H212" s="56"/>
      <c r="I212" s="56"/>
      <c r="J212" s="56"/>
      <c r="K212" s="56"/>
      <c r="L212" s="56"/>
      <c r="M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</row>
    <row r="213" spans="1:32" ht="15.75" customHeight="1" x14ac:dyDescent="0.2">
      <c r="A213" s="53"/>
      <c r="B213" s="54"/>
      <c r="C213" s="54"/>
      <c r="D213" s="54"/>
      <c r="E213" s="54"/>
      <c r="F213" s="56"/>
      <c r="G213" s="56"/>
      <c r="H213" s="56"/>
      <c r="I213" s="56"/>
      <c r="J213" s="56"/>
      <c r="K213" s="56"/>
      <c r="L213" s="56"/>
      <c r="M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</row>
    <row r="214" spans="1:32" ht="15.75" customHeight="1" x14ac:dyDescent="0.2">
      <c r="A214" s="53"/>
      <c r="B214" s="54"/>
      <c r="C214" s="54"/>
      <c r="D214" s="54"/>
      <c r="E214" s="54"/>
      <c r="F214" s="56"/>
      <c r="G214" s="56"/>
      <c r="H214" s="56"/>
      <c r="I214" s="56"/>
      <c r="J214" s="56"/>
      <c r="K214" s="56"/>
      <c r="L214" s="56"/>
      <c r="M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</row>
    <row r="215" spans="1:32" ht="15.75" customHeight="1" x14ac:dyDescent="0.2">
      <c r="A215" s="53"/>
      <c r="B215" s="54"/>
      <c r="C215" s="54"/>
      <c r="D215" s="54"/>
      <c r="E215" s="54"/>
      <c r="F215" s="56"/>
      <c r="G215" s="56"/>
      <c r="H215" s="56"/>
      <c r="I215" s="56"/>
      <c r="J215" s="56"/>
      <c r="K215" s="56"/>
      <c r="L215" s="56"/>
      <c r="M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</row>
    <row r="216" spans="1:32" ht="15.75" customHeight="1" x14ac:dyDescent="0.2">
      <c r="A216" s="53"/>
      <c r="B216" s="54"/>
      <c r="C216" s="54"/>
      <c r="D216" s="54"/>
      <c r="E216" s="54"/>
      <c r="F216" s="56"/>
      <c r="G216" s="56"/>
      <c r="H216" s="56"/>
      <c r="I216" s="56"/>
      <c r="J216" s="56"/>
      <c r="K216" s="56"/>
      <c r="L216" s="56"/>
      <c r="M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</row>
    <row r="217" spans="1:32" ht="15.75" customHeight="1" x14ac:dyDescent="0.2">
      <c r="A217" s="53"/>
      <c r="B217" s="54"/>
      <c r="C217" s="54"/>
      <c r="D217" s="54"/>
      <c r="E217" s="54"/>
      <c r="F217" s="56"/>
      <c r="G217" s="56"/>
      <c r="H217" s="56"/>
      <c r="I217" s="56"/>
      <c r="J217" s="56"/>
      <c r="K217" s="56"/>
      <c r="L217" s="56"/>
      <c r="M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</row>
    <row r="218" spans="1:32" ht="15.75" customHeight="1" x14ac:dyDescent="0.2">
      <c r="A218" s="53"/>
      <c r="B218" s="54"/>
      <c r="C218" s="54"/>
      <c r="D218" s="54"/>
      <c r="E218" s="54"/>
      <c r="F218" s="56"/>
      <c r="G218" s="56"/>
      <c r="H218" s="56"/>
      <c r="I218" s="56"/>
      <c r="J218" s="56"/>
      <c r="K218" s="56"/>
      <c r="L218" s="56"/>
      <c r="M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</row>
    <row r="219" spans="1:32" ht="15.75" customHeight="1" x14ac:dyDescent="0.2">
      <c r="A219" s="53"/>
      <c r="B219" s="54"/>
      <c r="C219" s="54"/>
      <c r="D219" s="54"/>
      <c r="E219" s="54"/>
      <c r="F219" s="56"/>
      <c r="G219" s="56"/>
      <c r="H219" s="56"/>
      <c r="I219" s="56"/>
      <c r="J219" s="56"/>
      <c r="K219" s="56"/>
      <c r="L219" s="56"/>
      <c r="M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</row>
    <row r="220" spans="1:32" ht="15.75" customHeight="1" x14ac:dyDescent="0.2">
      <c r="A220" s="53"/>
      <c r="B220" s="54"/>
      <c r="C220" s="54"/>
      <c r="D220" s="54"/>
      <c r="E220" s="54"/>
      <c r="F220" s="56"/>
      <c r="G220" s="56"/>
      <c r="H220" s="56"/>
      <c r="I220" s="56"/>
      <c r="J220" s="56"/>
      <c r="K220" s="56"/>
      <c r="L220" s="56"/>
      <c r="M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</row>
    <row r="221" spans="1:32" ht="15.75" customHeight="1" x14ac:dyDescent="0.2">
      <c r="A221" s="53"/>
      <c r="B221" s="54"/>
      <c r="C221" s="54"/>
      <c r="D221" s="54"/>
      <c r="E221" s="54"/>
      <c r="F221" s="56"/>
      <c r="G221" s="56"/>
      <c r="H221" s="56"/>
      <c r="I221" s="56"/>
      <c r="J221" s="56"/>
      <c r="K221" s="56"/>
      <c r="L221" s="56"/>
      <c r="M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</row>
    <row r="222" spans="1:32" ht="15.75" customHeight="1" x14ac:dyDescent="0.2">
      <c r="A222" s="53"/>
      <c r="B222" s="54"/>
      <c r="C222" s="54"/>
      <c r="D222" s="54"/>
      <c r="E222" s="54"/>
      <c r="F222" s="56"/>
      <c r="G222" s="56"/>
      <c r="H222" s="56"/>
      <c r="I222" s="56"/>
      <c r="J222" s="56"/>
      <c r="K222" s="56"/>
      <c r="L222" s="56"/>
      <c r="M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</row>
    <row r="223" spans="1:32" ht="15.75" customHeight="1" x14ac:dyDescent="0.2">
      <c r="A223" s="53"/>
      <c r="B223" s="54"/>
      <c r="C223" s="54"/>
      <c r="D223" s="54"/>
      <c r="E223" s="54"/>
      <c r="F223" s="56"/>
      <c r="G223" s="56"/>
      <c r="H223" s="56"/>
      <c r="I223" s="56"/>
      <c r="J223" s="56"/>
      <c r="K223" s="56"/>
      <c r="L223" s="56"/>
      <c r="M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</row>
    <row r="224" spans="1:32" ht="15.75" customHeight="1" x14ac:dyDescent="0.2">
      <c r="A224" s="53"/>
      <c r="B224" s="54"/>
      <c r="C224" s="54"/>
      <c r="D224" s="54"/>
      <c r="E224" s="54"/>
      <c r="F224" s="56"/>
      <c r="G224" s="56"/>
      <c r="H224" s="56"/>
      <c r="I224" s="56"/>
      <c r="J224" s="56"/>
      <c r="K224" s="56"/>
      <c r="L224" s="56"/>
      <c r="M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</row>
    <row r="225" spans="1:32" ht="15.75" customHeight="1" x14ac:dyDescent="0.2">
      <c r="A225" s="53"/>
      <c r="B225" s="54"/>
      <c r="C225" s="54"/>
      <c r="D225" s="54"/>
      <c r="E225" s="54"/>
      <c r="F225" s="56"/>
      <c r="G225" s="56"/>
      <c r="H225" s="56"/>
      <c r="I225" s="56"/>
      <c r="J225" s="56"/>
      <c r="K225" s="56"/>
      <c r="L225" s="56"/>
      <c r="M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</row>
    <row r="226" spans="1:32" ht="15.75" customHeight="1" x14ac:dyDescent="0.2">
      <c r="A226" s="53"/>
      <c r="B226" s="54"/>
      <c r="C226" s="54"/>
      <c r="D226" s="54"/>
      <c r="E226" s="54"/>
      <c r="F226" s="56"/>
      <c r="G226" s="56"/>
      <c r="H226" s="56"/>
      <c r="I226" s="56"/>
      <c r="J226" s="56"/>
      <c r="K226" s="56"/>
      <c r="L226" s="56"/>
      <c r="M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</row>
    <row r="227" spans="1:32" ht="15.75" customHeight="1" x14ac:dyDescent="0.2">
      <c r="A227" s="53"/>
      <c r="B227" s="54"/>
      <c r="C227" s="54"/>
      <c r="D227" s="54"/>
      <c r="E227" s="54"/>
      <c r="F227" s="56"/>
      <c r="G227" s="56"/>
      <c r="H227" s="56"/>
      <c r="I227" s="56"/>
      <c r="J227" s="56"/>
      <c r="K227" s="56"/>
      <c r="L227" s="56"/>
      <c r="M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</row>
    <row r="228" spans="1:32" ht="15.75" customHeight="1" x14ac:dyDescent="0.2">
      <c r="A228" s="53"/>
      <c r="B228" s="54"/>
      <c r="C228" s="54"/>
      <c r="D228" s="54"/>
      <c r="E228" s="54"/>
      <c r="F228" s="56"/>
      <c r="G228" s="56"/>
      <c r="H228" s="56"/>
      <c r="I228" s="56"/>
      <c r="J228" s="56"/>
      <c r="K228" s="56"/>
      <c r="L228" s="56"/>
      <c r="M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</row>
    <row r="229" spans="1:32" ht="15.75" customHeight="1" x14ac:dyDescent="0.2">
      <c r="A229" s="53"/>
      <c r="B229" s="54"/>
      <c r="C229" s="54"/>
      <c r="D229" s="54"/>
      <c r="E229" s="54"/>
      <c r="F229" s="56"/>
      <c r="G229" s="56"/>
      <c r="H229" s="56"/>
      <c r="I229" s="56"/>
      <c r="J229" s="56"/>
      <c r="K229" s="56"/>
      <c r="L229" s="56"/>
      <c r="M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</row>
    <row r="230" spans="1:32" ht="15.75" customHeight="1" x14ac:dyDescent="0.2">
      <c r="A230" s="53"/>
      <c r="B230" s="54"/>
      <c r="C230" s="54"/>
      <c r="D230" s="54"/>
      <c r="E230" s="54"/>
      <c r="F230" s="56"/>
      <c r="G230" s="56"/>
      <c r="H230" s="56"/>
      <c r="I230" s="56"/>
      <c r="J230" s="56"/>
      <c r="K230" s="56"/>
      <c r="L230" s="56"/>
      <c r="M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</row>
    <row r="231" spans="1:32" ht="15.75" customHeight="1" x14ac:dyDescent="0.2">
      <c r="A231" s="53"/>
      <c r="B231" s="54"/>
      <c r="C231" s="54"/>
      <c r="D231" s="54"/>
      <c r="E231" s="54"/>
      <c r="F231" s="56"/>
      <c r="G231" s="56"/>
      <c r="H231" s="56"/>
      <c r="I231" s="56"/>
      <c r="J231" s="56"/>
      <c r="K231" s="56"/>
      <c r="L231" s="56"/>
      <c r="M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</row>
    <row r="232" spans="1:32" ht="15.75" customHeight="1" x14ac:dyDescent="0.2">
      <c r="A232" s="53"/>
      <c r="B232" s="54"/>
      <c r="C232" s="54"/>
      <c r="D232" s="54"/>
      <c r="E232" s="54"/>
      <c r="F232" s="56"/>
      <c r="G232" s="56"/>
      <c r="H232" s="56"/>
      <c r="I232" s="56"/>
      <c r="J232" s="56"/>
      <c r="K232" s="56"/>
      <c r="L232" s="56"/>
      <c r="M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</row>
    <row r="233" spans="1:32" ht="15.75" customHeight="1" x14ac:dyDescent="0.2">
      <c r="A233" s="53"/>
      <c r="B233" s="54"/>
      <c r="C233" s="54"/>
      <c r="D233" s="54"/>
      <c r="E233" s="54"/>
      <c r="F233" s="56"/>
      <c r="G233" s="56"/>
      <c r="H233" s="56"/>
      <c r="I233" s="56"/>
      <c r="J233" s="56"/>
      <c r="K233" s="56"/>
      <c r="L233" s="56"/>
      <c r="M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</row>
    <row r="234" spans="1:32" ht="15.75" customHeight="1" x14ac:dyDescent="0.2">
      <c r="A234" s="53"/>
      <c r="B234" s="54"/>
      <c r="C234" s="54"/>
      <c r="D234" s="54"/>
      <c r="E234" s="54"/>
      <c r="F234" s="56"/>
      <c r="G234" s="56"/>
      <c r="H234" s="56"/>
      <c r="I234" s="56"/>
      <c r="J234" s="56"/>
      <c r="K234" s="56"/>
      <c r="L234" s="56"/>
      <c r="M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</row>
    <row r="235" spans="1:32" ht="15.75" customHeight="1" x14ac:dyDescent="0.2">
      <c r="A235" s="53"/>
      <c r="B235" s="54"/>
      <c r="C235" s="54"/>
      <c r="D235" s="54"/>
      <c r="E235" s="54"/>
      <c r="F235" s="56"/>
      <c r="G235" s="56"/>
      <c r="H235" s="56"/>
      <c r="I235" s="56"/>
      <c r="J235" s="56"/>
      <c r="K235" s="56"/>
      <c r="L235" s="56"/>
      <c r="M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</row>
    <row r="236" spans="1:32" ht="15.75" customHeight="1" x14ac:dyDescent="0.2">
      <c r="A236" s="53"/>
      <c r="B236" s="54"/>
      <c r="C236" s="54"/>
      <c r="D236" s="54"/>
      <c r="E236" s="54"/>
      <c r="F236" s="56"/>
      <c r="G236" s="56"/>
      <c r="H236" s="56"/>
      <c r="I236" s="56"/>
      <c r="J236" s="56"/>
      <c r="K236" s="56"/>
      <c r="L236" s="56"/>
      <c r="M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</row>
    <row r="237" spans="1:32" ht="15.75" customHeight="1" x14ac:dyDescent="0.2">
      <c r="A237" s="53"/>
      <c r="B237" s="54"/>
      <c r="C237" s="54"/>
      <c r="D237" s="54"/>
      <c r="E237" s="54"/>
      <c r="F237" s="56"/>
      <c r="G237" s="56"/>
      <c r="H237" s="56"/>
      <c r="I237" s="56"/>
      <c r="J237" s="56"/>
      <c r="K237" s="56"/>
      <c r="L237" s="56"/>
      <c r="M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</row>
    <row r="238" spans="1:32" ht="15.75" customHeight="1" x14ac:dyDescent="0.2">
      <c r="A238" s="53"/>
      <c r="B238" s="54"/>
      <c r="C238" s="54"/>
      <c r="D238" s="54"/>
      <c r="E238" s="54"/>
      <c r="F238" s="56"/>
      <c r="G238" s="56"/>
      <c r="H238" s="56"/>
      <c r="I238" s="56"/>
      <c r="J238" s="56"/>
      <c r="K238" s="56"/>
      <c r="L238" s="56"/>
      <c r="M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</row>
    <row r="239" spans="1:32" ht="15.75" customHeight="1" x14ac:dyDescent="0.2">
      <c r="A239" s="53"/>
      <c r="B239" s="54"/>
      <c r="C239" s="54"/>
      <c r="D239" s="54"/>
      <c r="E239" s="54"/>
      <c r="F239" s="56"/>
      <c r="G239" s="56"/>
      <c r="H239" s="56"/>
      <c r="I239" s="56"/>
      <c r="J239" s="56"/>
      <c r="K239" s="56"/>
      <c r="L239" s="56"/>
      <c r="M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</row>
    <row r="240" spans="1:32" ht="15.75" customHeight="1" x14ac:dyDescent="0.2">
      <c r="A240" s="53"/>
      <c r="B240" s="54"/>
      <c r="C240" s="54"/>
      <c r="D240" s="54"/>
      <c r="E240" s="54"/>
      <c r="F240" s="56"/>
      <c r="G240" s="56"/>
      <c r="H240" s="56"/>
      <c r="I240" s="56"/>
      <c r="J240" s="56"/>
      <c r="K240" s="56"/>
      <c r="L240" s="56"/>
      <c r="M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</row>
    <row r="241" spans="1:32" ht="15.75" customHeight="1" x14ac:dyDescent="0.2">
      <c r="A241" s="53"/>
      <c r="B241" s="54"/>
      <c r="C241" s="54"/>
      <c r="D241" s="54"/>
      <c r="E241" s="54"/>
      <c r="F241" s="56"/>
      <c r="G241" s="56"/>
      <c r="H241" s="56"/>
      <c r="I241" s="56"/>
      <c r="J241" s="56"/>
      <c r="K241" s="56"/>
      <c r="L241" s="56"/>
      <c r="M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</row>
    <row r="242" spans="1:32" ht="15.75" customHeight="1" x14ac:dyDescent="0.2">
      <c r="A242" s="53"/>
      <c r="B242" s="54"/>
      <c r="C242" s="54"/>
      <c r="D242" s="54"/>
      <c r="E242" s="54"/>
      <c r="F242" s="56"/>
      <c r="G242" s="56"/>
      <c r="H242" s="56"/>
      <c r="I242" s="56"/>
      <c r="J242" s="56"/>
      <c r="K242" s="56"/>
      <c r="L242" s="56"/>
      <c r="M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</row>
    <row r="243" spans="1:32" ht="15.75" customHeight="1" x14ac:dyDescent="0.2">
      <c r="A243" s="53"/>
      <c r="B243" s="54"/>
      <c r="C243" s="54"/>
      <c r="D243" s="54"/>
      <c r="E243" s="54"/>
      <c r="F243" s="56"/>
      <c r="G243" s="56"/>
      <c r="H243" s="56"/>
      <c r="I243" s="56"/>
      <c r="J243" s="56"/>
      <c r="K243" s="56"/>
      <c r="L243" s="56"/>
      <c r="M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</row>
    <row r="244" spans="1:32" ht="15.75" customHeight="1" x14ac:dyDescent="0.2">
      <c r="A244" s="53"/>
      <c r="B244" s="54"/>
      <c r="C244" s="54"/>
      <c r="D244" s="54"/>
      <c r="E244" s="54"/>
      <c r="F244" s="56"/>
      <c r="G244" s="56"/>
      <c r="H244" s="56"/>
      <c r="I244" s="56"/>
      <c r="J244" s="56"/>
      <c r="K244" s="56"/>
      <c r="L244" s="56"/>
      <c r="M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</row>
    <row r="245" spans="1:32" ht="15.75" customHeight="1" x14ac:dyDescent="0.2">
      <c r="A245" s="53"/>
      <c r="B245" s="54"/>
      <c r="C245" s="54"/>
      <c r="D245" s="54"/>
      <c r="E245" s="54"/>
      <c r="F245" s="56"/>
      <c r="G245" s="56"/>
      <c r="H245" s="56"/>
      <c r="I245" s="56"/>
      <c r="J245" s="56"/>
      <c r="K245" s="56"/>
      <c r="L245" s="56"/>
      <c r="M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</row>
    <row r="246" spans="1:32" ht="15.75" customHeight="1" x14ac:dyDescent="0.2">
      <c r="A246" s="53"/>
      <c r="B246" s="54"/>
      <c r="C246" s="54"/>
      <c r="D246" s="54"/>
      <c r="E246" s="54"/>
      <c r="F246" s="56"/>
      <c r="G246" s="56"/>
      <c r="H246" s="56"/>
      <c r="I246" s="56"/>
      <c r="J246" s="56"/>
      <c r="K246" s="56"/>
      <c r="L246" s="56"/>
      <c r="M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</row>
    <row r="247" spans="1:32" ht="15.75" customHeight="1" x14ac:dyDescent="0.2">
      <c r="A247" s="53"/>
      <c r="B247" s="54"/>
      <c r="C247" s="54"/>
      <c r="D247" s="54"/>
      <c r="E247" s="54"/>
      <c r="F247" s="56"/>
      <c r="G247" s="56"/>
      <c r="H247" s="56"/>
      <c r="I247" s="56"/>
      <c r="J247" s="56"/>
      <c r="K247" s="56"/>
      <c r="L247" s="56"/>
      <c r="M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</row>
    <row r="248" spans="1:32" ht="15.75" customHeight="1" x14ac:dyDescent="0.2">
      <c r="A248" s="53"/>
      <c r="B248" s="54"/>
      <c r="C248" s="54"/>
      <c r="D248" s="54"/>
      <c r="E248" s="54"/>
      <c r="F248" s="56"/>
      <c r="G248" s="56"/>
      <c r="H248" s="56"/>
      <c r="I248" s="56"/>
      <c r="J248" s="56"/>
      <c r="K248" s="56"/>
      <c r="L248" s="56"/>
      <c r="M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</row>
    <row r="249" spans="1:32" ht="15.75" customHeight="1" x14ac:dyDescent="0.2">
      <c r="A249" s="53"/>
      <c r="B249" s="54"/>
      <c r="C249" s="54"/>
      <c r="D249" s="54"/>
      <c r="E249" s="54"/>
      <c r="F249" s="56"/>
      <c r="G249" s="56"/>
      <c r="H249" s="56"/>
      <c r="I249" s="56"/>
      <c r="J249" s="56"/>
      <c r="K249" s="56"/>
      <c r="L249" s="56"/>
      <c r="M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</row>
    <row r="250" spans="1:32" ht="15.75" customHeight="1" x14ac:dyDescent="0.2">
      <c r="A250" s="53"/>
      <c r="B250" s="54"/>
      <c r="C250" s="54"/>
      <c r="D250" s="54"/>
      <c r="E250" s="54"/>
      <c r="F250" s="56"/>
      <c r="G250" s="56"/>
      <c r="H250" s="56"/>
      <c r="I250" s="56"/>
      <c r="J250" s="56"/>
      <c r="K250" s="56"/>
      <c r="L250" s="56"/>
      <c r="M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</row>
    <row r="251" spans="1:32" ht="15.75" customHeight="1" x14ac:dyDescent="0.2">
      <c r="A251" s="53"/>
      <c r="B251" s="54"/>
      <c r="C251" s="54"/>
      <c r="D251" s="54"/>
      <c r="E251" s="54"/>
      <c r="F251" s="56"/>
      <c r="G251" s="56"/>
      <c r="H251" s="56"/>
      <c r="I251" s="56"/>
      <c r="J251" s="56"/>
      <c r="K251" s="56"/>
      <c r="L251" s="56"/>
      <c r="M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</row>
    <row r="252" spans="1:32" ht="15.75" customHeight="1" x14ac:dyDescent="0.2">
      <c r="A252" s="53"/>
      <c r="B252" s="54"/>
      <c r="C252" s="54"/>
      <c r="D252" s="54"/>
      <c r="E252" s="54"/>
      <c r="F252" s="56"/>
      <c r="G252" s="56"/>
      <c r="H252" s="56"/>
      <c r="I252" s="56"/>
      <c r="J252" s="56"/>
      <c r="K252" s="56"/>
      <c r="L252" s="56"/>
      <c r="M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</row>
    <row r="253" spans="1:32" ht="15.75" customHeight="1" x14ac:dyDescent="0.2"/>
    <row r="254" spans="1:32" ht="15.75" customHeight="1" x14ac:dyDescent="0.2"/>
    <row r="255" spans="1:32" ht="15.75" customHeight="1" x14ac:dyDescent="0.2"/>
    <row r="256" spans="1:32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47:G4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/>
  </sheetViews>
  <sheetFormatPr defaultColWidth="12.5703125" defaultRowHeight="15" customHeight="1" x14ac:dyDescent="0.2"/>
  <cols>
    <col min="1" max="1" width="8.7109375" customWidth="1"/>
    <col min="2" max="2" width="17.28515625" customWidth="1"/>
    <col min="3" max="26" width="8.85546875" customWidth="1"/>
  </cols>
  <sheetData>
    <row r="1" spans="1:13" ht="12" customHeight="1" x14ac:dyDescent="0.2">
      <c r="A1" s="57" t="s">
        <v>135</v>
      </c>
      <c r="B1" s="58" t="s">
        <v>139</v>
      </c>
      <c r="C1" s="58" t="s">
        <v>140</v>
      </c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12" customHeight="1" x14ac:dyDescent="0.2">
      <c r="A2" s="59" t="s">
        <v>197</v>
      </c>
      <c r="B2" s="60" t="s">
        <v>145</v>
      </c>
      <c r="C2" s="60" t="s">
        <v>146</v>
      </c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ht="12" customHeight="1" x14ac:dyDescent="0.2">
      <c r="A3" s="59" t="s">
        <v>198</v>
      </c>
      <c r="B3" s="60" t="s">
        <v>149</v>
      </c>
      <c r="C3" s="60" t="s">
        <v>146</v>
      </c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 ht="12" customHeight="1" x14ac:dyDescent="0.2">
      <c r="A4" s="59" t="s">
        <v>199</v>
      </c>
      <c r="B4" s="60" t="s">
        <v>152</v>
      </c>
      <c r="C4" s="60" t="s">
        <v>146</v>
      </c>
      <c r="D4" s="60"/>
      <c r="E4" s="60"/>
      <c r="F4" s="60"/>
      <c r="G4" s="60"/>
      <c r="H4" s="60"/>
      <c r="I4" s="60"/>
      <c r="J4" s="60"/>
      <c r="K4" s="60"/>
      <c r="L4" s="60"/>
      <c r="M4" s="60"/>
    </row>
    <row r="5" spans="1:13" ht="12" customHeight="1" x14ac:dyDescent="0.2">
      <c r="A5" s="59" t="s">
        <v>200</v>
      </c>
      <c r="B5" s="60" t="s">
        <v>201</v>
      </c>
      <c r="C5" s="60" t="s">
        <v>156</v>
      </c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1:13" ht="12" customHeight="1" x14ac:dyDescent="0.2">
      <c r="A6" s="59" t="s">
        <v>202</v>
      </c>
      <c r="B6" s="60" t="s">
        <v>145</v>
      </c>
      <c r="C6" s="60" t="s">
        <v>146</v>
      </c>
      <c r="D6" s="60"/>
      <c r="E6" s="60"/>
      <c r="F6" s="60"/>
      <c r="G6" s="60"/>
      <c r="H6" s="60"/>
      <c r="I6" s="60"/>
      <c r="J6" s="60"/>
      <c r="K6" s="60"/>
      <c r="L6" s="60"/>
      <c r="M6" s="60"/>
    </row>
    <row r="7" spans="1:13" ht="12" customHeight="1" x14ac:dyDescent="0.2">
      <c r="A7" s="59" t="s">
        <v>203</v>
      </c>
      <c r="B7" s="60" t="s">
        <v>149</v>
      </c>
      <c r="C7" s="60" t="s">
        <v>146</v>
      </c>
      <c r="D7" s="60"/>
      <c r="E7" s="60"/>
      <c r="F7" s="60"/>
      <c r="G7" s="60"/>
      <c r="H7" s="60"/>
      <c r="I7" s="60"/>
      <c r="J7" s="60"/>
      <c r="K7" s="60"/>
      <c r="L7" s="60"/>
      <c r="M7" s="60"/>
    </row>
    <row r="8" spans="1:13" ht="12" customHeight="1" x14ac:dyDescent="0.2">
      <c r="A8" s="59" t="s">
        <v>204</v>
      </c>
      <c r="B8" s="60" t="s">
        <v>152</v>
      </c>
      <c r="C8" s="60" t="s">
        <v>146</v>
      </c>
      <c r="D8" s="60"/>
      <c r="E8" s="60"/>
      <c r="F8" s="60"/>
      <c r="G8" s="60"/>
      <c r="H8" s="60"/>
      <c r="I8" s="60"/>
      <c r="J8" s="60"/>
      <c r="K8" s="60"/>
      <c r="L8" s="60"/>
      <c r="M8" s="60"/>
    </row>
    <row r="9" spans="1:13" ht="12" customHeight="1" x14ac:dyDescent="0.2">
      <c r="A9" s="59" t="s">
        <v>205</v>
      </c>
      <c r="B9" s="60" t="s">
        <v>201</v>
      </c>
      <c r="C9" s="60" t="s">
        <v>156</v>
      </c>
      <c r="D9" s="60"/>
      <c r="E9" s="60"/>
      <c r="F9" s="60"/>
      <c r="G9" s="60"/>
      <c r="H9" s="60"/>
      <c r="I9" s="60"/>
      <c r="J9" s="60"/>
      <c r="K9" s="60"/>
      <c r="L9" s="60"/>
      <c r="M9" s="60"/>
    </row>
    <row r="10" spans="1:13" ht="12" customHeight="1" x14ac:dyDescent="0.2">
      <c r="A10" s="59" t="s">
        <v>157</v>
      </c>
      <c r="B10" s="60" t="s">
        <v>160</v>
      </c>
      <c r="C10" s="60" t="s">
        <v>146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ht="12" customHeight="1" x14ac:dyDescent="0.2">
      <c r="A11" s="59" t="s">
        <v>206</v>
      </c>
      <c r="B11" s="60" t="s">
        <v>152</v>
      </c>
      <c r="C11" s="60" t="s">
        <v>146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</row>
    <row r="12" spans="1:13" ht="12" customHeight="1" x14ac:dyDescent="0.2">
      <c r="A12" s="59" t="s">
        <v>207</v>
      </c>
      <c r="B12" s="60" t="s">
        <v>152</v>
      </c>
      <c r="C12" s="60" t="s">
        <v>146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</row>
    <row r="13" spans="1:13" ht="12" customHeight="1" x14ac:dyDescent="0.2">
      <c r="A13" s="59" t="s">
        <v>208</v>
      </c>
      <c r="B13" s="60" t="s">
        <v>165</v>
      </c>
      <c r="C13" s="60" t="s">
        <v>146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</row>
    <row r="14" spans="1:13" ht="12" customHeight="1" x14ac:dyDescent="0.2">
      <c r="A14" s="59" t="s">
        <v>209</v>
      </c>
      <c r="B14" s="60" t="s">
        <v>165</v>
      </c>
      <c r="C14" s="60" t="s">
        <v>146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</row>
    <row r="15" spans="1:13" ht="12" customHeight="1" x14ac:dyDescent="0.2">
      <c r="A15" s="59" t="s">
        <v>210</v>
      </c>
      <c r="B15" s="60" t="s">
        <v>165</v>
      </c>
      <c r="C15" s="60" t="s">
        <v>146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</row>
    <row r="16" spans="1:13" ht="12" customHeight="1" x14ac:dyDescent="0.2">
      <c r="A16" s="59" t="s">
        <v>211</v>
      </c>
      <c r="B16" s="60" t="s">
        <v>165</v>
      </c>
      <c r="C16" s="60" t="s">
        <v>146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</row>
    <row r="17" spans="1:13" ht="12" customHeight="1" x14ac:dyDescent="0.2">
      <c r="A17" s="59" t="s">
        <v>167</v>
      </c>
      <c r="B17" s="60" t="s">
        <v>144</v>
      </c>
      <c r="C17" s="60" t="s">
        <v>146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</row>
    <row r="18" spans="1:13" ht="12" customHeight="1" x14ac:dyDescent="0.2">
      <c r="A18" s="59" t="s">
        <v>170</v>
      </c>
      <c r="B18" s="60" t="s">
        <v>144</v>
      </c>
      <c r="C18" s="60" t="s">
        <v>173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</row>
    <row r="19" spans="1:13" ht="12" customHeight="1" x14ac:dyDescent="0.2">
      <c r="A19" s="59" t="s">
        <v>174</v>
      </c>
      <c r="B19" s="60" t="s">
        <v>160</v>
      </c>
      <c r="C19" s="60" t="s">
        <v>146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</row>
    <row r="20" spans="1:13" ht="12" customHeight="1" x14ac:dyDescent="0.2">
      <c r="A20" s="59" t="s">
        <v>176</v>
      </c>
      <c r="B20" s="60" t="s">
        <v>178</v>
      </c>
      <c r="C20" s="60" t="s">
        <v>146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</row>
    <row r="21" spans="1:13" ht="12" customHeight="1" x14ac:dyDescent="0.2">
      <c r="A21" s="59" t="s">
        <v>179</v>
      </c>
      <c r="B21" s="60" t="s">
        <v>181</v>
      </c>
      <c r="C21" s="60" t="s">
        <v>146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1:13" ht="12" customHeight="1" x14ac:dyDescent="0.2">
      <c r="A22" s="59" t="s">
        <v>182</v>
      </c>
      <c r="B22" s="60" t="s">
        <v>184</v>
      </c>
      <c r="C22" s="60" t="s">
        <v>146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1:13" ht="12" customHeight="1" x14ac:dyDescent="0.2">
      <c r="A23" s="59" t="s">
        <v>185</v>
      </c>
      <c r="B23" s="60" t="s">
        <v>187</v>
      </c>
      <c r="C23" s="60" t="s">
        <v>146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</row>
    <row r="24" spans="1:13" ht="12" customHeight="1" x14ac:dyDescent="0.2">
      <c r="A24" s="59" t="s">
        <v>188</v>
      </c>
      <c r="B24" s="60" t="s">
        <v>184</v>
      </c>
      <c r="C24" s="60" t="s">
        <v>146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</row>
    <row r="25" spans="1:13" ht="12" customHeight="1" x14ac:dyDescent="0.2"/>
    <row r="26" spans="1:13" ht="12" customHeight="1" x14ac:dyDescent="0.2"/>
    <row r="27" spans="1:13" ht="12" customHeight="1" x14ac:dyDescent="0.2"/>
    <row r="28" spans="1:13" ht="12" customHeight="1" x14ac:dyDescent="0.2"/>
    <row r="29" spans="1:13" ht="12" customHeight="1" x14ac:dyDescent="0.2"/>
    <row r="30" spans="1:13" ht="12" customHeight="1" x14ac:dyDescent="0.2"/>
    <row r="31" spans="1:13" ht="12" customHeight="1" x14ac:dyDescent="0.2"/>
    <row r="32" spans="1:13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" customHeight="1" x14ac:dyDescent="0.2"/>
  <cols>
    <col min="1" max="1" width="21.85546875" customWidth="1"/>
    <col min="2" max="2" width="10.85546875" customWidth="1"/>
    <col min="3" max="3" width="6.42578125" customWidth="1"/>
    <col min="4" max="4" width="7.5703125" customWidth="1"/>
    <col min="5" max="7" width="8.5703125" customWidth="1"/>
    <col min="8" max="8" width="8.85546875" customWidth="1"/>
    <col min="9" max="9" width="7.5703125" customWidth="1"/>
    <col min="10" max="26" width="8.85546875" customWidth="1"/>
  </cols>
  <sheetData>
    <row r="1" spans="1:14" ht="12" customHeight="1" x14ac:dyDescent="0.2">
      <c r="A1" s="61" t="s">
        <v>135</v>
      </c>
      <c r="B1" s="62" t="s">
        <v>190</v>
      </c>
      <c r="C1" s="62" t="s">
        <v>212</v>
      </c>
      <c r="D1" s="62" t="s">
        <v>213</v>
      </c>
      <c r="E1" s="62" t="s">
        <v>214</v>
      </c>
      <c r="F1" s="62" t="s">
        <v>215</v>
      </c>
      <c r="G1" s="62" t="s">
        <v>216</v>
      </c>
      <c r="H1" s="62" t="s">
        <v>217</v>
      </c>
      <c r="I1" s="62" t="s">
        <v>218</v>
      </c>
      <c r="M1" s="1"/>
      <c r="N1" s="1"/>
    </row>
    <row r="2" spans="1:14" ht="12" customHeight="1" x14ac:dyDescent="0.2">
      <c r="A2" s="61" t="s">
        <v>197</v>
      </c>
      <c r="B2" s="63"/>
      <c r="C2" s="64"/>
      <c r="D2" s="63"/>
      <c r="E2" s="63"/>
      <c r="F2" s="65"/>
      <c r="G2" s="65"/>
      <c r="H2" s="65"/>
      <c r="I2" s="65"/>
      <c r="K2" s="66"/>
      <c r="L2" s="4"/>
      <c r="M2" s="4"/>
      <c r="N2" s="4"/>
    </row>
    <row r="3" spans="1:14" ht="12" customHeight="1" x14ac:dyDescent="0.2">
      <c r="A3" s="61" t="s">
        <v>198</v>
      </c>
      <c r="B3" s="63"/>
      <c r="C3" s="64"/>
      <c r="D3" s="63"/>
      <c r="E3" s="63"/>
      <c r="F3" s="65"/>
      <c r="G3" s="65"/>
      <c r="H3" s="65"/>
      <c r="I3" s="65"/>
      <c r="K3" s="66"/>
      <c r="L3" s="4"/>
      <c r="N3" s="1"/>
    </row>
    <row r="4" spans="1:14" ht="12" customHeight="1" x14ac:dyDescent="0.2">
      <c r="A4" s="61" t="s">
        <v>199</v>
      </c>
      <c r="B4" s="63"/>
      <c r="C4" s="64"/>
      <c r="D4" s="63"/>
      <c r="E4" s="63"/>
      <c r="F4" s="65"/>
      <c r="G4" s="65"/>
      <c r="H4" s="65"/>
      <c r="I4" s="65"/>
      <c r="K4" s="66"/>
      <c r="L4" s="4"/>
    </row>
    <row r="5" spans="1:14" ht="12" customHeight="1" x14ac:dyDescent="0.2">
      <c r="A5" s="61" t="s">
        <v>200</v>
      </c>
      <c r="B5" s="63"/>
      <c r="C5" s="64"/>
      <c r="D5" s="63"/>
      <c r="E5" s="63"/>
      <c r="F5" s="65"/>
      <c r="G5" s="65"/>
      <c r="H5" s="65"/>
      <c r="I5" s="65"/>
      <c r="K5" s="66"/>
      <c r="L5" s="4"/>
    </row>
    <row r="6" spans="1:14" ht="12" customHeight="1" x14ac:dyDescent="0.2">
      <c r="A6" s="61" t="s">
        <v>202</v>
      </c>
      <c r="B6" s="63"/>
      <c r="C6" s="64"/>
      <c r="D6" s="63"/>
      <c r="E6" s="63"/>
      <c r="F6" s="65"/>
      <c r="G6" s="65"/>
      <c r="H6" s="65"/>
      <c r="I6" s="65"/>
      <c r="K6" s="66"/>
      <c r="L6" s="4"/>
    </row>
    <row r="7" spans="1:14" ht="12" customHeight="1" x14ac:dyDescent="0.2">
      <c r="A7" s="61" t="s">
        <v>203</v>
      </c>
      <c r="B7" s="63"/>
      <c r="C7" s="64"/>
      <c r="D7" s="63"/>
      <c r="E7" s="63"/>
      <c r="F7" s="65"/>
      <c r="G7" s="65"/>
      <c r="H7" s="65"/>
      <c r="I7" s="65"/>
    </row>
    <row r="8" spans="1:14" ht="12" customHeight="1" x14ac:dyDescent="0.2">
      <c r="A8" s="61" t="s">
        <v>219</v>
      </c>
      <c r="B8" s="63"/>
      <c r="C8" s="64"/>
      <c r="D8" s="63"/>
      <c r="E8" s="63"/>
      <c r="F8" s="65"/>
      <c r="G8" s="65"/>
      <c r="H8" s="65"/>
      <c r="I8" s="65"/>
    </row>
    <row r="9" spans="1:14" ht="12" customHeight="1" x14ac:dyDescent="0.2">
      <c r="A9" s="61" t="s">
        <v>205</v>
      </c>
      <c r="B9" s="63"/>
      <c r="C9" s="64"/>
      <c r="D9" s="63"/>
      <c r="E9" s="63"/>
      <c r="F9" s="65"/>
      <c r="G9" s="65"/>
      <c r="H9" s="65"/>
      <c r="I9" s="65"/>
    </row>
    <row r="10" spans="1:14" ht="12" customHeight="1" x14ac:dyDescent="0.2">
      <c r="A10" s="61" t="s">
        <v>157</v>
      </c>
      <c r="B10" s="63"/>
      <c r="C10" s="64"/>
      <c r="D10" s="63"/>
      <c r="E10" s="63"/>
      <c r="F10" s="65"/>
      <c r="G10" s="65"/>
      <c r="H10" s="65"/>
      <c r="I10" s="65"/>
    </row>
    <row r="11" spans="1:14" ht="12" customHeight="1" x14ac:dyDescent="0.2">
      <c r="A11" s="61" t="s">
        <v>206</v>
      </c>
      <c r="B11" s="63"/>
      <c r="C11" s="64"/>
      <c r="D11" s="63"/>
      <c r="E11" s="64"/>
      <c r="F11" s="65"/>
      <c r="G11" s="65"/>
      <c r="H11" s="65"/>
      <c r="I11" s="65"/>
    </row>
    <row r="12" spans="1:14" ht="12" customHeight="1" x14ac:dyDescent="0.2">
      <c r="A12" s="61" t="s">
        <v>207</v>
      </c>
      <c r="B12" s="63"/>
      <c r="C12" s="64"/>
      <c r="D12" s="63"/>
      <c r="E12" s="64"/>
      <c r="F12" s="65"/>
      <c r="G12" s="65"/>
      <c r="H12" s="65"/>
      <c r="I12" s="65"/>
    </row>
    <row r="13" spans="1:14" ht="12" customHeight="1" x14ac:dyDescent="0.2">
      <c r="A13" s="61" t="s">
        <v>220</v>
      </c>
      <c r="B13" s="63"/>
      <c r="C13" s="64"/>
      <c r="D13" s="63"/>
      <c r="E13" s="64"/>
      <c r="F13" s="65"/>
      <c r="G13" s="65"/>
      <c r="H13" s="65"/>
      <c r="I13" s="65"/>
    </row>
    <row r="14" spans="1:14" ht="12" customHeight="1" x14ac:dyDescent="0.2">
      <c r="A14" s="61" t="s">
        <v>221</v>
      </c>
      <c r="B14" s="63"/>
      <c r="C14" s="64"/>
      <c r="D14" s="63"/>
      <c r="E14" s="64"/>
      <c r="F14" s="65"/>
      <c r="G14" s="65"/>
      <c r="H14" s="65"/>
      <c r="I14" s="65"/>
    </row>
    <row r="15" spans="1:14" ht="12" customHeight="1" x14ac:dyDescent="0.2">
      <c r="A15" s="61" t="s">
        <v>222</v>
      </c>
      <c r="B15" s="63"/>
      <c r="C15" s="64"/>
      <c r="D15" s="63"/>
      <c r="E15" s="64"/>
      <c r="F15" s="65"/>
      <c r="G15" s="65"/>
      <c r="H15" s="65"/>
      <c r="I15" s="65"/>
    </row>
    <row r="16" spans="1:14" ht="12" customHeight="1" x14ac:dyDescent="0.2">
      <c r="A16" s="61" t="s">
        <v>223</v>
      </c>
      <c r="B16" s="63"/>
      <c r="C16" s="64"/>
      <c r="D16" s="63"/>
      <c r="E16" s="64"/>
      <c r="F16" s="65"/>
      <c r="G16" s="65"/>
      <c r="H16" s="65"/>
      <c r="I16" s="65"/>
    </row>
    <row r="17" spans="1:9" ht="12" customHeight="1" x14ac:dyDescent="0.2">
      <c r="A17" s="61" t="s">
        <v>179</v>
      </c>
      <c r="B17" s="63"/>
      <c r="C17" s="64"/>
      <c r="D17" s="63"/>
      <c r="E17" s="64"/>
      <c r="F17" s="65"/>
      <c r="G17" s="65"/>
      <c r="H17" s="65"/>
      <c r="I17" s="65"/>
    </row>
    <row r="18" spans="1:9" ht="12" customHeight="1" x14ac:dyDescent="0.2">
      <c r="A18" s="61" t="s">
        <v>170</v>
      </c>
      <c r="B18" s="63"/>
      <c r="C18" s="64"/>
      <c r="D18" s="63"/>
      <c r="E18" s="64"/>
      <c r="F18" s="65"/>
      <c r="G18" s="65"/>
      <c r="H18" s="65"/>
      <c r="I18" s="65"/>
    </row>
    <row r="19" spans="1:9" ht="12" customHeight="1" x14ac:dyDescent="0.2">
      <c r="A19" s="61" t="s">
        <v>224</v>
      </c>
      <c r="B19" s="63"/>
      <c r="C19" s="64"/>
      <c r="D19" s="63"/>
      <c r="E19" s="64"/>
      <c r="F19" s="65"/>
      <c r="G19" s="65"/>
      <c r="H19" s="65"/>
      <c r="I19" s="65"/>
    </row>
    <row r="20" spans="1:9" ht="12" customHeight="1" x14ac:dyDescent="0.2">
      <c r="A20" s="61" t="s">
        <v>225</v>
      </c>
      <c r="B20" s="63"/>
      <c r="C20" s="64"/>
      <c r="D20" s="63"/>
      <c r="E20" s="64"/>
      <c r="F20" s="65"/>
      <c r="G20" s="65"/>
      <c r="H20" s="65"/>
      <c r="I20" s="65"/>
    </row>
    <row r="21" spans="1:9" ht="12" customHeight="1" x14ac:dyDescent="0.2">
      <c r="A21" s="61" t="s">
        <v>174</v>
      </c>
      <c r="B21" s="63"/>
      <c r="C21" s="64"/>
      <c r="D21" s="63"/>
      <c r="E21" s="64"/>
      <c r="F21" s="65"/>
      <c r="G21" s="65"/>
      <c r="H21" s="65"/>
      <c r="I21" s="65"/>
    </row>
    <row r="22" spans="1:9" ht="12" customHeight="1" x14ac:dyDescent="0.2">
      <c r="A22" s="61" t="s">
        <v>185</v>
      </c>
      <c r="B22" s="63"/>
      <c r="C22" s="64"/>
      <c r="D22" s="63"/>
      <c r="E22" s="64"/>
      <c r="F22" s="67"/>
      <c r="G22" s="67"/>
      <c r="H22" s="67"/>
      <c r="I22" s="67"/>
    </row>
    <row r="23" spans="1:9" ht="12" customHeight="1" x14ac:dyDescent="0.2">
      <c r="A23" s="61" t="s">
        <v>226</v>
      </c>
      <c r="B23" s="63"/>
      <c r="C23" s="64"/>
      <c r="D23" s="63"/>
      <c r="E23" s="64"/>
      <c r="F23" s="67"/>
      <c r="G23" s="67"/>
      <c r="H23" s="67"/>
      <c r="I23" s="67"/>
    </row>
    <row r="24" spans="1:9" ht="12" customHeight="1" x14ac:dyDescent="0.2">
      <c r="A24" s="61" t="s">
        <v>182</v>
      </c>
      <c r="B24" s="63"/>
      <c r="C24" s="64"/>
      <c r="D24" s="63"/>
      <c r="E24" s="64"/>
      <c r="F24" s="65"/>
      <c r="G24" s="65"/>
      <c r="H24" s="65"/>
      <c r="I24" s="65"/>
    </row>
    <row r="25" spans="1:9" ht="12" customHeight="1" x14ac:dyDescent="0.2">
      <c r="A25" s="3"/>
      <c r="B25" s="2"/>
      <c r="C25" s="66"/>
      <c r="D25" s="66"/>
      <c r="E25" s="66"/>
      <c r="F25" s="66"/>
      <c r="G25" s="66"/>
      <c r="I25" s="66"/>
    </row>
    <row r="26" spans="1:9" ht="12" customHeight="1" x14ac:dyDescent="0.2">
      <c r="A26" s="68"/>
    </row>
    <row r="27" spans="1:9" ht="12" customHeight="1" x14ac:dyDescent="0.2"/>
    <row r="28" spans="1:9" ht="12" customHeight="1" x14ac:dyDescent="0.2"/>
    <row r="29" spans="1:9" ht="12" customHeight="1" x14ac:dyDescent="0.2"/>
    <row r="30" spans="1:9" ht="12" customHeight="1" x14ac:dyDescent="0.2"/>
    <row r="31" spans="1:9" ht="12" customHeight="1" x14ac:dyDescent="0.2"/>
    <row r="32" spans="1:9" ht="12" customHeight="1" x14ac:dyDescent="0.2"/>
    <row r="33" spans="1:9" ht="12" customHeight="1" x14ac:dyDescent="0.2">
      <c r="A33" s="3"/>
      <c r="B33" s="2"/>
      <c r="C33" s="2"/>
      <c r="D33" s="2"/>
      <c r="E33" s="2"/>
      <c r="F33" s="2"/>
      <c r="G33" s="2"/>
      <c r="I33" s="2"/>
    </row>
    <row r="34" spans="1:9" ht="12" customHeight="1" x14ac:dyDescent="0.2">
      <c r="A34" s="3"/>
      <c r="B34" s="2"/>
      <c r="C34" s="2"/>
      <c r="D34" s="2"/>
      <c r="E34" s="2"/>
      <c r="F34" s="2"/>
      <c r="G34" s="2"/>
      <c r="I34" s="2"/>
    </row>
    <row r="35" spans="1:9" ht="12" customHeight="1" x14ac:dyDescent="0.2">
      <c r="A35" s="3"/>
      <c r="B35" s="2"/>
      <c r="C35" s="2"/>
      <c r="D35" s="2"/>
      <c r="E35" s="2"/>
      <c r="F35" s="2"/>
      <c r="G35" s="2"/>
      <c r="I35" s="2"/>
    </row>
    <row r="36" spans="1:9" ht="12" customHeight="1" x14ac:dyDescent="0.2">
      <c r="A36" s="3"/>
      <c r="B36" s="2"/>
      <c r="C36" s="2"/>
      <c r="D36" s="2"/>
      <c r="E36" s="2"/>
      <c r="F36" s="2"/>
      <c r="G36" s="2"/>
      <c r="I36" s="2"/>
    </row>
    <row r="37" spans="1:9" ht="12" customHeight="1" x14ac:dyDescent="0.2">
      <c r="A37" s="3"/>
      <c r="B37" s="2"/>
      <c r="C37" s="2"/>
      <c r="D37" s="2"/>
      <c r="E37" s="2"/>
      <c r="F37" s="2"/>
      <c r="G37" s="2"/>
      <c r="I37" s="2"/>
    </row>
    <row r="38" spans="1:9" ht="12" customHeight="1" x14ac:dyDescent="0.2">
      <c r="A38" s="3"/>
      <c r="B38" s="2"/>
      <c r="C38" s="2"/>
      <c r="D38" s="2"/>
      <c r="E38" s="2"/>
      <c r="F38" s="2"/>
      <c r="G38" s="2"/>
      <c r="I38" s="2"/>
    </row>
    <row r="39" spans="1:9" ht="12" customHeight="1" x14ac:dyDescent="0.2">
      <c r="A39" s="3"/>
      <c r="B39" s="2"/>
      <c r="C39" s="2"/>
      <c r="D39" s="2"/>
      <c r="E39" s="2"/>
      <c r="F39" s="2"/>
      <c r="G39" s="2"/>
      <c r="I39" s="2"/>
    </row>
    <row r="40" spans="1:9" ht="12" customHeight="1" x14ac:dyDescent="0.2">
      <c r="A40" s="3"/>
      <c r="B40" s="2"/>
      <c r="C40" s="2"/>
      <c r="D40" s="2"/>
      <c r="E40" s="2"/>
      <c r="F40" s="2"/>
      <c r="G40" s="2"/>
      <c r="I40" s="2"/>
    </row>
    <row r="41" spans="1:9" ht="12" customHeight="1" x14ac:dyDescent="0.2">
      <c r="A41" s="3"/>
      <c r="B41" s="2"/>
      <c r="C41" s="2"/>
      <c r="D41" s="2"/>
      <c r="E41" s="2"/>
      <c r="F41" s="2"/>
      <c r="G41" s="2"/>
      <c r="I41" s="2"/>
    </row>
    <row r="42" spans="1:9" ht="12" customHeight="1" x14ac:dyDescent="0.2">
      <c r="A42" s="3"/>
      <c r="B42" s="2"/>
      <c r="C42" s="2"/>
      <c r="D42" s="2"/>
      <c r="E42" s="2"/>
      <c r="F42" s="2"/>
      <c r="G42" s="2"/>
      <c r="I42" s="2"/>
    </row>
    <row r="43" spans="1:9" ht="12" customHeight="1" x14ac:dyDescent="0.2">
      <c r="A43" s="3"/>
      <c r="B43" s="2"/>
      <c r="C43" s="2"/>
      <c r="D43" s="2"/>
      <c r="E43" s="2"/>
      <c r="F43" s="2"/>
      <c r="G43" s="2"/>
      <c r="I43" s="2"/>
    </row>
    <row r="44" spans="1:9" ht="12" customHeight="1" x14ac:dyDescent="0.2">
      <c r="A44" s="3"/>
      <c r="B44" s="2"/>
      <c r="C44" s="2"/>
      <c r="D44" s="2"/>
      <c r="E44" s="2"/>
      <c r="F44" s="2"/>
      <c r="G44" s="2"/>
      <c r="I44" s="2"/>
    </row>
    <row r="45" spans="1:9" ht="12" customHeight="1" x14ac:dyDescent="0.2">
      <c r="A45" s="3"/>
      <c r="B45" s="2"/>
      <c r="C45" s="2"/>
      <c r="D45" s="2"/>
      <c r="E45" s="2"/>
      <c r="F45" s="2"/>
      <c r="G45" s="2"/>
      <c r="I45" s="2"/>
    </row>
    <row r="46" spans="1:9" ht="12" customHeight="1" x14ac:dyDescent="0.2">
      <c r="A46" s="3"/>
      <c r="B46" s="2"/>
      <c r="C46" s="2"/>
      <c r="D46" s="2"/>
      <c r="E46" s="2"/>
      <c r="F46" s="2"/>
      <c r="G46" s="2"/>
      <c r="I46" s="2"/>
    </row>
    <row r="47" spans="1:9" ht="12" customHeight="1" x14ac:dyDescent="0.2">
      <c r="A47" s="3"/>
      <c r="B47" s="2"/>
      <c r="C47" s="2"/>
      <c r="D47" s="2"/>
      <c r="E47" s="2"/>
      <c r="F47" s="2"/>
      <c r="G47" s="2"/>
      <c r="I47" s="2"/>
    </row>
    <row r="48" spans="1:9" ht="12" customHeight="1" x14ac:dyDescent="0.2">
      <c r="A48" s="3"/>
      <c r="B48" s="2"/>
      <c r="C48" s="2"/>
      <c r="D48" s="2"/>
      <c r="E48" s="2"/>
      <c r="F48" s="2"/>
      <c r="G48" s="2"/>
      <c r="I48" s="2"/>
    </row>
    <row r="49" spans="1:9" ht="12" customHeight="1" x14ac:dyDescent="0.2">
      <c r="A49" s="3"/>
      <c r="B49" s="2"/>
      <c r="C49" s="2"/>
      <c r="D49" s="2"/>
      <c r="E49" s="2"/>
      <c r="F49" s="2"/>
      <c r="G49" s="2"/>
      <c r="I49" s="2"/>
    </row>
    <row r="50" spans="1:9" ht="12" customHeight="1" x14ac:dyDescent="0.2">
      <c r="A50" s="3"/>
      <c r="B50" s="2"/>
      <c r="C50" s="2"/>
      <c r="D50" s="2"/>
      <c r="E50" s="2"/>
      <c r="F50" s="2"/>
      <c r="G50" s="2"/>
      <c r="I50" s="2"/>
    </row>
    <row r="51" spans="1:9" ht="12" customHeight="1" x14ac:dyDescent="0.2">
      <c r="A51" s="3"/>
      <c r="B51" s="2"/>
      <c r="C51" s="2"/>
      <c r="D51" s="2"/>
      <c r="E51" s="2"/>
      <c r="F51" s="2"/>
      <c r="G51" s="2"/>
      <c r="I51" s="2"/>
    </row>
    <row r="52" spans="1:9" ht="12" customHeight="1" x14ac:dyDescent="0.2">
      <c r="A52" s="3"/>
      <c r="B52" s="2"/>
      <c r="C52" s="2"/>
      <c r="D52" s="2"/>
      <c r="E52" s="2"/>
      <c r="F52" s="2"/>
      <c r="G52" s="2"/>
      <c r="I52" s="2"/>
    </row>
    <row r="53" spans="1:9" ht="12" customHeight="1" x14ac:dyDescent="0.2">
      <c r="A53" s="3"/>
      <c r="B53" s="2"/>
      <c r="C53" s="2"/>
      <c r="D53" s="2"/>
      <c r="E53" s="2"/>
      <c r="F53" s="2"/>
      <c r="G53" s="2"/>
      <c r="I53" s="2"/>
    </row>
    <row r="54" spans="1:9" ht="12" customHeight="1" x14ac:dyDescent="0.2">
      <c r="A54" s="3"/>
      <c r="B54" s="2"/>
      <c r="C54" s="2"/>
      <c r="D54" s="2"/>
      <c r="E54" s="2"/>
      <c r="F54" s="2"/>
      <c r="G54" s="2"/>
      <c r="I54" s="2"/>
    </row>
    <row r="55" spans="1:9" ht="12" customHeight="1" x14ac:dyDescent="0.2">
      <c r="A55" s="3"/>
      <c r="B55" s="2"/>
      <c r="C55" s="2"/>
      <c r="D55" s="2"/>
      <c r="E55" s="2"/>
      <c r="F55" s="2"/>
      <c r="G55" s="2"/>
      <c r="I55" s="2"/>
    </row>
    <row r="56" spans="1:9" ht="12" customHeight="1" x14ac:dyDescent="0.2">
      <c r="A56" s="3"/>
      <c r="B56" s="2"/>
      <c r="C56" s="2"/>
      <c r="D56" s="2"/>
      <c r="E56" s="2"/>
      <c r="F56" s="2"/>
      <c r="G56" s="2"/>
      <c r="I56" s="2"/>
    </row>
    <row r="57" spans="1:9" ht="12" customHeight="1" x14ac:dyDescent="0.2">
      <c r="A57" s="3"/>
      <c r="B57" s="2"/>
      <c r="C57" s="2"/>
      <c r="D57" s="2"/>
      <c r="E57" s="2"/>
      <c r="F57" s="2"/>
      <c r="G57" s="2"/>
      <c r="I57" s="2"/>
    </row>
    <row r="58" spans="1:9" ht="12" customHeight="1" x14ac:dyDescent="0.2">
      <c r="A58" s="3"/>
      <c r="B58" s="2"/>
      <c r="C58" s="2"/>
      <c r="D58" s="2"/>
      <c r="E58" s="2"/>
      <c r="F58" s="2"/>
      <c r="G58" s="2"/>
      <c r="I58" s="2"/>
    </row>
    <row r="59" spans="1:9" ht="12" customHeight="1" x14ac:dyDescent="0.2">
      <c r="A59" s="3"/>
      <c r="B59" s="2"/>
      <c r="C59" s="2"/>
      <c r="D59" s="2"/>
      <c r="E59" s="2"/>
      <c r="F59" s="2"/>
      <c r="G59" s="2"/>
      <c r="I59" s="2"/>
    </row>
    <row r="60" spans="1:9" ht="12" customHeight="1" x14ac:dyDescent="0.2">
      <c r="A60" s="3"/>
      <c r="B60" s="2"/>
      <c r="C60" s="2"/>
      <c r="D60" s="2"/>
      <c r="E60" s="2"/>
      <c r="F60" s="2"/>
      <c r="G60" s="2"/>
      <c r="I60" s="2"/>
    </row>
    <row r="61" spans="1:9" ht="12" customHeight="1" x14ac:dyDescent="0.2">
      <c r="A61" s="3"/>
      <c r="B61" s="2"/>
      <c r="C61" s="2"/>
      <c r="D61" s="2"/>
      <c r="E61" s="2"/>
      <c r="F61" s="2"/>
      <c r="G61" s="2"/>
      <c r="I61" s="2"/>
    </row>
    <row r="62" spans="1:9" ht="12" customHeight="1" x14ac:dyDescent="0.2">
      <c r="A62" s="3"/>
      <c r="B62" s="2"/>
      <c r="C62" s="2"/>
      <c r="D62" s="2"/>
      <c r="E62" s="2"/>
      <c r="F62" s="2"/>
      <c r="G62" s="2"/>
      <c r="I62" s="2"/>
    </row>
    <row r="63" spans="1:9" ht="12" customHeight="1" x14ac:dyDescent="0.2">
      <c r="A63" s="3"/>
      <c r="B63" s="2"/>
      <c r="C63" s="2"/>
      <c r="D63" s="2"/>
      <c r="E63" s="2"/>
      <c r="F63" s="2"/>
      <c r="G63" s="2"/>
      <c r="I63" s="2"/>
    </row>
    <row r="64" spans="1:9" ht="12" customHeight="1" x14ac:dyDescent="0.2">
      <c r="A64" s="3"/>
      <c r="B64" s="2"/>
      <c r="C64" s="2"/>
      <c r="D64" s="2"/>
      <c r="E64" s="2"/>
      <c r="F64" s="2"/>
      <c r="G64" s="2"/>
      <c r="I64" s="2"/>
    </row>
    <row r="65" spans="1:9" ht="12" customHeight="1" x14ac:dyDescent="0.2">
      <c r="A65" s="3"/>
      <c r="B65" s="2"/>
      <c r="C65" s="2"/>
      <c r="D65" s="2"/>
      <c r="E65" s="2"/>
      <c r="F65" s="2"/>
      <c r="G65" s="2"/>
      <c r="I65" s="2"/>
    </row>
    <row r="66" spans="1:9" ht="12" customHeight="1" x14ac:dyDescent="0.2">
      <c r="A66" s="3"/>
      <c r="B66" s="2"/>
      <c r="C66" s="2"/>
      <c r="D66" s="2"/>
      <c r="E66" s="2"/>
      <c r="F66" s="2"/>
      <c r="G66" s="2"/>
      <c r="I66" s="2"/>
    </row>
    <row r="67" spans="1:9" ht="12" customHeight="1" x14ac:dyDescent="0.2">
      <c r="A67" s="3"/>
      <c r="B67" s="2"/>
      <c r="C67" s="2"/>
      <c r="D67" s="2"/>
      <c r="E67" s="2"/>
      <c r="F67" s="2"/>
      <c r="G67" s="2"/>
      <c r="I67" s="2"/>
    </row>
    <row r="68" spans="1:9" ht="12" customHeight="1" x14ac:dyDescent="0.2">
      <c r="A68" s="3"/>
      <c r="B68" s="2"/>
      <c r="C68" s="2"/>
      <c r="D68" s="2"/>
      <c r="E68" s="2"/>
      <c r="F68" s="2"/>
      <c r="G68" s="2"/>
      <c r="I68" s="2"/>
    </row>
    <row r="69" spans="1:9" ht="12" customHeight="1" x14ac:dyDescent="0.2">
      <c r="A69" s="3"/>
      <c r="B69" s="2"/>
      <c r="C69" s="2"/>
      <c r="D69" s="2"/>
      <c r="E69" s="2"/>
      <c r="F69" s="2"/>
      <c r="G69" s="2"/>
      <c r="I69" s="2"/>
    </row>
    <row r="70" spans="1:9" ht="12" customHeight="1" x14ac:dyDescent="0.2">
      <c r="A70" s="3"/>
      <c r="B70" s="2"/>
      <c r="C70" s="2"/>
      <c r="D70" s="2"/>
      <c r="E70" s="2"/>
      <c r="F70" s="2"/>
      <c r="G70" s="2"/>
      <c r="I70" s="2"/>
    </row>
    <row r="71" spans="1:9" ht="12" customHeight="1" x14ac:dyDescent="0.2">
      <c r="A71" s="3"/>
      <c r="B71" s="2"/>
      <c r="C71" s="2"/>
      <c r="D71" s="2"/>
      <c r="E71" s="2"/>
      <c r="F71" s="2"/>
      <c r="G71" s="2"/>
      <c r="I71" s="2"/>
    </row>
    <row r="72" spans="1:9" ht="12" customHeight="1" x14ac:dyDescent="0.2">
      <c r="A72" s="3"/>
      <c r="B72" s="2"/>
      <c r="C72" s="2"/>
      <c r="D72" s="2"/>
      <c r="E72" s="2"/>
      <c r="F72" s="2"/>
      <c r="G72" s="2"/>
      <c r="I72" s="2"/>
    </row>
    <row r="73" spans="1:9" ht="12" customHeight="1" x14ac:dyDescent="0.2">
      <c r="A73" s="3"/>
      <c r="B73" s="2"/>
      <c r="C73" s="2"/>
      <c r="D73" s="2"/>
      <c r="E73" s="2"/>
      <c r="F73" s="2"/>
      <c r="G73" s="2"/>
      <c r="I73" s="2"/>
    </row>
    <row r="74" spans="1:9" ht="12" customHeight="1" x14ac:dyDescent="0.2">
      <c r="A74" s="3"/>
      <c r="B74" s="2"/>
      <c r="C74" s="2"/>
      <c r="D74" s="2"/>
      <c r="E74" s="2"/>
      <c r="F74" s="2"/>
      <c r="G74" s="2"/>
      <c r="I74" s="2"/>
    </row>
    <row r="75" spans="1:9" ht="12" customHeight="1" x14ac:dyDescent="0.2">
      <c r="A75" s="3"/>
      <c r="B75" s="2"/>
      <c r="C75" s="2"/>
      <c r="D75" s="2"/>
      <c r="E75" s="2"/>
      <c r="F75" s="2"/>
      <c r="G75" s="2"/>
      <c r="I75" s="2"/>
    </row>
    <row r="76" spans="1:9" ht="12" customHeight="1" x14ac:dyDescent="0.2">
      <c r="A76" s="3"/>
      <c r="B76" s="2"/>
      <c r="C76" s="2"/>
      <c r="D76" s="2"/>
      <c r="E76" s="2"/>
      <c r="F76" s="2"/>
      <c r="G76" s="2"/>
      <c r="I76" s="2"/>
    </row>
    <row r="77" spans="1:9" ht="12" customHeight="1" x14ac:dyDescent="0.2">
      <c r="A77" s="3"/>
      <c r="B77" s="2"/>
      <c r="C77" s="2"/>
      <c r="D77" s="2"/>
      <c r="E77" s="2"/>
      <c r="F77" s="2"/>
      <c r="G77" s="2"/>
      <c r="I77" s="2"/>
    </row>
    <row r="78" spans="1:9" ht="12" customHeight="1" x14ac:dyDescent="0.2">
      <c r="A78" s="3"/>
      <c r="B78" s="2"/>
      <c r="C78" s="2"/>
      <c r="D78" s="2"/>
      <c r="E78" s="2"/>
      <c r="F78" s="2"/>
      <c r="G78" s="2"/>
      <c r="I78" s="2"/>
    </row>
    <row r="79" spans="1:9" ht="12" customHeight="1" x14ac:dyDescent="0.2">
      <c r="A79" s="3"/>
      <c r="B79" s="2"/>
      <c r="C79" s="2"/>
      <c r="D79" s="2"/>
      <c r="E79" s="2"/>
      <c r="F79" s="2"/>
      <c r="G79" s="2"/>
      <c r="I79" s="2"/>
    </row>
    <row r="80" spans="1:9" ht="12" customHeight="1" x14ac:dyDescent="0.2">
      <c r="A80" s="3"/>
      <c r="B80" s="2"/>
      <c r="C80" s="2"/>
      <c r="D80" s="2"/>
      <c r="E80" s="2"/>
      <c r="F80" s="2"/>
      <c r="G80" s="2"/>
      <c r="I80" s="2"/>
    </row>
    <row r="81" spans="1:9" ht="12" customHeight="1" x14ac:dyDescent="0.2">
      <c r="A81" s="3"/>
      <c r="B81" s="2"/>
      <c r="C81" s="2"/>
      <c r="D81" s="2"/>
      <c r="E81" s="2"/>
      <c r="F81" s="2"/>
      <c r="G81" s="2"/>
      <c r="I81" s="2"/>
    </row>
    <row r="82" spans="1:9" ht="12" customHeight="1" x14ac:dyDescent="0.2">
      <c r="A82" s="3"/>
      <c r="B82" s="2"/>
      <c r="C82" s="2"/>
      <c r="D82" s="2"/>
      <c r="E82" s="2"/>
      <c r="F82" s="2"/>
      <c r="G82" s="2"/>
      <c r="I82" s="2"/>
    </row>
    <row r="83" spans="1:9" ht="12" customHeight="1" x14ac:dyDescent="0.2">
      <c r="A83" s="3"/>
      <c r="B83" s="2"/>
      <c r="C83" s="2"/>
      <c r="D83" s="2"/>
      <c r="E83" s="2"/>
      <c r="F83" s="2"/>
      <c r="G83" s="2"/>
      <c r="I83" s="2"/>
    </row>
    <row r="84" spans="1:9" ht="12" customHeight="1" x14ac:dyDescent="0.2">
      <c r="A84" s="3"/>
      <c r="B84" s="2"/>
      <c r="C84" s="2"/>
      <c r="D84" s="2"/>
      <c r="E84" s="2"/>
      <c r="F84" s="2"/>
      <c r="G84" s="2"/>
      <c r="I84" s="2"/>
    </row>
    <row r="85" spans="1:9" ht="12" customHeight="1" x14ac:dyDescent="0.2">
      <c r="A85" s="3"/>
      <c r="B85" s="2"/>
      <c r="C85" s="2"/>
      <c r="D85" s="2"/>
      <c r="E85" s="2"/>
      <c r="F85" s="2"/>
      <c r="G85" s="2"/>
      <c r="I85" s="2"/>
    </row>
    <row r="86" spans="1:9" ht="12" customHeight="1" x14ac:dyDescent="0.2">
      <c r="A86" s="3"/>
      <c r="B86" s="2"/>
      <c r="C86" s="2"/>
      <c r="D86" s="2"/>
      <c r="E86" s="2"/>
      <c r="F86" s="2"/>
      <c r="G86" s="2"/>
      <c r="I86" s="2"/>
    </row>
    <row r="87" spans="1:9" ht="12" customHeight="1" x14ac:dyDescent="0.2">
      <c r="A87" s="3"/>
      <c r="B87" s="2"/>
      <c r="C87" s="2"/>
      <c r="D87" s="2"/>
      <c r="E87" s="2"/>
      <c r="F87" s="2"/>
      <c r="G87" s="2"/>
      <c r="I87" s="2"/>
    </row>
    <row r="88" spans="1:9" ht="12" customHeight="1" x14ac:dyDescent="0.2">
      <c r="A88" s="3"/>
      <c r="B88" s="2"/>
      <c r="C88" s="2"/>
      <c r="D88" s="2"/>
      <c r="E88" s="2"/>
      <c r="F88" s="2"/>
      <c r="G88" s="2"/>
      <c r="I88" s="2"/>
    </row>
    <row r="89" spans="1:9" ht="12" customHeight="1" x14ac:dyDescent="0.2">
      <c r="A89" s="3"/>
      <c r="B89" s="2"/>
      <c r="C89" s="2"/>
      <c r="D89" s="2"/>
      <c r="E89" s="2"/>
      <c r="F89" s="2"/>
      <c r="G89" s="2"/>
      <c r="I89" s="2"/>
    </row>
    <row r="90" spans="1:9" ht="12" customHeight="1" x14ac:dyDescent="0.2">
      <c r="A90" s="3"/>
      <c r="B90" s="2"/>
      <c r="C90" s="2"/>
      <c r="D90" s="2"/>
      <c r="E90" s="2"/>
      <c r="F90" s="2"/>
      <c r="G90" s="2"/>
      <c r="I90" s="2"/>
    </row>
    <row r="91" spans="1:9" ht="12" customHeight="1" x14ac:dyDescent="0.2">
      <c r="A91" s="3"/>
      <c r="B91" s="2"/>
      <c r="C91" s="2"/>
      <c r="D91" s="2"/>
      <c r="E91" s="2"/>
      <c r="F91" s="2"/>
      <c r="G91" s="2"/>
      <c r="I91" s="2"/>
    </row>
    <row r="92" spans="1:9" ht="12" customHeight="1" x14ac:dyDescent="0.2">
      <c r="A92" s="3"/>
      <c r="B92" s="2"/>
      <c r="C92" s="2"/>
      <c r="D92" s="2"/>
      <c r="E92" s="2"/>
      <c r="F92" s="2"/>
      <c r="G92" s="2"/>
      <c r="I92" s="2"/>
    </row>
    <row r="93" spans="1:9" ht="12" customHeight="1" x14ac:dyDescent="0.2">
      <c r="A93" s="3"/>
      <c r="B93" s="2"/>
      <c r="C93" s="2"/>
      <c r="D93" s="2"/>
      <c r="E93" s="2"/>
      <c r="F93" s="2"/>
      <c r="G93" s="2"/>
      <c r="I93" s="2"/>
    </row>
    <row r="94" spans="1:9" ht="12" customHeight="1" x14ac:dyDescent="0.2">
      <c r="A94" s="3"/>
      <c r="B94" s="2"/>
      <c r="C94" s="2"/>
      <c r="D94" s="2"/>
      <c r="E94" s="2"/>
      <c r="F94" s="2"/>
      <c r="G94" s="2"/>
      <c r="I94" s="2"/>
    </row>
    <row r="95" spans="1:9" ht="12" customHeight="1" x14ac:dyDescent="0.2">
      <c r="A95" s="3"/>
      <c r="B95" s="2"/>
      <c r="C95" s="2"/>
      <c r="D95" s="2"/>
      <c r="E95" s="2"/>
      <c r="F95" s="2"/>
      <c r="G95" s="2"/>
      <c r="I95" s="2"/>
    </row>
    <row r="96" spans="1:9" ht="12" customHeight="1" x14ac:dyDescent="0.2">
      <c r="A96" s="3"/>
      <c r="B96" s="2"/>
      <c r="C96" s="2"/>
      <c r="D96" s="2"/>
      <c r="E96" s="2"/>
      <c r="F96" s="2"/>
      <c r="G96" s="2"/>
      <c r="I96" s="2"/>
    </row>
    <row r="97" spans="1:9" ht="12" customHeight="1" x14ac:dyDescent="0.2">
      <c r="A97" s="3"/>
      <c r="B97" s="2"/>
      <c r="C97" s="2"/>
      <c r="D97" s="2"/>
      <c r="E97" s="2"/>
      <c r="F97" s="2"/>
      <c r="G97" s="2"/>
      <c r="I97" s="2"/>
    </row>
    <row r="98" spans="1:9" ht="12" customHeight="1" x14ac:dyDescent="0.2">
      <c r="A98" s="3"/>
      <c r="B98" s="2"/>
      <c r="C98" s="2"/>
      <c r="D98" s="2"/>
      <c r="E98" s="2"/>
      <c r="F98" s="2"/>
      <c r="G98" s="2"/>
      <c r="I98" s="2"/>
    </row>
    <row r="99" spans="1:9" ht="12" customHeight="1" x14ac:dyDescent="0.2">
      <c r="A99" s="3"/>
      <c r="B99" s="2"/>
      <c r="C99" s="2"/>
      <c r="D99" s="2"/>
      <c r="E99" s="2"/>
      <c r="F99" s="2"/>
      <c r="G99" s="2"/>
      <c r="I99" s="2"/>
    </row>
    <row r="100" spans="1:9" ht="12" customHeight="1" x14ac:dyDescent="0.2">
      <c r="A100" s="3"/>
      <c r="B100" s="2"/>
      <c r="C100" s="2"/>
      <c r="D100" s="2"/>
      <c r="E100" s="2"/>
      <c r="F100" s="2"/>
      <c r="G100" s="2"/>
      <c r="I100" s="2"/>
    </row>
    <row r="101" spans="1:9" ht="12" customHeight="1" x14ac:dyDescent="0.2">
      <c r="A101" s="3"/>
      <c r="B101" s="2"/>
      <c r="C101" s="2"/>
      <c r="D101" s="2"/>
      <c r="E101" s="2"/>
      <c r="F101" s="2"/>
      <c r="G101" s="2"/>
      <c r="I101" s="2"/>
    </row>
    <row r="102" spans="1:9" ht="12" customHeight="1" x14ac:dyDescent="0.2">
      <c r="A102" s="3"/>
      <c r="B102" s="2"/>
      <c r="C102" s="2"/>
      <c r="D102" s="2"/>
      <c r="E102" s="2"/>
      <c r="F102" s="2"/>
      <c r="G102" s="2"/>
      <c r="I102" s="2"/>
    </row>
    <row r="103" spans="1:9" ht="12" customHeight="1" x14ac:dyDescent="0.2">
      <c r="A103" s="3"/>
      <c r="B103" s="2"/>
      <c r="C103" s="2"/>
      <c r="D103" s="2"/>
      <c r="E103" s="2"/>
      <c r="F103" s="2"/>
      <c r="G103" s="2"/>
      <c r="I103" s="2"/>
    </row>
    <row r="104" spans="1:9" ht="12" customHeight="1" x14ac:dyDescent="0.2">
      <c r="A104" s="3"/>
      <c r="B104" s="2"/>
      <c r="C104" s="2"/>
      <c r="D104" s="2"/>
      <c r="E104" s="2"/>
      <c r="F104" s="2"/>
      <c r="G104" s="2"/>
      <c r="I104" s="2"/>
    </row>
    <row r="105" spans="1:9" ht="12" customHeight="1" x14ac:dyDescent="0.2">
      <c r="A105" s="3"/>
      <c r="B105" s="2"/>
      <c r="C105" s="2"/>
      <c r="D105" s="2"/>
      <c r="E105" s="2"/>
      <c r="F105" s="2"/>
      <c r="G105" s="2"/>
      <c r="I105" s="2"/>
    </row>
    <row r="106" spans="1:9" ht="12" customHeight="1" x14ac:dyDescent="0.2">
      <c r="A106" s="3"/>
      <c r="B106" s="2"/>
      <c r="C106" s="2"/>
      <c r="D106" s="2"/>
      <c r="E106" s="2"/>
      <c r="F106" s="2"/>
      <c r="G106" s="2"/>
      <c r="I106" s="2"/>
    </row>
    <row r="107" spans="1:9" ht="12" customHeight="1" x14ac:dyDescent="0.2">
      <c r="A107" s="3"/>
      <c r="B107" s="2"/>
      <c r="C107" s="2"/>
      <c r="D107" s="2"/>
      <c r="E107" s="2"/>
      <c r="F107" s="2"/>
      <c r="G107" s="2"/>
      <c r="I107" s="2"/>
    </row>
    <row r="108" spans="1:9" ht="12" customHeight="1" x14ac:dyDescent="0.2">
      <c r="A108" s="3"/>
      <c r="B108" s="2"/>
      <c r="C108" s="2"/>
      <c r="D108" s="2"/>
      <c r="E108" s="2"/>
      <c r="F108" s="2"/>
      <c r="G108" s="2"/>
      <c r="I108" s="2"/>
    </row>
    <row r="109" spans="1:9" ht="12" customHeight="1" x14ac:dyDescent="0.2">
      <c r="A109" s="3"/>
      <c r="B109" s="2"/>
      <c r="C109" s="2"/>
      <c r="D109" s="2"/>
      <c r="E109" s="2"/>
      <c r="F109" s="2"/>
      <c r="G109" s="2"/>
      <c r="I109" s="2"/>
    </row>
    <row r="110" spans="1:9" ht="12" customHeight="1" x14ac:dyDescent="0.2">
      <c r="A110" s="3"/>
      <c r="B110" s="2"/>
      <c r="C110" s="2"/>
      <c r="D110" s="2"/>
      <c r="E110" s="2"/>
      <c r="F110" s="2"/>
      <c r="G110" s="2"/>
      <c r="I110" s="2"/>
    </row>
    <row r="111" spans="1:9" ht="12" customHeight="1" x14ac:dyDescent="0.2">
      <c r="A111" s="3"/>
      <c r="B111" s="2"/>
      <c r="C111" s="2"/>
      <c r="D111" s="2"/>
      <c r="E111" s="2"/>
      <c r="F111" s="2"/>
      <c r="G111" s="2"/>
      <c r="I111" s="2"/>
    </row>
    <row r="112" spans="1:9" ht="12" customHeight="1" x14ac:dyDescent="0.2">
      <c r="A112" s="3"/>
      <c r="B112" s="2"/>
      <c r="C112" s="2"/>
      <c r="D112" s="2"/>
      <c r="E112" s="2"/>
      <c r="F112" s="2"/>
      <c r="G112" s="2"/>
      <c r="I112" s="2"/>
    </row>
    <row r="113" spans="1:9" ht="12" customHeight="1" x14ac:dyDescent="0.2">
      <c r="A113" s="3"/>
      <c r="B113" s="2"/>
      <c r="C113" s="2"/>
      <c r="D113" s="2"/>
      <c r="E113" s="2"/>
      <c r="F113" s="2"/>
      <c r="G113" s="2"/>
      <c r="I113" s="2"/>
    </row>
    <row r="114" spans="1:9" ht="12" customHeight="1" x14ac:dyDescent="0.2">
      <c r="A114" s="3"/>
      <c r="B114" s="2"/>
      <c r="C114" s="2"/>
      <c r="D114" s="2"/>
      <c r="E114" s="2"/>
      <c r="F114" s="2"/>
      <c r="G114" s="2"/>
      <c r="I114" s="2"/>
    </row>
    <row r="115" spans="1:9" ht="12" customHeight="1" x14ac:dyDescent="0.2">
      <c r="A115" s="3"/>
      <c r="B115" s="2"/>
      <c r="C115" s="2"/>
      <c r="D115" s="2"/>
      <c r="E115" s="2"/>
      <c r="F115" s="2"/>
      <c r="G115" s="2"/>
      <c r="I115" s="2"/>
    </row>
    <row r="116" spans="1:9" ht="12" customHeight="1" x14ac:dyDescent="0.2">
      <c r="A116" s="3"/>
      <c r="B116" s="2"/>
      <c r="C116" s="2"/>
      <c r="D116" s="2"/>
      <c r="E116" s="2"/>
      <c r="F116" s="2"/>
      <c r="G116" s="2"/>
      <c r="I116" s="2"/>
    </row>
    <row r="117" spans="1:9" ht="12" customHeight="1" x14ac:dyDescent="0.2">
      <c r="A117" s="3"/>
      <c r="B117" s="2"/>
      <c r="C117" s="2"/>
      <c r="D117" s="2"/>
      <c r="E117" s="2"/>
      <c r="F117" s="2"/>
      <c r="G117" s="2"/>
      <c r="I117" s="2"/>
    </row>
    <row r="118" spans="1:9" ht="12" customHeight="1" x14ac:dyDescent="0.2">
      <c r="A118" s="3"/>
      <c r="B118" s="2"/>
      <c r="C118" s="2"/>
      <c r="D118" s="2"/>
      <c r="E118" s="2"/>
      <c r="F118" s="2"/>
      <c r="G118" s="2"/>
      <c r="I118" s="2"/>
    </row>
    <row r="119" spans="1:9" ht="12" customHeight="1" x14ac:dyDescent="0.2">
      <c r="A119" s="3"/>
      <c r="B119" s="2"/>
      <c r="C119" s="2"/>
      <c r="D119" s="2"/>
      <c r="E119" s="2"/>
      <c r="F119" s="2"/>
      <c r="G119" s="2"/>
      <c r="I119" s="2"/>
    </row>
    <row r="120" spans="1:9" ht="12" customHeight="1" x14ac:dyDescent="0.2">
      <c r="A120" s="3"/>
      <c r="B120" s="2"/>
      <c r="C120" s="2"/>
      <c r="D120" s="2"/>
      <c r="E120" s="2"/>
      <c r="F120" s="2"/>
      <c r="G120" s="2"/>
      <c r="I120" s="2"/>
    </row>
    <row r="121" spans="1:9" ht="12" customHeight="1" x14ac:dyDescent="0.2">
      <c r="A121" s="3"/>
      <c r="B121" s="2"/>
      <c r="C121" s="2"/>
      <c r="D121" s="2"/>
      <c r="E121" s="2"/>
      <c r="F121" s="2"/>
      <c r="G121" s="2"/>
      <c r="I121" s="2"/>
    </row>
    <row r="122" spans="1:9" ht="12" customHeight="1" x14ac:dyDescent="0.2">
      <c r="A122" s="3"/>
      <c r="B122" s="2"/>
      <c r="C122" s="2"/>
      <c r="D122" s="2"/>
      <c r="E122" s="2"/>
      <c r="F122" s="2"/>
      <c r="G122" s="2"/>
      <c r="I122" s="2"/>
    </row>
    <row r="123" spans="1:9" ht="12" customHeight="1" x14ac:dyDescent="0.2">
      <c r="A123" s="3"/>
      <c r="B123" s="2"/>
      <c r="C123" s="2"/>
      <c r="D123" s="2"/>
      <c r="E123" s="2"/>
      <c r="F123" s="2"/>
      <c r="G123" s="2"/>
      <c r="I123" s="2"/>
    </row>
    <row r="124" spans="1:9" ht="12" customHeight="1" x14ac:dyDescent="0.2">
      <c r="A124" s="3"/>
      <c r="B124" s="2"/>
      <c r="C124" s="2"/>
      <c r="D124" s="2"/>
      <c r="E124" s="2"/>
      <c r="F124" s="2"/>
      <c r="G124" s="2"/>
      <c r="I124" s="2"/>
    </row>
    <row r="125" spans="1:9" ht="12" customHeight="1" x14ac:dyDescent="0.2">
      <c r="A125" s="3"/>
      <c r="B125" s="2"/>
      <c r="C125" s="2"/>
      <c r="D125" s="2"/>
      <c r="E125" s="2"/>
      <c r="F125" s="2"/>
      <c r="G125" s="2"/>
      <c r="I125" s="2"/>
    </row>
    <row r="126" spans="1:9" ht="12" customHeight="1" x14ac:dyDescent="0.2">
      <c r="A126" s="3"/>
      <c r="B126" s="2"/>
      <c r="C126" s="2"/>
      <c r="D126" s="2"/>
      <c r="E126" s="2"/>
      <c r="F126" s="2"/>
      <c r="G126" s="2"/>
      <c r="I126" s="2"/>
    </row>
    <row r="127" spans="1:9" ht="12" customHeight="1" x14ac:dyDescent="0.2">
      <c r="A127" s="3"/>
      <c r="B127" s="2"/>
      <c r="C127" s="2"/>
      <c r="D127" s="2"/>
      <c r="E127" s="2"/>
      <c r="F127" s="2"/>
      <c r="G127" s="2"/>
      <c r="I127" s="2"/>
    </row>
    <row r="128" spans="1:9" ht="12" customHeight="1" x14ac:dyDescent="0.2">
      <c r="A128" s="3"/>
      <c r="B128" s="2"/>
      <c r="C128" s="2"/>
      <c r="D128" s="2"/>
      <c r="E128" s="2"/>
      <c r="F128" s="2"/>
      <c r="G128" s="2"/>
      <c r="I128" s="2"/>
    </row>
    <row r="129" spans="1:9" ht="12" customHeight="1" x14ac:dyDescent="0.2">
      <c r="A129" s="3"/>
      <c r="B129" s="2"/>
      <c r="C129" s="2"/>
      <c r="D129" s="2"/>
      <c r="E129" s="2"/>
      <c r="F129" s="2"/>
      <c r="G129" s="2"/>
      <c r="I129" s="2"/>
    </row>
    <row r="130" spans="1:9" ht="12" customHeight="1" x14ac:dyDescent="0.2">
      <c r="A130" s="3"/>
      <c r="B130" s="2"/>
      <c r="C130" s="2"/>
      <c r="D130" s="2"/>
      <c r="E130" s="2"/>
      <c r="F130" s="2"/>
      <c r="G130" s="2"/>
      <c r="I130" s="2"/>
    </row>
    <row r="131" spans="1:9" ht="12" customHeight="1" x14ac:dyDescent="0.2">
      <c r="A131" s="3"/>
      <c r="B131" s="2"/>
      <c r="C131" s="2"/>
      <c r="D131" s="2"/>
      <c r="E131" s="2"/>
      <c r="F131" s="2"/>
      <c r="G131" s="2"/>
      <c r="I131" s="2"/>
    </row>
    <row r="132" spans="1:9" ht="12" customHeight="1" x14ac:dyDescent="0.2">
      <c r="A132" s="3"/>
      <c r="B132" s="2"/>
      <c r="C132" s="2"/>
      <c r="D132" s="2"/>
      <c r="E132" s="2"/>
      <c r="F132" s="2"/>
      <c r="G132" s="2"/>
      <c r="I132" s="2"/>
    </row>
    <row r="133" spans="1:9" ht="12" customHeight="1" x14ac:dyDescent="0.2">
      <c r="A133" s="3"/>
      <c r="B133" s="2"/>
      <c r="C133" s="2"/>
      <c r="D133" s="2"/>
      <c r="E133" s="2"/>
      <c r="F133" s="2"/>
      <c r="G133" s="2"/>
      <c r="I133" s="2"/>
    </row>
    <row r="134" spans="1:9" ht="12" customHeight="1" x14ac:dyDescent="0.2">
      <c r="A134" s="3"/>
      <c r="B134" s="2"/>
      <c r="C134" s="2"/>
      <c r="D134" s="2"/>
      <c r="E134" s="2"/>
      <c r="F134" s="2"/>
      <c r="G134" s="2"/>
      <c r="I134" s="2"/>
    </row>
    <row r="135" spans="1:9" ht="12" customHeight="1" x14ac:dyDescent="0.2">
      <c r="A135" s="3"/>
      <c r="B135" s="2"/>
      <c r="C135" s="2"/>
      <c r="D135" s="2"/>
      <c r="E135" s="2"/>
      <c r="F135" s="2"/>
      <c r="G135" s="2"/>
      <c r="I135" s="2"/>
    </row>
    <row r="136" spans="1:9" ht="12" customHeight="1" x14ac:dyDescent="0.2">
      <c r="A136" s="3"/>
      <c r="B136" s="2"/>
      <c r="C136" s="2"/>
      <c r="D136" s="2"/>
      <c r="E136" s="2"/>
      <c r="F136" s="2"/>
      <c r="G136" s="2"/>
      <c r="I136" s="2"/>
    </row>
    <row r="137" spans="1:9" ht="12" customHeight="1" x14ac:dyDescent="0.2">
      <c r="A137" s="3"/>
      <c r="B137" s="2"/>
      <c r="C137" s="2"/>
      <c r="D137" s="2"/>
      <c r="E137" s="2"/>
      <c r="F137" s="2"/>
      <c r="G137" s="2"/>
      <c r="I137" s="2"/>
    </row>
    <row r="138" spans="1:9" ht="12" customHeight="1" x14ac:dyDescent="0.2">
      <c r="A138" s="3"/>
      <c r="B138" s="2"/>
      <c r="C138" s="2"/>
      <c r="D138" s="2"/>
      <c r="E138" s="2"/>
      <c r="F138" s="2"/>
      <c r="G138" s="2"/>
      <c r="I138" s="2"/>
    </row>
    <row r="139" spans="1:9" ht="12" customHeight="1" x14ac:dyDescent="0.2">
      <c r="A139" s="3"/>
      <c r="B139" s="2"/>
      <c r="C139" s="2"/>
      <c r="D139" s="2"/>
      <c r="E139" s="2"/>
      <c r="F139" s="2"/>
      <c r="G139" s="2"/>
      <c r="I139" s="2"/>
    </row>
    <row r="140" spans="1:9" ht="12" customHeight="1" x14ac:dyDescent="0.2">
      <c r="A140" s="3"/>
      <c r="B140" s="2"/>
      <c r="C140" s="2"/>
      <c r="D140" s="2"/>
      <c r="E140" s="2"/>
      <c r="F140" s="2"/>
      <c r="G140" s="2"/>
      <c r="I140" s="2"/>
    </row>
    <row r="141" spans="1:9" ht="12" customHeight="1" x14ac:dyDescent="0.2">
      <c r="A141" s="3"/>
      <c r="B141" s="2"/>
      <c r="C141" s="2"/>
      <c r="D141" s="2"/>
      <c r="E141" s="2"/>
      <c r="F141" s="2"/>
      <c r="G141" s="2"/>
      <c r="I141" s="2"/>
    </row>
    <row r="142" spans="1:9" ht="12" customHeight="1" x14ac:dyDescent="0.2">
      <c r="A142" s="3"/>
      <c r="B142" s="2"/>
      <c r="C142" s="2"/>
      <c r="D142" s="2"/>
      <c r="E142" s="2"/>
      <c r="F142" s="2"/>
      <c r="G142" s="2"/>
      <c r="I142" s="2"/>
    </row>
    <row r="143" spans="1:9" ht="12" customHeight="1" x14ac:dyDescent="0.2">
      <c r="A143" s="3"/>
      <c r="B143" s="2"/>
      <c r="C143" s="2"/>
      <c r="D143" s="2"/>
      <c r="E143" s="2"/>
      <c r="F143" s="2"/>
      <c r="G143" s="2"/>
      <c r="I143" s="2"/>
    </row>
    <row r="144" spans="1:9" ht="12" customHeight="1" x14ac:dyDescent="0.2">
      <c r="A144" s="3"/>
      <c r="B144" s="2"/>
      <c r="C144" s="2"/>
      <c r="D144" s="2"/>
      <c r="E144" s="2"/>
      <c r="F144" s="2"/>
      <c r="G144" s="2"/>
      <c r="I144" s="2"/>
    </row>
    <row r="145" spans="1:9" ht="12" customHeight="1" x14ac:dyDescent="0.2">
      <c r="A145" s="3"/>
      <c r="B145" s="2"/>
      <c r="C145" s="2"/>
      <c r="D145" s="2"/>
      <c r="E145" s="2"/>
      <c r="F145" s="2"/>
      <c r="G145" s="2"/>
      <c r="I145" s="2"/>
    </row>
    <row r="146" spans="1:9" ht="12" customHeight="1" x14ac:dyDescent="0.2">
      <c r="A146" s="3"/>
      <c r="B146" s="2"/>
      <c r="C146" s="2"/>
      <c r="D146" s="2"/>
      <c r="E146" s="2"/>
      <c r="F146" s="2"/>
      <c r="G146" s="2"/>
      <c r="I146" s="2"/>
    </row>
    <row r="147" spans="1:9" ht="12" customHeight="1" x14ac:dyDescent="0.2">
      <c r="A147" s="3"/>
      <c r="B147" s="2"/>
      <c r="C147" s="2"/>
      <c r="D147" s="2"/>
      <c r="E147" s="2"/>
      <c r="F147" s="2"/>
      <c r="G147" s="2"/>
      <c r="I147" s="2"/>
    </row>
    <row r="148" spans="1:9" ht="12" customHeight="1" x14ac:dyDescent="0.2">
      <c r="A148" s="3"/>
      <c r="B148" s="2"/>
      <c r="C148" s="2"/>
      <c r="D148" s="2"/>
      <c r="E148" s="2"/>
      <c r="F148" s="2"/>
      <c r="G148" s="2"/>
      <c r="I148" s="2"/>
    </row>
    <row r="149" spans="1:9" ht="12" customHeight="1" x14ac:dyDescent="0.2">
      <c r="A149" s="3"/>
      <c r="B149" s="2"/>
      <c r="C149" s="2"/>
      <c r="D149" s="2"/>
      <c r="E149" s="2"/>
      <c r="F149" s="2"/>
      <c r="G149" s="2"/>
      <c r="I149" s="2"/>
    </row>
    <row r="150" spans="1:9" ht="12" customHeight="1" x14ac:dyDescent="0.2">
      <c r="A150" s="3"/>
      <c r="B150" s="2"/>
      <c r="C150" s="2"/>
      <c r="D150" s="2"/>
      <c r="E150" s="2"/>
      <c r="F150" s="2"/>
      <c r="G150" s="2"/>
      <c r="I150" s="2"/>
    </row>
    <row r="151" spans="1:9" ht="12" customHeight="1" x14ac:dyDescent="0.2">
      <c r="A151" s="3"/>
      <c r="B151" s="2"/>
      <c r="C151" s="2"/>
      <c r="D151" s="2"/>
      <c r="E151" s="2"/>
      <c r="F151" s="2"/>
      <c r="G151" s="2"/>
      <c r="I151" s="2"/>
    </row>
    <row r="152" spans="1:9" ht="12" customHeight="1" x14ac:dyDescent="0.2">
      <c r="A152" s="3"/>
      <c r="B152" s="2"/>
      <c r="C152" s="2"/>
      <c r="D152" s="2"/>
      <c r="E152" s="2"/>
      <c r="F152" s="2"/>
      <c r="G152" s="2"/>
      <c r="I152" s="2"/>
    </row>
    <row r="153" spans="1:9" ht="12" customHeight="1" x14ac:dyDescent="0.2">
      <c r="A153" s="3"/>
      <c r="B153" s="2"/>
      <c r="C153" s="2"/>
      <c r="D153" s="2"/>
      <c r="E153" s="2"/>
      <c r="F153" s="2"/>
      <c r="G153" s="2"/>
      <c r="I153" s="2"/>
    </row>
    <row r="154" spans="1:9" ht="12" customHeight="1" x14ac:dyDescent="0.2">
      <c r="A154" s="3"/>
      <c r="B154" s="2"/>
      <c r="C154" s="2"/>
      <c r="D154" s="2"/>
      <c r="E154" s="2"/>
      <c r="F154" s="2"/>
      <c r="G154" s="2"/>
      <c r="I154" s="2"/>
    </row>
    <row r="155" spans="1:9" ht="12" customHeight="1" x14ac:dyDescent="0.2">
      <c r="A155" s="3"/>
      <c r="B155" s="2"/>
      <c r="C155" s="2"/>
      <c r="D155" s="2"/>
      <c r="E155" s="2"/>
      <c r="F155" s="2"/>
      <c r="G155" s="2"/>
      <c r="I155" s="2"/>
    </row>
    <row r="156" spans="1:9" ht="12" customHeight="1" x14ac:dyDescent="0.2">
      <c r="A156" s="3"/>
      <c r="B156" s="2"/>
      <c r="C156" s="2"/>
      <c r="D156" s="2"/>
      <c r="E156" s="2"/>
      <c r="F156" s="2"/>
      <c r="G156" s="2"/>
      <c r="I156" s="2"/>
    </row>
    <row r="157" spans="1:9" ht="12" customHeight="1" x14ac:dyDescent="0.2">
      <c r="A157" s="3"/>
      <c r="B157" s="2"/>
      <c r="C157" s="2"/>
      <c r="D157" s="2"/>
      <c r="E157" s="2"/>
      <c r="F157" s="2"/>
      <c r="G157" s="2"/>
      <c r="I157" s="2"/>
    </row>
    <row r="158" spans="1:9" ht="12" customHeight="1" x14ac:dyDescent="0.2">
      <c r="A158" s="3"/>
      <c r="B158" s="2"/>
      <c r="C158" s="2"/>
      <c r="D158" s="2"/>
      <c r="E158" s="2"/>
      <c r="F158" s="2"/>
      <c r="G158" s="2"/>
      <c r="I158" s="2"/>
    </row>
    <row r="159" spans="1:9" ht="12" customHeight="1" x14ac:dyDescent="0.2">
      <c r="A159" s="3"/>
      <c r="B159" s="2"/>
      <c r="C159" s="2"/>
      <c r="D159" s="2"/>
      <c r="E159" s="2"/>
      <c r="F159" s="2"/>
      <c r="G159" s="2"/>
      <c r="I159" s="2"/>
    </row>
    <row r="160" spans="1:9" ht="12" customHeight="1" x14ac:dyDescent="0.2">
      <c r="A160" s="3"/>
      <c r="B160" s="2"/>
      <c r="C160" s="2"/>
      <c r="D160" s="2"/>
      <c r="E160" s="2"/>
      <c r="F160" s="2"/>
      <c r="G160" s="2"/>
      <c r="I160" s="2"/>
    </row>
    <row r="161" spans="1:9" ht="12" customHeight="1" x14ac:dyDescent="0.2">
      <c r="A161" s="3"/>
      <c r="B161" s="2"/>
      <c r="C161" s="2"/>
      <c r="D161" s="2"/>
      <c r="E161" s="2"/>
      <c r="F161" s="2"/>
      <c r="G161" s="2"/>
      <c r="I161" s="2"/>
    </row>
    <row r="162" spans="1:9" ht="12" customHeight="1" x14ac:dyDescent="0.2">
      <c r="A162" s="3"/>
      <c r="B162" s="2"/>
      <c r="C162" s="2"/>
      <c r="D162" s="2"/>
      <c r="E162" s="2"/>
      <c r="F162" s="2"/>
      <c r="G162" s="2"/>
      <c r="I162" s="2"/>
    </row>
    <row r="163" spans="1:9" ht="12" customHeight="1" x14ac:dyDescent="0.2">
      <c r="A163" s="3"/>
      <c r="B163" s="2"/>
      <c r="C163" s="2"/>
      <c r="D163" s="2"/>
      <c r="E163" s="2"/>
      <c r="F163" s="2"/>
      <c r="G163" s="2"/>
      <c r="I163" s="2"/>
    </row>
    <row r="164" spans="1:9" ht="12" customHeight="1" x14ac:dyDescent="0.2">
      <c r="A164" s="3"/>
      <c r="B164" s="2"/>
      <c r="C164" s="2"/>
      <c r="D164" s="2"/>
      <c r="E164" s="2"/>
      <c r="F164" s="2"/>
      <c r="G164" s="2"/>
      <c r="I164" s="2"/>
    </row>
    <row r="165" spans="1:9" ht="12" customHeight="1" x14ac:dyDescent="0.2">
      <c r="A165" s="3"/>
      <c r="B165" s="2"/>
      <c r="C165" s="2"/>
      <c r="D165" s="2"/>
      <c r="E165" s="2"/>
      <c r="F165" s="2"/>
      <c r="G165" s="2"/>
      <c r="I165" s="2"/>
    </row>
    <row r="166" spans="1:9" ht="12" customHeight="1" x14ac:dyDescent="0.2">
      <c r="A166" s="3"/>
      <c r="B166" s="2"/>
      <c r="C166" s="2"/>
      <c r="D166" s="2"/>
      <c r="E166" s="2"/>
      <c r="F166" s="2"/>
      <c r="G166" s="2"/>
      <c r="I166" s="2"/>
    </row>
    <row r="167" spans="1:9" ht="12" customHeight="1" x14ac:dyDescent="0.2">
      <c r="A167" s="3"/>
      <c r="B167" s="2"/>
      <c r="C167" s="2"/>
      <c r="D167" s="2"/>
      <c r="E167" s="2"/>
      <c r="F167" s="2"/>
      <c r="G167" s="2"/>
      <c r="I167" s="2"/>
    </row>
    <row r="168" spans="1:9" ht="12" customHeight="1" x14ac:dyDescent="0.2">
      <c r="A168" s="3"/>
      <c r="B168" s="2"/>
      <c r="C168" s="2"/>
      <c r="D168" s="2"/>
      <c r="E168" s="2"/>
      <c r="F168" s="2"/>
      <c r="G168" s="2"/>
      <c r="I168" s="2"/>
    </row>
    <row r="169" spans="1:9" ht="12" customHeight="1" x14ac:dyDescent="0.2">
      <c r="A169" s="3"/>
      <c r="B169" s="2"/>
      <c r="C169" s="2"/>
      <c r="D169" s="2"/>
      <c r="E169" s="2"/>
      <c r="F169" s="2"/>
      <c r="G169" s="2"/>
      <c r="I169" s="2"/>
    </row>
    <row r="170" spans="1:9" ht="12" customHeight="1" x14ac:dyDescent="0.2">
      <c r="A170" s="3"/>
      <c r="B170" s="2"/>
      <c r="C170" s="2"/>
      <c r="D170" s="2"/>
      <c r="E170" s="2"/>
      <c r="F170" s="2"/>
      <c r="G170" s="2"/>
      <c r="I170" s="2"/>
    </row>
    <row r="171" spans="1:9" ht="12" customHeight="1" x14ac:dyDescent="0.2">
      <c r="A171" s="3"/>
      <c r="B171" s="2"/>
      <c r="C171" s="2"/>
      <c r="D171" s="2"/>
      <c r="E171" s="2"/>
      <c r="F171" s="2"/>
      <c r="G171" s="2"/>
      <c r="I171" s="2"/>
    </row>
    <row r="172" spans="1:9" ht="12" customHeight="1" x14ac:dyDescent="0.2">
      <c r="A172" s="3"/>
      <c r="B172" s="2"/>
      <c r="C172" s="2"/>
      <c r="D172" s="2"/>
      <c r="E172" s="2"/>
      <c r="F172" s="2"/>
      <c r="G172" s="2"/>
      <c r="I172" s="2"/>
    </row>
    <row r="173" spans="1:9" ht="12" customHeight="1" x14ac:dyDescent="0.2">
      <c r="A173" s="3"/>
      <c r="B173" s="2"/>
      <c r="C173" s="2"/>
      <c r="D173" s="2"/>
      <c r="E173" s="2"/>
      <c r="F173" s="2"/>
      <c r="G173" s="2"/>
      <c r="I173" s="2"/>
    </row>
    <row r="174" spans="1:9" ht="12" customHeight="1" x14ac:dyDescent="0.2">
      <c r="A174" s="3"/>
      <c r="B174" s="2"/>
      <c r="C174" s="2"/>
      <c r="D174" s="2"/>
      <c r="E174" s="2"/>
      <c r="F174" s="2"/>
      <c r="G174" s="2"/>
      <c r="I174" s="2"/>
    </row>
    <row r="175" spans="1:9" ht="12" customHeight="1" x14ac:dyDescent="0.2">
      <c r="A175" s="3"/>
      <c r="B175" s="2"/>
      <c r="C175" s="2"/>
      <c r="D175" s="2"/>
      <c r="E175" s="2"/>
      <c r="F175" s="2"/>
      <c r="G175" s="2"/>
      <c r="I175" s="2"/>
    </row>
    <row r="176" spans="1:9" ht="12" customHeight="1" x14ac:dyDescent="0.2">
      <c r="A176" s="3"/>
      <c r="B176" s="2"/>
      <c r="C176" s="2"/>
      <c r="D176" s="2"/>
      <c r="E176" s="2"/>
      <c r="F176" s="2"/>
      <c r="G176" s="2"/>
      <c r="I176" s="2"/>
    </row>
    <row r="177" spans="1:9" ht="12" customHeight="1" x14ac:dyDescent="0.2">
      <c r="A177" s="3"/>
      <c r="B177" s="2"/>
      <c r="C177" s="2"/>
      <c r="D177" s="2"/>
      <c r="E177" s="2"/>
      <c r="F177" s="2"/>
      <c r="G177" s="2"/>
      <c r="I177" s="2"/>
    </row>
    <row r="178" spans="1:9" ht="12" customHeight="1" x14ac:dyDescent="0.2">
      <c r="A178" s="3"/>
      <c r="B178" s="2"/>
      <c r="C178" s="2"/>
      <c r="D178" s="2"/>
      <c r="E178" s="2"/>
      <c r="F178" s="2"/>
      <c r="G178" s="2"/>
      <c r="I178" s="2"/>
    </row>
    <row r="179" spans="1:9" ht="12" customHeight="1" x14ac:dyDescent="0.2">
      <c r="A179" s="3"/>
      <c r="B179" s="2"/>
      <c r="C179" s="2"/>
      <c r="D179" s="2"/>
      <c r="E179" s="2"/>
      <c r="F179" s="2"/>
      <c r="G179" s="2"/>
      <c r="I179" s="2"/>
    </row>
    <row r="180" spans="1:9" ht="12" customHeight="1" x14ac:dyDescent="0.2">
      <c r="A180" s="3"/>
      <c r="B180" s="2"/>
      <c r="C180" s="2"/>
      <c r="D180" s="2"/>
      <c r="E180" s="2"/>
      <c r="F180" s="2"/>
      <c r="G180" s="2"/>
      <c r="I180" s="2"/>
    </row>
    <row r="181" spans="1:9" ht="12" customHeight="1" x14ac:dyDescent="0.2">
      <c r="A181" s="3"/>
      <c r="B181" s="2"/>
      <c r="C181" s="2"/>
      <c r="D181" s="2"/>
      <c r="E181" s="2"/>
      <c r="F181" s="2"/>
      <c r="G181" s="2"/>
      <c r="I181" s="2"/>
    </row>
    <row r="182" spans="1:9" ht="12" customHeight="1" x14ac:dyDescent="0.2">
      <c r="A182" s="3"/>
      <c r="B182" s="2"/>
      <c r="C182" s="2"/>
      <c r="D182" s="2"/>
      <c r="E182" s="2"/>
      <c r="F182" s="2"/>
      <c r="G182" s="2"/>
      <c r="I182" s="2"/>
    </row>
    <row r="183" spans="1:9" ht="12" customHeight="1" x14ac:dyDescent="0.2">
      <c r="A183" s="3"/>
      <c r="B183" s="2"/>
      <c r="C183" s="2"/>
      <c r="D183" s="2"/>
      <c r="E183" s="2"/>
      <c r="F183" s="2"/>
      <c r="G183" s="2"/>
      <c r="I183" s="2"/>
    </row>
    <row r="184" spans="1:9" ht="12" customHeight="1" x14ac:dyDescent="0.2">
      <c r="A184" s="3"/>
      <c r="B184" s="2"/>
      <c r="C184" s="2"/>
      <c r="D184" s="2"/>
      <c r="E184" s="2"/>
      <c r="F184" s="2"/>
      <c r="G184" s="2"/>
      <c r="I184" s="2"/>
    </row>
    <row r="185" spans="1:9" ht="12" customHeight="1" x14ac:dyDescent="0.2">
      <c r="A185" s="3"/>
      <c r="B185" s="2"/>
      <c r="C185" s="2"/>
      <c r="D185" s="2"/>
      <c r="E185" s="2"/>
      <c r="F185" s="2"/>
      <c r="G185" s="2"/>
      <c r="I185" s="2"/>
    </row>
    <row r="186" spans="1:9" ht="12" customHeight="1" x14ac:dyDescent="0.2">
      <c r="A186" s="3"/>
      <c r="B186" s="2"/>
      <c r="C186" s="2"/>
      <c r="D186" s="2"/>
      <c r="E186" s="2"/>
      <c r="F186" s="2"/>
      <c r="G186" s="2"/>
      <c r="I186" s="2"/>
    </row>
    <row r="187" spans="1:9" ht="12" customHeight="1" x14ac:dyDescent="0.2">
      <c r="A187" s="3"/>
      <c r="B187" s="2"/>
      <c r="C187" s="2"/>
      <c r="D187" s="2"/>
      <c r="E187" s="2"/>
      <c r="F187" s="2"/>
      <c r="G187" s="2"/>
      <c r="I187" s="2"/>
    </row>
    <row r="188" spans="1:9" ht="12" customHeight="1" x14ac:dyDescent="0.2">
      <c r="A188" s="3"/>
      <c r="B188" s="2"/>
      <c r="C188" s="2"/>
      <c r="D188" s="2"/>
      <c r="E188" s="2"/>
      <c r="F188" s="2"/>
      <c r="G188" s="2"/>
      <c r="I188" s="2"/>
    </row>
    <row r="189" spans="1:9" ht="12" customHeight="1" x14ac:dyDescent="0.2">
      <c r="A189" s="3"/>
      <c r="B189" s="2"/>
      <c r="C189" s="2"/>
      <c r="D189" s="2"/>
      <c r="E189" s="2"/>
      <c r="F189" s="2"/>
      <c r="G189" s="2"/>
      <c r="I189" s="2"/>
    </row>
    <row r="190" spans="1:9" ht="12" customHeight="1" x14ac:dyDescent="0.2">
      <c r="A190" s="3"/>
      <c r="B190" s="2"/>
      <c r="C190" s="2"/>
      <c r="D190" s="2"/>
      <c r="E190" s="2"/>
      <c r="F190" s="2"/>
      <c r="G190" s="2"/>
      <c r="I190" s="2"/>
    </row>
    <row r="191" spans="1:9" ht="12" customHeight="1" x14ac:dyDescent="0.2">
      <c r="A191" s="3"/>
      <c r="B191" s="2"/>
      <c r="C191" s="2"/>
      <c r="D191" s="2"/>
      <c r="E191" s="2"/>
      <c r="F191" s="2"/>
      <c r="G191" s="2"/>
      <c r="I191" s="2"/>
    </row>
    <row r="192" spans="1:9" ht="12" customHeight="1" x14ac:dyDescent="0.2">
      <c r="A192" s="3"/>
      <c r="B192" s="2"/>
      <c r="C192" s="2"/>
      <c r="D192" s="2"/>
      <c r="E192" s="2"/>
      <c r="F192" s="2"/>
      <c r="G192" s="2"/>
      <c r="I192" s="2"/>
    </row>
    <row r="193" spans="1:9" ht="12" customHeight="1" x14ac:dyDescent="0.2">
      <c r="A193" s="3"/>
      <c r="B193" s="2"/>
      <c r="C193" s="2"/>
      <c r="D193" s="2"/>
      <c r="E193" s="2"/>
      <c r="F193" s="2"/>
      <c r="G193" s="2"/>
      <c r="I193" s="2"/>
    </row>
    <row r="194" spans="1:9" ht="12" customHeight="1" x14ac:dyDescent="0.2">
      <c r="A194" s="3"/>
      <c r="B194" s="2"/>
      <c r="C194" s="2"/>
      <c r="D194" s="2"/>
      <c r="E194" s="2"/>
      <c r="F194" s="2"/>
      <c r="G194" s="2"/>
      <c r="I194" s="2"/>
    </row>
    <row r="195" spans="1:9" ht="12" customHeight="1" x14ac:dyDescent="0.2">
      <c r="A195" s="3"/>
      <c r="B195" s="2"/>
      <c r="C195" s="2"/>
      <c r="D195" s="2"/>
      <c r="E195" s="2"/>
      <c r="F195" s="2"/>
      <c r="G195" s="2"/>
      <c r="I195" s="2"/>
    </row>
    <row r="196" spans="1:9" ht="12" customHeight="1" x14ac:dyDescent="0.2">
      <c r="A196" s="3"/>
      <c r="B196" s="2"/>
      <c r="C196" s="2"/>
      <c r="D196" s="2"/>
      <c r="E196" s="2"/>
      <c r="F196" s="2"/>
      <c r="G196" s="2"/>
      <c r="I196" s="2"/>
    </row>
    <row r="197" spans="1:9" ht="12" customHeight="1" x14ac:dyDescent="0.2">
      <c r="A197" s="3"/>
      <c r="B197" s="2"/>
      <c r="C197" s="2"/>
      <c r="D197" s="2"/>
      <c r="E197" s="2"/>
      <c r="F197" s="2"/>
      <c r="G197" s="2"/>
      <c r="I197" s="2"/>
    </row>
    <row r="198" spans="1:9" ht="12" customHeight="1" x14ac:dyDescent="0.2">
      <c r="A198" s="3"/>
      <c r="B198" s="2"/>
      <c r="C198" s="2"/>
      <c r="D198" s="2"/>
      <c r="E198" s="2"/>
      <c r="F198" s="2"/>
      <c r="G198" s="2"/>
      <c r="I198" s="2"/>
    </row>
    <row r="199" spans="1:9" ht="12" customHeight="1" x14ac:dyDescent="0.2">
      <c r="A199" s="3"/>
      <c r="B199" s="2"/>
      <c r="C199" s="2"/>
      <c r="D199" s="2"/>
      <c r="E199" s="2"/>
      <c r="F199" s="2"/>
      <c r="G199" s="2"/>
      <c r="I199" s="2"/>
    </row>
    <row r="200" spans="1:9" ht="12" customHeight="1" x14ac:dyDescent="0.2">
      <c r="A200" s="3"/>
      <c r="B200" s="2"/>
      <c r="C200" s="2"/>
      <c r="D200" s="2"/>
      <c r="E200" s="2"/>
      <c r="F200" s="2"/>
      <c r="G200" s="2"/>
      <c r="I200" s="2"/>
    </row>
    <row r="201" spans="1:9" ht="12" customHeight="1" x14ac:dyDescent="0.2">
      <c r="A201" s="3"/>
      <c r="B201" s="2"/>
      <c r="C201" s="2"/>
      <c r="D201" s="2"/>
      <c r="E201" s="2"/>
      <c r="F201" s="2"/>
      <c r="G201" s="2"/>
      <c r="I201" s="2"/>
    </row>
    <row r="202" spans="1:9" ht="12" customHeight="1" x14ac:dyDescent="0.2">
      <c r="A202" s="3"/>
      <c r="B202" s="2"/>
      <c r="C202" s="2"/>
      <c r="D202" s="2"/>
      <c r="E202" s="2"/>
      <c r="F202" s="2"/>
      <c r="G202" s="2"/>
      <c r="I202" s="2"/>
    </row>
    <row r="203" spans="1:9" ht="12" customHeight="1" x14ac:dyDescent="0.2">
      <c r="A203" s="3"/>
      <c r="B203" s="2"/>
      <c r="C203" s="2"/>
      <c r="D203" s="2"/>
      <c r="E203" s="2"/>
      <c r="F203" s="2"/>
      <c r="G203" s="2"/>
      <c r="I203" s="2"/>
    </row>
    <row r="204" spans="1:9" ht="12" customHeight="1" x14ac:dyDescent="0.2">
      <c r="A204" s="3"/>
      <c r="B204" s="2"/>
      <c r="C204" s="2"/>
      <c r="D204" s="2"/>
      <c r="E204" s="2"/>
      <c r="F204" s="2"/>
      <c r="G204" s="2"/>
      <c r="I204" s="2"/>
    </row>
    <row r="205" spans="1:9" ht="12" customHeight="1" x14ac:dyDescent="0.2">
      <c r="A205" s="3"/>
      <c r="B205" s="2"/>
      <c r="C205" s="2"/>
      <c r="D205" s="2"/>
      <c r="E205" s="2"/>
      <c r="F205" s="2"/>
      <c r="G205" s="2"/>
      <c r="I205" s="2"/>
    </row>
    <row r="206" spans="1:9" ht="12" customHeight="1" x14ac:dyDescent="0.2">
      <c r="A206" s="3"/>
      <c r="B206" s="2"/>
      <c r="C206" s="2"/>
      <c r="D206" s="2"/>
      <c r="E206" s="2"/>
      <c r="F206" s="2"/>
      <c r="G206" s="2"/>
      <c r="I206" s="2"/>
    </row>
    <row r="207" spans="1:9" ht="12" customHeight="1" x14ac:dyDescent="0.2">
      <c r="A207" s="3"/>
      <c r="B207" s="2"/>
      <c r="C207" s="2"/>
      <c r="D207" s="2"/>
      <c r="E207" s="2"/>
      <c r="F207" s="2"/>
      <c r="G207" s="2"/>
      <c r="I207" s="2"/>
    </row>
    <row r="208" spans="1:9" ht="12" customHeight="1" x14ac:dyDescent="0.2">
      <c r="A208" s="3"/>
      <c r="B208" s="2"/>
      <c r="C208" s="2"/>
      <c r="D208" s="2"/>
      <c r="E208" s="2"/>
      <c r="F208" s="2"/>
      <c r="G208" s="2"/>
      <c r="I208" s="2"/>
    </row>
    <row r="209" spans="1:9" ht="12" customHeight="1" x14ac:dyDescent="0.2">
      <c r="A209" s="3"/>
      <c r="B209" s="2"/>
      <c r="C209" s="2"/>
      <c r="D209" s="2"/>
      <c r="E209" s="2"/>
      <c r="F209" s="2"/>
      <c r="G209" s="2"/>
      <c r="I209" s="2"/>
    </row>
    <row r="210" spans="1:9" ht="12" customHeight="1" x14ac:dyDescent="0.2">
      <c r="A210" s="3"/>
      <c r="B210" s="2"/>
      <c r="C210" s="2"/>
      <c r="D210" s="2"/>
      <c r="E210" s="2"/>
      <c r="F210" s="2"/>
      <c r="G210" s="2"/>
      <c r="I210" s="2"/>
    </row>
    <row r="211" spans="1:9" ht="12" customHeight="1" x14ac:dyDescent="0.2">
      <c r="A211" s="3"/>
      <c r="B211" s="2"/>
      <c r="C211" s="2"/>
      <c r="D211" s="2"/>
      <c r="E211" s="2"/>
      <c r="F211" s="2"/>
      <c r="G211" s="2"/>
      <c r="I211" s="2"/>
    </row>
    <row r="212" spans="1:9" ht="12" customHeight="1" x14ac:dyDescent="0.2">
      <c r="A212" s="3"/>
      <c r="B212" s="2"/>
      <c r="C212" s="2"/>
      <c r="D212" s="2"/>
      <c r="E212" s="2"/>
      <c r="F212" s="2"/>
      <c r="G212" s="2"/>
      <c r="I212" s="2"/>
    </row>
    <row r="213" spans="1:9" ht="12" customHeight="1" x14ac:dyDescent="0.2">
      <c r="A213" s="3"/>
      <c r="B213" s="2"/>
      <c r="C213" s="2"/>
      <c r="D213" s="2"/>
      <c r="E213" s="2"/>
      <c r="F213" s="2"/>
      <c r="G213" s="2"/>
      <c r="I213" s="2"/>
    </row>
    <row r="214" spans="1:9" ht="12" customHeight="1" x14ac:dyDescent="0.2">
      <c r="A214" s="3"/>
      <c r="B214" s="2"/>
      <c r="C214" s="2"/>
      <c r="D214" s="2"/>
      <c r="E214" s="2"/>
      <c r="F214" s="2"/>
      <c r="G214" s="2"/>
      <c r="I214" s="2"/>
    </row>
    <row r="215" spans="1:9" ht="12" customHeight="1" x14ac:dyDescent="0.2">
      <c r="A215" s="3"/>
      <c r="B215" s="2"/>
      <c r="C215" s="2"/>
      <c r="D215" s="2"/>
      <c r="E215" s="2"/>
      <c r="F215" s="2"/>
      <c r="G215" s="2"/>
      <c r="I215" s="2"/>
    </row>
    <row r="216" spans="1:9" ht="12" customHeight="1" x14ac:dyDescent="0.2">
      <c r="A216" s="3"/>
      <c r="B216" s="2"/>
      <c r="C216" s="2"/>
      <c r="D216" s="2"/>
      <c r="E216" s="2"/>
      <c r="F216" s="2"/>
      <c r="G216" s="2"/>
      <c r="I216" s="2"/>
    </row>
    <row r="217" spans="1:9" ht="12" customHeight="1" x14ac:dyDescent="0.2">
      <c r="A217" s="3"/>
      <c r="B217" s="2"/>
      <c r="C217" s="2"/>
      <c r="D217" s="2"/>
      <c r="E217" s="2"/>
      <c r="F217" s="2"/>
      <c r="G217" s="2"/>
      <c r="I217" s="2"/>
    </row>
    <row r="218" spans="1:9" ht="12" customHeight="1" x14ac:dyDescent="0.2">
      <c r="A218" s="3"/>
      <c r="B218" s="2"/>
      <c r="C218" s="2"/>
      <c r="D218" s="2"/>
      <c r="E218" s="2"/>
      <c r="F218" s="2"/>
      <c r="G218" s="2"/>
      <c r="I218" s="2"/>
    </row>
    <row r="219" spans="1:9" ht="12" customHeight="1" x14ac:dyDescent="0.2">
      <c r="A219" s="3"/>
      <c r="B219" s="2"/>
      <c r="C219" s="2"/>
      <c r="D219" s="2"/>
      <c r="E219" s="2"/>
      <c r="F219" s="2"/>
      <c r="G219" s="2"/>
      <c r="I219" s="2"/>
    </row>
    <row r="220" spans="1:9" ht="12" customHeight="1" x14ac:dyDescent="0.2">
      <c r="A220" s="3"/>
      <c r="B220" s="2"/>
      <c r="C220" s="2"/>
      <c r="D220" s="2"/>
      <c r="E220" s="2"/>
      <c r="F220" s="2"/>
      <c r="G220" s="2"/>
      <c r="I220" s="2"/>
    </row>
    <row r="221" spans="1:9" ht="12" customHeight="1" x14ac:dyDescent="0.2">
      <c r="A221" s="3"/>
      <c r="B221" s="2"/>
      <c r="C221" s="2"/>
      <c r="D221" s="2"/>
      <c r="E221" s="2"/>
      <c r="F221" s="2"/>
      <c r="G221" s="2"/>
      <c r="I221" s="2"/>
    </row>
    <row r="222" spans="1:9" ht="12" customHeight="1" x14ac:dyDescent="0.2">
      <c r="A222" s="3"/>
      <c r="B222" s="2"/>
      <c r="C222" s="2"/>
      <c r="D222" s="2"/>
      <c r="E222" s="2"/>
      <c r="F222" s="2"/>
      <c r="G222" s="2"/>
      <c r="I222" s="2"/>
    </row>
    <row r="223" spans="1:9" ht="12" customHeight="1" x14ac:dyDescent="0.2">
      <c r="A223" s="3"/>
      <c r="B223" s="2"/>
      <c r="C223" s="2"/>
      <c r="D223" s="2"/>
      <c r="E223" s="2"/>
      <c r="F223" s="2"/>
      <c r="G223" s="2"/>
      <c r="I223" s="2"/>
    </row>
    <row r="224" spans="1:9" ht="12" customHeight="1" x14ac:dyDescent="0.2">
      <c r="A224" s="3"/>
      <c r="B224" s="2"/>
      <c r="C224" s="2"/>
      <c r="D224" s="2"/>
      <c r="E224" s="2"/>
      <c r="F224" s="2"/>
      <c r="G224" s="2"/>
      <c r="I224" s="2"/>
    </row>
    <row r="225" spans="1:9" ht="12" customHeight="1" x14ac:dyDescent="0.2">
      <c r="A225" s="3"/>
      <c r="B225" s="2"/>
      <c r="C225" s="2"/>
      <c r="D225" s="2"/>
      <c r="E225" s="2"/>
      <c r="F225" s="2"/>
      <c r="G225" s="2"/>
      <c r="I225" s="2"/>
    </row>
    <row r="226" spans="1:9" ht="12" customHeight="1" x14ac:dyDescent="0.2">
      <c r="A226" s="3"/>
      <c r="B226" s="2"/>
      <c r="C226" s="2"/>
      <c r="D226" s="2"/>
      <c r="E226" s="2"/>
      <c r="F226" s="2"/>
      <c r="G226" s="2"/>
      <c r="I226" s="2"/>
    </row>
    <row r="227" spans="1:9" ht="12" customHeight="1" x14ac:dyDescent="0.2">
      <c r="A227" s="3"/>
      <c r="B227" s="2"/>
      <c r="C227" s="2"/>
      <c r="D227" s="2"/>
      <c r="E227" s="2"/>
      <c r="F227" s="2"/>
      <c r="G227" s="2"/>
      <c r="I227" s="2"/>
    </row>
    <row r="228" spans="1:9" ht="12" customHeight="1" x14ac:dyDescent="0.2">
      <c r="A228" s="3"/>
      <c r="B228" s="2"/>
      <c r="C228" s="2"/>
      <c r="D228" s="2"/>
      <c r="E228" s="2"/>
      <c r="F228" s="2"/>
      <c r="G228" s="2"/>
      <c r="I228" s="2"/>
    </row>
    <row r="229" spans="1:9" ht="12" customHeight="1" x14ac:dyDescent="0.2">
      <c r="A229" s="3"/>
      <c r="B229" s="2"/>
      <c r="C229" s="2"/>
      <c r="D229" s="2"/>
      <c r="E229" s="2"/>
      <c r="F229" s="2"/>
      <c r="G229" s="2"/>
      <c r="I229" s="2"/>
    </row>
    <row r="230" spans="1:9" ht="12" customHeight="1" x14ac:dyDescent="0.2">
      <c r="A230" s="3"/>
      <c r="B230" s="2"/>
      <c r="C230" s="2"/>
      <c r="D230" s="2"/>
      <c r="E230" s="2"/>
      <c r="F230" s="2"/>
      <c r="G230" s="2"/>
      <c r="I230" s="2"/>
    </row>
    <row r="231" spans="1:9" ht="12" customHeight="1" x14ac:dyDescent="0.2">
      <c r="A231" s="3"/>
      <c r="B231" s="2"/>
      <c r="C231" s="2"/>
      <c r="D231" s="2"/>
      <c r="E231" s="2"/>
      <c r="F231" s="2"/>
      <c r="G231" s="2"/>
      <c r="I231" s="2"/>
    </row>
    <row r="232" spans="1:9" ht="12" customHeight="1" x14ac:dyDescent="0.2">
      <c r="A232" s="3"/>
      <c r="B232" s="2"/>
      <c r="C232" s="2"/>
      <c r="D232" s="2"/>
      <c r="E232" s="2"/>
      <c r="F232" s="2"/>
      <c r="G232" s="2"/>
      <c r="I232" s="2"/>
    </row>
    <row r="233" spans="1:9" ht="12" customHeight="1" x14ac:dyDescent="0.2">
      <c r="A233" s="3"/>
      <c r="B233" s="2"/>
      <c r="C233" s="2"/>
      <c r="D233" s="2"/>
      <c r="E233" s="2"/>
      <c r="F233" s="2"/>
      <c r="G233" s="2"/>
      <c r="I233" s="2"/>
    </row>
    <row r="234" spans="1:9" ht="12" customHeight="1" x14ac:dyDescent="0.2">
      <c r="A234" s="3"/>
      <c r="B234" s="2"/>
      <c r="C234" s="2"/>
      <c r="D234" s="2"/>
      <c r="E234" s="2"/>
      <c r="F234" s="2"/>
      <c r="G234" s="2"/>
      <c r="I234" s="2"/>
    </row>
    <row r="235" spans="1:9" ht="12" customHeight="1" x14ac:dyDescent="0.2">
      <c r="A235" s="3"/>
      <c r="B235" s="2"/>
      <c r="C235" s="2"/>
      <c r="D235" s="2"/>
      <c r="E235" s="2"/>
      <c r="F235" s="2"/>
      <c r="G235" s="2"/>
      <c r="I235" s="2"/>
    </row>
    <row r="236" spans="1:9" ht="12" customHeight="1" x14ac:dyDescent="0.2">
      <c r="A236" s="3"/>
      <c r="B236" s="2"/>
      <c r="C236" s="2"/>
      <c r="D236" s="2"/>
      <c r="E236" s="2"/>
      <c r="F236" s="2"/>
      <c r="G236" s="2"/>
      <c r="I236" s="2"/>
    </row>
    <row r="237" spans="1:9" ht="12" customHeight="1" x14ac:dyDescent="0.2">
      <c r="A237" s="3"/>
      <c r="B237" s="2"/>
      <c r="C237" s="2"/>
      <c r="D237" s="2"/>
      <c r="E237" s="2"/>
      <c r="F237" s="2"/>
      <c r="G237" s="2"/>
      <c r="I237" s="2"/>
    </row>
    <row r="238" spans="1:9" ht="12" customHeight="1" x14ac:dyDescent="0.2">
      <c r="A238" s="3"/>
      <c r="B238" s="2"/>
      <c r="C238" s="2"/>
      <c r="D238" s="2"/>
      <c r="E238" s="2"/>
      <c r="F238" s="2"/>
      <c r="G238" s="2"/>
      <c r="I238" s="2"/>
    </row>
    <row r="239" spans="1:9" ht="12" customHeight="1" x14ac:dyDescent="0.2">
      <c r="A239" s="3"/>
      <c r="B239" s="2"/>
      <c r="C239" s="2"/>
      <c r="D239" s="2"/>
      <c r="E239" s="2"/>
      <c r="F239" s="2"/>
      <c r="G239" s="2"/>
      <c r="I239" s="2"/>
    </row>
    <row r="240" spans="1:9" ht="12" customHeight="1" x14ac:dyDescent="0.2">
      <c r="A240" s="3"/>
      <c r="B240" s="2"/>
      <c r="C240" s="2"/>
      <c r="D240" s="2"/>
      <c r="E240" s="2"/>
      <c r="F240" s="2"/>
      <c r="G240" s="2"/>
      <c r="I240" s="2"/>
    </row>
    <row r="241" spans="1:9" ht="12" customHeight="1" x14ac:dyDescent="0.2">
      <c r="A241" s="3"/>
      <c r="B241" s="2"/>
      <c r="C241" s="2"/>
      <c r="D241" s="2"/>
      <c r="E241" s="2"/>
      <c r="F241" s="2"/>
      <c r="G241" s="2"/>
      <c r="I241" s="2"/>
    </row>
    <row r="242" spans="1:9" ht="12" customHeight="1" x14ac:dyDescent="0.2">
      <c r="A242" s="3"/>
      <c r="B242" s="2"/>
      <c r="C242" s="2"/>
      <c r="D242" s="2"/>
      <c r="E242" s="2"/>
      <c r="F242" s="2"/>
      <c r="G242" s="2"/>
      <c r="I242" s="2"/>
    </row>
    <row r="243" spans="1:9" ht="12" customHeight="1" x14ac:dyDescent="0.2">
      <c r="A243" s="3"/>
      <c r="B243" s="2"/>
      <c r="C243" s="2"/>
      <c r="D243" s="2"/>
      <c r="E243" s="2"/>
      <c r="F243" s="2"/>
      <c r="G243" s="2"/>
      <c r="I243" s="2"/>
    </row>
    <row r="244" spans="1:9" ht="12" customHeight="1" x14ac:dyDescent="0.2">
      <c r="A244" s="3"/>
      <c r="B244" s="2"/>
      <c r="C244" s="2"/>
      <c r="D244" s="2"/>
      <c r="E244" s="2"/>
      <c r="F244" s="2"/>
      <c r="G244" s="2"/>
      <c r="I244" s="2"/>
    </row>
    <row r="245" spans="1:9" ht="12" customHeight="1" x14ac:dyDescent="0.2">
      <c r="A245" s="3"/>
      <c r="B245" s="2"/>
      <c r="C245" s="2"/>
      <c r="D245" s="2"/>
      <c r="E245" s="2"/>
      <c r="F245" s="2"/>
      <c r="G245" s="2"/>
      <c r="I245" s="2"/>
    </row>
    <row r="246" spans="1:9" ht="12" customHeight="1" x14ac:dyDescent="0.2">
      <c r="A246" s="3"/>
      <c r="B246" s="2"/>
      <c r="C246" s="2"/>
      <c r="D246" s="2"/>
      <c r="E246" s="2"/>
      <c r="F246" s="2"/>
      <c r="G246" s="2"/>
      <c r="I246" s="2"/>
    </row>
    <row r="247" spans="1:9" ht="12" customHeight="1" x14ac:dyDescent="0.2">
      <c r="A247" s="3"/>
      <c r="B247" s="2"/>
      <c r="C247" s="2"/>
      <c r="D247" s="2"/>
      <c r="E247" s="2"/>
      <c r="F247" s="2"/>
      <c r="G247" s="2"/>
      <c r="I247" s="2"/>
    </row>
    <row r="248" spans="1:9" ht="12" customHeight="1" x14ac:dyDescent="0.2">
      <c r="A248" s="3"/>
      <c r="B248" s="2"/>
      <c r="C248" s="2"/>
      <c r="D248" s="2"/>
      <c r="E248" s="2"/>
      <c r="F248" s="2"/>
      <c r="G248" s="2"/>
      <c r="I248" s="2"/>
    </row>
    <row r="249" spans="1:9" ht="12" customHeight="1" x14ac:dyDescent="0.2">
      <c r="A249" s="3"/>
      <c r="B249" s="2"/>
      <c r="C249" s="2"/>
      <c r="D249" s="2"/>
      <c r="E249" s="2"/>
      <c r="F249" s="2"/>
      <c r="G249" s="2"/>
      <c r="I249" s="2"/>
    </row>
    <row r="250" spans="1:9" ht="12" customHeight="1" x14ac:dyDescent="0.2">
      <c r="A250" s="3"/>
      <c r="B250" s="2"/>
      <c r="C250" s="2"/>
      <c r="D250" s="2"/>
      <c r="E250" s="2"/>
      <c r="F250" s="2"/>
      <c r="G250" s="2"/>
      <c r="I250" s="2"/>
    </row>
    <row r="251" spans="1:9" ht="12" customHeight="1" x14ac:dyDescent="0.2">
      <c r="A251" s="3"/>
      <c r="B251" s="2"/>
      <c r="C251" s="2"/>
      <c r="D251" s="2"/>
      <c r="E251" s="2"/>
      <c r="F251" s="2"/>
      <c r="G251" s="2"/>
      <c r="I251" s="2"/>
    </row>
    <row r="252" spans="1:9" ht="12" customHeight="1" x14ac:dyDescent="0.2">
      <c r="A252" s="3"/>
      <c r="B252" s="2"/>
      <c r="C252" s="2"/>
      <c r="D252" s="2"/>
      <c r="E252" s="2"/>
      <c r="F252" s="2"/>
      <c r="G252" s="2"/>
      <c r="I252" s="2"/>
    </row>
    <row r="253" spans="1:9" ht="12" customHeight="1" x14ac:dyDescent="0.2">
      <c r="A253" s="3"/>
      <c r="B253" s="2"/>
      <c r="C253" s="2"/>
      <c r="D253" s="2"/>
      <c r="E253" s="2"/>
      <c r="F253" s="2"/>
      <c r="G253" s="2"/>
      <c r="I253" s="2"/>
    </row>
    <row r="254" spans="1:9" ht="12" customHeight="1" x14ac:dyDescent="0.2">
      <c r="A254" s="3"/>
      <c r="B254" s="2"/>
      <c r="C254" s="2"/>
      <c r="D254" s="2"/>
      <c r="E254" s="2"/>
      <c r="F254" s="2"/>
      <c r="G254" s="2"/>
      <c r="I254" s="2"/>
    </row>
    <row r="255" spans="1:9" ht="12" customHeight="1" x14ac:dyDescent="0.2">
      <c r="A255" s="3"/>
      <c r="B255" s="2"/>
      <c r="C255" s="2"/>
      <c r="D255" s="2"/>
      <c r="E255" s="2"/>
      <c r="F255" s="2"/>
      <c r="G255" s="2"/>
      <c r="I255" s="2"/>
    </row>
    <row r="256" spans="1:9" ht="12" customHeight="1" x14ac:dyDescent="0.2">
      <c r="A256" s="3"/>
      <c r="B256" s="2"/>
      <c r="C256" s="2"/>
      <c r="D256" s="2"/>
      <c r="E256" s="2"/>
      <c r="F256" s="2"/>
      <c r="G256" s="2"/>
      <c r="I256" s="2"/>
    </row>
    <row r="257" spans="1:9" ht="12" customHeight="1" x14ac:dyDescent="0.2">
      <c r="A257" s="3"/>
      <c r="B257" s="2"/>
      <c r="C257" s="2"/>
      <c r="D257" s="2"/>
      <c r="E257" s="2"/>
      <c r="F257" s="2"/>
      <c r="G257" s="2"/>
      <c r="I257" s="2"/>
    </row>
    <row r="258" spans="1:9" ht="12" customHeight="1" x14ac:dyDescent="0.2">
      <c r="A258" s="3"/>
      <c r="B258" s="2"/>
      <c r="C258" s="2"/>
      <c r="D258" s="2"/>
      <c r="E258" s="2"/>
      <c r="F258" s="2"/>
      <c r="G258" s="2"/>
      <c r="I258" s="2"/>
    </row>
    <row r="259" spans="1:9" ht="12" customHeight="1" x14ac:dyDescent="0.2">
      <c r="A259" s="3"/>
      <c r="B259" s="2"/>
      <c r="C259" s="2"/>
      <c r="D259" s="2"/>
      <c r="E259" s="2"/>
      <c r="F259" s="2"/>
      <c r="G259" s="2"/>
      <c r="I259" s="2"/>
    </row>
    <row r="260" spans="1:9" ht="12" customHeight="1" x14ac:dyDescent="0.2">
      <c r="A260" s="3"/>
      <c r="B260" s="2"/>
      <c r="C260" s="2"/>
      <c r="D260" s="2"/>
      <c r="E260" s="2"/>
      <c r="F260" s="2"/>
      <c r="G260" s="2"/>
      <c r="I260" s="2"/>
    </row>
    <row r="261" spans="1:9" ht="12" customHeight="1" x14ac:dyDescent="0.2">
      <c r="A261" s="3"/>
      <c r="B261" s="2"/>
      <c r="C261" s="2"/>
      <c r="D261" s="2"/>
      <c r="E261" s="2"/>
      <c r="F261" s="2"/>
      <c r="G261" s="2"/>
      <c r="I261" s="2"/>
    </row>
    <row r="262" spans="1:9" ht="12" customHeight="1" x14ac:dyDescent="0.2">
      <c r="A262" s="3"/>
      <c r="B262" s="2"/>
      <c r="C262" s="2"/>
      <c r="D262" s="2"/>
      <c r="E262" s="2"/>
      <c r="F262" s="2"/>
      <c r="G262" s="2"/>
      <c r="I262" s="2"/>
    </row>
    <row r="263" spans="1:9" ht="12" customHeight="1" x14ac:dyDescent="0.2">
      <c r="A263" s="3"/>
      <c r="B263" s="2"/>
      <c r="C263" s="2"/>
      <c r="D263" s="2"/>
      <c r="E263" s="2"/>
      <c r="F263" s="2"/>
      <c r="G263" s="2"/>
      <c r="I263" s="2"/>
    </row>
    <row r="264" spans="1:9" ht="12" customHeight="1" x14ac:dyDescent="0.2">
      <c r="A264" s="3"/>
      <c r="B264" s="2"/>
      <c r="C264" s="2"/>
      <c r="D264" s="2"/>
      <c r="E264" s="2"/>
      <c r="F264" s="2"/>
      <c r="G264" s="2"/>
      <c r="I264" s="2"/>
    </row>
    <row r="265" spans="1:9" ht="12" customHeight="1" x14ac:dyDescent="0.2">
      <c r="A265" s="3"/>
      <c r="B265" s="2"/>
      <c r="C265" s="2"/>
      <c r="D265" s="2"/>
      <c r="E265" s="2"/>
      <c r="F265" s="2"/>
      <c r="G265" s="2"/>
      <c r="I265" s="2"/>
    </row>
    <row r="266" spans="1:9" ht="12" customHeight="1" x14ac:dyDescent="0.2">
      <c r="A266" s="3"/>
      <c r="B266" s="2"/>
      <c r="C266" s="2"/>
      <c r="D266" s="2"/>
      <c r="E266" s="2"/>
      <c r="F266" s="2"/>
      <c r="G266" s="2"/>
      <c r="I266" s="2"/>
    </row>
    <row r="267" spans="1:9" ht="12" customHeight="1" x14ac:dyDescent="0.2">
      <c r="A267" s="3"/>
      <c r="B267" s="2"/>
      <c r="C267" s="2"/>
      <c r="D267" s="2"/>
      <c r="E267" s="2"/>
      <c r="F267" s="2"/>
      <c r="G267" s="2"/>
      <c r="I267" s="2"/>
    </row>
    <row r="268" spans="1:9" ht="12" customHeight="1" x14ac:dyDescent="0.2">
      <c r="A268" s="3"/>
      <c r="B268" s="2"/>
      <c r="C268" s="2"/>
      <c r="D268" s="2"/>
      <c r="E268" s="2"/>
      <c r="F268" s="2"/>
      <c r="G268" s="2"/>
      <c r="I268" s="2"/>
    </row>
    <row r="269" spans="1:9" ht="12" customHeight="1" x14ac:dyDescent="0.2">
      <c r="A269" s="3"/>
      <c r="B269" s="2"/>
      <c r="C269" s="2"/>
      <c r="D269" s="2"/>
      <c r="E269" s="2"/>
      <c r="F269" s="2"/>
      <c r="G269" s="2"/>
      <c r="I269" s="2"/>
    </row>
    <row r="270" spans="1:9" ht="12" customHeight="1" x14ac:dyDescent="0.2">
      <c r="A270" s="3"/>
      <c r="B270" s="2"/>
      <c r="C270" s="2"/>
      <c r="D270" s="2"/>
      <c r="E270" s="2"/>
      <c r="F270" s="2"/>
      <c r="G270" s="2"/>
      <c r="I270" s="2"/>
    </row>
    <row r="271" spans="1:9" ht="12" customHeight="1" x14ac:dyDescent="0.2">
      <c r="A271" s="3"/>
      <c r="B271" s="2"/>
      <c r="C271" s="2"/>
      <c r="D271" s="2"/>
      <c r="E271" s="2"/>
      <c r="F271" s="2"/>
      <c r="G271" s="2"/>
      <c r="I271" s="2"/>
    </row>
    <row r="272" spans="1:9" ht="12" customHeight="1" x14ac:dyDescent="0.2">
      <c r="A272" s="3"/>
      <c r="B272" s="2"/>
      <c r="C272" s="2"/>
      <c r="D272" s="2"/>
      <c r="E272" s="2"/>
      <c r="F272" s="2"/>
      <c r="G272" s="2"/>
      <c r="I272" s="2"/>
    </row>
    <row r="273" spans="1:9" ht="12" customHeight="1" x14ac:dyDescent="0.2">
      <c r="A273" s="3"/>
      <c r="B273" s="2"/>
      <c r="C273" s="2"/>
      <c r="D273" s="2"/>
      <c r="E273" s="2"/>
      <c r="F273" s="2"/>
      <c r="G273" s="2"/>
      <c r="I273" s="2"/>
    </row>
    <row r="274" spans="1:9" ht="12" customHeight="1" x14ac:dyDescent="0.2">
      <c r="A274" s="3"/>
      <c r="B274" s="2"/>
      <c r="C274" s="2"/>
      <c r="D274" s="2"/>
      <c r="E274" s="2"/>
      <c r="F274" s="2"/>
      <c r="G274" s="2"/>
      <c r="I274" s="2"/>
    </row>
    <row r="275" spans="1:9" ht="12" customHeight="1" x14ac:dyDescent="0.2">
      <c r="A275" s="3"/>
      <c r="B275" s="2"/>
      <c r="C275" s="2"/>
      <c r="D275" s="2"/>
      <c r="E275" s="2"/>
      <c r="F275" s="2"/>
      <c r="G275" s="2"/>
      <c r="I275" s="2"/>
    </row>
    <row r="276" spans="1:9" ht="12" customHeight="1" x14ac:dyDescent="0.2">
      <c r="A276" s="3"/>
      <c r="B276" s="2"/>
      <c r="C276" s="2"/>
      <c r="D276" s="2"/>
      <c r="E276" s="2"/>
      <c r="F276" s="2"/>
      <c r="G276" s="2"/>
      <c r="I276" s="2"/>
    </row>
    <row r="277" spans="1:9" ht="12" customHeight="1" x14ac:dyDescent="0.2">
      <c r="A277" s="3"/>
      <c r="B277" s="2"/>
      <c r="C277" s="2"/>
      <c r="D277" s="2"/>
      <c r="E277" s="2"/>
      <c r="F277" s="2"/>
      <c r="G277" s="2"/>
      <c r="I277" s="2"/>
    </row>
    <row r="278" spans="1:9" ht="12" customHeight="1" x14ac:dyDescent="0.2">
      <c r="A278" s="3"/>
      <c r="B278" s="2"/>
      <c r="C278" s="2"/>
      <c r="D278" s="2"/>
      <c r="E278" s="2"/>
      <c r="F278" s="2"/>
      <c r="G278" s="2"/>
      <c r="I278" s="2"/>
    </row>
    <row r="279" spans="1:9" ht="12" customHeight="1" x14ac:dyDescent="0.2">
      <c r="A279" s="3"/>
      <c r="B279" s="2"/>
      <c r="C279" s="2"/>
      <c r="D279" s="2"/>
      <c r="E279" s="2"/>
      <c r="F279" s="2"/>
      <c r="G279" s="2"/>
      <c r="I279" s="2"/>
    </row>
    <row r="280" spans="1:9" ht="12" customHeight="1" x14ac:dyDescent="0.2">
      <c r="A280" s="3"/>
      <c r="B280" s="2"/>
      <c r="C280" s="2"/>
      <c r="D280" s="2"/>
      <c r="E280" s="2"/>
      <c r="F280" s="2"/>
      <c r="G280" s="2"/>
      <c r="I280" s="2"/>
    </row>
    <row r="281" spans="1:9" ht="12" customHeight="1" x14ac:dyDescent="0.2">
      <c r="A281" s="3"/>
      <c r="B281" s="2"/>
      <c r="C281" s="2"/>
      <c r="D281" s="2"/>
      <c r="E281" s="2"/>
      <c r="F281" s="2"/>
      <c r="G281" s="2"/>
      <c r="I281" s="2"/>
    </row>
    <row r="282" spans="1:9" ht="12" customHeight="1" x14ac:dyDescent="0.2">
      <c r="A282" s="3"/>
      <c r="B282" s="2"/>
      <c r="C282" s="2"/>
      <c r="D282" s="2"/>
      <c r="E282" s="2"/>
      <c r="F282" s="2"/>
      <c r="G282" s="2"/>
      <c r="I282" s="2"/>
    </row>
    <row r="283" spans="1:9" ht="12" customHeight="1" x14ac:dyDescent="0.2">
      <c r="A283" s="3"/>
      <c r="B283" s="2"/>
      <c r="C283" s="2"/>
      <c r="D283" s="2"/>
      <c r="E283" s="2"/>
      <c r="F283" s="2"/>
      <c r="G283" s="2"/>
      <c r="I283" s="2"/>
    </row>
    <row r="284" spans="1:9" ht="12" customHeight="1" x14ac:dyDescent="0.2">
      <c r="A284" s="3"/>
      <c r="B284" s="2"/>
      <c r="C284" s="2"/>
      <c r="D284" s="2"/>
      <c r="E284" s="2"/>
      <c r="F284" s="2"/>
      <c r="G284" s="2"/>
      <c r="I284" s="2"/>
    </row>
    <row r="285" spans="1:9" ht="12" customHeight="1" x14ac:dyDescent="0.2">
      <c r="A285" s="3"/>
      <c r="B285" s="2"/>
      <c r="C285" s="2"/>
      <c r="D285" s="2"/>
      <c r="E285" s="2"/>
      <c r="F285" s="2"/>
      <c r="G285" s="2"/>
      <c r="I285" s="2"/>
    </row>
    <row r="286" spans="1:9" ht="12" customHeight="1" x14ac:dyDescent="0.2">
      <c r="A286" s="3"/>
      <c r="B286" s="2"/>
      <c r="C286" s="2"/>
      <c r="D286" s="2"/>
      <c r="E286" s="2"/>
      <c r="F286" s="2"/>
      <c r="G286" s="2"/>
      <c r="I286" s="2"/>
    </row>
    <row r="287" spans="1:9" ht="12" customHeight="1" x14ac:dyDescent="0.2">
      <c r="A287" s="3"/>
      <c r="B287" s="2"/>
      <c r="C287" s="2"/>
      <c r="D287" s="2"/>
      <c r="E287" s="2"/>
      <c r="F287" s="2"/>
      <c r="G287" s="2"/>
      <c r="I287" s="2"/>
    </row>
    <row r="288" spans="1:9" ht="12" customHeight="1" x14ac:dyDescent="0.2">
      <c r="A288" s="3"/>
      <c r="B288" s="2"/>
      <c r="C288" s="2"/>
      <c r="D288" s="2"/>
      <c r="E288" s="2"/>
      <c r="F288" s="2"/>
      <c r="G288" s="2"/>
      <c r="I288" s="2"/>
    </row>
    <row r="289" spans="1:9" ht="12" customHeight="1" x14ac:dyDescent="0.2">
      <c r="A289" s="3"/>
      <c r="B289" s="2"/>
      <c r="C289" s="2"/>
      <c r="D289" s="2"/>
      <c r="E289" s="2"/>
      <c r="F289" s="2"/>
      <c r="G289" s="2"/>
      <c r="I289" s="2"/>
    </row>
    <row r="290" spans="1:9" ht="12" customHeight="1" x14ac:dyDescent="0.2">
      <c r="A290" s="3"/>
      <c r="B290" s="2"/>
      <c r="C290" s="2"/>
      <c r="D290" s="2"/>
      <c r="E290" s="2"/>
      <c r="F290" s="2"/>
      <c r="G290" s="2"/>
      <c r="I290" s="2"/>
    </row>
    <row r="291" spans="1:9" ht="12" customHeight="1" x14ac:dyDescent="0.2">
      <c r="A291" s="3"/>
      <c r="B291" s="2"/>
      <c r="C291" s="2"/>
      <c r="D291" s="2"/>
      <c r="E291" s="2"/>
      <c r="F291" s="2"/>
      <c r="G291" s="2"/>
      <c r="I291" s="2"/>
    </row>
    <row r="292" spans="1:9" ht="12" customHeight="1" x14ac:dyDescent="0.2">
      <c r="A292" s="3"/>
      <c r="B292" s="2"/>
      <c r="C292" s="2"/>
      <c r="D292" s="2"/>
      <c r="E292" s="2"/>
      <c r="F292" s="2"/>
      <c r="G292" s="2"/>
      <c r="I292" s="2"/>
    </row>
    <row r="293" spans="1:9" ht="12" customHeight="1" x14ac:dyDescent="0.2">
      <c r="A293" s="3"/>
      <c r="B293" s="2"/>
      <c r="C293" s="2"/>
      <c r="D293" s="2"/>
      <c r="E293" s="2"/>
      <c r="F293" s="2"/>
      <c r="G293" s="2"/>
      <c r="I293" s="2"/>
    </row>
    <row r="294" spans="1:9" ht="12" customHeight="1" x14ac:dyDescent="0.2">
      <c r="A294" s="3"/>
      <c r="B294" s="2"/>
      <c r="C294" s="2"/>
      <c r="D294" s="2"/>
      <c r="E294" s="2"/>
      <c r="F294" s="2"/>
      <c r="G294" s="2"/>
      <c r="I294" s="2"/>
    </row>
    <row r="295" spans="1:9" ht="12" customHeight="1" x14ac:dyDescent="0.2">
      <c r="A295" s="3"/>
      <c r="B295" s="2"/>
      <c r="C295" s="2"/>
      <c r="D295" s="2"/>
      <c r="E295" s="2"/>
      <c r="F295" s="2"/>
      <c r="G295" s="2"/>
      <c r="I295" s="2"/>
    </row>
    <row r="296" spans="1:9" ht="12" customHeight="1" x14ac:dyDescent="0.2">
      <c r="A296" s="3"/>
      <c r="B296" s="2"/>
      <c r="C296" s="2"/>
      <c r="D296" s="2"/>
      <c r="E296" s="2"/>
      <c r="F296" s="2"/>
      <c r="G296" s="2"/>
      <c r="I296" s="2"/>
    </row>
    <row r="297" spans="1:9" ht="12" customHeight="1" x14ac:dyDescent="0.2">
      <c r="A297" s="3"/>
      <c r="B297" s="2"/>
      <c r="C297" s="2"/>
      <c r="D297" s="2"/>
      <c r="E297" s="2"/>
      <c r="F297" s="2"/>
      <c r="G297" s="2"/>
      <c r="I297" s="2"/>
    </row>
    <row r="298" spans="1:9" ht="12" customHeight="1" x14ac:dyDescent="0.2">
      <c r="A298" s="3"/>
      <c r="B298" s="2"/>
      <c r="C298" s="2"/>
      <c r="D298" s="2"/>
      <c r="E298" s="2"/>
      <c r="F298" s="2"/>
      <c r="G298" s="2"/>
      <c r="I298" s="2"/>
    </row>
    <row r="299" spans="1:9" ht="12" customHeight="1" x14ac:dyDescent="0.2">
      <c r="A299" s="3"/>
      <c r="B299" s="2"/>
      <c r="C299" s="2"/>
      <c r="D299" s="2"/>
      <c r="E299" s="2"/>
      <c r="F299" s="2"/>
      <c r="G299" s="2"/>
      <c r="I299" s="2"/>
    </row>
    <row r="300" spans="1:9" ht="12" customHeight="1" x14ac:dyDescent="0.2">
      <c r="A300" s="3"/>
      <c r="B300" s="2"/>
      <c r="C300" s="2"/>
      <c r="D300" s="2"/>
      <c r="E300" s="2"/>
      <c r="F300" s="2"/>
      <c r="G300" s="2"/>
      <c r="I300" s="2"/>
    </row>
    <row r="301" spans="1:9" ht="12" customHeight="1" x14ac:dyDescent="0.2">
      <c r="A301" s="3"/>
      <c r="B301" s="2"/>
      <c r="C301" s="2"/>
      <c r="D301" s="2"/>
      <c r="E301" s="2"/>
      <c r="F301" s="2"/>
      <c r="G301" s="2"/>
      <c r="I301" s="2"/>
    </row>
    <row r="302" spans="1:9" ht="12" customHeight="1" x14ac:dyDescent="0.2">
      <c r="A302" s="3"/>
      <c r="B302" s="2"/>
      <c r="C302" s="2"/>
      <c r="D302" s="2"/>
      <c r="E302" s="2"/>
      <c r="F302" s="2"/>
      <c r="G302" s="2"/>
      <c r="I302" s="2"/>
    </row>
    <row r="303" spans="1:9" ht="12" customHeight="1" x14ac:dyDescent="0.2">
      <c r="A303" s="3"/>
      <c r="B303" s="2"/>
      <c r="C303" s="2"/>
      <c r="D303" s="2"/>
      <c r="E303" s="2"/>
      <c r="F303" s="2"/>
      <c r="G303" s="2"/>
      <c r="I303" s="2"/>
    </row>
    <row r="304" spans="1:9" ht="12" customHeight="1" x14ac:dyDescent="0.2">
      <c r="A304" s="3"/>
      <c r="B304" s="2"/>
      <c r="C304" s="2"/>
      <c r="D304" s="2"/>
      <c r="E304" s="2"/>
      <c r="F304" s="2"/>
      <c r="G304" s="2"/>
      <c r="I304" s="2"/>
    </row>
    <row r="305" spans="1:9" ht="12" customHeight="1" x14ac:dyDescent="0.2">
      <c r="A305" s="3"/>
      <c r="B305" s="2"/>
      <c r="C305" s="2"/>
      <c r="D305" s="2"/>
      <c r="E305" s="2"/>
      <c r="F305" s="2"/>
      <c r="G305" s="2"/>
      <c r="I305" s="2"/>
    </row>
    <row r="306" spans="1:9" ht="12" customHeight="1" x14ac:dyDescent="0.2">
      <c r="A306" s="3"/>
      <c r="B306" s="2"/>
      <c r="C306" s="2"/>
      <c r="D306" s="2"/>
      <c r="E306" s="2"/>
      <c r="F306" s="2"/>
      <c r="G306" s="2"/>
      <c r="I306" s="2"/>
    </row>
    <row r="307" spans="1:9" ht="12" customHeight="1" x14ac:dyDescent="0.2">
      <c r="A307" s="3"/>
      <c r="B307" s="2"/>
      <c r="C307" s="2"/>
      <c r="D307" s="2"/>
      <c r="E307" s="2"/>
      <c r="F307" s="2"/>
      <c r="G307" s="2"/>
      <c r="I307" s="2"/>
    </row>
    <row r="308" spans="1:9" ht="12" customHeight="1" x14ac:dyDescent="0.2">
      <c r="A308" s="3"/>
      <c r="B308" s="2"/>
      <c r="C308" s="2"/>
      <c r="D308" s="2"/>
      <c r="E308" s="2"/>
      <c r="F308" s="2"/>
      <c r="G308" s="2"/>
      <c r="I308" s="2"/>
    </row>
    <row r="309" spans="1:9" ht="12" customHeight="1" x14ac:dyDescent="0.2">
      <c r="A309" s="3"/>
      <c r="B309" s="2"/>
      <c r="C309" s="2"/>
      <c r="D309" s="2"/>
      <c r="E309" s="2"/>
      <c r="F309" s="2"/>
      <c r="G309" s="2"/>
      <c r="I309" s="2"/>
    </row>
    <row r="310" spans="1:9" ht="12" customHeight="1" x14ac:dyDescent="0.2">
      <c r="A310" s="3"/>
      <c r="B310" s="2"/>
      <c r="C310" s="2"/>
      <c r="D310" s="2"/>
      <c r="E310" s="2"/>
      <c r="F310" s="2"/>
      <c r="G310" s="2"/>
      <c r="I310" s="2"/>
    </row>
    <row r="311" spans="1:9" ht="12" customHeight="1" x14ac:dyDescent="0.2">
      <c r="A311" s="3"/>
      <c r="B311" s="2"/>
      <c r="C311" s="2"/>
      <c r="D311" s="2"/>
      <c r="E311" s="2"/>
      <c r="F311" s="2"/>
      <c r="G311" s="2"/>
      <c r="I311" s="2"/>
    </row>
    <row r="312" spans="1:9" ht="12" customHeight="1" x14ac:dyDescent="0.2">
      <c r="A312" s="3"/>
      <c r="B312" s="2"/>
      <c r="C312" s="2"/>
      <c r="D312" s="2"/>
      <c r="E312" s="2"/>
      <c r="F312" s="2"/>
      <c r="G312" s="2"/>
      <c r="I312" s="2"/>
    </row>
    <row r="313" spans="1:9" ht="12" customHeight="1" x14ac:dyDescent="0.2">
      <c r="A313" s="3"/>
      <c r="B313" s="2"/>
      <c r="C313" s="2"/>
      <c r="D313" s="2"/>
      <c r="E313" s="2"/>
      <c r="F313" s="2"/>
      <c r="G313" s="2"/>
      <c r="I313" s="2"/>
    </row>
    <row r="314" spans="1:9" ht="12" customHeight="1" x14ac:dyDescent="0.2">
      <c r="A314" s="3"/>
      <c r="B314" s="2"/>
      <c r="C314" s="2"/>
      <c r="D314" s="2"/>
      <c r="E314" s="2"/>
      <c r="F314" s="2"/>
      <c r="G314" s="2"/>
      <c r="I314" s="2"/>
    </row>
    <row r="315" spans="1:9" ht="12" customHeight="1" x14ac:dyDescent="0.2">
      <c r="A315" s="3"/>
      <c r="B315" s="2"/>
      <c r="C315" s="2"/>
      <c r="D315" s="2"/>
      <c r="E315" s="2"/>
      <c r="F315" s="2"/>
      <c r="G315" s="2"/>
      <c r="I315" s="2"/>
    </row>
    <row r="316" spans="1:9" ht="12" customHeight="1" x14ac:dyDescent="0.2">
      <c r="A316" s="3"/>
      <c r="B316" s="2"/>
      <c r="C316" s="2"/>
      <c r="D316" s="2"/>
      <c r="E316" s="2"/>
      <c r="F316" s="2"/>
      <c r="G316" s="2"/>
      <c r="I316" s="2"/>
    </row>
    <row r="317" spans="1:9" ht="12" customHeight="1" x14ac:dyDescent="0.2">
      <c r="A317" s="3"/>
      <c r="B317" s="2"/>
      <c r="C317" s="2"/>
      <c r="D317" s="2"/>
      <c r="E317" s="2"/>
      <c r="F317" s="2"/>
      <c r="G317" s="2"/>
      <c r="I317" s="2"/>
    </row>
    <row r="318" spans="1:9" ht="12" customHeight="1" x14ac:dyDescent="0.2">
      <c r="A318" s="3"/>
      <c r="B318" s="2"/>
      <c r="C318" s="2"/>
      <c r="D318" s="2"/>
      <c r="E318" s="2"/>
      <c r="F318" s="2"/>
      <c r="G318" s="2"/>
      <c r="I318" s="2"/>
    </row>
    <row r="319" spans="1:9" ht="12" customHeight="1" x14ac:dyDescent="0.2">
      <c r="A319" s="3"/>
      <c r="B319" s="2"/>
      <c r="C319" s="2"/>
      <c r="D319" s="2"/>
      <c r="E319" s="2"/>
      <c r="F319" s="2"/>
      <c r="G319" s="2"/>
      <c r="I319" s="2"/>
    </row>
    <row r="320" spans="1:9" ht="12" customHeight="1" x14ac:dyDescent="0.2">
      <c r="A320" s="3"/>
      <c r="B320" s="2"/>
      <c r="C320" s="2"/>
      <c r="D320" s="2"/>
      <c r="E320" s="2"/>
      <c r="F320" s="2"/>
      <c r="G320" s="2"/>
      <c r="I320" s="2"/>
    </row>
    <row r="321" spans="1:9" ht="12" customHeight="1" x14ac:dyDescent="0.2">
      <c r="A321" s="3"/>
      <c r="B321" s="2"/>
      <c r="C321" s="2"/>
      <c r="D321" s="2"/>
      <c r="E321" s="2"/>
      <c r="F321" s="2"/>
      <c r="G321" s="2"/>
      <c r="I321" s="2"/>
    </row>
    <row r="322" spans="1:9" ht="12" customHeight="1" x14ac:dyDescent="0.2">
      <c r="A322" s="3"/>
      <c r="B322" s="2"/>
      <c r="C322" s="2"/>
      <c r="D322" s="2"/>
      <c r="E322" s="2"/>
      <c r="F322" s="2"/>
      <c r="G322" s="2"/>
      <c r="I322" s="2"/>
    </row>
    <row r="323" spans="1:9" ht="12" customHeight="1" x14ac:dyDescent="0.2">
      <c r="A323" s="3"/>
      <c r="B323" s="2"/>
      <c r="C323" s="2"/>
      <c r="D323" s="2"/>
      <c r="E323" s="2"/>
      <c r="F323" s="2"/>
      <c r="G323" s="2"/>
      <c r="I323" s="2"/>
    </row>
    <row r="324" spans="1:9" ht="12" customHeight="1" x14ac:dyDescent="0.2">
      <c r="A324" s="3"/>
      <c r="B324" s="2"/>
      <c r="C324" s="2"/>
      <c r="D324" s="2"/>
      <c r="E324" s="2"/>
      <c r="F324" s="2"/>
      <c r="G324" s="2"/>
      <c r="I324" s="2"/>
    </row>
    <row r="325" spans="1:9" ht="12" customHeight="1" x14ac:dyDescent="0.2">
      <c r="A325" s="3"/>
      <c r="B325" s="2"/>
      <c r="C325" s="2"/>
      <c r="D325" s="2"/>
      <c r="E325" s="2"/>
      <c r="F325" s="2"/>
      <c r="G325" s="2"/>
      <c r="I325" s="2"/>
    </row>
    <row r="326" spans="1:9" ht="12" customHeight="1" x14ac:dyDescent="0.2">
      <c r="A326" s="3"/>
      <c r="B326" s="2"/>
      <c r="C326" s="2"/>
      <c r="D326" s="2"/>
      <c r="E326" s="2"/>
      <c r="F326" s="2"/>
      <c r="G326" s="2"/>
      <c r="I326" s="2"/>
    </row>
    <row r="327" spans="1:9" ht="12" customHeight="1" x14ac:dyDescent="0.2">
      <c r="A327" s="3"/>
      <c r="B327" s="2"/>
      <c r="C327" s="2"/>
      <c r="D327" s="2"/>
      <c r="E327" s="2"/>
      <c r="F327" s="2"/>
      <c r="G327" s="2"/>
      <c r="I327" s="2"/>
    </row>
    <row r="328" spans="1:9" ht="12" customHeight="1" x14ac:dyDescent="0.2">
      <c r="A328" s="3"/>
      <c r="B328" s="2"/>
      <c r="C328" s="2"/>
      <c r="D328" s="2"/>
      <c r="E328" s="2"/>
      <c r="F328" s="2"/>
      <c r="G328" s="2"/>
      <c r="I328" s="2"/>
    </row>
    <row r="329" spans="1:9" ht="12" customHeight="1" x14ac:dyDescent="0.2">
      <c r="A329" s="3"/>
      <c r="B329" s="2"/>
      <c r="C329" s="2"/>
      <c r="D329" s="2"/>
      <c r="E329" s="2"/>
      <c r="F329" s="2"/>
      <c r="G329" s="2"/>
      <c r="I329" s="2"/>
    </row>
    <row r="330" spans="1:9" ht="12" customHeight="1" x14ac:dyDescent="0.2">
      <c r="A330" s="3"/>
      <c r="B330" s="2"/>
      <c r="C330" s="2"/>
      <c r="D330" s="2"/>
      <c r="E330" s="2"/>
      <c r="F330" s="2"/>
      <c r="G330" s="2"/>
      <c r="I330" s="2"/>
    </row>
    <row r="331" spans="1:9" ht="12" customHeight="1" x14ac:dyDescent="0.2">
      <c r="A331" s="3"/>
      <c r="B331" s="2"/>
      <c r="C331" s="2"/>
      <c r="D331" s="2"/>
      <c r="E331" s="2"/>
      <c r="F331" s="2"/>
      <c r="G331" s="2"/>
      <c r="I331" s="2"/>
    </row>
    <row r="332" spans="1:9" ht="12" customHeight="1" x14ac:dyDescent="0.2">
      <c r="A332" s="3"/>
      <c r="B332" s="2"/>
      <c r="C332" s="2"/>
      <c r="D332" s="2"/>
      <c r="E332" s="2"/>
      <c r="F332" s="2"/>
      <c r="G332" s="2"/>
      <c r="I332" s="2"/>
    </row>
    <row r="333" spans="1:9" ht="12" customHeight="1" x14ac:dyDescent="0.2">
      <c r="A333" s="3"/>
      <c r="B333" s="2"/>
      <c r="C333" s="2"/>
      <c r="D333" s="2"/>
      <c r="E333" s="2"/>
      <c r="F333" s="2"/>
      <c r="G333" s="2"/>
      <c r="I333" s="2"/>
    </row>
    <row r="334" spans="1:9" ht="12" customHeight="1" x14ac:dyDescent="0.2">
      <c r="A334" s="3"/>
      <c r="B334" s="2"/>
      <c r="C334" s="2"/>
      <c r="D334" s="2"/>
      <c r="E334" s="2"/>
      <c r="F334" s="2"/>
      <c r="G334" s="2"/>
      <c r="I334" s="2"/>
    </row>
    <row r="335" spans="1:9" ht="12" customHeight="1" x14ac:dyDescent="0.2">
      <c r="A335" s="3"/>
      <c r="B335" s="2"/>
      <c r="C335" s="2"/>
      <c r="D335" s="2"/>
      <c r="E335" s="2"/>
      <c r="F335" s="2"/>
      <c r="G335" s="2"/>
      <c r="I335" s="2"/>
    </row>
    <row r="336" spans="1:9" ht="12" customHeight="1" x14ac:dyDescent="0.2">
      <c r="A336" s="3"/>
      <c r="B336" s="2"/>
      <c r="C336" s="2"/>
      <c r="D336" s="2"/>
      <c r="E336" s="2"/>
      <c r="F336" s="2"/>
      <c r="G336" s="2"/>
      <c r="I336" s="2"/>
    </row>
    <row r="337" spans="1:9" ht="12" customHeight="1" x14ac:dyDescent="0.2">
      <c r="A337" s="3"/>
      <c r="B337" s="2"/>
      <c r="C337" s="2"/>
      <c r="D337" s="2"/>
      <c r="E337" s="2"/>
      <c r="F337" s="2"/>
      <c r="G337" s="2"/>
      <c r="I337" s="2"/>
    </row>
    <row r="338" spans="1:9" ht="12" customHeight="1" x14ac:dyDescent="0.2">
      <c r="A338" s="3"/>
      <c r="B338" s="2"/>
      <c r="C338" s="2"/>
      <c r="D338" s="2"/>
      <c r="E338" s="2"/>
      <c r="F338" s="2"/>
      <c r="G338" s="2"/>
      <c r="I338" s="2"/>
    </row>
    <row r="339" spans="1:9" ht="12" customHeight="1" x14ac:dyDescent="0.2">
      <c r="A339" s="3"/>
      <c r="B339" s="2"/>
      <c r="C339" s="2"/>
      <c r="D339" s="2"/>
      <c r="E339" s="2"/>
      <c r="F339" s="2"/>
      <c r="G339" s="2"/>
      <c r="I339" s="2"/>
    </row>
    <row r="340" spans="1:9" ht="12" customHeight="1" x14ac:dyDescent="0.2">
      <c r="A340" s="3"/>
      <c r="B340" s="2"/>
      <c r="C340" s="2"/>
      <c r="D340" s="2"/>
      <c r="E340" s="2"/>
      <c r="F340" s="2"/>
      <c r="G340" s="2"/>
      <c r="I340" s="2"/>
    </row>
    <row r="341" spans="1:9" ht="12" customHeight="1" x14ac:dyDescent="0.2">
      <c r="A341" s="3"/>
      <c r="B341" s="2"/>
      <c r="C341" s="2"/>
      <c r="D341" s="2"/>
      <c r="E341" s="2"/>
      <c r="F341" s="2"/>
      <c r="G341" s="2"/>
      <c r="I341" s="2"/>
    </row>
    <row r="342" spans="1:9" ht="12" customHeight="1" x14ac:dyDescent="0.2">
      <c r="A342" s="3"/>
      <c r="B342" s="2"/>
      <c r="C342" s="2"/>
      <c r="D342" s="2"/>
      <c r="E342" s="2"/>
      <c r="F342" s="2"/>
      <c r="G342" s="2"/>
      <c r="I342" s="2"/>
    </row>
    <row r="343" spans="1:9" ht="12" customHeight="1" x14ac:dyDescent="0.2">
      <c r="A343" s="3"/>
      <c r="B343" s="2"/>
      <c r="C343" s="2"/>
      <c r="D343" s="2"/>
      <c r="E343" s="2"/>
      <c r="F343" s="2"/>
      <c r="G343" s="2"/>
      <c r="I343" s="2"/>
    </row>
    <row r="344" spans="1:9" ht="12" customHeight="1" x14ac:dyDescent="0.2">
      <c r="A344" s="3"/>
      <c r="B344" s="2"/>
      <c r="C344" s="2"/>
      <c r="D344" s="2"/>
      <c r="E344" s="2"/>
      <c r="F344" s="2"/>
      <c r="G344" s="2"/>
      <c r="I344" s="2"/>
    </row>
    <row r="345" spans="1:9" ht="12" customHeight="1" x14ac:dyDescent="0.2">
      <c r="A345" s="3"/>
      <c r="B345" s="2"/>
      <c r="C345" s="2"/>
      <c r="D345" s="2"/>
      <c r="E345" s="2"/>
      <c r="F345" s="2"/>
      <c r="G345" s="2"/>
      <c r="I345" s="2"/>
    </row>
    <row r="346" spans="1:9" ht="12" customHeight="1" x14ac:dyDescent="0.2">
      <c r="A346" s="3"/>
      <c r="B346" s="2"/>
      <c r="C346" s="2"/>
      <c r="D346" s="2"/>
      <c r="E346" s="2"/>
      <c r="F346" s="2"/>
      <c r="G346" s="2"/>
      <c r="I346" s="2"/>
    </row>
    <row r="347" spans="1:9" ht="12" customHeight="1" x14ac:dyDescent="0.2">
      <c r="A347" s="3"/>
      <c r="B347" s="2"/>
      <c r="C347" s="2"/>
      <c r="D347" s="2"/>
      <c r="E347" s="2"/>
      <c r="F347" s="2"/>
      <c r="G347" s="2"/>
      <c r="I347" s="2"/>
    </row>
    <row r="348" spans="1:9" ht="12" customHeight="1" x14ac:dyDescent="0.2">
      <c r="A348" s="3"/>
      <c r="B348" s="2"/>
      <c r="C348" s="2"/>
      <c r="D348" s="2"/>
      <c r="E348" s="2"/>
      <c r="F348" s="2"/>
      <c r="G348" s="2"/>
      <c r="I348" s="2"/>
    </row>
    <row r="349" spans="1:9" ht="12" customHeight="1" x14ac:dyDescent="0.2">
      <c r="A349" s="3"/>
      <c r="B349" s="2"/>
      <c r="C349" s="2"/>
      <c r="D349" s="2"/>
      <c r="E349" s="2"/>
      <c r="F349" s="2"/>
      <c r="G349" s="2"/>
      <c r="I349" s="2"/>
    </row>
    <row r="350" spans="1:9" ht="12" customHeight="1" x14ac:dyDescent="0.2">
      <c r="A350" s="3"/>
      <c r="B350" s="2"/>
      <c r="C350" s="2"/>
      <c r="D350" s="2"/>
      <c r="E350" s="2"/>
      <c r="F350" s="2"/>
      <c r="G350" s="2"/>
      <c r="I350" s="2"/>
    </row>
    <row r="351" spans="1:9" ht="12" customHeight="1" x14ac:dyDescent="0.2">
      <c r="A351" s="3"/>
      <c r="B351" s="2"/>
      <c r="C351" s="2"/>
      <c r="D351" s="2"/>
      <c r="E351" s="2"/>
      <c r="F351" s="2"/>
      <c r="G351" s="2"/>
      <c r="I351" s="2"/>
    </row>
    <row r="352" spans="1:9" ht="12" customHeight="1" x14ac:dyDescent="0.2">
      <c r="A352" s="3"/>
      <c r="B352" s="2"/>
      <c r="C352" s="2"/>
      <c r="D352" s="2"/>
      <c r="E352" s="2"/>
      <c r="F352" s="2"/>
      <c r="G352" s="2"/>
      <c r="I352" s="2"/>
    </row>
    <row r="353" spans="1:9" ht="12" customHeight="1" x14ac:dyDescent="0.2">
      <c r="A353" s="3"/>
      <c r="B353" s="2"/>
      <c r="C353" s="2"/>
      <c r="D353" s="2"/>
      <c r="E353" s="2"/>
      <c r="F353" s="2"/>
      <c r="G353" s="2"/>
      <c r="I353" s="2"/>
    </row>
    <row r="354" spans="1:9" ht="12" customHeight="1" x14ac:dyDescent="0.2">
      <c r="A354" s="3"/>
      <c r="B354" s="2"/>
      <c r="C354" s="2"/>
      <c r="D354" s="2"/>
      <c r="E354" s="2"/>
      <c r="F354" s="2"/>
      <c r="G354" s="2"/>
      <c r="I354" s="2"/>
    </row>
    <row r="355" spans="1:9" ht="12" customHeight="1" x14ac:dyDescent="0.2">
      <c r="A355" s="3"/>
      <c r="B355" s="2"/>
      <c r="C355" s="2"/>
      <c r="D355" s="2"/>
      <c r="E355" s="2"/>
      <c r="F355" s="2"/>
      <c r="G355" s="2"/>
      <c r="I355" s="2"/>
    </row>
    <row r="356" spans="1:9" ht="12" customHeight="1" x14ac:dyDescent="0.2">
      <c r="A356" s="3"/>
      <c r="B356" s="2"/>
      <c r="C356" s="2"/>
      <c r="D356" s="2"/>
      <c r="E356" s="2"/>
      <c r="F356" s="2"/>
      <c r="G356" s="2"/>
      <c r="I356" s="2"/>
    </row>
    <row r="357" spans="1:9" ht="12" customHeight="1" x14ac:dyDescent="0.2">
      <c r="A357" s="3"/>
      <c r="B357" s="2"/>
      <c r="C357" s="2"/>
      <c r="D357" s="2"/>
      <c r="E357" s="2"/>
      <c r="F357" s="2"/>
      <c r="G357" s="2"/>
      <c r="I357" s="2"/>
    </row>
    <row r="358" spans="1:9" ht="12" customHeight="1" x14ac:dyDescent="0.2">
      <c r="A358" s="3"/>
      <c r="B358" s="2"/>
      <c r="C358" s="2"/>
      <c r="D358" s="2"/>
      <c r="E358" s="2"/>
      <c r="F358" s="2"/>
      <c r="G358" s="2"/>
      <c r="I358" s="2"/>
    </row>
    <row r="359" spans="1:9" ht="12" customHeight="1" x14ac:dyDescent="0.2">
      <c r="A359" s="3"/>
      <c r="B359" s="2"/>
      <c r="C359" s="2"/>
      <c r="D359" s="2"/>
      <c r="E359" s="2"/>
      <c r="F359" s="2"/>
      <c r="G359" s="2"/>
      <c r="I359" s="2"/>
    </row>
    <row r="360" spans="1:9" ht="12" customHeight="1" x14ac:dyDescent="0.2">
      <c r="A360" s="3"/>
      <c r="B360" s="2"/>
      <c r="C360" s="2"/>
      <c r="D360" s="2"/>
      <c r="E360" s="2"/>
      <c r="F360" s="2"/>
      <c r="G360" s="2"/>
      <c r="I360" s="2"/>
    </row>
    <row r="361" spans="1:9" ht="12" customHeight="1" x14ac:dyDescent="0.2">
      <c r="A361" s="3"/>
      <c r="B361" s="2"/>
      <c r="C361" s="2"/>
      <c r="D361" s="2"/>
      <c r="E361" s="2"/>
      <c r="F361" s="2"/>
      <c r="G361" s="2"/>
      <c r="I361" s="2"/>
    </row>
    <row r="362" spans="1:9" ht="12" customHeight="1" x14ac:dyDescent="0.2">
      <c r="A362" s="3"/>
      <c r="B362" s="2"/>
      <c r="C362" s="2"/>
      <c r="D362" s="2"/>
      <c r="E362" s="2"/>
      <c r="F362" s="2"/>
      <c r="G362" s="2"/>
      <c r="I362" s="2"/>
    </row>
    <row r="363" spans="1:9" ht="12" customHeight="1" x14ac:dyDescent="0.2">
      <c r="A363" s="3"/>
      <c r="B363" s="2"/>
      <c r="C363" s="2"/>
      <c r="D363" s="2"/>
      <c r="E363" s="2"/>
      <c r="F363" s="2"/>
      <c r="G363" s="2"/>
      <c r="I363" s="2"/>
    </row>
    <row r="364" spans="1:9" ht="12" customHeight="1" x14ac:dyDescent="0.2">
      <c r="A364" s="3"/>
      <c r="B364" s="2"/>
      <c r="C364" s="2"/>
      <c r="D364" s="2"/>
      <c r="E364" s="2"/>
      <c r="F364" s="2"/>
      <c r="G364" s="2"/>
      <c r="I364" s="2"/>
    </row>
    <row r="365" spans="1:9" ht="12" customHeight="1" x14ac:dyDescent="0.2">
      <c r="A365" s="3"/>
      <c r="B365" s="2"/>
      <c r="C365" s="2"/>
      <c r="D365" s="2"/>
      <c r="E365" s="2"/>
      <c r="F365" s="2"/>
      <c r="G365" s="2"/>
      <c r="I365" s="2"/>
    </row>
    <row r="366" spans="1:9" ht="12" customHeight="1" x14ac:dyDescent="0.2">
      <c r="A366" s="3"/>
      <c r="B366" s="2"/>
      <c r="C366" s="2"/>
      <c r="D366" s="2"/>
      <c r="E366" s="2"/>
      <c r="F366" s="2"/>
      <c r="G366" s="2"/>
      <c r="I366" s="2"/>
    </row>
    <row r="367" spans="1:9" ht="12" customHeight="1" x14ac:dyDescent="0.2">
      <c r="A367" s="3"/>
      <c r="B367" s="2"/>
      <c r="C367" s="2"/>
      <c r="D367" s="2"/>
      <c r="E367" s="2"/>
      <c r="F367" s="2"/>
      <c r="G367" s="2"/>
      <c r="I367" s="2"/>
    </row>
    <row r="368" spans="1:9" ht="12" customHeight="1" x14ac:dyDescent="0.2">
      <c r="A368" s="3"/>
      <c r="B368" s="2"/>
      <c r="C368" s="2"/>
      <c r="D368" s="2"/>
      <c r="E368" s="2"/>
      <c r="F368" s="2"/>
      <c r="G368" s="2"/>
      <c r="I368" s="2"/>
    </row>
    <row r="369" spans="1:9" ht="12" customHeight="1" x14ac:dyDescent="0.2">
      <c r="A369" s="3"/>
      <c r="B369" s="2"/>
      <c r="C369" s="2"/>
      <c r="D369" s="2"/>
      <c r="E369" s="2"/>
      <c r="F369" s="2"/>
      <c r="G369" s="2"/>
      <c r="I369" s="2"/>
    </row>
    <row r="370" spans="1:9" ht="12" customHeight="1" x14ac:dyDescent="0.2">
      <c r="A370" s="3"/>
      <c r="B370" s="2"/>
      <c r="C370" s="2"/>
      <c r="D370" s="2"/>
      <c r="E370" s="2"/>
      <c r="F370" s="2"/>
      <c r="G370" s="2"/>
      <c r="I370" s="2"/>
    </row>
    <row r="371" spans="1:9" ht="12" customHeight="1" x14ac:dyDescent="0.2">
      <c r="A371" s="3"/>
      <c r="B371" s="2"/>
      <c r="C371" s="2"/>
      <c r="D371" s="2"/>
      <c r="E371" s="2"/>
      <c r="F371" s="2"/>
      <c r="G371" s="2"/>
      <c r="I371" s="2"/>
    </row>
    <row r="372" spans="1:9" ht="12" customHeight="1" x14ac:dyDescent="0.2">
      <c r="A372" s="3"/>
      <c r="B372" s="2"/>
      <c r="C372" s="2"/>
      <c r="D372" s="2"/>
      <c r="E372" s="2"/>
      <c r="F372" s="2"/>
      <c r="G372" s="2"/>
      <c r="I372" s="2"/>
    </row>
    <row r="373" spans="1:9" ht="12" customHeight="1" x14ac:dyDescent="0.2">
      <c r="A373" s="3"/>
      <c r="B373" s="2"/>
      <c r="C373" s="2"/>
      <c r="D373" s="2"/>
      <c r="E373" s="2"/>
      <c r="F373" s="2"/>
      <c r="G373" s="2"/>
      <c r="I373" s="2"/>
    </row>
    <row r="374" spans="1:9" ht="12" customHeight="1" x14ac:dyDescent="0.2">
      <c r="A374" s="3"/>
      <c r="B374" s="2"/>
      <c r="C374" s="2"/>
      <c r="D374" s="2"/>
      <c r="E374" s="2"/>
      <c r="F374" s="2"/>
      <c r="G374" s="2"/>
      <c r="I374" s="2"/>
    </row>
    <row r="375" spans="1:9" ht="12" customHeight="1" x14ac:dyDescent="0.2">
      <c r="A375" s="3"/>
      <c r="B375" s="2"/>
      <c r="C375" s="2"/>
      <c r="D375" s="2"/>
      <c r="E375" s="2"/>
      <c r="F375" s="2"/>
      <c r="G375" s="2"/>
      <c r="I375" s="2"/>
    </row>
    <row r="376" spans="1:9" ht="12" customHeight="1" x14ac:dyDescent="0.2">
      <c r="A376" s="3"/>
      <c r="B376" s="2"/>
      <c r="C376" s="2"/>
      <c r="D376" s="2"/>
      <c r="E376" s="2"/>
      <c r="F376" s="2"/>
      <c r="G376" s="2"/>
      <c r="I376" s="2"/>
    </row>
    <row r="377" spans="1:9" ht="12" customHeight="1" x14ac:dyDescent="0.2">
      <c r="A377" s="3"/>
      <c r="B377" s="2"/>
      <c r="C377" s="2"/>
      <c r="D377" s="2"/>
      <c r="E377" s="2"/>
      <c r="F377" s="2"/>
      <c r="G377" s="2"/>
      <c r="I377" s="2"/>
    </row>
    <row r="378" spans="1:9" ht="12" customHeight="1" x14ac:dyDescent="0.2">
      <c r="A378" s="3"/>
      <c r="B378" s="2"/>
      <c r="C378" s="2"/>
      <c r="D378" s="2"/>
      <c r="E378" s="2"/>
      <c r="F378" s="2"/>
      <c r="G378" s="2"/>
      <c r="I378" s="2"/>
    </row>
    <row r="379" spans="1:9" ht="12" customHeight="1" x14ac:dyDescent="0.2">
      <c r="A379" s="3"/>
      <c r="B379" s="2"/>
      <c r="C379" s="2"/>
      <c r="D379" s="2"/>
      <c r="E379" s="2"/>
      <c r="F379" s="2"/>
      <c r="G379" s="2"/>
      <c r="I379" s="2"/>
    </row>
    <row r="380" spans="1:9" ht="12" customHeight="1" x14ac:dyDescent="0.2">
      <c r="A380" s="3"/>
      <c r="B380" s="2"/>
      <c r="C380" s="2"/>
      <c r="D380" s="2"/>
      <c r="E380" s="2"/>
      <c r="F380" s="2"/>
      <c r="G380" s="2"/>
      <c r="I380" s="2"/>
    </row>
    <row r="381" spans="1:9" ht="12" customHeight="1" x14ac:dyDescent="0.2">
      <c r="A381" s="3"/>
      <c r="B381" s="2"/>
      <c r="C381" s="2"/>
      <c r="D381" s="2"/>
      <c r="E381" s="2"/>
      <c r="F381" s="2"/>
      <c r="G381" s="2"/>
      <c r="I381" s="2"/>
    </row>
    <row r="382" spans="1:9" ht="12" customHeight="1" x14ac:dyDescent="0.2">
      <c r="A382" s="3"/>
      <c r="B382" s="2"/>
      <c r="C382" s="2"/>
      <c r="D382" s="2"/>
      <c r="E382" s="2"/>
      <c r="F382" s="2"/>
      <c r="G382" s="2"/>
      <c r="I382" s="2"/>
    </row>
    <row r="383" spans="1:9" ht="12" customHeight="1" x14ac:dyDescent="0.2">
      <c r="A383" s="3"/>
      <c r="B383" s="2"/>
      <c r="C383" s="2"/>
      <c r="D383" s="2"/>
      <c r="E383" s="2"/>
      <c r="F383" s="2"/>
      <c r="G383" s="2"/>
      <c r="I383" s="2"/>
    </row>
    <row r="384" spans="1:9" ht="12" customHeight="1" x14ac:dyDescent="0.2">
      <c r="A384" s="3"/>
      <c r="B384" s="2"/>
      <c r="C384" s="2"/>
      <c r="D384" s="2"/>
      <c r="E384" s="2"/>
      <c r="F384" s="2"/>
      <c r="G384" s="2"/>
      <c r="I384" s="2"/>
    </row>
    <row r="385" spans="1:9" ht="12" customHeight="1" x14ac:dyDescent="0.2">
      <c r="A385" s="3"/>
      <c r="B385" s="2"/>
      <c r="C385" s="2"/>
      <c r="D385" s="2"/>
      <c r="E385" s="2"/>
      <c r="F385" s="2"/>
      <c r="G385" s="2"/>
      <c r="I385" s="2"/>
    </row>
    <row r="386" spans="1:9" ht="12" customHeight="1" x14ac:dyDescent="0.2">
      <c r="A386" s="3"/>
      <c r="B386" s="2"/>
      <c r="C386" s="2"/>
      <c r="D386" s="2"/>
      <c r="E386" s="2"/>
      <c r="F386" s="2"/>
      <c r="G386" s="2"/>
      <c r="I386" s="2"/>
    </row>
    <row r="387" spans="1:9" ht="12" customHeight="1" x14ac:dyDescent="0.2">
      <c r="A387" s="3"/>
      <c r="B387" s="2"/>
      <c r="C387" s="2"/>
      <c r="D387" s="2"/>
      <c r="E387" s="2"/>
      <c r="F387" s="2"/>
      <c r="G387" s="2"/>
      <c r="I387" s="2"/>
    </row>
    <row r="388" spans="1:9" ht="12" customHeight="1" x14ac:dyDescent="0.2">
      <c r="A388" s="3"/>
      <c r="B388" s="2"/>
      <c r="C388" s="2"/>
      <c r="D388" s="2"/>
      <c r="E388" s="2"/>
      <c r="F388" s="2"/>
      <c r="G388" s="2"/>
      <c r="I388" s="2"/>
    </row>
    <row r="389" spans="1:9" ht="12" customHeight="1" x14ac:dyDescent="0.2">
      <c r="A389" s="3"/>
      <c r="B389" s="2"/>
      <c r="C389" s="2"/>
      <c r="D389" s="2"/>
      <c r="E389" s="2"/>
      <c r="F389" s="2"/>
      <c r="G389" s="2"/>
      <c r="I389" s="2"/>
    </row>
    <row r="390" spans="1:9" ht="12" customHeight="1" x14ac:dyDescent="0.2">
      <c r="A390" s="3"/>
      <c r="B390" s="2"/>
      <c r="C390" s="2"/>
      <c r="D390" s="2"/>
      <c r="E390" s="2"/>
      <c r="F390" s="2"/>
      <c r="G390" s="2"/>
      <c r="I390" s="2"/>
    </row>
    <row r="391" spans="1:9" ht="12" customHeight="1" x14ac:dyDescent="0.2">
      <c r="A391" s="3"/>
      <c r="B391" s="2"/>
      <c r="C391" s="2"/>
      <c r="D391" s="2"/>
      <c r="E391" s="2"/>
      <c r="F391" s="2"/>
      <c r="G391" s="2"/>
      <c r="I391" s="2"/>
    </row>
    <row r="392" spans="1:9" ht="12" customHeight="1" x14ac:dyDescent="0.2">
      <c r="A392" s="3"/>
      <c r="B392" s="2"/>
      <c r="C392" s="2"/>
      <c r="D392" s="2"/>
      <c r="E392" s="2"/>
      <c r="F392" s="2"/>
      <c r="G392" s="2"/>
      <c r="I392" s="2"/>
    </row>
    <row r="393" spans="1:9" ht="12" customHeight="1" x14ac:dyDescent="0.2">
      <c r="A393" s="3"/>
      <c r="B393" s="2"/>
      <c r="C393" s="2"/>
      <c r="D393" s="2"/>
      <c r="E393" s="2"/>
      <c r="F393" s="2"/>
      <c r="G393" s="2"/>
      <c r="I393" s="2"/>
    </row>
    <row r="394" spans="1:9" ht="12" customHeight="1" x14ac:dyDescent="0.2">
      <c r="A394" s="3"/>
      <c r="B394" s="2"/>
      <c r="C394" s="2"/>
      <c r="D394" s="2"/>
      <c r="E394" s="2"/>
      <c r="F394" s="2"/>
      <c r="G394" s="2"/>
      <c r="I394" s="2"/>
    </row>
    <row r="395" spans="1:9" ht="12" customHeight="1" x14ac:dyDescent="0.2">
      <c r="A395" s="3"/>
      <c r="B395" s="2"/>
      <c r="C395" s="2"/>
      <c r="D395" s="2"/>
      <c r="E395" s="2"/>
      <c r="F395" s="2"/>
      <c r="G395" s="2"/>
      <c r="I395" s="2"/>
    </row>
    <row r="396" spans="1:9" ht="12" customHeight="1" x14ac:dyDescent="0.2">
      <c r="A396" s="3"/>
      <c r="B396" s="2"/>
      <c r="C396" s="2"/>
      <c r="D396" s="2"/>
      <c r="E396" s="2"/>
      <c r="F396" s="2"/>
      <c r="G396" s="2"/>
      <c r="I396" s="2"/>
    </row>
    <row r="397" spans="1:9" ht="12" customHeight="1" x14ac:dyDescent="0.2">
      <c r="A397" s="3"/>
      <c r="B397" s="2"/>
      <c r="C397" s="2"/>
      <c r="D397" s="2"/>
      <c r="E397" s="2"/>
      <c r="F397" s="2"/>
      <c r="G397" s="2"/>
      <c r="I397" s="2"/>
    </row>
    <row r="398" spans="1:9" ht="12" customHeight="1" x14ac:dyDescent="0.2">
      <c r="A398" s="3"/>
      <c r="B398" s="2"/>
      <c r="C398" s="2"/>
      <c r="D398" s="2"/>
      <c r="E398" s="2"/>
      <c r="F398" s="2"/>
      <c r="G398" s="2"/>
      <c r="I398" s="2"/>
    </row>
    <row r="399" spans="1:9" ht="12" customHeight="1" x14ac:dyDescent="0.2">
      <c r="A399" s="3"/>
      <c r="B399" s="2"/>
      <c r="C399" s="2"/>
      <c r="D399" s="2"/>
      <c r="E399" s="2"/>
      <c r="F399" s="2"/>
      <c r="G399" s="2"/>
      <c r="I399" s="2"/>
    </row>
    <row r="400" spans="1:9" ht="12" customHeight="1" x14ac:dyDescent="0.2">
      <c r="A400" s="3"/>
      <c r="B400" s="2"/>
      <c r="C400" s="2"/>
      <c r="D400" s="2"/>
      <c r="E400" s="2"/>
      <c r="F400" s="2"/>
      <c r="G400" s="2"/>
      <c r="I400" s="2"/>
    </row>
    <row r="401" spans="1:9" ht="12" customHeight="1" x14ac:dyDescent="0.2">
      <c r="A401" s="3"/>
      <c r="B401" s="2"/>
      <c r="C401" s="2"/>
      <c r="D401" s="2"/>
      <c r="E401" s="2"/>
      <c r="F401" s="2"/>
      <c r="G401" s="2"/>
      <c r="I401" s="2"/>
    </row>
    <row r="402" spans="1:9" ht="12" customHeight="1" x14ac:dyDescent="0.2">
      <c r="A402" s="3"/>
      <c r="B402" s="2"/>
      <c r="C402" s="2"/>
      <c r="D402" s="2"/>
      <c r="E402" s="2"/>
      <c r="F402" s="2"/>
      <c r="G402" s="2"/>
      <c r="I402" s="2"/>
    </row>
    <row r="403" spans="1:9" ht="12" customHeight="1" x14ac:dyDescent="0.2">
      <c r="A403" s="3"/>
      <c r="B403" s="2"/>
      <c r="C403" s="2"/>
      <c r="D403" s="2"/>
      <c r="E403" s="2"/>
      <c r="F403" s="2"/>
      <c r="G403" s="2"/>
      <c r="I403" s="2"/>
    </row>
    <row r="404" spans="1:9" ht="12" customHeight="1" x14ac:dyDescent="0.2">
      <c r="A404" s="3"/>
      <c r="B404" s="2"/>
      <c r="C404" s="2"/>
      <c r="D404" s="2"/>
      <c r="E404" s="2"/>
      <c r="F404" s="2"/>
      <c r="G404" s="2"/>
      <c r="I404" s="2"/>
    </row>
    <row r="405" spans="1:9" ht="12" customHeight="1" x14ac:dyDescent="0.2">
      <c r="A405" s="3"/>
      <c r="B405" s="2"/>
      <c r="C405" s="2"/>
      <c r="D405" s="2"/>
      <c r="E405" s="2"/>
      <c r="F405" s="2"/>
      <c r="G405" s="2"/>
      <c r="I405" s="2"/>
    </row>
    <row r="406" spans="1:9" ht="12" customHeight="1" x14ac:dyDescent="0.2">
      <c r="A406" s="3"/>
      <c r="B406" s="2"/>
      <c r="C406" s="2"/>
      <c r="D406" s="2"/>
      <c r="E406" s="2"/>
      <c r="F406" s="2"/>
      <c r="G406" s="2"/>
      <c r="I406" s="2"/>
    </row>
    <row r="407" spans="1:9" ht="12" customHeight="1" x14ac:dyDescent="0.2">
      <c r="A407" s="3"/>
      <c r="B407" s="2"/>
      <c r="C407" s="2"/>
      <c r="D407" s="2"/>
      <c r="E407" s="2"/>
      <c r="F407" s="2"/>
      <c r="G407" s="2"/>
      <c r="I407" s="2"/>
    </row>
    <row r="408" spans="1:9" ht="12" customHeight="1" x14ac:dyDescent="0.2">
      <c r="A408" s="3"/>
      <c r="B408" s="2"/>
      <c r="C408" s="2"/>
      <c r="D408" s="2"/>
      <c r="E408" s="2"/>
      <c r="F408" s="2"/>
      <c r="G408" s="2"/>
      <c r="I408" s="2"/>
    </row>
    <row r="409" spans="1:9" ht="12" customHeight="1" x14ac:dyDescent="0.2">
      <c r="A409" s="3"/>
      <c r="B409" s="2"/>
      <c r="C409" s="2"/>
      <c r="D409" s="2"/>
      <c r="E409" s="2"/>
      <c r="F409" s="2"/>
      <c r="G409" s="2"/>
      <c r="I409" s="2"/>
    </row>
    <row r="410" spans="1:9" ht="12" customHeight="1" x14ac:dyDescent="0.2">
      <c r="A410" s="3"/>
      <c r="B410" s="2"/>
      <c r="C410" s="2"/>
      <c r="D410" s="2"/>
      <c r="E410" s="2"/>
      <c r="F410" s="2"/>
      <c r="G410" s="2"/>
      <c r="I410" s="2"/>
    </row>
    <row r="411" spans="1:9" ht="12" customHeight="1" x14ac:dyDescent="0.2">
      <c r="A411" s="3"/>
      <c r="B411" s="2"/>
      <c r="C411" s="2"/>
      <c r="D411" s="2"/>
      <c r="E411" s="2"/>
      <c r="F411" s="2"/>
      <c r="G411" s="2"/>
      <c r="I411" s="2"/>
    </row>
    <row r="412" spans="1:9" ht="12" customHeight="1" x14ac:dyDescent="0.2">
      <c r="A412" s="3"/>
      <c r="B412" s="2"/>
      <c r="C412" s="2"/>
      <c r="D412" s="2"/>
      <c r="E412" s="2"/>
      <c r="F412" s="2"/>
      <c r="G412" s="2"/>
      <c r="I412" s="2"/>
    </row>
    <row r="413" spans="1:9" ht="12" customHeight="1" x14ac:dyDescent="0.2">
      <c r="A413" s="3"/>
      <c r="B413" s="2"/>
      <c r="C413" s="2"/>
      <c r="D413" s="2"/>
      <c r="E413" s="2"/>
      <c r="F413" s="2"/>
      <c r="G413" s="2"/>
      <c r="I413" s="2"/>
    </row>
    <row r="414" spans="1:9" ht="12" customHeight="1" x14ac:dyDescent="0.2">
      <c r="A414" s="3"/>
      <c r="B414" s="2"/>
      <c r="C414" s="2"/>
      <c r="D414" s="2"/>
      <c r="E414" s="2"/>
      <c r="F414" s="2"/>
      <c r="G414" s="2"/>
      <c r="I414" s="2"/>
    </row>
    <row r="415" spans="1:9" ht="12" customHeight="1" x14ac:dyDescent="0.2">
      <c r="A415" s="3"/>
      <c r="B415" s="2"/>
      <c r="C415" s="2"/>
      <c r="D415" s="2"/>
      <c r="E415" s="2"/>
      <c r="F415" s="2"/>
      <c r="G415" s="2"/>
      <c r="I415" s="2"/>
    </row>
    <row r="416" spans="1:9" ht="12" customHeight="1" x14ac:dyDescent="0.2">
      <c r="A416" s="3"/>
      <c r="B416" s="2"/>
      <c r="C416" s="2"/>
      <c r="D416" s="2"/>
      <c r="E416" s="2"/>
      <c r="F416" s="2"/>
      <c r="G416" s="2"/>
      <c r="I416" s="2"/>
    </row>
    <row r="417" spans="1:9" ht="12" customHeight="1" x14ac:dyDescent="0.2">
      <c r="A417" s="3"/>
      <c r="B417" s="2"/>
      <c r="C417" s="2"/>
      <c r="D417" s="2"/>
      <c r="E417" s="2"/>
      <c r="F417" s="2"/>
      <c r="G417" s="2"/>
      <c r="I417" s="2"/>
    </row>
    <row r="418" spans="1:9" ht="12" customHeight="1" x14ac:dyDescent="0.2">
      <c r="A418" s="3"/>
      <c r="B418" s="2"/>
      <c r="C418" s="2"/>
      <c r="D418" s="2"/>
      <c r="E418" s="2"/>
      <c r="F418" s="2"/>
      <c r="G418" s="2"/>
      <c r="I418" s="2"/>
    </row>
    <row r="419" spans="1:9" ht="12" customHeight="1" x14ac:dyDescent="0.2">
      <c r="A419" s="3"/>
      <c r="B419" s="2"/>
      <c r="C419" s="2"/>
      <c r="D419" s="2"/>
      <c r="E419" s="2"/>
      <c r="F419" s="2"/>
      <c r="G419" s="2"/>
      <c r="I419" s="2"/>
    </row>
    <row r="420" spans="1:9" ht="12" customHeight="1" x14ac:dyDescent="0.2">
      <c r="A420" s="3"/>
      <c r="B420" s="2"/>
      <c r="C420" s="2"/>
      <c r="D420" s="2"/>
      <c r="E420" s="2"/>
      <c r="F420" s="2"/>
      <c r="G420" s="2"/>
      <c r="I420" s="2"/>
    </row>
    <row r="421" spans="1:9" ht="12" customHeight="1" x14ac:dyDescent="0.2">
      <c r="A421" s="3"/>
      <c r="B421" s="2"/>
      <c r="C421" s="2"/>
      <c r="D421" s="2"/>
      <c r="E421" s="2"/>
      <c r="F421" s="2"/>
      <c r="G421" s="2"/>
      <c r="I421" s="2"/>
    </row>
    <row r="422" spans="1:9" ht="12" customHeight="1" x14ac:dyDescent="0.2">
      <c r="A422" s="3"/>
      <c r="B422" s="2"/>
      <c r="C422" s="2"/>
      <c r="D422" s="2"/>
      <c r="E422" s="2"/>
      <c r="F422" s="2"/>
      <c r="G422" s="2"/>
      <c r="I422" s="2"/>
    </row>
    <row r="423" spans="1:9" ht="12" customHeight="1" x14ac:dyDescent="0.2">
      <c r="A423" s="3"/>
      <c r="B423" s="2"/>
      <c r="C423" s="2"/>
      <c r="D423" s="2"/>
      <c r="E423" s="2"/>
      <c r="F423" s="2"/>
      <c r="G423" s="2"/>
      <c r="I423" s="2"/>
    </row>
    <row r="424" spans="1:9" ht="12" customHeight="1" x14ac:dyDescent="0.2">
      <c r="A424" s="3"/>
      <c r="B424" s="2"/>
      <c r="C424" s="2"/>
      <c r="D424" s="2"/>
      <c r="E424" s="2"/>
      <c r="F424" s="2"/>
      <c r="G424" s="2"/>
      <c r="I424" s="2"/>
    </row>
    <row r="425" spans="1:9" ht="12" customHeight="1" x14ac:dyDescent="0.2">
      <c r="A425" s="3"/>
      <c r="B425" s="2"/>
      <c r="C425" s="2"/>
      <c r="D425" s="2"/>
      <c r="E425" s="2"/>
      <c r="F425" s="2"/>
      <c r="G425" s="2"/>
      <c r="I425" s="2"/>
    </row>
    <row r="426" spans="1:9" ht="12" customHeight="1" x14ac:dyDescent="0.2">
      <c r="A426" s="3"/>
      <c r="B426" s="2"/>
      <c r="C426" s="2"/>
      <c r="D426" s="2"/>
      <c r="E426" s="2"/>
      <c r="F426" s="2"/>
      <c r="G426" s="2"/>
      <c r="I426" s="2"/>
    </row>
    <row r="427" spans="1:9" ht="12" customHeight="1" x14ac:dyDescent="0.2">
      <c r="A427" s="3"/>
      <c r="B427" s="2"/>
      <c r="C427" s="2"/>
      <c r="D427" s="2"/>
      <c r="E427" s="2"/>
      <c r="F427" s="2"/>
      <c r="G427" s="2"/>
      <c r="I427" s="2"/>
    </row>
    <row r="428" spans="1:9" ht="12" customHeight="1" x14ac:dyDescent="0.2">
      <c r="A428" s="3"/>
      <c r="B428" s="2"/>
      <c r="C428" s="2"/>
      <c r="D428" s="2"/>
      <c r="E428" s="2"/>
      <c r="F428" s="2"/>
      <c r="G428" s="2"/>
      <c r="I428" s="2"/>
    </row>
    <row r="429" spans="1:9" ht="12" customHeight="1" x14ac:dyDescent="0.2">
      <c r="A429" s="3"/>
      <c r="B429" s="2"/>
      <c r="C429" s="2"/>
      <c r="D429" s="2"/>
      <c r="E429" s="2"/>
      <c r="F429" s="2"/>
      <c r="G429" s="2"/>
      <c r="I429" s="2"/>
    </row>
    <row r="430" spans="1:9" ht="12" customHeight="1" x14ac:dyDescent="0.2">
      <c r="A430" s="3"/>
      <c r="B430" s="2"/>
      <c r="C430" s="2"/>
      <c r="D430" s="2"/>
      <c r="E430" s="2"/>
      <c r="F430" s="2"/>
      <c r="G430" s="2"/>
      <c r="I430" s="2"/>
    </row>
    <row r="431" spans="1:9" ht="12" customHeight="1" x14ac:dyDescent="0.2">
      <c r="A431" s="3"/>
      <c r="B431" s="2"/>
      <c r="C431" s="2"/>
      <c r="D431" s="2"/>
      <c r="E431" s="2"/>
      <c r="F431" s="2"/>
      <c r="G431" s="2"/>
      <c r="I431" s="2"/>
    </row>
    <row r="432" spans="1:9" ht="12" customHeight="1" x14ac:dyDescent="0.2">
      <c r="A432" s="3"/>
      <c r="B432" s="2"/>
      <c r="C432" s="2"/>
      <c r="D432" s="2"/>
      <c r="E432" s="2"/>
      <c r="F432" s="2"/>
      <c r="G432" s="2"/>
      <c r="I432" s="2"/>
    </row>
    <row r="433" spans="1:9" ht="12" customHeight="1" x14ac:dyDescent="0.2">
      <c r="A433" s="3"/>
      <c r="B433" s="2"/>
      <c r="C433" s="2"/>
      <c r="D433" s="2"/>
      <c r="E433" s="2"/>
      <c r="F433" s="2"/>
      <c r="G433" s="2"/>
      <c r="I433" s="2"/>
    </row>
    <row r="434" spans="1:9" ht="12" customHeight="1" x14ac:dyDescent="0.2">
      <c r="A434" s="3"/>
      <c r="B434" s="2"/>
      <c r="C434" s="2"/>
      <c r="D434" s="2"/>
      <c r="E434" s="2"/>
      <c r="F434" s="2"/>
      <c r="G434" s="2"/>
      <c r="I434" s="2"/>
    </row>
    <row r="435" spans="1:9" ht="12" customHeight="1" x14ac:dyDescent="0.2">
      <c r="A435" s="3"/>
      <c r="B435" s="2"/>
      <c r="C435" s="2"/>
      <c r="D435" s="2"/>
      <c r="E435" s="2"/>
      <c r="F435" s="2"/>
      <c r="G435" s="2"/>
      <c r="I435" s="2"/>
    </row>
    <row r="436" spans="1:9" ht="12" customHeight="1" x14ac:dyDescent="0.2">
      <c r="A436" s="3"/>
      <c r="B436" s="2"/>
      <c r="C436" s="2"/>
      <c r="D436" s="2"/>
      <c r="E436" s="2"/>
      <c r="F436" s="2"/>
      <c r="G436" s="2"/>
      <c r="I436" s="2"/>
    </row>
    <row r="437" spans="1:9" ht="12" customHeight="1" x14ac:dyDescent="0.2">
      <c r="A437" s="3"/>
      <c r="B437" s="2"/>
      <c r="C437" s="2"/>
      <c r="D437" s="2"/>
      <c r="E437" s="2"/>
      <c r="F437" s="2"/>
      <c r="G437" s="2"/>
      <c r="I437" s="2"/>
    </row>
    <row r="438" spans="1:9" ht="12" customHeight="1" x14ac:dyDescent="0.2">
      <c r="A438" s="3"/>
      <c r="B438" s="2"/>
      <c r="C438" s="2"/>
      <c r="D438" s="2"/>
      <c r="E438" s="2"/>
      <c r="F438" s="2"/>
      <c r="G438" s="2"/>
      <c r="I438" s="2"/>
    </row>
    <row r="439" spans="1:9" ht="12" customHeight="1" x14ac:dyDescent="0.2">
      <c r="A439" s="3"/>
      <c r="B439" s="2"/>
      <c r="C439" s="2"/>
      <c r="D439" s="2"/>
      <c r="E439" s="2"/>
      <c r="F439" s="2"/>
      <c r="G439" s="2"/>
      <c r="I439" s="2"/>
    </row>
    <row r="440" spans="1:9" ht="12" customHeight="1" x14ac:dyDescent="0.2">
      <c r="A440" s="3"/>
      <c r="B440" s="2"/>
      <c r="C440" s="2"/>
      <c r="D440" s="2"/>
      <c r="E440" s="2"/>
      <c r="F440" s="2"/>
      <c r="G440" s="2"/>
      <c r="I440" s="2"/>
    </row>
    <row r="441" spans="1:9" ht="12" customHeight="1" x14ac:dyDescent="0.2">
      <c r="A441" s="3"/>
      <c r="B441" s="2"/>
      <c r="C441" s="2"/>
      <c r="D441" s="2"/>
      <c r="E441" s="2"/>
      <c r="F441" s="2"/>
      <c r="G441" s="2"/>
      <c r="I441" s="2"/>
    </row>
    <row r="442" spans="1:9" ht="12" customHeight="1" x14ac:dyDescent="0.2">
      <c r="A442" s="3"/>
      <c r="B442" s="2"/>
      <c r="C442" s="2"/>
      <c r="D442" s="2"/>
      <c r="E442" s="2"/>
      <c r="F442" s="2"/>
      <c r="G442" s="2"/>
      <c r="I442" s="2"/>
    </row>
    <row r="443" spans="1:9" ht="12" customHeight="1" x14ac:dyDescent="0.2">
      <c r="A443" s="3"/>
      <c r="B443" s="2"/>
      <c r="C443" s="2"/>
      <c r="D443" s="2"/>
      <c r="E443" s="2"/>
      <c r="F443" s="2"/>
      <c r="G443" s="2"/>
      <c r="I443" s="2"/>
    </row>
    <row r="444" spans="1:9" ht="12" customHeight="1" x14ac:dyDescent="0.2">
      <c r="A444" s="3"/>
      <c r="B444" s="2"/>
      <c r="C444" s="2"/>
      <c r="D444" s="2"/>
      <c r="E444" s="2"/>
      <c r="F444" s="2"/>
      <c r="G444" s="2"/>
      <c r="I444" s="2"/>
    </row>
    <row r="445" spans="1:9" ht="12" customHeight="1" x14ac:dyDescent="0.2">
      <c r="A445" s="3"/>
      <c r="B445" s="2"/>
      <c r="C445" s="2"/>
      <c r="D445" s="2"/>
      <c r="E445" s="2"/>
      <c r="F445" s="2"/>
      <c r="G445" s="2"/>
      <c r="I445" s="2"/>
    </row>
    <row r="446" spans="1:9" ht="12" customHeight="1" x14ac:dyDescent="0.2">
      <c r="A446" s="3"/>
      <c r="B446" s="2"/>
      <c r="C446" s="2"/>
      <c r="D446" s="2"/>
      <c r="E446" s="2"/>
      <c r="F446" s="2"/>
      <c r="G446" s="2"/>
      <c r="I446" s="2"/>
    </row>
    <row r="447" spans="1:9" ht="12" customHeight="1" x14ac:dyDescent="0.2">
      <c r="A447" s="3"/>
      <c r="B447" s="2"/>
      <c r="C447" s="2"/>
      <c r="D447" s="2"/>
      <c r="E447" s="2"/>
      <c r="F447" s="2"/>
      <c r="G447" s="2"/>
      <c r="I447" s="2"/>
    </row>
    <row r="448" spans="1:9" ht="12" customHeight="1" x14ac:dyDescent="0.2">
      <c r="A448" s="3"/>
      <c r="B448" s="2"/>
      <c r="C448" s="2"/>
      <c r="D448" s="2"/>
      <c r="E448" s="2"/>
      <c r="F448" s="2"/>
      <c r="G448" s="2"/>
      <c r="I448" s="2"/>
    </row>
    <row r="449" spans="1:9" ht="12" customHeight="1" x14ac:dyDescent="0.2">
      <c r="A449" s="3"/>
      <c r="B449" s="2"/>
      <c r="C449" s="2"/>
      <c r="D449" s="2"/>
      <c r="E449" s="2"/>
      <c r="F449" s="2"/>
      <c r="G449" s="2"/>
      <c r="I449" s="2"/>
    </row>
    <row r="450" spans="1:9" ht="12" customHeight="1" x14ac:dyDescent="0.2">
      <c r="A450" s="3"/>
      <c r="B450" s="2"/>
      <c r="C450" s="2"/>
      <c r="D450" s="2"/>
      <c r="E450" s="2"/>
      <c r="F450" s="2"/>
      <c r="G450" s="2"/>
      <c r="I450" s="2"/>
    </row>
    <row r="451" spans="1:9" ht="12" customHeight="1" x14ac:dyDescent="0.2">
      <c r="A451" s="3"/>
      <c r="B451" s="2"/>
      <c r="C451" s="2"/>
      <c r="D451" s="2"/>
      <c r="E451" s="2"/>
      <c r="F451" s="2"/>
      <c r="G451" s="2"/>
      <c r="I451" s="2"/>
    </row>
    <row r="452" spans="1:9" ht="12" customHeight="1" x14ac:dyDescent="0.2">
      <c r="A452" s="3"/>
      <c r="B452" s="2"/>
      <c r="C452" s="2"/>
      <c r="D452" s="2"/>
      <c r="E452" s="2"/>
      <c r="F452" s="2"/>
      <c r="G452" s="2"/>
      <c r="I452" s="2"/>
    </row>
    <row r="453" spans="1:9" ht="12" customHeight="1" x14ac:dyDescent="0.2">
      <c r="A453" s="3"/>
      <c r="B453" s="2"/>
      <c r="C453" s="2"/>
      <c r="D453" s="2"/>
      <c r="E453" s="2"/>
      <c r="F453" s="2"/>
      <c r="G453" s="2"/>
      <c r="I453" s="2"/>
    </row>
    <row r="454" spans="1:9" ht="12" customHeight="1" x14ac:dyDescent="0.2">
      <c r="A454" s="3"/>
      <c r="B454" s="2"/>
      <c r="C454" s="2"/>
      <c r="D454" s="2"/>
      <c r="E454" s="2"/>
      <c r="F454" s="2"/>
      <c r="G454" s="2"/>
      <c r="I454" s="2"/>
    </row>
    <row r="455" spans="1:9" ht="12" customHeight="1" x14ac:dyDescent="0.2">
      <c r="A455" s="3"/>
      <c r="B455" s="2"/>
      <c r="C455" s="2"/>
      <c r="D455" s="2"/>
      <c r="E455" s="2"/>
      <c r="F455" s="2"/>
      <c r="G455" s="2"/>
      <c r="I455" s="2"/>
    </row>
    <row r="456" spans="1:9" ht="12" customHeight="1" x14ac:dyDescent="0.2">
      <c r="A456" s="3"/>
      <c r="B456" s="2"/>
      <c r="C456" s="2"/>
      <c r="D456" s="2"/>
      <c r="E456" s="2"/>
      <c r="F456" s="2"/>
      <c r="G456" s="2"/>
      <c r="I456" s="2"/>
    </row>
    <row r="457" spans="1:9" ht="12" customHeight="1" x14ac:dyDescent="0.2">
      <c r="A457" s="3"/>
      <c r="B457" s="2"/>
      <c r="C457" s="2"/>
      <c r="D457" s="2"/>
      <c r="E457" s="2"/>
      <c r="F457" s="2"/>
      <c r="G457" s="2"/>
      <c r="I457" s="2"/>
    </row>
    <row r="458" spans="1:9" ht="12" customHeight="1" x14ac:dyDescent="0.2">
      <c r="A458" s="3"/>
      <c r="B458" s="2"/>
      <c r="C458" s="2"/>
      <c r="D458" s="2"/>
      <c r="E458" s="2"/>
      <c r="F458" s="2"/>
      <c r="G458" s="2"/>
      <c r="I458" s="2"/>
    </row>
    <row r="459" spans="1:9" ht="12" customHeight="1" x14ac:dyDescent="0.2">
      <c r="A459" s="3"/>
      <c r="B459" s="2"/>
      <c r="C459" s="2"/>
      <c r="D459" s="2"/>
      <c r="E459" s="2"/>
      <c r="F459" s="2"/>
      <c r="G459" s="2"/>
      <c r="I459" s="2"/>
    </row>
    <row r="460" spans="1:9" ht="12" customHeight="1" x14ac:dyDescent="0.2">
      <c r="A460" s="3"/>
      <c r="B460" s="2"/>
      <c r="C460" s="2"/>
      <c r="D460" s="2"/>
      <c r="E460" s="2"/>
      <c r="F460" s="2"/>
      <c r="G460" s="2"/>
      <c r="I460" s="2"/>
    </row>
    <row r="461" spans="1:9" ht="12" customHeight="1" x14ac:dyDescent="0.2">
      <c r="A461" s="3"/>
      <c r="B461" s="2"/>
      <c r="C461" s="2"/>
      <c r="D461" s="2"/>
      <c r="E461" s="2"/>
      <c r="F461" s="2"/>
      <c r="G461" s="2"/>
      <c r="I461" s="2"/>
    </row>
    <row r="462" spans="1:9" ht="12" customHeight="1" x14ac:dyDescent="0.2">
      <c r="A462" s="3"/>
      <c r="B462" s="2"/>
      <c r="C462" s="2"/>
      <c r="D462" s="2"/>
      <c r="E462" s="2"/>
      <c r="F462" s="2"/>
      <c r="G462" s="2"/>
      <c r="I462" s="2"/>
    </row>
    <row r="463" spans="1:9" ht="12" customHeight="1" x14ac:dyDescent="0.2">
      <c r="A463" s="3"/>
      <c r="B463" s="2"/>
      <c r="C463" s="2"/>
      <c r="D463" s="2"/>
      <c r="E463" s="2"/>
      <c r="F463" s="2"/>
      <c r="G463" s="2"/>
      <c r="I463" s="2"/>
    </row>
    <row r="464" spans="1:9" ht="12" customHeight="1" x14ac:dyDescent="0.2">
      <c r="A464" s="3"/>
      <c r="B464" s="2"/>
      <c r="C464" s="2"/>
      <c r="D464" s="2"/>
      <c r="E464" s="2"/>
      <c r="F464" s="2"/>
      <c r="G464" s="2"/>
      <c r="I464" s="2"/>
    </row>
    <row r="465" spans="1:9" ht="12" customHeight="1" x14ac:dyDescent="0.2">
      <c r="A465" s="3"/>
      <c r="B465" s="2"/>
      <c r="C465" s="2"/>
      <c r="D465" s="2"/>
      <c r="E465" s="2"/>
      <c r="F465" s="2"/>
      <c r="G465" s="2"/>
      <c r="I465" s="2"/>
    </row>
    <row r="466" spans="1:9" ht="12" customHeight="1" x14ac:dyDescent="0.2">
      <c r="A466" s="3"/>
      <c r="B466" s="2"/>
      <c r="C466" s="2"/>
      <c r="D466" s="2"/>
      <c r="E466" s="2"/>
      <c r="F466" s="2"/>
      <c r="G466" s="2"/>
      <c r="I466" s="2"/>
    </row>
    <row r="467" spans="1:9" ht="12" customHeight="1" x14ac:dyDescent="0.2">
      <c r="A467" s="3"/>
      <c r="B467" s="2"/>
      <c r="C467" s="2"/>
      <c r="D467" s="2"/>
      <c r="E467" s="2"/>
      <c r="F467" s="2"/>
      <c r="G467" s="2"/>
      <c r="I467" s="2"/>
    </row>
    <row r="468" spans="1:9" ht="12" customHeight="1" x14ac:dyDescent="0.2">
      <c r="A468" s="3"/>
      <c r="B468" s="2"/>
      <c r="C468" s="2"/>
      <c r="D468" s="2"/>
      <c r="E468" s="2"/>
      <c r="F468" s="2"/>
      <c r="G468" s="2"/>
      <c r="I468" s="2"/>
    </row>
    <row r="469" spans="1:9" ht="12" customHeight="1" x14ac:dyDescent="0.2">
      <c r="A469" s="3"/>
      <c r="B469" s="2"/>
      <c r="C469" s="2"/>
      <c r="D469" s="2"/>
      <c r="E469" s="2"/>
      <c r="F469" s="2"/>
      <c r="G469" s="2"/>
      <c r="I469" s="2"/>
    </row>
    <row r="470" spans="1:9" ht="12" customHeight="1" x14ac:dyDescent="0.2">
      <c r="A470" s="3"/>
      <c r="B470" s="2"/>
      <c r="C470" s="2"/>
      <c r="D470" s="2"/>
      <c r="E470" s="2"/>
      <c r="F470" s="2"/>
      <c r="G470" s="2"/>
      <c r="I470" s="2"/>
    </row>
    <row r="471" spans="1:9" ht="12" customHeight="1" x14ac:dyDescent="0.2">
      <c r="A471" s="3"/>
      <c r="B471" s="2"/>
      <c r="C471" s="2"/>
      <c r="D471" s="2"/>
      <c r="E471" s="2"/>
      <c r="F471" s="2"/>
      <c r="G471" s="2"/>
      <c r="I471" s="2"/>
    </row>
    <row r="472" spans="1:9" ht="12" customHeight="1" x14ac:dyDescent="0.2">
      <c r="A472" s="3"/>
      <c r="B472" s="2"/>
      <c r="C472" s="2"/>
      <c r="D472" s="2"/>
      <c r="E472" s="2"/>
      <c r="F472" s="2"/>
      <c r="G472" s="2"/>
      <c r="I472" s="2"/>
    </row>
    <row r="473" spans="1:9" ht="12" customHeight="1" x14ac:dyDescent="0.2">
      <c r="A473" s="3"/>
      <c r="B473" s="2"/>
      <c r="C473" s="2"/>
      <c r="D473" s="2"/>
      <c r="E473" s="2"/>
      <c r="F473" s="2"/>
      <c r="G473" s="2"/>
      <c r="I473" s="2"/>
    </row>
    <row r="474" spans="1:9" ht="12" customHeight="1" x14ac:dyDescent="0.2">
      <c r="A474" s="3"/>
      <c r="B474" s="2"/>
      <c r="C474" s="2"/>
      <c r="D474" s="2"/>
      <c r="E474" s="2"/>
      <c r="F474" s="2"/>
      <c r="G474" s="2"/>
      <c r="I474" s="2"/>
    </row>
    <row r="475" spans="1:9" ht="12" customHeight="1" x14ac:dyDescent="0.2">
      <c r="A475" s="3"/>
      <c r="B475" s="2"/>
      <c r="C475" s="2"/>
      <c r="D475" s="2"/>
      <c r="E475" s="2"/>
      <c r="F475" s="2"/>
      <c r="G475" s="2"/>
      <c r="I475" s="2"/>
    </row>
    <row r="476" spans="1:9" ht="12" customHeight="1" x14ac:dyDescent="0.2">
      <c r="A476" s="3"/>
      <c r="B476" s="2"/>
      <c r="C476" s="2"/>
      <c r="D476" s="2"/>
      <c r="E476" s="2"/>
      <c r="F476" s="2"/>
      <c r="G476" s="2"/>
      <c r="I476" s="2"/>
    </row>
    <row r="477" spans="1:9" ht="12" customHeight="1" x14ac:dyDescent="0.2">
      <c r="A477" s="3"/>
      <c r="B477" s="2"/>
      <c r="C477" s="2"/>
      <c r="D477" s="2"/>
      <c r="E477" s="2"/>
      <c r="F477" s="2"/>
      <c r="G477" s="2"/>
      <c r="I477" s="2"/>
    </row>
    <row r="478" spans="1:9" ht="12" customHeight="1" x14ac:dyDescent="0.2">
      <c r="A478" s="3"/>
      <c r="B478" s="2"/>
      <c r="C478" s="2"/>
      <c r="D478" s="2"/>
      <c r="E478" s="2"/>
      <c r="F478" s="2"/>
      <c r="G478" s="2"/>
      <c r="I478" s="2"/>
    </row>
    <row r="479" spans="1:9" ht="12" customHeight="1" x14ac:dyDescent="0.2">
      <c r="A479" s="3"/>
      <c r="B479" s="2"/>
      <c r="C479" s="2"/>
      <c r="D479" s="2"/>
      <c r="E479" s="2"/>
      <c r="F479" s="2"/>
      <c r="G479" s="2"/>
      <c r="I479" s="2"/>
    </row>
    <row r="480" spans="1:9" ht="12" customHeight="1" x14ac:dyDescent="0.2">
      <c r="A480" s="3"/>
      <c r="B480" s="2"/>
      <c r="C480" s="2"/>
      <c r="D480" s="2"/>
      <c r="E480" s="2"/>
      <c r="F480" s="2"/>
      <c r="G480" s="2"/>
      <c r="I480" s="2"/>
    </row>
    <row r="481" spans="1:9" ht="12" customHeight="1" x14ac:dyDescent="0.2">
      <c r="A481" s="3"/>
      <c r="B481" s="2"/>
      <c r="C481" s="2"/>
      <c r="D481" s="2"/>
      <c r="E481" s="2"/>
      <c r="F481" s="2"/>
      <c r="G481" s="2"/>
      <c r="I481" s="2"/>
    </row>
    <row r="482" spans="1:9" ht="12" customHeight="1" x14ac:dyDescent="0.2">
      <c r="A482" s="3"/>
      <c r="B482" s="2"/>
      <c r="C482" s="2"/>
      <c r="D482" s="2"/>
      <c r="E482" s="2"/>
      <c r="F482" s="2"/>
      <c r="G482" s="2"/>
      <c r="I482" s="2"/>
    </row>
    <row r="483" spans="1:9" ht="12" customHeight="1" x14ac:dyDescent="0.2">
      <c r="A483" s="3"/>
      <c r="B483" s="2"/>
      <c r="C483" s="2"/>
      <c r="D483" s="2"/>
      <c r="E483" s="2"/>
      <c r="F483" s="2"/>
      <c r="G483" s="2"/>
      <c r="I483" s="2"/>
    </row>
    <row r="484" spans="1:9" ht="12" customHeight="1" x14ac:dyDescent="0.2">
      <c r="A484" s="3"/>
      <c r="B484" s="2"/>
      <c r="C484" s="2"/>
      <c r="D484" s="2"/>
      <c r="E484" s="2"/>
      <c r="F484" s="2"/>
      <c r="G484" s="2"/>
      <c r="I484" s="2"/>
    </row>
    <row r="485" spans="1:9" ht="12" customHeight="1" x14ac:dyDescent="0.2">
      <c r="A485" s="3"/>
      <c r="B485" s="2"/>
      <c r="C485" s="2"/>
      <c r="D485" s="2"/>
      <c r="E485" s="2"/>
      <c r="F485" s="2"/>
      <c r="G485" s="2"/>
      <c r="I485" s="2"/>
    </row>
    <row r="486" spans="1:9" ht="12" customHeight="1" x14ac:dyDescent="0.2">
      <c r="A486" s="3"/>
      <c r="B486" s="2"/>
      <c r="C486" s="2"/>
      <c r="D486" s="2"/>
      <c r="E486" s="2"/>
      <c r="F486" s="2"/>
      <c r="G486" s="2"/>
      <c r="I486" s="2"/>
    </row>
    <row r="487" spans="1:9" ht="12" customHeight="1" x14ac:dyDescent="0.2">
      <c r="A487" s="3"/>
      <c r="B487" s="2"/>
      <c r="C487" s="2"/>
      <c r="D487" s="2"/>
      <c r="E487" s="2"/>
      <c r="F487" s="2"/>
      <c r="G487" s="2"/>
      <c r="I487" s="2"/>
    </row>
    <row r="488" spans="1:9" ht="12" customHeight="1" x14ac:dyDescent="0.2">
      <c r="A488" s="3"/>
      <c r="B488" s="2"/>
      <c r="C488" s="2"/>
      <c r="D488" s="2"/>
      <c r="E488" s="2"/>
      <c r="F488" s="2"/>
      <c r="G488" s="2"/>
      <c r="I488" s="2"/>
    </row>
    <row r="489" spans="1:9" ht="12" customHeight="1" x14ac:dyDescent="0.2">
      <c r="A489" s="3"/>
      <c r="B489" s="2"/>
      <c r="C489" s="2"/>
      <c r="D489" s="2"/>
      <c r="E489" s="2"/>
      <c r="F489" s="2"/>
      <c r="G489" s="2"/>
      <c r="I489" s="2"/>
    </row>
    <row r="490" spans="1:9" ht="12" customHeight="1" x14ac:dyDescent="0.2">
      <c r="A490" s="3"/>
      <c r="B490" s="2"/>
      <c r="C490" s="2"/>
      <c r="D490" s="2"/>
      <c r="E490" s="2"/>
      <c r="F490" s="2"/>
      <c r="G490" s="2"/>
      <c r="I490" s="2"/>
    </row>
    <row r="491" spans="1:9" ht="12" customHeight="1" x14ac:dyDescent="0.2">
      <c r="A491" s="3"/>
      <c r="B491" s="2"/>
      <c r="C491" s="2"/>
      <c r="D491" s="2"/>
      <c r="E491" s="2"/>
      <c r="F491" s="2"/>
      <c r="G491" s="2"/>
      <c r="I491" s="2"/>
    </row>
    <row r="492" spans="1:9" ht="12" customHeight="1" x14ac:dyDescent="0.2">
      <c r="A492" s="3"/>
      <c r="B492" s="2"/>
      <c r="C492" s="2"/>
      <c r="D492" s="2"/>
      <c r="E492" s="2"/>
      <c r="F492" s="2"/>
      <c r="G492" s="2"/>
      <c r="I492" s="2"/>
    </row>
    <row r="493" spans="1:9" ht="12" customHeight="1" x14ac:dyDescent="0.2">
      <c r="A493" s="3"/>
      <c r="B493" s="2"/>
      <c r="C493" s="2"/>
      <c r="D493" s="2"/>
      <c r="E493" s="2"/>
      <c r="F493" s="2"/>
      <c r="G493" s="2"/>
      <c r="I493" s="2"/>
    </row>
    <row r="494" spans="1:9" ht="12" customHeight="1" x14ac:dyDescent="0.2">
      <c r="A494" s="3"/>
      <c r="B494" s="2"/>
      <c r="C494" s="2"/>
      <c r="D494" s="2"/>
      <c r="E494" s="2"/>
      <c r="F494" s="2"/>
      <c r="G494" s="2"/>
      <c r="I494" s="2"/>
    </row>
    <row r="495" spans="1:9" ht="12" customHeight="1" x14ac:dyDescent="0.2">
      <c r="A495" s="3"/>
      <c r="B495" s="2"/>
      <c r="C495" s="2"/>
      <c r="D495" s="2"/>
      <c r="E495" s="2"/>
      <c r="F495" s="2"/>
      <c r="G495" s="2"/>
      <c r="I495" s="2"/>
    </row>
    <row r="496" spans="1:9" ht="12" customHeight="1" x14ac:dyDescent="0.2">
      <c r="A496" s="3"/>
      <c r="B496" s="2"/>
      <c r="C496" s="2"/>
      <c r="D496" s="2"/>
      <c r="E496" s="2"/>
      <c r="F496" s="2"/>
      <c r="G496" s="2"/>
      <c r="I496" s="2"/>
    </row>
    <row r="497" spans="1:9" ht="12" customHeight="1" x14ac:dyDescent="0.2">
      <c r="A497" s="3"/>
      <c r="B497" s="2"/>
      <c r="C497" s="2"/>
      <c r="D497" s="2"/>
      <c r="E497" s="2"/>
      <c r="F497" s="2"/>
      <c r="G497" s="2"/>
      <c r="I497" s="2"/>
    </row>
    <row r="498" spans="1:9" ht="12" customHeight="1" x14ac:dyDescent="0.2">
      <c r="A498" s="3"/>
      <c r="B498" s="2"/>
      <c r="C498" s="2"/>
      <c r="D498" s="2"/>
      <c r="E498" s="2"/>
      <c r="F498" s="2"/>
      <c r="G498" s="2"/>
      <c r="I498" s="2"/>
    </row>
    <row r="499" spans="1:9" ht="12" customHeight="1" x14ac:dyDescent="0.2">
      <c r="A499" s="3"/>
      <c r="B499" s="2"/>
      <c r="C499" s="2"/>
      <c r="D499" s="2"/>
      <c r="E499" s="2"/>
      <c r="F499" s="2"/>
      <c r="G499" s="2"/>
      <c r="I499" s="2"/>
    </row>
    <row r="500" spans="1:9" ht="12" customHeight="1" x14ac:dyDescent="0.2">
      <c r="A500" s="3"/>
      <c r="B500" s="2"/>
      <c r="C500" s="2"/>
      <c r="D500" s="2"/>
      <c r="E500" s="2"/>
      <c r="F500" s="2"/>
      <c r="G500" s="2"/>
      <c r="I500" s="2"/>
    </row>
    <row r="501" spans="1:9" ht="12" customHeight="1" x14ac:dyDescent="0.2">
      <c r="A501" s="3"/>
      <c r="B501" s="2"/>
      <c r="C501" s="2"/>
      <c r="D501" s="2"/>
      <c r="E501" s="2"/>
      <c r="F501" s="2"/>
      <c r="G501" s="2"/>
      <c r="I501" s="2"/>
    </row>
    <row r="502" spans="1:9" ht="12" customHeight="1" x14ac:dyDescent="0.2">
      <c r="A502" s="3"/>
      <c r="B502" s="2"/>
      <c r="C502" s="2"/>
      <c r="D502" s="2"/>
      <c r="E502" s="2"/>
      <c r="F502" s="2"/>
      <c r="G502" s="2"/>
      <c r="I502" s="2"/>
    </row>
    <row r="503" spans="1:9" ht="12" customHeight="1" x14ac:dyDescent="0.2">
      <c r="A503" s="3"/>
      <c r="B503" s="2"/>
      <c r="C503" s="2"/>
      <c r="D503" s="2"/>
      <c r="E503" s="2"/>
      <c r="F503" s="2"/>
      <c r="G503" s="2"/>
      <c r="I503" s="2"/>
    </row>
    <row r="504" spans="1:9" ht="12" customHeight="1" x14ac:dyDescent="0.2">
      <c r="A504" s="3"/>
      <c r="B504" s="2"/>
      <c r="C504" s="2"/>
      <c r="D504" s="2"/>
      <c r="E504" s="2"/>
      <c r="F504" s="2"/>
      <c r="G504" s="2"/>
      <c r="I504" s="2"/>
    </row>
    <row r="505" spans="1:9" ht="12" customHeight="1" x14ac:dyDescent="0.2">
      <c r="A505" s="3"/>
      <c r="B505" s="2"/>
      <c r="C505" s="2"/>
      <c r="D505" s="2"/>
      <c r="E505" s="2"/>
      <c r="F505" s="2"/>
      <c r="G505" s="2"/>
      <c r="I505" s="2"/>
    </row>
    <row r="506" spans="1:9" ht="12" customHeight="1" x14ac:dyDescent="0.2">
      <c r="A506" s="3"/>
      <c r="B506" s="2"/>
      <c r="C506" s="2"/>
      <c r="D506" s="2"/>
      <c r="E506" s="2"/>
      <c r="F506" s="2"/>
      <c r="G506" s="2"/>
      <c r="I506" s="2"/>
    </row>
    <row r="507" spans="1:9" ht="12" customHeight="1" x14ac:dyDescent="0.2">
      <c r="A507" s="3"/>
      <c r="B507" s="2"/>
      <c r="C507" s="2"/>
      <c r="D507" s="2"/>
      <c r="E507" s="2"/>
      <c r="F507" s="2"/>
      <c r="G507" s="2"/>
      <c r="I507" s="2"/>
    </row>
    <row r="508" spans="1:9" ht="12" customHeight="1" x14ac:dyDescent="0.2">
      <c r="A508" s="3"/>
      <c r="B508" s="2"/>
      <c r="C508" s="2"/>
      <c r="D508" s="2"/>
      <c r="E508" s="2"/>
      <c r="F508" s="2"/>
      <c r="G508" s="2"/>
      <c r="I508" s="2"/>
    </row>
    <row r="509" spans="1:9" ht="12" customHeight="1" x14ac:dyDescent="0.2">
      <c r="A509" s="3"/>
      <c r="B509" s="2"/>
      <c r="C509" s="2"/>
      <c r="D509" s="2"/>
      <c r="E509" s="2"/>
      <c r="F509" s="2"/>
      <c r="G509" s="2"/>
      <c r="I509" s="2"/>
    </row>
    <row r="510" spans="1:9" ht="12" customHeight="1" x14ac:dyDescent="0.2">
      <c r="A510" s="3"/>
      <c r="B510" s="2"/>
      <c r="C510" s="2"/>
      <c r="D510" s="2"/>
      <c r="E510" s="2"/>
      <c r="F510" s="2"/>
      <c r="G510" s="2"/>
      <c r="I510" s="2"/>
    </row>
    <row r="511" spans="1:9" ht="12" customHeight="1" x14ac:dyDescent="0.2">
      <c r="A511" s="3"/>
      <c r="B511" s="2"/>
      <c r="C511" s="2"/>
      <c r="D511" s="2"/>
      <c r="E511" s="2"/>
      <c r="F511" s="2"/>
      <c r="G511" s="2"/>
      <c r="I511" s="2"/>
    </row>
    <row r="512" spans="1:9" ht="12" customHeight="1" x14ac:dyDescent="0.2">
      <c r="A512" s="3"/>
      <c r="B512" s="2"/>
      <c r="C512" s="2"/>
      <c r="D512" s="2"/>
      <c r="E512" s="2"/>
      <c r="F512" s="2"/>
      <c r="G512" s="2"/>
      <c r="I512" s="2"/>
    </row>
    <row r="513" spans="1:9" ht="12" customHeight="1" x14ac:dyDescent="0.2">
      <c r="A513" s="3"/>
      <c r="B513" s="2"/>
      <c r="C513" s="2"/>
      <c r="D513" s="2"/>
      <c r="E513" s="2"/>
      <c r="F513" s="2"/>
      <c r="G513" s="2"/>
      <c r="I513" s="2"/>
    </row>
    <row r="514" spans="1:9" ht="12" customHeight="1" x14ac:dyDescent="0.2">
      <c r="A514" s="3"/>
      <c r="B514" s="2"/>
      <c r="C514" s="2"/>
      <c r="D514" s="2"/>
      <c r="E514" s="2"/>
      <c r="F514" s="2"/>
      <c r="G514" s="2"/>
      <c r="I514" s="2"/>
    </row>
    <row r="515" spans="1:9" ht="12" customHeight="1" x14ac:dyDescent="0.2">
      <c r="A515" s="3"/>
      <c r="B515" s="2"/>
      <c r="C515" s="2"/>
      <c r="D515" s="2"/>
      <c r="E515" s="2"/>
      <c r="F515" s="2"/>
      <c r="G515" s="2"/>
      <c r="I515" s="2"/>
    </row>
    <row r="516" spans="1:9" ht="12" customHeight="1" x14ac:dyDescent="0.2">
      <c r="A516" s="3"/>
      <c r="B516" s="2"/>
      <c r="C516" s="2"/>
      <c r="D516" s="2"/>
      <c r="E516" s="2"/>
      <c r="F516" s="2"/>
      <c r="G516" s="2"/>
      <c r="I516" s="2"/>
    </row>
    <row r="517" spans="1:9" ht="12" customHeight="1" x14ac:dyDescent="0.2">
      <c r="A517" s="3"/>
      <c r="B517" s="2"/>
      <c r="C517" s="2"/>
      <c r="D517" s="2"/>
      <c r="E517" s="2"/>
      <c r="F517" s="2"/>
      <c r="G517" s="2"/>
      <c r="I517" s="2"/>
    </row>
    <row r="518" spans="1:9" ht="12" customHeight="1" x14ac:dyDescent="0.2">
      <c r="A518" s="3"/>
      <c r="B518" s="2"/>
      <c r="C518" s="2"/>
      <c r="D518" s="2"/>
      <c r="E518" s="2"/>
      <c r="F518" s="2"/>
      <c r="G518" s="2"/>
      <c r="I518" s="2"/>
    </row>
    <row r="519" spans="1:9" ht="12" customHeight="1" x14ac:dyDescent="0.2">
      <c r="A519" s="3"/>
      <c r="B519" s="2"/>
      <c r="C519" s="2"/>
      <c r="D519" s="2"/>
      <c r="E519" s="2"/>
      <c r="F519" s="2"/>
      <c r="G519" s="2"/>
      <c r="I519" s="2"/>
    </row>
    <row r="520" spans="1:9" ht="12" customHeight="1" x14ac:dyDescent="0.2">
      <c r="A520" s="3"/>
      <c r="B520" s="2"/>
      <c r="C520" s="2"/>
      <c r="D520" s="2"/>
      <c r="E520" s="2"/>
      <c r="F520" s="2"/>
      <c r="G520" s="2"/>
      <c r="I520" s="2"/>
    </row>
    <row r="521" spans="1:9" ht="12" customHeight="1" x14ac:dyDescent="0.2">
      <c r="A521" s="3"/>
      <c r="B521" s="2"/>
      <c r="C521" s="2"/>
      <c r="D521" s="2"/>
      <c r="E521" s="2"/>
      <c r="F521" s="2"/>
      <c r="G521" s="2"/>
      <c r="I521" s="2"/>
    </row>
    <row r="522" spans="1:9" ht="12" customHeight="1" x14ac:dyDescent="0.2">
      <c r="A522" s="3"/>
      <c r="B522" s="2"/>
      <c r="C522" s="2"/>
      <c r="D522" s="2"/>
      <c r="E522" s="2"/>
      <c r="F522" s="2"/>
      <c r="G522" s="2"/>
      <c r="I522" s="2"/>
    </row>
    <row r="523" spans="1:9" ht="12" customHeight="1" x14ac:dyDescent="0.2">
      <c r="A523" s="3"/>
      <c r="B523" s="2"/>
      <c r="C523" s="2"/>
      <c r="D523" s="2"/>
      <c r="E523" s="2"/>
      <c r="F523" s="2"/>
      <c r="G523" s="2"/>
      <c r="I523" s="2"/>
    </row>
    <row r="524" spans="1:9" ht="12" customHeight="1" x14ac:dyDescent="0.2">
      <c r="A524" s="3"/>
      <c r="B524" s="2"/>
      <c r="C524" s="2"/>
      <c r="D524" s="2"/>
      <c r="E524" s="2"/>
      <c r="F524" s="2"/>
      <c r="G524" s="2"/>
      <c r="I524" s="2"/>
    </row>
    <row r="525" spans="1:9" ht="12" customHeight="1" x14ac:dyDescent="0.2">
      <c r="A525" s="3"/>
      <c r="B525" s="2"/>
      <c r="C525" s="2"/>
      <c r="D525" s="2"/>
      <c r="E525" s="2"/>
      <c r="F525" s="2"/>
      <c r="G525" s="2"/>
      <c r="I525" s="2"/>
    </row>
    <row r="526" spans="1:9" ht="12" customHeight="1" x14ac:dyDescent="0.2">
      <c r="A526" s="3"/>
      <c r="B526" s="2"/>
      <c r="C526" s="2"/>
      <c r="D526" s="2"/>
      <c r="E526" s="2"/>
      <c r="F526" s="2"/>
      <c r="G526" s="2"/>
      <c r="I526" s="2"/>
    </row>
    <row r="527" spans="1:9" ht="12" customHeight="1" x14ac:dyDescent="0.2">
      <c r="A527" s="3"/>
      <c r="B527" s="2"/>
      <c r="C527" s="2"/>
      <c r="D527" s="2"/>
      <c r="E527" s="2"/>
      <c r="F527" s="2"/>
      <c r="G527" s="2"/>
      <c r="I527" s="2"/>
    </row>
    <row r="528" spans="1:9" ht="12" customHeight="1" x14ac:dyDescent="0.2">
      <c r="A528" s="3"/>
      <c r="B528" s="2"/>
      <c r="C528" s="2"/>
      <c r="D528" s="2"/>
      <c r="E528" s="2"/>
      <c r="F528" s="2"/>
      <c r="G528" s="2"/>
      <c r="I528" s="2"/>
    </row>
    <row r="529" spans="1:9" ht="12" customHeight="1" x14ac:dyDescent="0.2">
      <c r="A529" s="3"/>
      <c r="B529" s="2"/>
      <c r="C529" s="2"/>
      <c r="D529" s="2"/>
      <c r="E529" s="2"/>
      <c r="F529" s="2"/>
      <c r="G529" s="2"/>
      <c r="I529" s="2"/>
    </row>
    <row r="530" spans="1:9" ht="12" customHeight="1" x14ac:dyDescent="0.2">
      <c r="A530" s="3"/>
      <c r="B530" s="2"/>
      <c r="C530" s="2"/>
      <c r="D530" s="2"/>
      <c r="E530" s="2"/>
      <c r="F530" s="2"/>
      <c r="G530" s="2"/>
      <c r="I530" s="2"/>
    </row>
    <row r="531" spans="1:9" ht="12" customHeight="1" x14ac:dyDescent="0.2">
      <c r="A531" s="3"/>
      <c r="B531" s="2"/>
      <c r="C531" s="2"/>
      <c r="D531" s="2"/>
      <c r="E531" s="2"/>
      <c r="F531" s="2"/>
      <c r="G531" s="2"/>
      <c r="I531" s="2"/>
    </row>
    <row r="532" spans="1:9" ht="12" customHeight="1" x14ac:dyDescent="0.2">
      <c r="A532" s="3"/>
      <c r="B532" s="2"/>
      <c r="C532" s="2"/>
      <c r="D532" s="2"/>
      <c r="E532" s="2"/>
      <c r="F532" s="2"/>
      <c r="G532" s="2"/>
      <c r="I532" s="2"/>
    </row>
    <row r="533" spans="1:9" ht="12" customHeight="1" x14ac:dyDescent="0.2">
      <c r="A533" s="3"/>
      <c r="B533" s="2"/>
      <c r="C533" s="2"/>
      <c r="D533" s="2"/>
      <c r="E533" s="2"/>
      <c r="F533" s="2"/>
      <c r="G533" s="2"/>
      <c r="I533" s="2"/>
    </row>
    <row r="534" spans="1:9" ht="12" customHeight="1" x14ac:dyDescent="0.2">
      <c r="A534" s="3"/>
      <c r="B534" s="2"/>
      <c r="C534" s="2"/>
      <c r="D534" s="2"/>
      <c r="E534" s="2"/>
      <c r="F534" s="2"/>
      <c r="G534" s="2"/>
      <c r="I534" s="2"/>
    </row>
    <row r="535" spans="1:9" ht="12" customHeight="1" x14ac:dyDescent="0.2">
      <c r="A535" s="3"/>
      <c r="B535" s="2"/>
      <c r="C535" s="2"/>
      <c r="D535" s="2"/>
      <c r="E535" s="2"/>
      <c r="F535" s="2"/>
      <c r="G535" s="2"/>
      <c r="I535" s="2"/>
    </row>
    <row r="536" spans="1:9" ht="12" customHeight="1" x14ac:dyDescent="0.2">
      <c r="A536" s="3"/>
      <c r="B536" s="2"/>
      <c r="C536" s="2"/>
      <c r="D536" s="2"/>
      <c r="E536" s="2"/>
      <c r="F536" s="2"/>
      <c r="G536" s="2"/>
      <c r="I536" s="2"/>
    </row>
    <row r="537" spans="1:9" ht="12" customHeight="1" x14ac:dyDescent="0.2">
      <c r="A537" s="3"/>
      <c r="B537" s="2"/>
      <c r="C537" s="2"/>
      <c r="D537" s="2"/>
      <c r="E537" s="2"/>
      <c r="F537" s="2"/>
      <c r="G537" s="2"/>
      <c r="I537" s="2"/>
    </row>
    <row r="538" spans="1:9" ht="12" customHeight="1" x14ac:dyDescent="0.2">
      <c r="A538" s="3"/>
      <c r="B538" s="2"/>
      <c r="C538" s="2"/>
      <c r="D538" s="2"/>
      <c r="E538" s="2"/>
      <c r="F538" s="2"/>
      <c r="G538" s="2"/>
      <c r="I538" s="2"/>
    </row>
    <row r="539" spans="1:9" ht="12" customHeight="1" x14ac:dyDescent="0.2">
      <c r="A539" s="3"/>
      <c r="B539" s="2"/>
      <c r="C539" s="2"/>
      <c r="D539" s="2"/>
      <c r="E539" s="2"/>
      <c r="F539" s="2"/>
      <c r="G539" s="2"/>
      <c r="I539" s="2"/>
    </row>
    <row r="540" spans="1:9" ht="12" customHeight="1" x14ac:dyDescent="0.2">
      <c r="A540" s="3"/>
      <c r="B540" s="2"/>
      <c r="C540" s="2"/>
      <c r="D540" s="2"/>
      <c r="E540" s="2"/>
      <c r="F540" s="2"/>
      <c r="G540" s="2"/>
      <c r="I540" s="2"/>
    </row>
    <row r="541" spans="1:9" ht="12" customHeight="1" x14ac:dyDescent="0.2">
      <c r="A541" s="3"/>
      <c r="B541" s="2"/>
      <c r="C541" s="2"/>
      <c r="D541" s="2"/>
      <c r="E541" s="2"/>
      <c r="F541" s="2"/>
      <c r="G541" s="2"/>
      <c r="I541" s="2"/>
    </row>
    <row r="542" spans="1:9" ht="12" customHeight="1" x14ac:dyDescent="0.2">
      <c r="A542" s="3"/>
      <c r="B542" s="2"/>
      <c r="C542" s="2"/>
      <c r="D542" s="2"/>
      <c r="E542" s="2"/>
      <c r="F542" s="2"/>
      <c r="G542" s="2"/>
      <c r="I542" s="2"/>
    </row>
    <row r="543" spans="1:9" ht="12" customHeight="1" x14ac:dyDescent="0.2">
      <c r="A543" s="3"/>
      <c r="B543" s="2"/>
      <c r="C543" s="2"/>
      <c r="D543" s="2"/>
      <c r="E543" s="2"/>
      <c r="F543" s="2"/>
      <c r="G543" s="2"/>
      <c r="I543" s="2"/>
    </row>
    <row r="544" spans="1:9" ht="12" customHeight="1" x14ac:dyDescent="0.2">
      <c r="A544" s="3"/>
      <c r="B544" s="2"/>
      <c r="C544" s="2"/>
      <c r="D544" s="2"/>
      <c r="E544" s="2"/>
      <c r="F544" s="2"/>
      <c r="G544" s="2"/>
      <c r="I544" s="2"/>
    </row>
    <row r="545" spans="1:9" ht="12" customHeight="1" x14ac:dyDescent="0.2">
      <c r="A545" s="3"/>
      <c r="B545" s="2"/>
      <c r="C545" s="2"/>
      <c r="D545" s="2"/>
      <c r="E545" s="2"/>
      <c r="F545" s="2"/>
      <c r="G545" s="2"/>
      <c r="I545" s="2"/>
    </row>
    <row r="546" spans="1:9" ht="12" customHeight="1" x14ac:dyDescent="0.2">
      <c r="A546" s="3"/>
      <c r="B546" s="2"/>
      <c r="C546" s="2"/>
      <c r="D546" s="2"/>
      <c r="E546" s="2"/>
      <c r="F546" s="2"/>
      <c r="G546" s="2"/>
      <c r="I546" s="2"/>
    </row>
    <row r="547" spans="1:9" ht="12" customHeight="1" x14ac:dyDescent="0.2">
      <c r="A547" s="3"/>
      <c r="B547" s="2"/>
      <c r="C547" s="2"/>
      <c r="D547" s="2"/>
      <c r="E547" s="2"/>
      <c r="F547" s="2"/>
      <c r="G547" s="2"/>
      <c r="I547" s="2"/>
    </row>
    <row r="548" spans="1:9" ht="12" customHeight="1" x14ac:dyDescent="0.2">
      <c r="A548" s="3"/>
      <c r="B548" s="2"/>
      <c r="C548" s="2"/>
      <c r="D548" s="2"/>
      <c r="E548" s="2"/>
      <c r="F548" s="2"/>
      <c r="G548" s="2"/>
      <c r="I548" s="2"/>
    </row>
    <row r="549" spans="1:9" ht="12" customHeight="1" x14ac:dyDescent="0.2">
      <c r="A549" s="3"/>
      <c r="B549" s="2"/>
      <c r="C549" s="2"/>
      <c r="D549" s="2"/>
      <c r="E549" s="2"/>
      <c r="F549" s="2"/>
      <c r="G549" s="2"/>
      <c r="I549" s="2"/>
    </row>
    <row r="550" spans="1:9" ht="12" customHeight="1" x14ac:dyDescent="0.2">
      <c r="A550" s="3"/>
      <c r="B550" s="2"/>
      <c r="C550" s="2"/>
      <c r="D550" s="2"/>
      <c r="E550" s="2"/>
      <c r="F550" s="2"/>
      <c r="G550" s="2"/>
      <c r="I550" s="2"/>
    </row>
    <row r="551" spans="1:9" ht="12" customHeight="1" x14ac:dyDescent="0.2">
      <c r="A551" s="3"/>
      <c r="B551" s="2"/>
      <c r="C551" s="2"/>
      <c r="D551" s="2"/>
      <c r="E551" s="2"/>
      <c r="F551" s="2"/>
      <c r="G551" s="2"/>
      <c r="I551" s="2"/>
    </row>
    <row r="552" spans="1:9" ht="12" customHeight="1" x14ac:dyDescent="0.2">
      <c r="A552" s="3"/>
      <c r="B552" s="2"/>
      <c r="C552" s="2"/>
      <c r="D552" s="2"/>
      <c r="E552" s="2"/>
      <c r="F552" s="2"/>
      <c r="G552" s="2"/>
      <c r="I552" s="2"/>
    </row>
    <row r="553" spans="1:9" ht="12" customHeight="1" x14ac:dyDescent="0.2">
      <c r="A553" s="3"/>
      <c r="B553" s="2"/>
      <c r="C553" s="2"/>
      <c r="D553" s="2"/>
      <c r="E553" s="2"/>
      <c r="F553" s="2"/>
      <c r="G553" s="2"/>
      <c r="I553" s="2"/>
    </row>
    <row r="554" spans="1:9" ht="12" customHeight="1" x14ac:dyDescent="0.2">
      <c r="A554" s="3"/>
      <c r="B554" s="2"/>
      <c r="C554" s="2"/>
      <c r="D554" s="2"/>
      <c r="E554" s="2"/>
      <c r="F554" s="2"/>
      <c r="G554" s="2"/>
      <c r="I554" s="2"/>
    </row>
    <row r="555" spans="1:9" ht="12" customHeight="1" x14ac:dyDescent="0.2">
      <c r="A555" s="3"/>
      <c r="B555" s="2"/>
      <c r="C555" s="2"/>
      <c r="D555" s="2"/>
      <c r="E555" s="2"/>
      <c r="F555" s="2"/>
      <c r="G555" s="2"/>
      <c r="I555" s="2"/>
    </row>
    <row r="556" spans="1:9" ht="12" customHeight="1" x14ac:dyDescent="0.2">
      <c r="A556" s="3"/>
      <c r="B556" s="2"/>
      <c r="C556" s="2"/>
      <c r="D556" s="2"/>
      <c r="E556" s="2"/>
      <c r="F556" s="2"/>
      <c r="G556" s="2"/>
      <c r="I556" s="2"/>
    </row>
    <row r="557" spans="1:9" ht="12" customHeight="1" x14ac:dyDescent="0.2">
      <c r="A557" s="3"/>
      <c r="B557" s="2"/>
      <c r="C557" s="2"/>
      <c r="D557" s="2"/>
      <c r="E557" s="2"/>
      <c r="F557" s="2"/>
      <c r="G557" s="2"/>
      <c r="I557" s="2"/>
    </row>
    <row r="558" spans="1:9" ht="12" customHeight="1" x14ac:dyDescent="0.2">
      <c r="A558" s="3"/>
      <c r="B558" s="2"/>
      <c r="C558" s="2"/>
      <c r="D558" s="2"/>
      <c r="E558" s="2"/>
      <c r="F558" s="2"/>
      <c r="G558" s="2"/>
      <c r="I558" s="2"/>
    </row>
    <row r="559" spans="1:9" ht="12" customHeight="1" x14ac:dyDescent="0.2">
      <c r="A559" s="3"/>
      <c r="B559" s="2"/>
      <c r="C559" s="2"/>
      <c r="D559" s="2"/>
      <c r="E559" s="2"/>
      <c r="F559" s="2"/>
      <c r="G559" s="2"/>
      <c r="I559" s="2"/>
    </row>
    <row r="560" spans="1:9" ht="12" customHeight="1" x14ac:dyDescent="0.2">
      <c r="A560" s="3"/>
      <c r="B560" s="2"/>
      <c r="C560" s="2"/>
      <c r="D560" s="2"/>
      <c r="E560" s="2"/>
      <c r="F560" s="2"/>
      <c r="G560" s="2"/>
      <c r="I560" s="2"/>
    </row>
    <row r="561" spans="1:9" ht="12" customHeight="1" x14ac:dyDescent="0.2">
      <c r="A561" s="3"/>
      <c r="B561" s="2"/>
      <c r="C561" s="2"/>
      <c r="D561" s="2"/>
      <c r="E561" s="2"/>
      <c r="F561" s="2"/>
      <c r="G561" s="2"/>
      <c r="I561" s="2"/>
    </row>
    <row r="562" spans="1:9" ht="12" customHeight="1" x14ac:dyDescent="0.2">
      <c r="A562" s="3"/>
      <c r="B562" s="2"/>
      <c r="C562" s="2"/>
      <c r="D562" s="2"/>
      <c r="E562" s="2"/>
      <c r="F562" s="2"/>
      <c r="G562" s="2"/>
      <c r="I562" s="2"/>
    </row>
    <row r="563" spans="1:9" ht="12" customHeight="1" x14ac:dyDescent="0.2">
      <c r="A563" s="3"/>
      <c r="B563" s="2"/>
      <c r="C563" s="2"/>
      <c r="D563" s="2"/>
      <c r="E563" s="2"/>
      <c r="F563" s="2"/>
      <c r="G563" s="2"/>
      <c r="I563" s="2"/>
    </row>
    <row r="564" spans="1:9" ht="12" customHeight="1" x14ac:dyDescent="0.2">
      <c r="A564" s="3"/>
      <c r="B564" s="2"/>
      <c r="C564" s="2"/>
      <c r="D564" s="2"/>
      <c r="E564" s="2"/>
      <c r="F564" s="2"/>
      <c r="G564" s="2"/>
      <c r="I564" s="2"/>
    </row>
    <row r="565" spans="1:9" ht="12" customHeight="1" x14ac:dyDescent="0.2">
      <c r="A565" s="3"/>
      <c r="B565" s="2"/>
      <c r="C565" s="2"/>
      <c r="D565" s="2"/>
      <c r="E565" s="2"/>
      <c r="F565" s="2"/>
      <c r="G565" s="2"/>
      <c r="I565" s="2"/>
    </row>
    <row r="566" spans="1:9" ht="12" customHeight="1" x14ac:dyDescent="0.2">
      <c r="A566" s="3"/>
      <c r="B566" s="2"/>
      <c r="C566" s="2"/>
      <c r="D566" s="2"/>
      <c r="E566" s="2"/>
      <c r="F566" s="2"/>
      <c r="G566" s="2"/>
      <c r="I566" s="2"/>
    </row>
    <row r="567" spans="1:9" ht="12" customHeight="1" x14ac:dyDescent="0.2">
      <c r="A567" s="3"/>
      <c r="B567" s="2"/>
      <c r="C567" s="2"/>
      <c r="D567" s="2"/>
      <c r="E567" s="2"/>
      <c r="F567" s="2"/>
      <c r="G567" s="2"/>
      <c r="I567" s="2"/>
    </row>
    <row r="568" spans="1:9" ht="12" customHeight="1" x14ac:dyDescent="0.2">
      <c r="A568" s="3"/>
      <c r="B568" s="2"/>
      <c r="C568" s="2"/>
      <c r="D568" s="2"/>
      <c r="E568" s="2"/>
      <c r="F568" s="2"/>
      <c r="G568" s="2"/>
      <c r="I568" s="2"/>
    </row>
    <row r="569" spans="1:9" ht="12" customHeight="1" x14ac:dyDescent="0.2">
      <c r="A569" s="3"/>
      <c r="B569" s="2"/>
      <c r="C569" s="2"/>
      <c r="D569" s="2"/>
      <c r="E569" s="2"/>
      <c r="F569" s="2"/>
      <c r="G569" s="2"/>
      <c r="I569" s="2"/>
    </row>
    <row r="570" spans="1:9" ht="12" customHeight="1" x14ac:dyDescent="0.2">
      <c r="A570" s="3"/>
      <c r="B570" s="2"/>
      <c r="C570" s="2"/>
      <c r="D570" s="2"/>
      <c r="E570" s="2"/>
      <c r="F570" s="2"/>
      <c r="G570" s="2"/>
      <c r="I570" s="2"/>
    </row>
    <row r="571" spans="1:9" ht="12" customHeight="1" x14ac:dyDescent="0.2">
      <c r="A571" s="3"/>
      <c r="B571" s="2"/>
      <c r="C571" s="2"/>
      <c r="D571" s="2"/>
      <c r="E571" s="2"/>
      <c r="F571" s="2"/>
      <c r="G571" s="2"/>
      <c r="I571" s="2"/>
    </row>
    <row r="572" spans="1:9" ht="12" customHeight="1" x14ac:dyDescent="0.2">
      <c r="A572" s="3"/>
      <c r="B572" s="2"/>
      <c r="C572" s="2"/>
      <c r="D572" s="2"/>
      <c r="E572" s="2"/>
      <c r="F572" s="2"/>
      <c r="G572" s="2"/>
      <c r="I572" s="2"/>
    </row>
    <row r="573" spans="1:9" ht="12" customHeight="1" x14ac:dyDescent="0.2">
      <c r="A573" s="3"/>
      <c r="B573" s="2"/>
      <c r="C573" s="2"/>
      <c r="D573" s="2"/>
      <c r="E573" s="2"/>
      <c r="F573" s="2"/>
      <c r="G573" s="2"/>
      <c r="I573" s="2"/>
    </row>
    <row r="574" spans="1:9" ht="12" customHeight="1" x14ac:dyDescent="0.2">
      <c r="A574" s="3"/>
      <c r="B574" s="2"/>
      <c r="C574" s="2"/>
      <c r="D574" s="2"/>
      <c r="E574" s="2"/>
      <c r="F574" s="2"/>
      <c r="G574" s="2"/>
      <c r="I574" s="2"/>
    </row>
    <row r="575" spans="1:9" ht="12" customHeight="1" x14ac:dyDescent="0.2">
      <c r="A575" s="3"/>
      <c r="B575" s="2"/>
      <c r="C575" s="2"/>
      <c r="D575" s="2"/>
      <c r="E575" s="2"/>
      <c r="F575" s="2"/>
      <c r="G575" s="2"/>
      <c r="I575" s="2"/>
    </row>
    <row r="576" spans="1:9" ht="12" customHeight="1" x14ac:dyDescent="0.2">
      <c r="A576" s="3"/>
      <c r="B576" s="2"/>
      <c r="C576" s="2"/>
      <c r="D576" s="2"/>
      <c r="E576" s="2"/>
      <c r="F576" s="2"/>
      <c r="G576" s="2"/>
      <c r="I576" s="2"/>
    </row>
    <row r="577" spans="1:9" ht="12" customHeight="1" x14ac:dyDescent="0.2">
      <c r="A577" s="3"/>
      <c r="B577" s="2"/>
      <c r="C577" s="2"/>
      <c r="D577" s="2"/>
      <c r="E577" s="2"/>
      <c r="F577" s="2"/>
      <c r="G577" s="2"/>
      <c r="I577" s="2"/>
    </row>
    <row r="578" spans="1:9" ht="12" customHeight="1" x14ac:dyDescent="0.2">
      <c r="A578" s="3"/>
      <c r="B578" s="2"/>
      <c r="C578" s="2"/>
      <c r="D578" s="2"/>
      <c r="E578" s="2"/>
      <c r="F578" s="2"/>
      <c r="G578" s="2"/>
      <c r="I578" s="2"/>
    </row>
    <row r="579" spans="1:9" ht="12" customHeight="1" x14ac:dyDescent="0.2">
      <c r="A579" s="3"/>
      <c r="B579" s="2"/>
      <c r="C579" s="2"/>
      <c r="D579" s="2"/>
      <c r="E579" s="2"/>
      <c r="F579" s="2"/>
      <c r="G579" s="2"/>
      <c r="I579" s="2"/>
    </row>
    <row r="580" spans="1:9" ht="12" customHeight="1" x14ac:dyDescent="0.2">
      <c r="A580" s="3"/>
      <c r="B580" s="2"/>
      <c r="C580" s="2"/>
      <c r="D580" s="2"/>
      <c r="E580" s="2"/>
      <c r="F580" s="2"/>
      <c r="G580" s="2"/>
      <c r="I580" s="2"/>
    </row>
    <row r="581" spans="1:9" ht="12" customHeight="1" x14ac:dyDescent="0.2">
      <c r="A581" s="3"/>
      <c r="B581" s="2"/>
      <c r="C581" s="2"/>
      <c r="D581" s="2"/>
      <c r="E581" s="2"/>
      <c r="F581" s="2"/>
      <c r="G581" s="2"/>
      <c r="I581" s="2"/>
    </row>
    <row r="582" spans="1:9" ht="12" customHeight="1" x14ac:dyDescent="0.2">
      <c r="A582" s="3"/>
      <c r="B582" s="2"/>
      <c r="C582" s="2"/>
      <c r="D582" s="2"/>
      <c r="E582" s="2"/>
      <c r="F582" s="2"/>
      <c r="G582" s="2"/>
      <c r="I582" s="2"/>
    </row>
    <row r="583" spans="1:9" ht="12" customHeight="1" x14ac:dyDescent="0.2">
      <c r="A583" s="3"/>
      <c r="B583" s="2"/>
      <c r="C583" s="2"/>
      <c r="D583" s="2"/>
      <c r="E583" s="2"/>
      <c r="F583" s="2"/>
      <c r="G583" s="2"/>
      <c r="I583" s="2"/>
    </row>
    <row r="584" spans="1:9" ht="12" customHeight="1" x14ac:dyDescent="0.2">
      <c r="A584" s="3"/>
      <c r="B584" s="2"/>
      <c r="C584" s="2"/>
      <c r="D584" s="2"/>
      <c r="E584" s="2"/>
      <c r="F584" s="2"/>
      <c r="G584" s="2"/>
      <c r="I584" s="2"/>
    </row>
    <row r="585" spans="1:9" ht="12" customHeight="1" x14ac:dyDescent="0.2">
      <c r="A585" s="3"/>
      <c r="B585" s="2"/>
      <c r="C585" s="2"/>
      <c r="D585" s="2"/>
      <c r="E585" s="2"/>
      <c r="F585" s="2"/>
      <c r="G585" s="2"/>
      <c r="I585" s="2"/>
    </row>
    <row r="586" spans="1:9" ht="12" customHeight="1" x14ac:dyDescent="0.2">
      <c r="A586" s="3"/>
      <c r="B586" s="2"/>
      <c r="C586" s="2"/>
      <c r="D586" s="2"/>
      <c r="E586" s="2"/>
      <c r="F586" s="2"/>
      <c r="G586" s="2"/>
      <c r="I586" s="2"/>
    </row>
    <row r="587" spans="1:9" ht="12" customHeight="1" x14ac:dyDescent="0.2">
      <c r="A587" s="3"/>
      <c r="B587" s="2"/>
      <c r="C587" s="2"/>
      <c r="D587" s="2"/>
      <c r="E587" s="2"/>
      <c r="F587" s="2"/>
      <c r="G587" s="2"/>
      <c r="I587" s="2"/>
    </row>
    <row r="588" spans="1:9" ht="12" customHeight="1" x14ac:dyDescent="0.2">
      <c r="A588" s="3"/>
      <c r="B588" s="2"/>
      <c r="C588" s="2"/>
      <c r="D588" s="2"/>
      <c r="E588" s="2"/>
      <c r="F588" s="2"/>
      <c r="G588" s="2"/>
      <c r="I588" s="2"/>
    </row>
    <row r="589" spans="1:9" ht="12" customHeight="1" x14ac:dyDescent="0.2">
      <c r="A589" s="3"/>
      <c r="B589" s="2"/>
      <c r="C589" s="2"/>
      <c r="D589" s="2"/>
      <c r="E589" s="2"/>
      <c r="F589" s="2"/>
      <c r="G589" s="2"/>
      <c r="I589" s="2"/>
    </row>
    <row r="590" spans="1:9" ht="12" customHeight="1" x14ac:dyDescent="0.2">
      <c r="A590" s="3"/>
      <c r="B590" s="2"/>
      <c r="C590" s="2"/>
      <c r="D590" s="2"/>
      <c r="E590" s="2"/>
      <c r="F590" s="2"/>
      <c r="G590" s="2"/>
      <c r="I590" s="2"/>
    </row>
    <row r="591" spans="1:9" ht="12" customHeight="1" x14ac:dyDescent="0.2">
      <c r="A591" s="3"/>
      <c r="B591" s="2"/>
      <c r="C591" s="2"/>
      <c r="D591" s="2"/>
      <c r="E591" s="2"/>
      <c r="F591" s="2"/>
      <c r="G591" s="2"/>
      <c r="I591" s="2"/>
    </row>
    <row r="592" spans="1:9" ht="12" customHeight="1" x14ac:dyDescent="0.2">
      <c r="A592" s="3"/>
      <c r="B592" s="2"/>
      <c r="C592" s="2"/>
      <c r="D592" s="2"/>
      <c r="E592" s="2"/>
      <c r="F592" s="2"/>
      <c r="G592" s="2"/>
      <c r="I592" s="2"/>
    </row>
    <row r="593" spans="1:9" ht="12" customHeight="1" x14ac:dyDescent="0.2">
      <c r="A593" s="3"/>
      <c r="B593" s="2"/>
      <c r="C593" s="2"/>
      <c r="D593" s="2"/>
      <c r="E593" s="2"/>
      <c r="F593" s="2"/>
      <c r="G593" s="2"/>
      <c r="I593" s="2"/>
    </row>
    <row r="594" spans="1:9" ht="12" customHeight="1" x14ac:dyDescent="0.2">
      <c r="A594" s="3"/>
      <c r="B594" s="2"/>
      <c r="C594" s="2"/>
      <c r="D594" s="2"/>
      <c r="E594" s="2"/>
      <c r="F594" s="2"/>
      <c r="G594" s="2"/>
      <c r="I594" s="2"/>
    </row>
    <row r="595" spans="1:9" ht="12" customHeight="1" x14ac:dyDescent="0.2">
      <c r="A595" s="3"/>
      <c r="B595" s="2"/>
      <c r="C595" s="2"/>
      <c r="D595" s="2"/>
      <c r="E595" s="2"/>
      <c r="F595" s="2"/>
      <c r="G595" s="2"/>
      <c r="I595" s="2"/>
    </row>
    <row r="596" spans="1:9" ht="12" customHeight="1" x14ac:dyDescent="0.2">
      <c r="A596" s="3"/>
      <c r="B596" s="2"/>
      <c r="C596" s="2"/>
      <c r="D596" s="2"/>
      <c r="E596" s="2"/>
      <c r="F596" s="2"/>
      <c r="G596" s="2"/>
      <c r="I596" s="2"/>
    </row>
    <row r="597" spans="1:9" ht="12" customHeight="1" x14ac:dyDescent="0.2">
      <c r="A597" s="3"/>
      <c r="B597" s="2"/>
      <c r="C597" s="2"/>
      <c r="D597" s="2"/>
      <c r="E597" s="2"/>
      <c r="F597" s="2"/>
      <c r="G597" s="2"/>
      <c r="I597" s="2"/>
    </row>
    <row r="598" spans="1:9" ht="12" customHeight="1" x14ac:dyDescent="0.2">
      <c r="A598" s="3"/>
      <c r="B598" s="2"/>
      <c r="C598" s="2"/>
      <c r="D598" s="2"/>
      <c r="E598" s="2"/>
      <c r="F598" s="2"/>
      <c r="G598" s="2"/>
      <c r="I598" s="2"/>
    </row>
    <row r="599" spans="1:9" ht="12" customHeight="1" x14ac:dyDescent="0.2">
      <c r="A599" s="3"/>
      <c r="B599" s="2"/>
      <c r="C599" s="2"/>
      <c r="D599" s="2"/>
      <c r="E599" s="2"/>
      <c r="F599" s="2"/>
      <c r="G599" s="2"/>
      <c r="I599" s="2"/>
    </row>
    <row r="600" spans="1:9" ht="12" customHeight="1" x14ac:dyDescent="0.2">
      <c r="A600" s="3"/>
      <c r="B600" s="2"/>
      <c r="C600" s="2"/>
      <c r="D600" s="2"/>
      <c r="E600" s="2"/>
      <c r="F600" s="2"/>
      <c r="G600" s="2"/>
      <c r="I600" s="2"/>
    </row>
    <row r="601" spans="1:9" ht="12" customHeight="1" x14ac:dyDescent="0.2">
      <c r="A601" s="3"/>
      <c r="B601" s="2"/>
      <c r="C601" s="2"/>
      <c r="D601" s="2"/>
      <c r="E601" s="2"/>
      <c r="F601" s="2"/>
      <c r="G601" s="2"/>
      <c r="I601" s="2"/>
    </row>
    <row r="602" spans="1:9" ht="12" customHeight="1" x14ac:dyDescent="0.2">
      <c r="A602" s="3"/>
      <c r="B602" s="2"/>
      <c r="C602" s="2"/>
      <c r="D602" s="2"/>
      <c r="E602" s="2"/>
      <c r="F602" s="2"/>
      <c r="G602" s="2"/>
      <c r="I602" s="2"/>
    </row>
    <row r="603" spans="1:9" ht="12" customHeight="1" x14ac:dyDescent="0.2">
      <c r="A603" s="3"/>
      <c r="B603" s="2"/>
      <c r="C603" s="2"/>
      <c r="D603" s="2"/>
      <c r="E603" s="2"/>
      <c r="F603" s="2"/>
      <c r="G603" s="2"/>
      <c r="I603" s="2"/>
    </row>
    <row r="604" spans="1:9" ht="12" customHeight="1" x14ac:dyDescent="0.2">
      <c r="A604" s="3"/>
      <c r="B604" s="2"/>
      <c r="C604" s="2"/>
      <c r="D604" s="2"/>
      <c r="E604" s="2"/>
      <c r="F604" s="2"/>
      <c r="G604" s="2"/>
      <c r="I604" s="2"/>
    </row>
    <row r="605" spans="1:9" ht="12" customHeight="1" x14ac:dyDescent="0.2">
      <c r="A605" s="3"/>
      <c r="B605" s="2"/>
      <c r="C605" s="2"/>
      <c r="D605" s="2"/>
      <c r="E605" s="2"/>
      <c r="F605" s="2"/>
      <c r="G605" s="2"/>
      <c r="I605" s="2"/>
    </row>
    <row r="606" spans="1:9" ht="12" customHeight="1" x14ac:dyDescent="0.2">
      <c r="A606" s="3"/>
      <c r="B606" s="2"/>
      <c r="C606" s="2"/>
      <c r="D606" s="2"/>
      <c r="E606" s="2"/>
      <c r="F606" s="2"/>
      <c r="G606" s="2"/>
      <c r="I606" s="2"/>
    </row>
    <row r="607" spans="1:9" ht="12" customHeight="1" x14ac:dyDescent="0.2">
      <c r="A607" s="3"/>
      <c r="B607" s="2"/>
      <c r="C607" s="2"/>
      <c r="D607" s="2"/>
      <c r="E607" s="2"/>
      <c r="F607" s="2"/>
      <c r="G607" s="2"/>
      <c r="I607" s="2"/>
    </row>
    <row r="608" spans="1:9" ht="12" customHeight="1" x14ac:dyDescent="0.2">
      <c r="A608" s="3"/>
      <c r="B608" s="2"/>
      <c r="C608" s="2"/>
      <c r="D608" s="2"/>
      <c r="E608" s="2"/>
      <c r="F608" s="2"/>
      <c r="G608" s="2"/>
      <c r="I608" s="2"/>
    </row>
    <row r="609" spans="1:9" ht="12" customHeight="1" x14ac:dyDescent="0.2">
      <c r="A609" s="3"/>
      <c r="B609" s="2"/>
      <c r="C609" s="2"/>
      <c r="D609" s="2"/>
      <c r="E609" s="2"/>
      <c r="F609" s="2"/>
      <c r="G609" s="2"/>
      <c r="I609" s="2"/>
    </row>
    <row r="610" spans="1:9" ht="12" customHeight="1" x14ac:dyDescent="0.2">
      <c r="A610" s="3"/>
      <c r="B610" s="2"/>
      <c r="C610" s="2"/>
      <c r="D610" s="2"/>
      <c r="E610" s="2"/>
      <c r="F610" s="2"/>
      <c r="G610" s="2"/>
      <c r="I610" s="2"/>
    </row>
    <row r="611" spans="1:9" ht="12" customHeight="1" x14ac:dyDescent="0.2">
      <c r="A611" s="3"/>
      <c r="B611" s="2"/>
      <c r="C611" s="2"/>
      <c r="D611" s="2"/>
      <c r="E611" s="2"/>
      <c r="F611" s="2"/>
      <c r="G611" s="2"/>
      <c r="I611" s="2"/>
    </row>
    <row r="612" spans="1:9" ht="12" customHeight="1" x14ac:dyDescent="0.2">
      <c r="A612" s="3"/>
      <c r="B612" s="2"/>
      <c r="C612" s="2"/>
      <c r="D612" s="2"/>
      <c r="E612" s="2"/>
      <c r="F612" s="2"/>
      <c r="G612" s="2"/>
      <c r="I612" s="2"/>
    </row>
    <row r="613" spans="1:9" ht="12" customHeight="1" x14ac:dyDescent="0.2">
      <c r="A613" s="3"/>
      <c r="B613" s="2"/>
      <c r="C613" s="2"/>
      <c r="D613" s="2"/>
      <c r="E613" s="2"/>
      <c r="F613" s="2"/>
      <c r="G613" s="2"/>
      <c r="I613" s="2"/>
    </row>
    <row r="614" spans="1:9" ht="12" customHeight="1" x14ac:dyDescent="0.2">
      <c r="A614" s="3"/>
      <c r="B614" s="2"/>
      <c r="C614" s="2"/>
      <c r="D614" s="2"/>
      <c r="E614" s="2"/>
      <c r="F614" s="2"/>
      <c r="G614" s="2"/>
      <c r="I614" s="2"/>
    </row>
    <row r="615" spans="1:9" ht="12" customHeight="1" x14ac:dyDescent="0.2">
      <c r="A615" s="3"/>
      <c r="B615" s="2"/>
      <c r="C615" s="2"/>
      <c r="D615" s="2"/>
      <c r="E615" s="2"/>
      <c r="F615" s="2"/>
      <c r="G615" s="2"/>
      <c r="I615" s="2"/>
    </row>
    <row r="616" spans="1:9" ht="12" customHeight="1" x14ac:dyDescent="0.2">
      <c r="A616" s="3"/>
      <c r="B616" s="2"/>
      <c r="C616" s="2"/>
      <c r="D616" s="2"/>
      <c r="E616" s="2"/>
      <c r="F616" s="2"/>
      <c r="G616" s="2"/>
      <c r="I616" s="2"/>
    </row>
    <row r="617" spans="1:9" ht="12" customHeight="1" x14ac:dyDescent="0.2">
      <c r="A617" s="3"/>
      <c r="B617" s="2"/>
      <c r="C617" s="2"/>
      <c r="D617" s="2"/>
      <c r="E617" s="2"/>
      <c r="F617" s="2"/>
      <c r="G617" s="2"/>
      <c r="I617" s="2"/>
    </row>
    <row r="618" spans="1:9" ht="12" customHeight="1" x14ac:dyDescent="0.2">
      <c r="A618" s="3"/>
      <c r="B618" s="2"/>
      <c r="C618" s="2"/>
      <c r="D618" s="2"/>
      <c r="E618" s="2"/>
      <c r="F618" s="2"/>
      <c r="G618" s="2"/>
      <c r="I618" s="2"/>
    </row>
    <row r="619" spans="1:9" ht="12" customHeight="1" x14ac:dyDescent="0.2">
      <c r="A619" s="3"/>
      <c r="B619" s="2"/>
      <c r="C619" s="2"/>
      <c r="D619" s="2"/>
      <c r="E619" s="2"/>
      <c r="F619" s="2"/>
      <c r="G619" s="2"/>
      <c r="I619" s="2"/>
    </row>
    <row r="620" spans="1:9" ht="12" customHeight="1" x14ac:dyDescent="0.2">
      <c r="A620" s="3"/>
      <c r="B620" s="2"/>
      <c r="C620" s="2"/>
      <c r="D620" s="2"/>
      <c r="E620" s="2"/>
      <c r="F620" s="2"/>
      <c r="G620" s="2"/>
      <c r="I620" s="2"/>
    </row>
    <row r="621" spans="1:9" ht="12" customHeight="1" x14ac:dyDescent="0.2">
      <c r="A621" s="3"/>
      <c r="B621" s="2"/>
      <c r="C621" s="2"/>
      <c r="D621" s="2"/>
      <c r="E621" s="2"/>
      <c r="F621" s="2"/>
      <c r="G621" s="2"/>
      <c r="I621" s="2"/>
    </row>
    <row r="622" spans="1:9" ht="12" customHeight="1" x14ac:dyDescent="0.2">
      <c r="A622" s="3"/>
      <c r="B622" s="2"/>
      <c r="C622" s="2"/>
      <c r="D622" s="2"/>
      <c r="E622" s="2"/>
      <c r="F622" s="2"/>
      <c r="G622" s="2"/>
      <c r="I622" s="2"/>
    </row>
    <row r="623" spans="1:9" ht="12" customHeight="1" x14ac:dyDescent="0.2">
      <c r="A623" s="3"/>
      <c r="B623" s="2"/>
      <c r="C623" s="2"/>
      <c r="D623" s="2"/>
      <c r="E623" s="2"/>
      <c r="F623" s="2"/>
      <c r="G623" s="2"/>
      <c r="I623" s="2"/>
    </row>
    <row r="624" spans="1:9" ht="12" customHeight="1" x14ac:dyDescent="0.2">
      <c r="A624" s="3"/>
      <c r="B624" s="2"/>
      <c r="C624" s="2"/>
      <c r="D624" s="2"/>
      <c r="E624" s="2"/>
      <c r="F624" s="2"/>
      <c r="G624" s="2"/>
      <c r="I624" s="2"/>
    </row>
    <row r="625" spans="1:9" ht="12" customHeight="1" x14ac:dyDescent="0.2">
      <c r="A625" s="3"/>
      <c r="B625" s="2"/>
      <c r="C625" s="2"/>
      <c r="D625" s="2"/>
      <c r="E625" s="2"/>
      <c r="F625" s="2"/>
      <c r="G625" s="2"/>
      <c r="I625" s="2"/>
    </row>
    <row r="626" spans="1:9" ht="12" customHeight="1" x14ac:dyDescent="0.2">
      <c r="A626" s="3"/>
      <c r="B626" s="2"/>
      <c r="C626" s="2"/>
      <c r="D626" s="2"/>
      <c r="E626" s="2"/>
      <c r="F626" s="2"/>
      <c r="G626" s="2"/>
      <c r="I626" s="2"/>
    </row>
    <row r="627" spans="1:9" ht="12" customHeight="1" x14ac:dyDescent="0.2">
      <c r="A627" s="3"/>
      <c r="B627" s="2"/>
      <c r="C627" s="2"/>
      <c r="D627" s="2"/>
      <c r="E627" s="2"/>
      <c r="F627" s="2"/>
      <c r="G627" s="2"/>
      <c r="I627" s="2"/>
    </row>
    <row r="628" spans="1:9" ht="12" customHeight="1" x14ac:dyDescent="0.2">
      <c r="A628" s="3"/>
      <c r="B628" s="2"/>
      <c r="C628" s="2"/>
      <c r="D628" s="2"/>
      <c r="E628" s="2"/>
      <c r="F628" s="2"/>
      <c r="G628" s="2"/>
      <c r="I628" s="2"/>
    </row>
    <row r="629" spans="1:9" ht="12" customHeight="1" x14ac:dyDescent="0.2">
      <c r="A629" s="3"/>
      <c r="B629" s="2"/>
      <c r="C629" s="2"/>
      <c r="D629" s="2"/>
      <c r="E629" s="2"/>
      <c r="F629" s="2"/>
      <c r="G629" s="2"/>
      <c r="I629" s="2"/>
    </row>
    <row r="630" spans="1:9" ht="12" customHeight="1" x14ac:dyDescent="0.2">
      <c r="A630" s="3"/>
      <c r="B630" s="2"/>
      <c r="C630" s="2"/>
      <c r="D630" s="2"/>
      <c r="E630" s="2"/>
      <c r="F630" s="2"/>
      <c r="G630" s="2"/>
      <c r="I630" s="2"/>
    </row>
    <row r="631" spans="1:9" ht="12" customHeight="1" x14ac:dyDescent="0.2">
      <c r="A631" s="3"/>
      <c r="B631" s="2"/>
      <c r="C631" s="2"/>
      <c r="D631" s="2"/>
      <c r="E631" s="2"/>
      <c r="F631" s="2"/>
      <c r="G631" s="2"/>
      <c r="I631" s="2"/>
    </row>
    <row r="632" spans="1:9" ht="12" customHeight="1" x14ac:dyDescent="0.2">
      <c r="A632" s="3"/>
      <c r="B632" s="2"/>
      <c r="C632" s="2"/>
      <c r="D632" s="2"/>
      <c r="E632" s="2"/>
      <c r="F632" s="2"/>
      <c r="G632" s="2"/>
      <c r="I632" s="2"/>
    </row>
    <row r="633" spans="1:9" ht="12" customHeight="1" x14ac:dyDescent="0.2">
      <c r="A633" s="3"/>
      <c r="B633" s="2"/>
      <c r="C633" s="2"/>
      <c r="D633" s="2"/>
      <c r="E633" s="2"/>
      <c r="F633" s="2"/>
      <c r="G633" s="2"/>
      <c r="I633" s="2"/>
    </row>
    <row r="634" spans="1:9" ht="12" customHeight="1" x14ac:dyDescent="0.2">
      <c r="A634" s="3"/>
      <c r="B634" s="2"/>
      <c r="C634" s="2"/>
      <c r="D634" s="2"/>
      <c r="E634" s="2"/>
      <c r="F634" s="2"/>
      <c r="G634" s="2"/>
      <c r="I634" s="2"/>
    </row>
    <row r="635" spans="1:9" ht="12" customHeight="1" x14ac:dyDescent="0.2">
      <c r="A635" s="3"/>
      <c r="B635" s="2"/>
      <c r="C635" s="2"/>
      <c r="D635" s="2"/>
      <c r="E635" s="2"/>
      <c r="F635" s="2"/>
      <c r="G635" s="2"/>
      <c r="I635" s="2"/>
    </row>
    <row r="636" spans="1:9" ht="12" customHeight="1" x14ac:dyDescent="0.2">
      <c r="A636" s="3"/>
      <c r="B636" s="2"/>
      <c r="C636" s="2"/>
      <c r="D636" s="2"/>
      <c r="E636" s="2"/>
      <c r="F636" s="2"/>
      <c r="G636" s="2"/>
      <c r="I636" s="2"/>
    </row>
    <row r="637" spans="1:9" ht="12" customHeight="1" x14ac:dyDescent="0.2">
      <c r="A637" s="3"/>
      <c r="B637" s="2"/>
      <c r="C637" s="2"/>
      <c r="D637" s="2"/>
      <c r="E637" s="2"/>
      <c r="F637" s="2"/>
      <c r="G637" s="2"/>
      <c r="I637" s="2"/>
    </row>
    <row r="638" spans="1:9" ht="12" customHeight="1" x14ac:dyDescent="0.2">
      <c r="A638" s="3"/>
      <c r="B638" s="2"/>
      <c r="C638" s="2"/>
      <c r="D638" s="2"/>
      <c r="E638" s="2"/>
      <c r="F638" s="2"/>
      <c r="G638" s="2"/>
      <c r="I638" s="2"/>
    </row>
    <row r="639" spans="1:9" ht="12" customHeight="1" x14ac:dyDescent="0.2">
      <c r="A639" s="3"/>
      <c r="B639" s="2"/>
      <c r="C639" s="2"/>
      <c r="D639" s="2"/>
      <c r="E639" s="2"/>
      <c r="F639" s="2"/>
      <c r="G639" s="2"/>
      <c r="I639" s="2"/>
    </row>
    <row r="640" spans="1:9" ht="12" customHeight="1" x14ac:dyDescent="0.2">
      <c r="A640" s="3"/>
      <c r="B640" s="2"/>
      <c r="C640" s="2"/>
      <c r="D640" s="2"/>
      <c r="E640" s="2"/>
      <c r="F640" s="2"/>
      <c r="G640" s="2"/>
      <c r="I640" s="2"/>
    </row>
    <row r="641" spans="1:9" ht="12" customHeight="1" x14ac:dyDescent="0.2">
      <c r="A641" s="3"/>
      <c r="B641" s="2"/>
      <c r="C641" s="2"/>
      <c r="D641" s="2"/>
      <c r="E641" s="2"/>
      <c r="F641" s="2"/>
      <c r="G641" s="2"/>
      <c r="I641" s="2"/>
    </row>
    <row r="642" spans="1:9" ht="12" customHeight="1" x14ac:dyDescent="0.2">
      <c r="A642" s="3"/>
      <c r="B642" s="2"/>
      <c r="C642" s="2"/>
      <c r="D642" s="2"/>
      <c r="E642" s="2"/>
      <c r="F642" s="2"/>
      <c r="G642" s="2"/>
      <c r="I642" s="2"/>
    </row>
    <row r="643" spans="1:9" ht="12" customHeight="1" x14ac:dyDescent="0.2">
      <c r="A643" s="3"/>
      <c r="B643" s="2"/>
      <c r="C643" s="2"/>
      <c r="D643" s="2"/>
      <c r="E643" s="2"/>
      <c r="F643" s="2"/>
      <c r="G643" s="2"/>
      <c r="I643" s="2"/>
    </row>
    <row r="644" spans="1:9" ht="12" customHeight="1" x14ac:dyDescent="0.2">
      <c r="A644" s="3"/>
      <c r="B644" s="2"/>
      <c r="C644" s="2"/>
      <c r="D644" s="2"/>
      <c r="E644" s="2"/>
      <c r="F644" s="2"/>
      <c r="G644" s="2"/>
      <c r="I644" s="2"/>
    </row>
    <row r="645" spans="1:9" ht="12" customHeight="1" x14ac:dyDescent="0.2">
      <c r="A645" s="3"/>
      <c r="B645" s="2"/>
      <c r="C645" s="2"/>
      <c r="D645" s="2"/>
      <c r="E645" s="2"/>
      <c r="F645" s="2"/>
      <c r="G645" s="2"/>
      <c r="I645" s="2"/>
    </row>
    <row r="646" spans="1:9" ht="12" customHeight="1" x14ac:dyDescent="0.2">
      <c r="A646" s="3"/>
      <c r="B646" s="2"/>
      <c r="C646" s="2"/>
      <c r="D646" s="2"/>
      <c r="E646" s="2"/>
      <c r="F646" s="2"/>
      <c r="G646" s="2"/>
      <c r="I646" s="2"/>
    </row>
    <row r="647" spans="1:9" ht="12" customHeight="1" x14ac:dyDescent="0.2">
      <c r="A647" s="3"/>
      <c r="B647" s="2"/>
      <c r="C647" s="2"/>
      <c r="D647" s="2"/>
      <c r="E647" s="2"/>
      <c r="F647" s="2"/>
      <c r="G647" s="2"/>
      <c r="I647" s="2"/>
    </row>
    <row r="648" spans="1:9" ht="12" customHeight="1" x14ac:dyDescent="0.2">
      <c r="A648" s="3"/>
      <c r="B648" s="2"/>
      <c r="C648" s="2"/>
      <c r="D648" s="2"/>
      <c r="E648" s="2"/>
      <c r="F648" s="2"/>
      <c r="G648" s="2"/>
      <c r="I648" s="2"/>
    </row>
    <row r="649" spans="1:9" ht="12" customHeight="1" x14ac:dyDescent="0.2">
      <c r="A649" s="3"/>
      <c r="B649" s="2"/>
      <c r="C649" s="2"/>
      <c r="D649" s="2"/>
      <c r="E649" s="2"/>
      <c r="F649" s="2"/>
      <c r="G649" s="2"/>
      <c r="I649" s="2"/>
    </row>
    <row r="650" spans="1:9" ht="12" customHeight="1" x14ac:dyDescent="0.2">
      <c r="A650" s="3"/>
      <c r="B650" s="2"/>
      <c r="C650" s="2"/>
      <c r="D650" s="2"/>
      <c r="E650" s="2"/>
      <c r="F650" s="2"/>
      <c r="G650" s="2"/>
      <c r="I650" s="2"/>
    </row>
    <row r="651" spans="1:9" ht="12" customHeight="1" x14ac:dyDescent="0.2">
      <c r="A651" s="3"/>
      <c r="B651" s="2"/>
      <c r="C651" s="2"/>
      <c r="D651" s="2"/>
      <c r="E651" s="2"/>
      <c r="F651" s="2"/>
      <c r="G651" s="2"/>
      <c r="I651" s="2"/>
    </row>
    <row r="652" spans="1:9" ht="12" customHeight="1" x14ac:dyDescent="0.2">
      <c r="A652" s="3"/>
      <c r="B652" s="2"/>
      <c r="C652" s="2"/>
      <c r="D652" s="2"/>
      <c r="E652" s="2"/>
      <c r="F652" s="2"/>
      <c r="G652" s="2"/>
      <c r="I652" s="2"/>
    </row>
    <row r="653" spans="1:9" ht="12" customHeight="1" x14ac:dyDescent="0.2">
      <c r="A653" s="3"/>
      <c r="B653" s="2"/>
      <c r="C653" s="2"/>
      <c r="D653" s="2"/>
      <c r="E653" s="2"/>
      <c r="F653" s="2"/>
      <c r="G653" s="2"/>
      <c r="I653" s="2"/>
    </row>
    <row r="654" spans="1:9" ht="12" customHeight="1" x14ac:dyDescent="0.2">
      <c r="A654" s="3"/>
      <c r="B654" s="2"/>
      <c r="C654" s="2"/>
      <c r="D654" s="2"/>
      <c r="E654" s="2"/>
      <c r="F654" s="2"/>
      <c r="G654" s="2"/>
      <c r="I654" s="2"/>
    </row>
    <row r="655" spans="1:9" ht="12" customHeight="1" x14ac:dyDescent="0.2">
      <c r="A655" s="3"/>
      <c r="B655" s="2"/>
      <c r="C655" s="2"/>
      <c r="D655" s="2"/>
      <c r="E655" s="2"/>
      <c r="F655" s="2"/>
      <c r="G655" s="2"/>
      <c r="I655" s="2"/>
    </row>
    <row r="656" spans="1:9" ht="12" customHeight="1" x14ac:dyDescent="0.2">
      <c r="A656" s="3"/>
      <c r="B656" s="2"/>
      <c r="C656" s="2"/>
      <c r="D656" s="2"/>
      <c r="E656" s="2"/>
      <c r="F656" s="2"/>
      <c r="G656" s="2"/>
      <c r="I656" s="2"/>
    </row>
    <row r="657" spans="1:9" ht="12" customHeight="1" x14ac:dyDescent="0.2">
      <c r="A657" s="3"/>
      <c r="B657" s="2"/>
      <c r="C657" s="2"/>
      <c r="D657" s="2"/>
      <c r="E657" s="2"/>
      <c r="F657" s="2"/>
      <c r="G657" s="2"/>
      <c r="I657" s="2"/>
    </row>
    <row r="658" spans="1:9" ht="12" customHeight="1" x14ac:dyDescent="0.2">
      <c r="A658" s="3"/>
      <c r="B658" s="2"/>
      <c r="C658" s="2"/>
      <c r="D658" s="2"/>
      <c r="E658" s="2"/>
      <c r="F658" s="2"/>
      <c r="G658" s="2"/>
      <c r="I658" s="2"/>
    </row>
    <row r="659" spans="1:9" ht="12" customHeight="1" x14ac:dyDescent="0.2">
      <c r="A659" s="3"/>
      <c r="B659" s="2"/>
      <c r="C659" s="2"/>
      <c r="D659" s="2"/>
      <c r="E659" s="2"/>
      <c r="F659" s="2"/>
      <c r="G659" s="2"/>
      <c r="I659" s="2"/>
    </row>
    <row r="660" spans="1:9" ht="12" customHeight="1" x14ac:dyDescent="0.2">
      <c r="A660" s="3"/>
      <c r="B660" s="2"/>
      <c r="C660" s="2"/>
      <c r="D660" s="2"/>
      <c r="E660" s="2"/>
      <c r="F660" s="2"/>
      <c r="G660" s="2"/>
      <c r="I660" s="2"/>
    </row>
    <row r="661" spans="1:9" ht="12" customHeight="1" x14ac:dyDescent="0.2">
      <c r="A661" s="3"/>
      <c r="B661" s="2"/>
      <c r="C661" s="2"/>
      <c r="D661" s="2"/>
      <c r="E661" s="2"/>
      <c r="F661" s="2"/>
      <c r="G661" s="2"/>
      <c r="I661" s="2"/>
    </row>
    <row r="662" spans="1:9" ht="12" customHeight="1" x14ac:dyDescent="0.2">
      <c r="A662" s="3"/>
      <c r="B662" s="2"/>
      <c r="C662" s="2"/>
      <c r="D662" s="2"/>
      <c r="E662" s="2"/>
      <c r="F662" s="2"/>
      <c r="G662" s="2"/>
      <c r="I662" s="2"/>
    </row>
    <row r="663" spans="1:9" ht="12" customHeight="1" x14ac:dyDescent="0.2">
      <c r="A663" s="3"/>
      <c r="B663" s="2"/>
      <c r="C663" s="2"/>
      <c r="D663" s="2"/>
      <c r="E663" s="2"/>
      <c r="F663" s="2"/>
      <c r="G663" s="2"/>
      <c r="I663" s="2"/>
    </row>
    <row r="664" spans="1:9" ht="12" customHeight="1" x14ac:dyDescent="0.2">
      <c r="A664" s="3"/>
      <c r="B664" s="2"/>
      <c r="C664" s="2"/>
      <c r="D664" s="2"/>
      <c r="E664" s="2"/>
      <c r="F664" s="2"/>
      <c r="G664" s="2"/>
      <c r="I664" s="2"/>
    </row>
    <row r="665" spans="1:9" ht="12" customHeight="1" x14ac:dyDescent="0.2">
      <c r="A665" s="3"/>
      <c r="B665" s="2"/>
      <c r="C665" s="2"/>
      <c r="D665" s="2"/>
      <c r="E665" s="2"/>
      <c r="F665" s="2"/>
      <c r="G665" s="2"/>
      <c r="I665" s="2"/>
    </row>
    <row r="666" spans="1:9" ht="12" customHeight="1" x14ac:dyDescent="0.2">
      <c r="A666" s="3"/>
      <c r="B666" s="2"/>
      <c r="C666" s="2"/>
      <c r="D666" s="2"/>
      <c r="E666" s="2"/>
      <c r="F666" s="2"/>
      <c r="G666" s="2"/>
      <c r="I666" s="2"/>
    </row>
    <row r="667" spans="1:9" ht="12" customHeight="1" x14ac:dyDescent="0.2">
      <c r="A667" s="3"/>
      <c r="B667" s="2"/>
      <c r="C667" s="2"/>
      <c r="D667" s="2"/>
      <c r="E667" s="2"/>
      <c r="F667" s="2"/>
      <c r="G667" s="2"/>
      <c r="I667" s="2"/>
    </row>
    <row r="668" spans="1:9" ht="12" customHeight="1" x14ac:dyDescent="0.2">
      <c r="A668" s="3"/>
      <c r="B668" s="2"/>
      <c r="C668" s="2"/>
      <c r="D668" s="2"/>
      <c r="E668" s="2"/>
      <c r="F668" s="2"/>
      <c r="G668" s="2"/>
      <c r="I668" s="2"/>
    </row>
    <row r="669" spans="1:9" ht="12" customHeight="1" x14ac:dyDescent="0.2">
      <c r="A669" s="3"/>
      <c r="B669" s="2"/>
      <c r="C669" s="2"/>
      <c r="D669" s="2"/>
      <c r="E669" s="2"/>
      <c r="F669" s="2"/>
      <c r="G669" s="2"/>
      <c r="I669" s="2"/>
    </row>
    <row r="670" spans="1:9" ht="12" customHeight="1" x14ac:dyDescent="0.2">
      <c r="A670" s="3"/>
      <c r="B670" s="2"/>
      <c r="C670" s="2"/>
      <c r="D670" s="2"/>
      <c r="E670" s="2"/>
      <c r="F670" s="2"/>
      <c r="G670" s="2"/>
      <c r="I670" s="2"/>
    </row>
    <row r="671" spans="1:9" ht="12" customHeight="1" x14ac:dyDescent="0.2">
      <c r="A671" s="3"/>
      <c r="B671" s="2"/>
      <c r="C671" s="2"/>
      <c r="D671" s="2"/>
      <c r="E671" s="2"/>
      <c r="F671" s="2"/>
      <c r="G671" s="2"/>
      <c r="I671" s="2"/>
    </row>
    <row r="672" spans="1:9" ht="12" customHeight="1" x14ac:dyDescent="0.2">
      <c r="A672" s="3"/>
      <c r="B672" s="2"/>
      <c r="C672" s="2"/>
      <c r="D672" s="2"/>
      <c r="E672" s="2"/>
      <c r="F672" s="2"/>
      <c r="G672" s="2"/>
      <c r="I672" s="2"/>
    </row>
    <row r="673" spans="1:9" ht="12" customHeight="1" x14ac:dyDescent="0.2">
      <c r="A673" s="3"/>
      <c r="B673" s="2"/>
      <c r="C673" s="2"/>
      <c r="D673" s="2"/>
      <c r="E673" s="2"/>
      <c r="F673" s="2"/>
      <c r="G673" s="2"/>
      <c r="I673" s="2"/>
    </row>
    <row r="674" spans="1:9" ht="12" customHeight="1" x14ac:dyDescent="0.2">
      <c r="A674" s="3"/>
      <c r="B674" s="2"/>
      <c r="C674" s="2"/>
      <c r="D674" s="2"/>
      <c r="E674" s="2"/>
      <c r="F674" s="2"/>
      <c r="G674" s="2"/>
      <c r="I674" s="2"/>
    </row>
    <row r="675" spans="1:9" ht="12" customHeight="1" x14ac:dyDescent="0.2">
      <c r="A675" s="3"/>
      <c r="B675" s="2"/>
      <c r="C675" s="2"/>
      <c r="D675" s="2"/>
      <c r="E675" s="2"/>
      <c r="F675" s="2"/>
      <c r="G675" s="2"/>
      <c r="I675" s="2"/>
    </row>
    <row r="676" spans="1:9" ht="12" customHeight="1" x14ac:dyDescent="0.2">
      <c r="A676" s="3"/>
      <c r="B676" s="2"/>
      <c r="C676" s="2"/>
      <c r="D676" s="2"/>
      <c r="E676" s="2"/>
      <c r="F676" s="2"/>
      <c r="G676" s="2"/>
      <c r="I676" s="2"/>
    </row>
    <row r="677" spans="1:9" ht="12" customHeight="1" x14ac:dyDescent="0.2">
      <c r="A677" s="3"/>
      <c r="B677" s="2"/>
      <c r="C677" s="2"/>
      <c r="D677" s="2"/>
      <c r="E677" s="2"/>
      <c r="F677" s="2"/>
      <c r="G677" s="2"/>
      <c r="I677" s="2"/>
    </row>
    <row r="678" spans="1:9" ht="12" customHeight="1" x14ac:dyDescent="0.2">
      <c r="A678" s="3"/>
      <c r="B678" s="2"/>
      <c r="C678" s="2"/>
      <c r="D678" s="2"/>
      <c r="E678" s="2"/>
      <c r="F678" s="2"/>
      <c r="G678" s="2"/>
      <c r="I678" s="2"/>
    </row>
    <row r="679" spans="1:9" ht="12" customHeight="1" x14ac:dyDescent="0.2">
      <c r="A679" s="3"/>
      <c r="B679" s="2"/>
      <c r="C679" s="2"/>
      <c r="D679" s="2"/>
      <c r="E679" s="2"/>
      <c r="F679" s="2"/>
      <c r="G679" s="2"/>
      <c r="I679" s="2"/>
    </row>
    <row r="680" spans="1:9" ht="12" customHeight="1" x14ac:dyDescent="0.2">
      <c r="A680" s="3"/>
      <c r="B680" s="2"/>
      <c r="C680" s="2"/>
      <c r="D680" s="2"/>
      <c r="E680" s="2"/>
      <c r="F680" s="2"/>
      <c r="G680" s="2"/>
      <c r="I680" s="2"/>
    </row>
    <row r="681" spans="1:9" ht="12" customHeight="1" x14ac:dyDescent="0.2">
      <c r="A681" s="3"/>
      <c r="B681" s="2"/>
      <c r="C681" s="2"/>
      <c r="D681" s="2"/>
      <c r="E681" s="2"/>
      <c r="F681" s="2"/>
      <c r="G681" s="2"/>
      <c r="I681" s="2"/>
    </row>
    <row r="682" spans="1:9" ht="12" customHeight="1" x14ac:dyDescent="0.2">
      <c r="A682" s="3"/>
      <c r="B682" s="2"/>
      <c r="C682" s="2"/>
      <c r="D682" s="2"/>
      <c r="E682" s="2"/>
      <c r="F682" s="2"/>
      <c r="G682" s="2"/>
      <c r="I682" s="2"/>
    </row>
    <row r="683" spans="1:9" ht="12" customHeight="1" x14ac:dyDescent="0.2">
      <c r="A683" s="3"/>
      <c r="B683" s="2"/>
      <c r="C683" s="2"/>
      <c r="D683" s="2"/>
      <c r="E683" s="2"/>
      <c r="F683" s="2"/>
      <c r="G683" s="2"/>
      <c r="I683" s="2"/>
    </row>
    <row r="684" spans="1:9" ht="12" customHeight="1" x14ac:dyDescent="0.2">
      <c r="A684" s="3"/>
      <c r="B684" s="2"/>
      <c r="C684" s="2"/>
      <c r="D684" s="2"/>
      <c r="E684" s="2"/>
      <c r="F684" s="2"/>
      <c r="G684" s="2"/>
      <c r="I684" s="2"/>
    </row>
    <row r="685" spans="1:9" ht="12" customHeight="1" x14ac:dyDescent="0.2">
      <c r="A685" s="3"/>
      <c r="B685" s="2"/>
      <c r="C685" s="2"/>
      <c r="D685" s="2"/>
      <c r="E685" s="2"/>
      <c r="F685" s="2"/>
      <c r="G685" s="2"/>
      <c r="I685" s="2"/>
    </row>
    <row r="686" spans="1:9" ht="12" customHeight="1" x14ac:dyDescent="0.2">
      <c r="A686" s="3"/>
      <c r="B686" s="2"/>
      <c r="C686" s="2"/>
      <c r="D686" s="2"/>
      <c r="E686" s="2"/>
      <c r="F686" s="2"/>
      <c r="G686" s="2"/>
      <c r="I686" s="2"/>
    </row>
    <row r="687" spans="1:9" ht="12" customHeight="1" x14ac:dyDescent="0.2">
      <c r="A687" s="3"/>
      <c r="B687" s="2"/>
      <c r="C687" s="2"/>
      <c r="D687" s="2"/>
      <c r="E687" s="2"/>
      <c r="F687" s="2"/>
      <c r="G687" s="2"/>
      <c r="I687" s="2"/>
    </row>
    <row r="688" spans="1:9" ht="12" customHeight="1" x14ac:dyDescent="0.2">
      <c r="A688" s="3"/>
      <c r="B688" s="2"/>
      <c r="C688" s="2"/>
      <c r="D688" s="2"/>
      <c r="E688" s="2"/>
      <c r="F688" s="2"/>
      <c r="G688" s="2"/>
      <c r="I688" s="2"/>
    </row>
    <row r="689" spans="1:9" ht="12" customHeight="1" x14ac:dyDescent="0.2">
      <c r="A689" s="3"/>
      <c r="B689" s="2"/>
      <c r="C689" s="2"/>
      <c r="D689" s="2"/>
      <c r="E689" s="2"/>
      <c r="F689" s="2"/>
      <c r="G689" s="2"/>
      <c r="I689" s="2"/>
    </row>
    <row r="690" spans="1:9" ht="12" customHeight="1" x14ac:dyDescent="0.2">
      <c r="A690" s="3"/>
      <c r="B690" s="2"/>
      <c r="C690" s="2"/>
      <c r="D690" s="2"/>
      <c r="E690" s="2"/>
      <c r="F690" s="2"/>
      <c r="G690" s="2"/>
      <c r="I690" s="2"/>
    </row>
    <row r="691" spans="1:9" ht="12" customHeight="1" x14ac:dyDescent="0.2">
      <c r="A691" s="3"/>
      <c r="B691" s="2"/>
      <c r="C691" s="2"/>
      <c r="D691" s="2"/>
      <c r="E691" s="2"/>
      <c r="F691" s="2"/>
      <c r="G691" s="2"/>
      <c r="I691" s="2"/>
    </row>
    <row r="692" spans="1:9" ht="12" customHeight="1" x14ac:dyDescent="0.2">
      <c r="A692" s="3"/>
      <c r="B692" s="2"/>
      <c r="C692" s="2"/>
      <c r="D692" s="2"/>
      <c r="E692" s="2"/>
      <c r="F692" s="2"/>
      <c r="G692" s="2"/>
      <c r="I692" s="2"/>
    </row>
    <row r="693" spans="1:9" ht="12" customHeight="1" x14ac:dyDescent="0.2">
      <c r="A693" s="3"/>
      <c r="B693" s="2"/>
      <c r="C693" s="2"/>
      <c r="D693" s="2"/>
      <c r="E693" s="2"/>
      <c r="F693" s="2"/>
      <c r="G693" s="2"/>
      <c r="I693" s="2"/>
    </row>
    <row r="694" spans="1:9" ht="12" customHeight="1" x14ac:dyDescent="0.2">
      <c r="A694" s="3"/>
      <c r="B694" s="2"/>
      <c r="C694" s="2"/>
      <c r="D694" s="2"/>
      <c r="E694" s="2"/>
      <c r="F694" s="2"/>
      <c r="G694" s="2"/>
      <c r="I694" s="2"/>
    </row>
    <row r="695" spans="1:9" ht="12" customHeight="1" x14ac:dyDescent="0.2">
      <c r="A695" s="3"/>
      <c r="B695" s="2"/>
      <c r="C695" s="2"/>
      <c r="D695" s="2"/>
      <c r="E695" s="2"/>
      <c r="F695" s="2"/>
      <c r="G695" s="2"/>
      <c r="I695" s="2"/>
    </row>
    <row r="696" spans="1:9" ht="12" customHeight="1" x14ac:dyDescent="0.2">
      <c r="A696" s="3"/>
      <c r="B696" s="2"/>
      <c r="C696" s="2"/>
      <c r="D696" s="2"/>
      <c r="E696" s="2"/>
      <c r="F696" s="2"/>
      <c r="G696" s="2"/>
      <c r="I696" s="2"/>
    </row>
    <row r="697" spans="1:9" ht="12" customHeight="1" x14ac:dyDescent="0.2">
      <c r="A697" s="3"/>
      <c r="B697" s="2"/>
      <c r="C697" s="2"/>
      <c r="D697" s="2"/>
      <c r="E697" s="2"/>
      <c r="F697" s="2"/>
      <c r="G697" s="2"/>
      <c r="I697" s="2"/>
    </row>
    <row r="698" spans="1:9" ht="12" customHeight="1" x14ac:dyDescent="0.2">
      <c r="A698" s="3"/>
      <c r="B698" s="2"/>
      <c r="C698" s="2"/>
      <c r="D698" s="2"/>
      <c r="E698" s="2"/>
      <c r="F698" s="2"/>
      <c r="G698" s="2"/>
      <c r="I698" s="2"/>
    </row>
    <row r="699" spans="1:9" ht="12" customHeight="1" x14ac:dyDescent="0.2">
      <c r="A699" s="3"/>
      <c r="B699" s="2"/>
      <c r="C699" s="2"/>
      <c r="D699" s="2"/>
      <c r="E699" s="2"/>
      <c r="F699" s="2"/>
      <c r="G699" s="2"/>
      <c r="I699" s="2"/>
    </row>
    <row r="700" spans="1:9" ht="12" customHeight="1" x14ac:dyDescent="0.2">
      <c r="A700" s="3"/>
      <c r="B700" s="2"/>
      <c r="C700" s="2"/>
      <c r="D700" s="2"/>
      <c r="E700" s="2"/>
      <c r="F700" s="2"/>
      <c r="G700" s="2"/>
      <c r="I700" s="2"/>
    </row>
    <row r="701" spans="1:9" ht="12" customHeight="1" x14ac:dyDescent="0.2">
      <c r="A701" s="3"/>
      <c r="B701" s="2"/>
      <c r="C701" s="2"/>
      <c r="D701" s="2"/>
      <c r="E701" s="2"/>
      <c r="F701" s="2"/>
      <c r="G701" s="2"/>
      <c r="I701" s="2"/>
    </row>
    <row r="702" spans="1:9" ht="12" customHeight="1" x14ac:dyDescent="0.2">
      <c r="A702" s="3"/>
      <c r="B702" s="2"/>
      <c r="C702" s="2"/>
      <c r="D702" s="2"/>
      <c r="E702" s="2"/>
      <c r="F702" s="2"/>
      <c r="G702" s="2"/>
      <c r="I702" s="2"/>
    </row>
    <row r="703" spans="1:9" ht="12" customHeight="1" x14ac:dyDescent="0.2">
      <c r="A703" s="3"/>
      <c r="B703" s="2"/>
      <c r="C703" s="2"/>
      <c r="D703" s="2"/>
      <c r="E703" s="2"/>
      <c r="F703" s="2"/>
      <c r="G703" s="2"/>
      <c r="I703" s="2"/>
    </row>
    <row r="704" spans="1:9" ht="12" customHeight="1" x14ac:dyDescent="0.2">
      <c r="A704" s="3"/>
      <c r="B704" s="2"/>
      <c r="C704" s="2"/>
      <c r="D704" s="2"/>
      <c r="E704" s="2"/>
      <c r="F704" s="2"/>
      <c r="G704" s="2"/>
      <c r="I704" s="2"/>
    </row>
    <row r="705" spans="1:9" ht="12" customHeight="1" x14ac:dyDescent="0.2">
      <c r="A705" s="3"/>
      <c r="B705" s="2"/>
      <c r="C705" s="2"/>
      <c r="D705" s="2"/>
      <c r="E705" s="2"/>
      <c r="F705" s="2"/>
      <c r="G705" s="2"/>
      <c r="I705" s="2"/>
    </row>
    <row r="706" spans="1:9" ht="12" customHeight="1" x14ac:dyDescent="0.2">
      <c r="A706" s="3"/>
      <c r="B706" s="2"/>
      <c r="C706" s="2"/>
      <c r="D706" s="2"/>
      <c r="E706" s="2"/>
      <c r="F706" s="2"/>
      <c r="G706" s="2"/>
      <c r="I706" s="2"/>
    </row>
    <row r="707" spans="1:9" ht="12" customHeight="1" x14ac:dyDescent="0.2">
      <c r="A707" s="3"/>
      <c r="B707" s="2"/>
      <c r="C707" s="2"/>
      <c r="D707" s="2"/>
      <c r="E707" s="2"/>
      <c r="F707" s="2"/>
      <c r="G707" s="2"/>
      <c r="I707" s="2"/>
    </row>
    <row r="708" spans="1:9" ht="12" customHeight="1" x14ac:dyDescent="0.2">
      <c r="A708" s="3"/>
      <c r="B708" s="2"/>
      <c r="C708" s="2"/>
      <c r="D708" s="2"/>
      <c r="E708" s="2"/>
      <c r="F708" s="2"/>
      <c r="G708" s="2"/>
      <c r="I708" s="2"/>
    </row>
    <row r="709" spans="1:9" ht="12" customHeight="1" x14ac:dyDescent="0.2">
      <c r="A709" s="3"/>
      <c r="B709" s="2"/>
      <c r="C709" s="2"/>
      <c r="D709" s="2"/>
      <c r="E709" s="2"/>
      <c r="F709" s="2"/>
      <c r="G709" s="2"/>
      <c r="I709" s="2"/>
    </row>
    <row r="710" spans="1:9" ht="12" customHeight="1" x14ac:dyDescent="0.2">
      <c r="A710" s="3"/>
      <c r="B710" s="2"/>
      <c r="C710" s="2"/>
      <c r="D710" s="2"/>
      <c r="E710" s="2"/>
      <c r="F710" s="2"/>
      <c r="G710" s="2"/>
      <c r="I710" s="2"/>
    </row>
    <row r="711" spans="1:9" ht="12" customHeight="1" x14ac:dyDescent="0.2">
      <c r="A711" s="3"/>
      <c r="B711" s="2"/>
      <c r="C711" s="2"/>
      <c r="D711" s="2"/>
      <c r="E711" s="2"/>
      <c r="F711" s="2"/>
      <c r="G711" s="2"/>
      <c r="I711" s="2"/>
    </row>
    <row r="712" spans="1:9" ht="12" customHeight="1" x14ac:dyDescent="0.2">
      <c r="A712" s="3"/>
      <c r="B712" s="2"/>
      <c r="C712" s="2"/>
      <c r="D712" s="2"/>
      <c r="E712" s="2"/>
      <c r="F712" s="2"/>
      <c r="G712" s="2"/>
      <c r="I712" s="2"/>
    </row>
    <row r="713" spans="1:9" ht="12" customHeight="1" x14ac:dyDescent="0.2">
      <c r="A713" s="3"/>
      <c r="B713" s="2"/>
      <c r="C713" s="2"/>
      <c r="D713" s="2"/>
      <c r="E713" s="2"/>
      <c r="F713" s="2"/>
      <c r="G713" s="2"/>
      <c r="I713" s="2"/>
    </row>
    <row r="714" spans="1:9" ht="12" customHeight="1" x14ac:dyDescent="0.2">
      <c r="A714" s="3"/>
      <c r="B714" s="2"/>
      <c r="C714" s="2"/>
      <c r="D714" s="2"/>
      <c r="E714" s="2"/>
      <c r="F714" s="2"/>
      <c r="G714" s="2"/>
      <c r="I714" s="2"/>
    </row>
    <row r="715" spans="1:9" ht="12" customHeight="1" x14ac:dyDescent="0.2">
      <c r="A715" s="3"/>
      <c r="B715" s="2"/>
      <c r="C715" s="2"/>
      <c r="D715" s="2"/>
      <c r="E715" s="2"/>
      <c r="F715" s="2"/>
      <c r="G715" s="2"/>
      <c r="I715" s="2"/>
    </row>
    <row r="716" spans="1:9" ht="12" customHeight="1" x14ac:dyDescent="0.2">
      <c r="A716" s="3"/>
      <c r="B716" s="2"/>
      <c r="C716" s="2"/>
      <c r="D716" s="2"/>
      <c r="E716" s="2"/>
      <c r="F716" s="2"/>
      <c r="G716" s="2"/>
      <c r="I716" s="2"/>
    </row>
    <row r="717" spans="1:9" ht="12" customHeight="1" x14ac:dyDescent="0.2">
      <c r="A717" s="3"/>
      <c r="B717" s="2"/>
      <c r="C717" s="2"/>
      <c r="D717" s="2"/>
      <c r="E717" s="2"/>
      <c r="F717" s="2"/>
      <c r="G717" s="2"/>
      <c r="I717" s="2"/>
    </row>
    <row r="718" spans="1:9" ht="12" customHeight="1" x14ac:dyDescent="0.2">
      <c r="A718" s="3"/>
      <c r="B718" s="2"/>
      <c r="C718" s="2"/>
      <c r="D718" s="2"/>
      <c r="E718" s="2"/>
      <c r="F718" s="2"/>
      <c r="G718" s="2"/>
      <c r="I718" s="2"/>
    </row>
    <row r="719" spans="1:9" ht="12" customHeight="1" x14ac:dyDescent="0.2">
      <c r="A719" s="3"/>
      <c r="B719" s="2"/>
      <c r="C719" s="2"/>
      <c r="D719" s="2"/>
      <c r="E719" s="2"/>
      <c r="F719" s="2"/>
      <c r="G719" s="2"/>
      <c r="I719" s="2"/>
    </row>
    <row r="720" spans="1:9" ht="12" customHeight="1" x14ac:dyDescent="0.2">
      <c r="A720" s="3"/>
      <c r="B720" s="2"/>
      <c r="C720" s="2"/>
      <c r="D720" s="2"/>
      <c r="E720" s="2"/>
      <c r="F720" s="2"/>
      <c r="G720" s="2"/>
      <c r="I720" s="2"/>
    </row>
    <row r="721" spans="1:9" ht="12" customHeight="1" x14ac:dyDescent="0.2">
      <c r="A721" s="3"/>
      <c r="B721" s="2"/>
      <c r="C721" s="2"/>
      <c r="D721" s="2"/>
      <c r="E721" s="2"/>
      <c r="F721" s="2"/>
      <c r="G721" s="2"/>
      <c r="I721" s="2"/>
    </row>
    <row r="722" spans="1:9" ht="12" customHeight="1" x14ac:dyDescent="0.2">
      <c r="A722" s="3"/>
      <c r="B722" s="2"/>
      <c r="C722" s="2"/>
      <c r="D722" s="2"/>
      <c r="E722" s="2"/>
      <c r="F722" s="2"/>
      <c r="G722" s="2"/>
      <c r="I722" s="2"/>
    </row>
    <row r="723" spans="1:9" ht="12" customHeight="1" x14ac:dyDescent="0.2">
      <c r="A723" s="3"/>
      <c r="B723" s="2"/>
      <c r="C723" s="2"/>
      <c r="D723" s="2"/>
      <c r="E723" s="2"/>
      <c r="F723" s="2"/>
      <c r="G723" s="2"/>
      <c r="I723" s="2"/>
    </row>
    <row r="724" spans="1:9" ht="12" customHeight="1" x14ac:dyDescent="0.2">
      <c r="A724" s="3"/>
      <c r="B724" s="2"/>
      <c r="C724" s="2"/>
      <c r="D724" s="2"/>
      <c r="E724" s="2"/>
      <c r="F724" s="2"/>
      <c r="G724" s="2"/>
      <c r="I724" s="2"/>
    </row>
    <row r="725" spans="1:9" ht="12" customHeight="1" x14ac:dyDescent="0.2">
      <c r="A725" s="3"/>
      <c r="B725" s="2"/>
      <c r="C725" s="2"/>
      <c r="D725" s="2"/>
      <c r="E725" s="2"/>
      <c r="F725" s="2"/>
      <c r="G725" s="2"/>
      <c r="I725" s="2"/>
    </row>
    <row r="726" spans="1:9" ht="12" customHeight="1" x14ac:dyDescent="0.2">
      <c r="A726" s="3"/>
      <c r="B726" s="2"/>
      <c r="C726" s="2"/>
      <c r="D726" s="2"/>
      <c r="E726" s="2"/>
      <c r="F726" s="2"/>
      <c r="G726" s="2"/>
      <c r="I726" s="2"/>
    </row>
    <row r="727" spans="1:9" ht="12" customHeight="1" x14ac:dyDescent="0.2">
      <c r="A727" s="3"/>
      <c r="B727" s="2"/>
      <c r="C727" s="2"/>
      <c r="D727" s="2"/>
      <c r="E727" s="2"/>
      <c r="F727" s="2"/>
      <c r="G727" s="2"/>
      <c r="I727" s="2"/>
    </row>
    <row r="728" spans="1:9" ht="12" customHeight="1" x14ac:dyDescent="0.2">
      <c r="A728" s="3"/>
      <c r="B728" s="2"/>
      <c r="C728" s="2"/>
      <c r="D728" s="2"/>
      <c r="E728" s="2"/>
      <c r="F728" s="2"/>
      <c r="G728" s="2"/>
      <c r="I728" s="2"/>
    </row>
    <row r="729" spans="1:9" ht="12" customHeight="1" x14ac:dyDescent="0.2">
      <c r="A729" s="3"/>
      <c r="B729" s="2"/>
      <c r="C729" s="2"/>
      <c r="D729" s="2"/>
      <c r="E729" s="2"/>
      <c r="F729" s="2"/>
      <c r="G729" s="2"/>
      <c r="I729" s="2"/>
    </row>
    <row r="730" spans="1:9" ht="12" customHeight="1" x14ac:dyDescent="0.2">
      <c r="A730" s="3"/>
      <c r="B730" s="2"/>
      <c r="C730" s="2"/>
      <c r="D730" s="2"/>
      <c r="E730" s="2"/>
      <c r="F730" s="2"/>
      <c r="G730" s="2"/>
      <c r="I730" s="2"/>
    </row>
    <row r="731" spans="1:9" ht="12" customHeight="1" x14ac:dyDescent="0.2">
      <c r="A731" s="3"/>
      <c r="B731" s="2"/>
      <c r="C731" s="2"/>
      <c r="D731" s="2"/>
      <c r="E731" s="2"/>
      <c r="F731" s="2"/>
      <c r="G731" s="2"/>
      <c r="I731" s="2"/>
    </row>
    <row r="732" spans="1:9" ht="12" customHeight="1" x14ac:dyDescent="0.2">
      <c r="A732" s="3"/>
      <c r="B732" s="2"/>
      <c r="C732" s="2"/>
      <c r="D732" s="2"/>
      <c r="E732" s="2"/>
      <c r="F732" s="2"/>
      <c r="G732" s="2"/>
      <c r="I732" s="2"/>
    </row>
    <row r="733" spans="1:9" ht="12" customHeight="1" x14ac:dyDescent="0.2">
      <c r="A733" s="3"/>
      <c r="B733" s="2"/>
      <c r="C733" s="2"/>
      <c r="D733" s="2"/>
      <c r="E733" s="2"/>
      <c r="F733" s="2"/>
      <c r="G733" s="2"/>
      <c r="I733" s="2"/>
    </row>
    <row r="734" spans="1:9" ht="12" customHeight="1" x14ac:dyDescent="0.2">
      <c r="A734" s="3"/>
      <c r="B734" s="2"/>
      <c r="C734" s="2"/>
      <c r="D734" s="2"/>
      <c r="E734" s="2"/>
      <c r="F734" s="2"/>
      <c r="G734" s="2"/>
      <c r="I734" s="2"/>
    </row>
    <row r="735" spans="1:9" ht="12" customHeight="1" x14ac:dyDescent="0.2">
      <c r="A735" s="3"/>
      <c r="B735" s="2"/>
      <c r="C735" s="2"/>
      <c r="D735" s="2"/>
      <c r="E735" s="2"/>
      <c r="F735" s="2"/>
      <c r="G735" s="2"/>
      <c r="I735" s="2"/>
    </row>
    <row r="736" spans="1:9" ht="12" customHeight="1" x14ac:dyDescent="0.2">
      <c r="A736" s="3"/>
      <c r="B736" s="2"/>
      <c r="C736" s="2"/>
      <c r="D736" s="2"/>
      <c r="E736" s="2"/>
      <c r="F736" s="2"/>
      <c r="G736" s="2"/>
      <c r="I736" s="2"/>
    </row>
    <row r="737" spans="1:9" ht="12" customHeight="1" x14ac:dyDescent="0.2">
      <c r="A737" s="3"/>
      <c r="B737" s="2"/>
      <c r="C737" s="2"/>
      <c r="D737" s="2"/>
      <c r="E737" s="2"/>
      <c r="F737" s="2"/>
      <c r="G737" s="2"/>
      <c r="I737" s="2"/>
    </row>
    <row r="738" spans="1:9" ht="12" customHeight="1" x14ac:dyDescent="0.2">
      <c r="A738" s="3"/>
      <c r="B738" s="2"/>
      <c r="C738" s="2"/>
      <c r="D738" s="2"/>
      <c r="E738" s="2"/>
      <c r="F738" s="2"/>
      <c r="G738" s="2"/>
      <c r="I738" s="2"/>
    </row>
    <row r="739" spans="1:9" ht="12" customHeight="1" x14ac:dyDescent="0.2">
      <c r="A739" s="3"/>
      <c r="B739" s="2"/>
      <c r="C739" s="2"/>
      <c r="D739" s="2"/>
      <c r="E739" s="2"/>
      <c r="F739" s="2"/>
      <c r="G739" s="2"/>
      <c r="I739" s="2"/>
    </row>
    <row r="740" spans="1:9" ht="12" customHeight="1" x14ac:dyDescent="0.2">
      <c r="A740" s="3"/>
      <c r="B740" s="2"/>
      <c r="C740" s="2"/>
      <c r="D740" s="2"/>
      <c r="E740" s="2"/>
      <c r="F740" s="2"/>
      <c r="G740" s="2"/>
      <c r="I740" s="2"/>
    </row>
    <row r="741" spans="1:9" ht="12" customHeight="1" x14ac:dyDescent="0.2">
      <c r="A741" s="3"/>
      <c r="B741" s="2"/>
      <c r="C741" s="2"/>
      <c r="D741" s="2"/>
      <c r="E741" s="2"/>
      <c r="F741" s="2"/>
      <c r="G741" s="2"/>
      <c r="I741" s="2"/>
    </row>
    <row r="742" spans="1:9" ht="12" customHeight="1" x14ac:dyDescent="0.2">
      <c r="A742" s="3"/>
      <c r="B742" s="2"/>
      <c r="C742" s="2"/>
      <c r="D742" s="2"/>
      <c r="E742" s="2"/>
      <c r="F742" s="2"/>
      <c r="G742" s="2"/>
      <c r="I742" s="2"/>
    </row>
    <row r="743" spans="1:9" ht="12" customHeight="1" x14ac:dyDescent="0.2">
      <c r="A743" s="3"/>
      <c r="B743" s="2"/>
      <c r="C743" s="2"/>
      <c r="D743" s="2"/>
      <c r="E743" s="2"/>
      <c r="F743" s="2"/>
      <c r="G743" s="2"/>
      <c r="I743" s="2"/>
    </row>
    <row r="744" spans="1:9" ht="12" customHeight="1" x14ac:dyDescent="0.2">
      <c r="A744" s="3"/>
      <c r="B744" s="2"/>
      <c r="C744" s="2"/>
      <c r="D744" s="2"/>
      <c r="E744" s="2"/>
      <c r="F744" s="2"/>
      <c r="G744" s="2"/>
      <c r="I744" s="2"/>
    </row>
    <row r="745" spans="1:9" ht="12" customHeight="1" x14ac:dyDescent="0.2">
      <c r="A745" s="3"/>
      <c r="B745" s="2"/>
      <c r="C745" s="2"/>
      <c r="D745" s="2"/>
      <c r="E745" s="2"/>
      <c r="F745" s="2"/>
      <c r="G745" s="2"/>
      <c r="I745" s="2"/>
    </row>
    <row r="746" spans="1:9" ht="12" customHeight="1" x14ac:dyDescent="0.2">
      <c r="A746" s="3"/>
      <c r="B746" s="2"/>
      <c r="C746" s="2"/>
      <c r="D746" s="2"/>
      <c r="E746" s="2"/>
      <c r="F746" s="2"/>
      <c r="G746" s="2"/>
      <c r="I746" s="2"/>
    </row>
    <row r="747" spans="1:9" ht="12" customHeight="1" x14ac:dyDescent="0.2">
      <c r="A747" s="3"/>
      <c r="B747" s="2"/>
      <c r="C747" s="2"/>
      <c r="D747" s="2"/>
      <c r="E747" s="2"/>
      <c r="F747" s="2"/>
      <c r="G747" s="2"/>
      <c r="I747" s="2"/>
    </row>
    <row r="748" spans="1:9" ht="12" customHeight="1" x14ac:dyDescent="0.2">
      <c r="A748" s="3"/>
      <c r="B748" s="2"/>
      <c r="C748" s="2"/>
      <c r="D748" s="2"/>
      <c r="E748" s="2"/>
      <c r="F748" s="2"/>
      <c r="G748" s="2"/>
      <c r="I748" s="2"/>
    </row>
    <row r="749" spans="1:9" ht="12" customHeight="1" x14ac:dyDescent="0.2">
      <c r="A749" s="3"/>
      <c r="B749" s="2"/>
      <c r="C749" s="2"/>
      <c r="D749" s="2"/>
      <c r="E749" s="2"/>
      <c r="F749" s="2"/>
      <c r="G749" s="2"/>
      <c r="I749" s="2"/>
    </row>
    <row r="750" spans="1:9" ht="12" customHeight="1" x14ac:dyDescent="0.2">
      <c r="A750" s="3"/>
      <c r="B750" s="2"/>
      <c r="C750" s="2"/>
      <c r="D750" s="2"/>
      <c r="E750" s="2"/>
      <c r="F750" s="2"/>
      <c r="G750" s="2"/>
      <c r="I750" s="2"/>
    </row>
    <row r="751" spans="1:9" ht="12" customHeight="1" x14ac:dyDescent="0.2">
      <c r="A751" s="3"/>
      <c r="B751" s="2"/>
      <c r="C751" s="2"/>
      <c r="D751" s="2"/>
      <c r="E751" s="2"/>
      <c r="F751" s="2"/>
      <c r="G751" s="2"/>
      <c r="I751" s="2"/>
    </row>
    <row r="752" spans="1:9" ht="12" customHeight="1" x14ac:dyDescent="0.2">
      <c r="A752" s="3"/>
      <c r="B752" s="2"/>
      <c r="C752" s="2"/>
      <c r="D752" s="2"/>
      <c r="E752" s="2"/>
      <c r="F752" s="2"/>
      <c r="G752" s="2"/>
      <c r="I752" s="2"/>
    </row>
    <row r="753" spans="1:9" ht="12" customHeight="1" x14ac:dyDescent="0.2">
      <c r="A753" s="3"/>
      <c r="B753" s="2"/>
      <c r="C753" s="2"/>
      <c r="D753" s="2"/>
      <c r="E753" s="2"/>
      <c r="F753" s="2"/>
      <c r="G753" s="2"/>
      <c r="I753" s="2"/>
    </row>
    <row r="754" spans="1:9" ht="12" customHeight="1" x14ac:dyDescent="0.2">
      <c r="A754" s="3"/>
      <c r="B754" s="2"/>
      <c r="C754" s="2"/>
      <c r="D754" s="2"/>
      <c r="E754" s="2"/>
      <c r="F754" s="2"/>
      <c r="G754" s="2"/>
      <c r="I754" s="2"/>
    </row>
    <row r="755" spans="1:9" ht="12" customHeight="1" x14ac:dyDescent="0.2">
      <c r="A755" s="3"/>
      <c r="B755" s="2"/>
      <c r="C755" s="2"/>
      <c r="D755" s="2"/>
      <c r="E755" s="2"/>
      <c r="F755" s="2"/>
      <c r="G755" s="2"/>
      <c r="I755" s="2"/>
    </row>
    <row r="756" spans="1:9" ht="12" customHeight="1" x14ac:dyDescent="0.2">
      <c r="A756" s="3"/>
      <c r="B756" s="2"/>
      <c r="C756" s="2"/>
      <c r="D756" s="2"/>
      <c r="E756" s="2"/>
      <c r="F756" s="2"/>
      <c r="G756" s="2"/>
      <c r="I756" s="2"/>
    </row>
    <row r="757" spans="1:9" ht="12" customHeight="1" x14ac:dyDescent="0.2">
      <c r="A757" s="3"/>
      <c r="B757" s="2"/>
      <c r="C757" s="2"/>
      <c r="D757" s="2"/>
      <c r="E757" s="2"/>
      <c r="F757" s="2"/>
      <c r="G757" s="2"/>
      <c r="I757" s="2"/>
    </row>
    <row r="758" spans="1:9" ht="12" customHeight="1" x14ac:dyDescent="0.2">
      <c r="A758" s="3"/>
      <c r="B758" s="2"/>
      <c r="C758" s="2"/>
      <c r="D758" s="2"/>
      <c r="E758" s="2"/>
      <c r="F758" s="2"/>
      <c r="G758" s="2"/>
      <c r="I758" s="2"/>
    </row>
    <row r="759" spans="1:9" ht="12" customHeight="1" x14ac:dyDescent="0.2">
      <c r="A759" s="3"/>
      <c r="B759" s="2"/>
      <c r="C759" s="2"/>
      <c r="D759" s="2"/>
      <c r="E759" s="2"/>
      <c r="F759" s="2"/>
      <c r="G759" s="2"/>
      <c r="I759" s="2"/>
    </row>
    <row r="760" spans="1:9" ht="12" customHeight="1" x14ac:dyDescent="0.2">
      <c r="A760" s="3"/>
      <c r="B760" s="2"/>
      <c r="C760" s="2"/>
      <c r="D760" s="2"/>
      <c r="E760" s="2"/>
      <c r="F760" s="2"/>
      <c r="G760" s="2"/>
      <c r="I760" s="2"/>
    </row>
    <row r="761" spans="1:9" ht="12" customHeight="1" x14ac:dyDescent="0.2">
      <c r="A761" s="3"/>
      <c r="B761" s="2"/>
      <c r="C761" s="2"/>
      <c r="D761" s="2"/>
      <c r="E761" s="2"/>
      <c r="F761" s="2"/>
      <c r="G761" s="2"/>
      <c r="I761" s="2"/>
    </row>
    <row r="762" spans="1:9" ht="12" customHeight="1" x14ac:dyDescent="0.2">
      <c r="A762" s="3"/>
      <c r="B762" s="2"/>
      <c r="C762" s="2"/>
      <c r="D762" s="2"/>
      <c r="E762" s="2"/>
      <c r="F762" s="2"/>
      <c r="G762" s="2"/>
      <c r="I762" s="2"/>
    </row>
    <row r="763" spans="1:9" ht="12" customHeight="1" x14ac:dyDescent="0.2">
      <c r="A763" s="3"/>
      <c r="B763" s="2"/>
      <c r="C763" s="2"/>
      <c r="D763" s="2"/>
      <c r="E763" s="2"/>
      <c r="F763" s="2"/>
      <c r="G763" s="2"/>
      <c r="I763" s="2"/>
    </row>
    <row r="764" spans="1:9" ht="12" customHeight="1" x14ac:dyDescent="0.2">
      <c r="A764" s="3"/>
      <c r="B764" s="2"/>
      <c r="C764" s="2"/>
      <c r="D764" s="2"/>
      <c r="E764" s="2"/>
      <c r="F764" s="2"/>
      <c r="G764" s="2"/>
      <c r="I764" s="2"/>
    </row>
    <row r="765" spans="1:9" ht="12" customHeight="1" x14ac:dyDescent="0.2">
      <c r="A765" s="3"/>
      <c r="B765" s="2"/>
      <c r="C765" s="2"/>
      <c r="D765" s="2"/>
      <c r="E765" s="2"/>
      <c r="F765" s="2"/>
      <c r="G765" s="2"/>
      <c r="I765" s="2"/>
    </row>
    <row r="766" spans="1:9" ht="12" customHeight="1" x14ac:dyDescent="0.2">
      <c r="A766" s="3"/>
      <c r="B766" s="2"/>
      <c r="C766" s="2"/>
      <c r="D766" s="2"/>
      <c r="E766" s="2"/>
      <c r="F766" s="2"/>
      <c r="G766" s="2"/>
      <c r="I766" s="2"/>
    </row>
    <row r="767" spans="1:9" ht="12" customHeight="1" x14ac:dyDescent="0.2">
      <c r="A767" s="3"/>
      <c r="B767" s="2"/>
      <c r="C767" s="2"/>
      <c r="D767" s="2"/>
      <c r="E767" s="2"/>
      <c r="F767" s="2"/>
      <c r="G767" s="2"/>
      <c r="I767" s="2"/>
    </row>
    <row r="768" spans="1:9" ht="12" customHeight="1" x14ac:dyDescent="0.2">
      <c r="A768" s="3"/>
      <c r="B768" s="2"/>
      <c r="C768" s="2"/>
      <c r="D768" s="2"/>
      <c r="E768" s="2"/>
      <c r="F768" s="2"/>
      <c r="G768" s="2"/>
      <c r="I768" s="2"/>
    </row>
    <row r="769" spans="1:9" ht="12" customHeight="1" x14ac:dyDescent="0.2">
      <c r="A769" s="3"/>
      <c r="B769" s="2"/>
      <c r="C769" s="2"/>
      <c r="D769" s="2"/>
      <c r="E769" s="2"/>
      <c r="F769" s="2"/>
      <c r="G769" s="2"/>
      <c r="I769" s="2"/>
    </row>
    <row r="770" spans="1:9" ht="12" customHeight="1" x14ac:dyDescent="0.2">
      <c r="A770" s="3"/>
      <c r="B770" s="2"/>
      <c r="C770" s="2"/>
      <c r="D770" s="2"/>
      <c r="E770" s="2"/>
      <c r="F770" s="2"/>
      <c r="G770" s="2"/>
      <c r="I770" s="2"/>
    </row>
    <row r="771" spans="1:9" ht="12" customHeight="1" x14ac:dyDescent="0.2">
      <c r="A771" s="3"/>
      <c r="B771" s="2"/>
      <c r="C771" s="2"/>
      <c r="D771" s="2"/>
      <c r="E771" s="2"/>
      <c r="F771" s="2"/>
      <c r="G771" s="2"/>
      <c r="I771" s="2"/>
    </row>
    <row r="772" spans="1:9" ht="12" customHeight="1" x14ac:dyDescent="0.2">
      <c r="A772" s="3"/>
      <c r="B772" s="2"/>
      <c r="C772" s="2"/>
      <c r="D772" s="2"/>
      <c r="E772" s="2"/>
      <c r="F772" s="2"/>
      <c r="G772" s="2"/>
      <c r="I772" s="2"/>
    </row>
    <row r="773" spans="1:9" ht="12" customHeight="1" x14ac:dyDescent="0.2">
      <c r="A773" s="3"/>
      <c r="B773" s="2"/>
      <c r="C773" s="2"/>
      <c r="D773" s="2"/>
      <c r="E773" s="2"/>
      <c r="F773" s="2"/>
      <c r="G773" s="2"/>
      <c r="I773" s="2"/>
    </row>
    <row r="774" spans="1:9" ht="12" customHeight="1" x14ac:dyDescent="0.2">
      <c r="A774" s="3"/>
      <c r="B774" s="2"/>
      <c r="C774" s="2"/>
      <c r="D774" s="2"/>
      <c r="E774" s="2"/>
      <c r="F774" s="2"/>
      <c r="G774" s="2"/>
      <c r="I774" s="2"/>
    </row>
    <row r="775" spans="1:9" ht="12" customHeight="1" x14ac:dyDescent="0.2">
      <c r="A775" s="3"/>
      <c r="B775" s="2"/>
      <c r="C775" s="2"/>
      <c r="D775" s="2"/>
      <c r="E775" s="2"/>
      <c r="F775" s="2"/>
      <c r="G775" s="2"/>
      <c r="I775" s="2"/>
    </row>
    <row r="776" spans="1:9" ht="12" customHeight="1" x14ac:dyDescent="0.2">
      <c r="A776" s="3"/>
      <c r="B776" s="2"/>
      <c r="C776" s="2"/>
      <c r="D776" s="2"/>
      <c r="E776" s="2"/>
      <c r="F776" s="2"/>
      <c r="G776" s="2"/>
      <c r="I776" s="2"/>
    </row>
    <row r="777" spans="1:9" ht="12" customHeight="1" x14ac:dyDescent="0.2">
      <c r="A777" s="3"/>
      <c r="B777" s="2"/>
      <c r="C777" s="2"/>
      <c r="D777" s="2"/>
      <c r="E777" s="2"/>
      <c r="F777" s="2"/>
      <c r="G777" s="2"/>
      <c r="I777" s="2"/>
    </row>
    <row r="778" spans="1:9" ht="12" customHeight="1" x14ac:dyDescent="0.2">
      <c r="A778" s="3"/>
      <c r="B778" s="2"/>
      <c r="C778" s="2"/>
      <c r="D778" s="2"/>
      <c r="E778" s="2"/>
      <c r="F778" s="2"/>
      <c r="G778" s="2"/>
      <c r="I778" s="2"/>
    </row>
    <row r="779" spans="1:9" ht="12" customHeight="1" x14ac:dyDescent="0.2">
      <c r="A779" s="3"/>
      <c r="B779" s="2"/>
      <c r="C779" s="2"/>
      <c r="D779" s="2"/>
      <c r="E779" s="2"/>
      <c r="F779" s="2"/>
      <c r="G779" s="2"/>
      <c r="I779" s="2"/>
    </row>
    <row r="780" spans="1:9" ht="12" customHeight="1" x14ac:dyDescent="0.2">
      <c r="A780" s="3"/>
      <c r="B780" s="2"/>
      <c r="C780" s="2"/>
      <c r="D780" s="2"/>
      <c r="E780" s="2"/>
      <c r="F780" s="2"/>
      <c r="G780" s="2"/>
      <c r="I780" s="2"/>
    </row>
    <row r="781" spans="1:9" ht="12" customHeight="1" x14ac:dyDescent="0.2">
      <c r="A781" s="3"/>
      <c r="B781" s="2"/>
      <c r="C781" s="2"/>
      <c r="D781" s="2"/>
      <c r="E781" s="2"/>
      <c r="F781" s="2"/>
      <c r="G781" s="2"/>
      <c r="I781" s="2"/>
    </row>
    <row r="782" spans="1:9" ht="12" customHeight="1" x14ac:dyDescent="0.2">
      <c r="A782" s="3"/>
      <c r="B782" s="2"/>
      <c r="C782" s="2"/>
      <c r="D782" s="2"/>
      <c r="E782" s="2"/>
      <c r="F782" s="2"/>
      <c r="G782" s="2"/>
      <c r="I782" s="2"/>
    </row>
    <row r="783" spans="1:9" ht="12" customHeight="1" x14ac:dyDescent="0.2">
      <c r="A783" s="3"/>
      <c r="B783" s="2"/>
      <c r="C783" s="2"/>
      <c r="D783" s="2"/>
      <c r="E783" s="2"/>
      <c r="F783" s="2"/>
      <c r="G783" s="2"/>
      <c r="I783" s="2"/>
    </row>
    <row r="784" spans="1:9" ht="12" customHeight="1" x14ac:dyDescent="0.2">
      <c r="A784" s="3"/>
      <c r="B784" s="2"/>
      <c r="C784" s="2"/>
      <c r="D784" s="2"/>
      <c r="E784" s="2"/>
      <c r="F784" s="2"/>
      <c r="G784" s="2"/>
      <c r="I784" s="2"/>
    </row>
    <row r="785" spans="1:9" ht="12" customHeight="1" x14ac:dyDescent="0.2">
      <c r="A785" s="3"/>
      <c r="B785" s="2"/>
      <c r="C785" s="2"/>
      <c r="D785" s="2"/>
      <c r="E785" s="2"/>
      <c r="F785" s="2"/>
      <c r="G785" s="2"/>
      <c r="I785" s="2"/>
    </row>
    <row r="786" spans="1:9" ht="12" customHeight="1" x14ac:dyDescent="0.2">
      <c r="A786" s="3"/>
      <c r="B786" s="2"/>
      <c r="C786" s="2"/>
      <c r="D786" s="2"/>
      <c r="E786" s="2"/>
      <c r="F786" s="2"/>
      <c r="G786" s="2"/>
      <c r="I786" s="2"/>
    </row>
    <row r="787" spans="1:9" ht="12" customHeight="1" x14ac:dyDescent="0.2">
      <c r="A787" s="3"/>
      <c r="B787" s="2"/>
      <c r="C787" s="2"/>
      <c r="D787" s="2"/>
      <c r="E787" s="2"/>
      <c r="F787" s="2"/>
      <c r="G787" s="2"/>
      <c r="I787" s="2"/>
    </row>
    <row r="788" spans="1:9" ht="12" customHeight="1" x14ac:dyDescent="0.2">
      <c r="A788" s="3"/>
      <c r="B788" s="2"/>
      <c r="C788" s="2"/>
      <c r="D788" s="2"/>
      <c r="E788" s="2"/>
      <c r="F788" s="2"/>
      <c r="G788" s="2"/>
      <c r="I788" s="2"/>
    </row>
    <row r="789" spans="1:9" ht="12" customHeight="1" x14ac:dyDescent="0.2">
      <c r="A789" s="3"/>
      <c r="B789" s="2"/>
      <c r="C789" s="2"/>
      <c r="D789" s="2"/>
      <c r="E789" s="2"/>
      <c r="F789" s="2"/>
      <c r="G789" s="2"/>
      <c r="I789" s="2"/>
    </row>
    <row r="790" spans="1:9" ht="12" customHeight="1" x14ac:dyDescent="0.2">
      <c r="A790" s="3"/>
      <c r="B790" s="2"/>
      <c r="C790" s="2"/>
      <c r="D790" s="2"/>
      <c r="E790" s="2"/>
      <c r="F790" s="2"/>
      <c r="G790" s="2"/>
      <c r="I790" s="2"/>
    </row>
    <row r="791" spans="1:9" ht="12" customHeight="1" x14ac:dyDescent="0.2">
      <c r="A791" s="3"/>
      <c r="B791" s="2"/>
      <c r="C791" s="2"/>
      <c r="D791" s="2"/>
      <c r="E791" s="2"/>
      <c r="F791" s="2"/>
      <c r="G791" s="2"/>
      <c r="I791" s="2"/>
    </row>
    <row r="792" spans="1:9" ht="12" customHeight="1" x14ac:dyDescent="0.2">
      <c r="A792" s="3"/>
      <c r="B792" s="2"/>
      <c r="C792" s="2"/>
      <c r="D792" s="2"/>
      <c r="E792" s="2"/>
      <c r="F792" s="2"/>
      <c r="G792" s="2"/>
      <c r="I792" s="2"/>
    </row>
    <row r="793" spans="1:9" ht="12" customHeight="1" x14ac:dyDescent="0.2">
      <c r="A793" s="3"/>
      <c r="B793" s="2"/>
      <c r="C793" s="2"/>
      <c r="D793" s="2"/>
      <c r="E793" s="2"/>
      <c r="F793" s="2"/>
      <c r="G793" s="2"/>
      <c r="I793" s="2"/>
    </row>
    <row r="794" spans="1:9" ht="12" customHeight="1" x14ac:dyDescent="0.2">
      <c r="A794" s="3"/>
      <c r="B794" s="2"/>
      <c r="C794" s="2"/>
      <c r="D794" s="2"/>
      <c r="E794" s="2"/>
      <c r="F794" s="2"/>
      <c r="G794" s="2"/>
      <c r="I794" s="2"/>
    </row>
    <row r="795" spans="1:9" ht="12" customHeight="1" x14ac:dyDescent="0.2">
      <c r="A795" s="3"/>
      <c r="B795" s="2"/>
      <c r="C795" s="2"/>
      <c r="D795" s="2"/>
      <c r="E795" s="2"/>
      <c r="F795" s="2"/>
      <c r="G795" s="2"/>
      <c r="I795" s="2"/>
    </row>
    <row r="796" spans="1:9" ht="12" customHeight="1" x14ac:dyDescent="0.2">
      <c r="A796" s="3"/>
      <c r="B796" s="2"/>
      <c r="C796" s="2"/>
      <c r="D796" s="2"/>
      <c r="E796" s="2"/>
      <c r="F796" s="2"/>
      <c r="G796" s="2"/>
      <c r="I796" s="2"/>
    </row>
    <row r="797" spans="1:9" ht="12" customHeight="1" x14ac:dyDescent="0.2">
      <c r="A797" s="3"/>
      <c r="B797" s="2"/>
      <c r="C797" s="2"/>
      <c r="D797" s="2"/>
      <c r="E797" s="2"/>
      <c r="F797" s="2"/>
      <c r="G797" s="2"/>
      <c r="I797" s="2"/>
    </row>
    <row r="798" spans="1:9" ht="12" customHeight="1" x14ac:dyDescent="0.2">
      <c r="A798" s="3"/>
      <c r="B798" s="2"/>
      <c r="C798" s="2"/>
      <c r="D798" s="2"/>
      <c r="E798" s="2"/>
      <c r="F798" s="2"/>
      <c r="G798" s="2"/>
      <c r="I798" s="2"/>
    </row>
    <row r="799" spans="1:9" ht="12" customHeight="1" x14ac:dyDescent="0.2">
      <c r="A799" s="3"/>
      <c r="B799" s="2"/>
      <c r="C799" s="2"/>
      <c r="D799" s="2"/>
      <c r="E799" s="2"/>
      <c r="F799" s="2"/>
      <c r="G799" s="2"/>
      <c r="I799" s="2"/>
    </row>
    <row r="800" spans="1:9" ht="12" customHeight="1" x14ac:dyDescent="0.2">
      <c r="A800" s="3"/>
      <c r="B800" s="2"/>
      <c r="C800" s="2"/>
      <c r="D800" s="2"/>
      <c r="E800" s="2"/>
      <c r="F800" s="2"/>
      <c r="G800" s="2"/>
      <c r="I800" s="2"/>
    </row>
    <row r="801" spans="1:9" ht="12" customHeight="1" x14ac:dyDescent="0.2">
      <c r="A801" s="3"/>
      <c r="B801" s="2"/>
      <c r="C801" s="2"/>
      <c r="D801" s="2"/>
      <c r="E801" s="2"/>
      <c r="F801" s="2"/>
      <c r="G801" s="2"/>
      <c r="I801" s="2"/>
    </row>
    <row r="802" spans="1:9" ht="12" customHeight="1" x14ac:dyDescent="0.2">
      <c r="A802" s="3"/>
      <c r="B802" s="2"/>
      <c r="C802" s="2"/>
      <c r="D802" s="2"/>
      <c r="E802" s="2"/>
      <c r="F802" s="2"/>
      <c r="G802" s="2"/>
      <c r="I802" s="2"/>
    </row>
    <row r="803" spans="1:9" ht="12" customHeight="1" x14ac:dyDescent="0.2">
      <c r="A803" s="3"/>
      <c r="B803" s="2"/>
      <c r="C803" s="2"/>
      <c r="D803" s="2"/>
      <c r="E803" s="2"/>
      <c r="F803" s="2"/>
      <c r="G803" s="2"/>
      <c r="I803" s="2"/>
    </row>
    <row r="804" spans="1:9" ht="12" customHeight="1" x14ac:dyDescent="0.2">
      <c r="A804" s="3"/>
      <c r="B804" s="2"/>
      <c r="C804" s="2"/>
      <c r="D804" s="2"/>
      <c r="E804" s="2"/>
      <c r="F804" s="2"/>
      <c r="G804" s="2"/>
      <c r="I804" s="2"/>
    </row>
    <row r="805" spans="1:9" ht="12" customHeight="1" x14ac:dyDescent="0.2">
      <c r="A805" s="3"/>
      <c r="B805" s="2"/>
      <c r="C805" s="2"/>
      <c r="D805" s="2"/>
      <c r="E805" s="2"/>
      <c r="F805" s="2"/>
      <c r="G805" s="2"/>
      <c r="I805" s="2"/>
    </row>
    <row r="806" spans="1:9" ht="12" customHeight="1" x14ac:dyDescent="0.2">
      <c r="A806" s="3"/>
      <c r="B806" s="2"/>
      <c r="C806" s="2"/>
      <c r="D806" s="2"/>
      <c r="E806" s="2"/>
      <c r="F806" s="2"/>
      <c r="G806" s="2"/>
      <c r="I806" s="2"/>
    </row>
    <row r="807" spans="1:9" ht="12" customHeight="1" x14ac:dyDescent="0.2">
      <c r="A807" s="3"/>
      <c r="B807" s="2"/>
      <c r="C807" s="2"/>
      <c r="D807" s="2"/>
      <c r="E807" s="2"/>
      <c r="F807" s="2"/>
      <c r="G807" s="2"/>
      <c r="I807" s="2"/>
    </row>
    <row r="808" spans="1:9" ht="12" customHeight="1" x14ac:dyDescent="0.2">
      <c r="A808" s="3"/>
      <c r="B808" s="2"/>
      <c r="C808" s="2"/>
      <c r="D808" s="2"/>
      <c r="E808" s="2"/>
      <c r="F808" s="2"/>
      <c r="G808" s="2"/>
      <c r="I808" s="2"/>
    </row>
    <row r="809" spans="1:9" ht="12" customHeight="1" x14ac:dyDescent="0.2">
      <c r="A809" s="3"/>
      <c r="B809" s="2"/>
      <c r="C809" s="2"/>
      <c r="D809" s="2"/>
      <c r="E809" s="2"/>
      <c r="F809" s="2"/>
      <c r="G809" s="2"/>
      <c r="I809" s="2"/>
    </row>
    <row r="810" spans="1:9" ht="12" customHeight="1" x14ac:dyDescent="0.2">
      <c r="A810" s="3"/>
      <c r="B810" s="2"/>
      <c r="C810" s="2"/>
      <c r="D810" s="2"/>
      <c r="E810" s="2"/>
      <c r="F810" s="2"/>
      <c r="G810" s="2"/>
      <c r="I810" s="2"/>
    </row>
    <row r="811" spans="1:9" ht="12" customHeight="1" x14ac:dyDescent="0.2">
      <c r="A811" s="3"/>
      <c r="B811" s="2"/>
      <c r="C811" s="2"/>
      <c r="D811" s="2"/>
      <c r="E811" s="2"/>
      <c r="F811" s="2"/>
      <c r="G811" s="2"/>
      <c r="I811" s="2"/>
    </row>
    <row r="812" spans="1:9" ht="12" customHeight="1" x14ac:dyDescent="0.2">
      <c r="A812" s="3"/>
      <c r="B812" s="2"/>
      <c r="C812" s="2"/>
      <c r="D812" s="2"/>
      <c r="E812" s="2"/>
      <c r="F812" s="2"/>
      <c r="G812" s="2"/>
      <c r="I812" s="2"/>
    </row>
    <row r="813" spans="1:9" ht="12" customHeight="1" x14ac:dyDescent="0.2">
      <c r="A813" s="3"/>
      <c r="B813" s="2"/>
      <c r="C813" s="2"/>
      <c r="D813" s="2"/>
      <c r="E813" s="2"/>
      <c r="F813" s="2"/>
      <c r="G813" s="2"/>
      <c r="I813" s="2"/>
    </row>
    <row r="814" spans="1:9" ht="12" customHeight="1" x14ac:dyDescent="0.2">
      <c r="A814" s="3"/>
      <c r="B814" s="2"/>
      <c r="C814" s="2"/>
      <c r="D814" s="2"/>
      <c r="E814" s="2"/>
      <c r="F814" s="2"/>
      <c r="G814" s="2"/>
      <c r="I814" s="2"/>
    </row>
    <row r="815" spans="1:9" ht="12" customHeight="1" x14ac:dyDescent="0.2">
      <c r="A815" s="3"/>
      <c r="B815" s="2"/>
      <c r="C815" s="2"/>
      <c r="D815" s="2"/>
      <c r="E815" s="2"/>
      <c r="F815" s="2"/>
      <c r="G815" s="2"/>
      <c r="I815" s="2"/>
    </row>
    <row r="816" spans="1:9" ht="12" customHeight="1" x14ac:dyDescent="0.2">
      <c r="A816" s="3"/>
      <c r="B816" s="2"/>
      <c r="C816" s="2"/>
      <c r="D816" s="2"/>
      <c r="E816" s="2"/>
      <c r="F816" s="2"/>
      <c r="G816" s="2"/>
      <c r="I816" s="2"/>
    </row>
    <row r="817" spans="1:9" ht="12" customHeight="1" x14ac:dyDescent="0.2">
      <c r="A817" s="3"/>
      <c r="B817" s="2"/>
      <c r="C817" s="2"/>
      <c r="D817" s="2"/>
      <c r="E817" s="2"/>
      <c r="F817" s="2"/>
      <c r="G817" s="2"/>
      <c r="I817" s="2"/>
    </row>
    <row r="818" spans="1:9" ht="12" customHeight="1" x14ac:dyDescent="0.2">
      <c r="A818" s="3"/>
      <c r="B818" s="2"/>
      <c r="C818" s="2"/>
      <c r="D818" s="2"/>
      <c r="E818" s="2"/>
      <c r="F818" s="2"/>
      <c r="G818" s="2"/>
      <c r="I818" s="2"/>
    </row>
    <row r="819" spans="1:9" ht="12" customHeight="1" x14ac:dyDescent="0.2">
      <c r="A819" s="3"/>
      <c r="B819" s="2"/>
      <c r="C819" s="2"/>
      <c r="D819" s="2"/>
      <c r="E819" s="2"/>
      <c r="F819" s="2"/>
      <c r="G819" s="2"/>
      <c r="I819" s="2"/>
    </row>
    <row r="820" spans="1:9" ht="12" customHeight="1" x14ac:dyDescent="0.2">
      <c r="A820" s="3"/>
      <c r="B820" s="2"/>
      <c r="C820" s="2"/>
      <c r="D820" s="2"/>
      <c r="E820" s="2"/>
      <c r="F820" s="2"/>
      <c r="G820" s="2"/>
      <c r="I820" s="2"/>
    </row>
    <row r="821" spans="1:9" ht="12" customHeight="1" x14ac:dyDescent="0.2">
      <c r="A821" s="3"/>
      <c r="B821" s="2"/>
      <c r="C821" s="2"/>
      <c r="D821" s="2"/>
      <c r="E821" s="2"/>
      <c r="F821" s="2"/>
      <c r="G821" s="2"/>
      <c r="I821" s="2"/>
    </row>
    <row r="822" spans="1:9" ht="12" customHeight="1" x14ac:dyDescent="0.2">
      <c r="A822" s="3"/>
      <c r="B822" s="2"/>
      <c r="C822" s="2"/>
      <c r="D822" s="2"/>
      <c r="E822" s="2"/>
      <c r="F822" s="2"/>
      <c r="G822" s="2"/>
      <c r="I822" s="2"/>
    </row>
    <row r="823" spans="1:9" ht="12" customHeight="1" x14ac:dyDescent="0.2">
      <c r="A823" s="3"/>
      <c r="B823" s="2"/>
      <c r="C823" s="2"/>
      <c r="D823" s="2"/>
      <c r="E823" s="2"/>
      <c r="F823" s="2"/>
      <c r="G823" s="2"/>
      <c r="I823" s="2"/>
    </row>
    <row r="824" spans="1:9" ht="12" customHeight="1" x14ac:dyDescent="0.2">
      <c r="A824" s="3"/>
      <c r="B824" s="2"/>
      <c r="C824" s="2"/>
      <c r="D824" s="2"/>
      <c r="E824" s="2"/>
      <c r="F824" s="2"/>
      <c r="G824" s="2"/>
      <c r="I824" s="2"/>
    </row>
    <row r="825" spans="1:9" ht="12" customHeight="1" x14ac:dyDescent="0.2">
      <c r="A825" s="3"/>
      <c r="B825" s="2"/>
      <c r="C825" s="2"/>
      <c r="D825" s="2"/>
      <c r="E825" s="2"/>
      <c r="F825" s="2"/>
      <c r="G825" s="2"/>
      <c r="I825" s="2"/>
    </row>
    <row r="826" spans="1:9" ht="12" customHeight="1" x14ac:dyDescent="0.2">
      <c r="A826" s="3"/>
      <c r="B826" s="2"/>
      <c r="C826" s="2"/>
      <c r="D826" s="2"/>
      <c r="E826" s="2"/>
      <c r="F826" s="2"/>
      <c r="G826" s="2"/>
      <c r="I826" s="2"/>
    </row>
    <row r="827" spans="1:9" ht="12" customHeight="1" x14ac:dyDescent="0.2">
      <c r="A827" s="3"/>
      <c r="B827" s="2"/>
      <c r="C827" s="2"/>
      <c r="D827" s="2"/>
      <c r="E827" s="2"/>
      <c r="F827" s="2"/>
      <c r="G827" s="2"/>
      <c r="I827" s="2"/>
    </row>
    <row r="828" spans="1:9" ht="12" customHeight="1" x14ac:dyDescent="0.2">
      <c r="A828" s="3"/>
      <c r="B828" s="2"/>
      <c r="C828" s="2"/>
      <c r="D828" s="2"/>
      <c r="E828" s="2"/>
      <c r="F828" s="2"/>
      <c r="G828" s="2"/>
      <c r="I828" s="2"/>
    </row>
    <row r="829" spans="1:9" ht="12" customHeight="1" x14ac:dyDescent="0.2">
      <c r="A829" s="3"/>
      <c r="B829" s="2"/>
      <c r="C829" s="2"/>
      <c r="D829" s="2"/>
      <c r="E829" s="2"/>
      <c r="F829" s="2"/>
      <c r="G829" s="2"/>
      <c r="I829" s="2"/>
    </row>
    <row r="830" spans="1:9" ht="12" customHeight="1" x14ac:dyDescent="0.2">
      <c r="A830" s="3"/>
      <c r="B830" s="2"/>
      <c r="C830" s="2"/>
      <c r="D830" s="2"/>
      <c r="E830" s="2"/>
      <c r="F830" s="2"/>
      <c r="G830" s="2"/>
      <c r="I830" s="2"/>
    </row>
    <row r="831" spans="1:9" ht="12" customHeight="1" x14ac:dyDescent="0.2">
      <c r="A831" s="3"/>
      <c r="B831" s="2"/>
      <c r="C831" s="2"/>
      <c r="D831" s="2"/>
      <c r="E831" s="2"/>
      <c r="F831" s="2"/>
      <c r="G831" s="2"/>
      <c r="I831" s="2"/>
    </row>
    <row r="832" spans="1:9" ht="12" customHeight="1" x14ac:dyDescent="0.2">
      <c r="A832" s="3"/>
      <c r="B832" s="2"/>
      <c r="C832" s="2"/>
      <c r="D832" s="2"/>
      <c r="E832" s="2"/>
      <c r="F832" s="2"/>
      <c r="G832" s="2"/>
      <c r="I832" s="2"/>
    </row>
    <row r="833" spans="1:9" ht="12" customHeight="1" x14ac:dyDescent="0.2">
      <c r="A833" s="3"/>
      <c r="B833" s="2"/>
      <c r="C833" s="2"/>
      <c r="D833" s="2"/>
      <c r="E833" s="2"/>
      <c r="F833" s="2"/>
      <c r="G833" s="2"/>
      <c r="I833" s="2"/>
    </row>
    <row r="834" spans="1:9" ht="12" customHeight="1" x14ac:dyDescent="0.2">
      <c r="A834" s="3"/>
      <c r="B834" s="2"/>
      <c r="C834" s="2"/>
      <c r="D834" s="2"/>
      <c r="E834" s="2"/>
      <c r="F834" s="2"/>
      <c r="G834" s="2"/>
      <c r="I834" s="2"/>
    </row>
    <row r="835" spans="1:9" ht="12" customHeight="1" x14ac:dyDescent="0.2">
      <c r="A835" s="3"/>
      <c r="B835" s="2"/>
      <c r="C835" s="2"/>
      <c r="D835" s="2"/>
      <c r="E835" s="2"/>
      <c r="F835" s="2"/>
      <c r="G835" s="2"/>
      <c r="I835" s="2"/>
    </row>
    <row r="836" spans="1:9" ht="12" customHeight="1" x14ac:dyDescent="0.2">
      <c r="A836" s="3"/>
      <c r="B836" s="2"/>
      <c r="C836" s="2"/>
      <c r="D836" s="2"/>
      <c r="E836" s="2"/>
      <c r="F836" s="2"/>
      <c r="G836" s="2"/>
      <c r="I836" s="2"/>
    </row>
    <row r="837" spans="1:9" ht="12" customHeight="1" x14ac:dyDescent="0.2">
      <c r="A837" s="3"/>
      <c r="B837" s="2"/>
      <c r="C837" s="2"/>
      <c r="D837" s="2"/>
      <c r="E837" s="2"/>
      <c r="F837" s="2"/>
      <c r="G837" s="2"/>
      <c r="I837" s="2"/>
    </row>
    <row r="838" spans="1:9" ht="12" customHeight="1" x14ac:dyDescent="0.2">
      <c r="A838" s="3"/>
      <c r="B838" s="2"/>
      <c r="C838" s="2"/>
      <c r="D838" s="2"/>
      <c r="E838" s="2"/>
      <c r="F838" s="2"/>
      <c r="G838" s="2"/>
      <c r="I838" s="2"/>
    </row>
    <row r="839" spans="1:9" ht="12" customHeight="1" x14ac:dyDescent="0.2">
      <c r="A839" s="3"/>
      <c r="B839" s="2"/>
      <c r="C839" s="2"/>
      <c r="D839" s="2"/>
      <c r="E839" s="2"/>
      <c r="F839" s="2"/>
      <c r="G839" s="2"/>
      <c r="I839" s="2"/>
    </row>
    <row r="840" spans="1:9" ht="12" customHeight="1" x14ac:dyDescent="0.2">
      <c r="A840" s="3"/>
      <c r="B840" s="2"/>
      <c r="C840" s="2"/>
      <c r="D840" s="2"/>
      <c r="E840" s="2"/>
      <c r="F840" s="2"/>
      <c r="G840" s="2"/>
      <c r="I840" s="2"/>
    </row>
    <row r="841" spans="1:9" ht="12" customHeight="1" x14ac:dyDescent="0.2">
      <c r="A841" s="3"/>
      <c r="B841" s="2"/>
      <c r="C841" s="2"/>
      <c r="D841" s="2"/>
      <c r="E841" s="2"/>
      <c r="F841" s="2"/>
      <c r="G841" s="2"/>
      <c r="I841" s="2"/>
    </row>
    <row r="842" spans="1:9" ht="12" customHeight="1" x14ac:dyDescent="0.2">
      <c r="A842" s="3"/>
      <c r="B842" s="2"/>
      <c r="C842" s="2"/>
      <c r="D842" s="2"/>
      <c r="E842" s="2"/>
      <c r="F842" s="2"/>
      <c r="G842" s="2"/>
      <c r="I842" s="2"/>
    </row>
    <row r="843" spans="1:9" ht="12" customHeight="1" x14ac:dyDescent="0.2">
      <c r="A843" s="3"/>
      <c r="B843" s="2"/>
      <c r="C843" s="2"/>
      <c r="D843" s="2"/>
      <c r="E843" s="2"/>
      <c r="F843" s="2"/>
      <c r="G843" s="2"/>
      <c r="I843" s="2"/>
    </row>
    <row r="844" spans="1:9" ht="12" customHeight="1" x14ac:dyDescent="0.2">
      <c r="A844" s="3"/>
      <c r="B844" s="2"/>
      <c r="C844" s="2"/>
      <c r="D844" s="2"/>
      <c r="E844" s="2"/>
      <c r="F844" s="2"/>
      <c r="G844" s="2"/>
      <c r="I844" s="2"/>
    </row>
    <row r="845" spans="1:9" ht="12" customHeight="1" x14ac:dyDescent="0.2">
      <c r="A845" s="3"/>
      <c r="B845" s="2"/>
      <c r="C845" s="2"/>
      <c r="D845" s="2"/>
      <c r="E845" s="2"/>
      <c r="F845" s="2"/>
      <c r="G845" s="2"/>
      <c r="I845" s="2"/>
    </row>
    <row r="846" spans="1:9" ht="12" customHeight="1" x14ac:dyDescent="0.2">
      <c r="A846" s="3"/>
      <c r="B846" s="2"/>
      <c r="C846" s="2"/>
      <c r="D846" s="2"/>
      <c r="E846" s="2"/>
      <c r="F846" s="2"/>
      <c r="G846" s="2"/>
      <c r="I846" s="2"/>
    </row>
    <row r="847" spans="1:9" ht="12" customHeight="1" x14ac:dyDescent="0.2">
      <c r="A847" s="3"/>
      <c r="B847" s="2"/>
      <c r="C847" s="2"/>
      <c r="D847" s="2"/>
      <c r="E847" s="2"/>
      <c r="F847" s="2"/>
      <c r="G847" s="2"/>
      <c r="I847" s="2"/>
    </row>
    <row r="848" spans="1:9" ht="12" customHeight="1" x14ac:dyDescent="0.2">
      <c r="A848" s="3"/>
      <c r="B848" s="2"/>
      <c r="C848" s="2"/>
      <c r="D848" s="2"/>
      <c r="E848" s="2"/>
      <c r="F848" s="2"/>
      <c r="G848" s="2"/>
      <c r="I848" s="2"/>
    </row>
    <row r="849" spans="1:9" ht="12" customHeight="1" x14ac:dyDescent="0.2">
      <c r="A849" s="3"/>
      <c r="B849" s="2"/>
      <c r="C849" s="2"/>
      <c r="D849" s="2"/>
      <c r="E849" s="2"/>
      <c r="F849" s="2"/>
      <c r="G849" s="2"/>
      <c r="I849" s="2"/>
    </row>
    <row r="850" spans="1:9" ht="12" customHeight="1" x14ac:dyDescent="0.2">
      <c r="A850" s="3"/>
      <c r="B850" s="2"/>
      <c r="C850" s="2"/>
      <c r="D850" s="2"/>
      <c r="E850" s="2"/>
      <c r="F850" s="2"/>
      <c r="G850" s="2"/>
      <c r="I850" s="2"/>
    </row>
    <row r="851" spans="1:9" ht="12" customHeight="1" x14ac:dyDescent="0.2">
      <c r="A851" s="3"/>
      <c r="B851" s="2"/>
      <c r="C851" s="2"/>
      <c r="D851" s="2"/>
      <c r="E851" s="2"/>
      <c r="F851" s="2"/>
      <c r="G851" s="2"/>
      <c r="I851" s="2"/>
    </row>
    <row r="852" spans="1:9" ht="12" customHeight="1" x14ac:dyDescent="0.2">
      <c r="A852" s="3"/>
      <c r="B852" s="2"/>
      <c r="C852" s="2"/>
      <c r="D852" s="2"/>
      <c r="E852" s="2"/>
      <c r="F852" s="2"/>
      <c r="G852" s="2"/>
      <c r="I852" s="2"/>
    </row>
    <row r="853" spans="1:9" ht="12" customHeight="1" x14ac:dyDescent="0.2">
      <c r="A853" s="3"/>
      <c r="B853" s="2"/>
      <c r="C853" s="2"/>
      <c r="D853" s="2"/>
      <c r="E853" s="2"/>
      <c r="F853" s="2"/>
      <c r="G853" s="2"/>
      <c r="I853" s="2"/>
    </row>
    <row r="854" spans="1:9" ht="12" customHeight="1" x14ac:dyDescent="0.2">
      <c r="A854" s="3"/>
      <c r="B854" s="2"/>
      <c r="C854" s="2"/>
      <c r="D854" s="2"/>
      <c r="E854" s="2"/>
      <c r="F854" s="2"/>
      <c r="G854" s="2"/>
      <c r="I854" s="2"/>
    </row>
    <row r="855" spans="1:9" ht="12" customHeight="1" x14ac:dyDescent="0.2">
      <c r="A855" s="3"/>
      <c r="B855" s="2"/>
      <c r="C855" s="2"/>
      <c r="D855" s="2"/>
      <c r="E855" s="2"/>
      <c r="F855" s="2"/>
      <c r="G855" s="2"/>
      <c r="I855" s="2"/>
    </row>
    <row r="856" spans="1:9" ht="12" customHeight="1" x14ac:dyDescent="0.2">
      <c r="A856" s="3"/>
      <c r="B856" s="2"/>
      <c r="C856" s="2"/>
      <c r="D856" s="2"/>
      <c r="E856" s="2"/>
      <c r="F856" s="2"/>
      <c r="G856" s="2"/>
      <c r="I856" s="2"/>
    </row>
    <row r="857" spans="1:9" ht="12" customHeight="1" x14ac:dyDescent="0.2">
      <c r="A857" s="3"/>
      <c r="B857" s="2"/>
      <c r="C857" s="2"/>
      <c r="D857" s="2"/>
      <c r="E857" s="2"/>
      <c r="F857" s="2"/>
      <c r="G857" s="2"/>
      <c r="I857" s="2"/>
    </row>
    <row r="858" spans="1:9" ht="12" customHeight="1" x14ac:dyDescent="0.2">
      <c r="A858" s="3"/>
      <c r="B858" s="2"/>
      <c r="C858" s="2"/>
      <c r="D858" s="2"/>
      <c r="E858" s="2"/>
      <c r="F858" s="2"/>
      <c r="G858" s="2"/>
      <c r="I858" s="2"/>
    </row>
    <row r="859" spans="1:9" ht="12" customHeight="1" x14ac:dyDescent="0.2">
      <c r="A859" s="3"/>
      <c r="B859" s="2"/>
      <c r="C859" s="2"/>
      <c r="D859" s="2"/>
      <c r="E859" s="2"/>
      <c r="F859" s="2"/>
      <c r="G859" s="2"/>
      <c r="I859" s="2"/>
    </row>
    <row r="860" spans="1:9" ht="12" customHeight="1" x14ac:dyDescent="0.2">
      <c r="A860" s="3"/>
      <c r="B860" s="2"/>
      <c r="C860" s="2"/>
      <c r="D860" s="2"/>
      <c r="E860" s="2"/>
      <c r="F860" s="2"/>
      <c r="G860" s="2"/>
      <c r="I860" s="2"/>
    </row>
    <row r="861" spans="1:9" ht="12" customHeight="1" x14ac:dyDescent="0.2">
      <c r="A861" s="3"/>
      <c r="B861" s="2"/>
      <c r="C861" s="2"/>
      <c r="D861" s="2"/>
      <c r="E861" s="2"/>
      <c r="F861" s="2"/>
      <c r="G861" s="2"/>
      <c r="I861" s="2"/>
    </row>
    <row r="862" spans="1:9" ht="12" customHeight="1" x14ac:dyDescent="0.2">
      <c r="A862" s="3"/>
      <c r="B862" s="2"/>
      <c r="C862" s="2"/>
      <c r="D862" s="2"/>
      <c r="E862" s="2"/>
      <c r="F862" s="2"/>
      <c r="G862" s="2"/>
      <c r="I862" s="2"/>
    </row>
    <row r="863" spans="1:9" ht="12" customHeight="1" x14ac:dyDescent="0.2">
      <c r="A863" s="3"/>
      <c r="B863" s="2"/>
      <c r="C863" s="2"/>
      <c r="D863" s="2"/>
      <c r="E863" s="2"/>
      <c r="F863" s="2"/>
      <c r="G863" s="2"/>
      <c r="I863" s="2"/>
    </row>
    <row r="864" spans="1:9" ht="12" customHeight="1" x14ac:dyDescent="0.2">
      <c r="A864" s="3"/>
      <c r="B864" s="2"/>
      <c r="C864" s="2"/>
      <c r="D864" s="2"/>
      <c r="E864" s="2"/>
      <c r="F864" s="2"/>
      <c r="G864" s="2"/>
      <c r="I864" s="2"/>
    </row>
    <row r="865" spans="1:9" ht="12" customHeight="1" x14ac:dyDescent="0.2">
      <c r="A865" s="3"/>
      <c r="B865" s="2"/>
      <c r="C865" s="2"/>
      <c r="D865" s="2"/>
      <c r="E865" s="2"/>
      <c r="F865" s="2"/>
      <c r="G865" s="2"/>
      <c r="I865" s="2"/>
    </row>
    <row r="866" spans="1:9" ht="12" customHeight="1" x14ac:dyDescent="0.2">
      <c r="A866" s="3"/>
      <c r="B866" s="2"/>
      <c r="C866" s="2"/>
      <c r="D866" s="2"/>
      <c r="E866" s="2"/>
      <c r="F866" s="2"/>
      <c r="G866" s="2"/>
      <c r="I866" s="2"/>
    </row>
    <row r="867" spans="1:9" ht="12" customHeight="1" x14ac:dyDescent="0.2">
      <c r="A867" s="3"/>
      <c r="B867" s="2"/>
      <c r="C867" s="2"/>
      <c r="D867" s="2"/>
      <c r="E867" s="2"/>
      <c r="F867" s="2"/>
      <c r="G867" s="2"/>
      <c r="I867" s="2"/>
    </row>
    <row r="868" spans="1:9" ht="12" customHeight="1" x14ac:dyDescent="0.2">
      <c r="A868" s="3"/>
      <c r="B868" s="2"/>
      <c r="C868" s="2"/>
      <c r="D868" s="2"/>
      <c r="E868" s="2"/>
      <c r="F868" s="2"/>
      <c r="G868" s="2"/>
      <c r="I868" s="2"/>
    </row>
    <row r="869" spans="1:9" ht="12" customHeight="1" x14ac:dyDescent="0.2">
      <c r="A869" s="3"/>
      <c r="B869" s="2"/>
      <c r="C869" s="2"/>
      <c r="D869" s="2"/>
      <c r="E869" s="2"/>
      <c r="F869" s="2"/>
      <c r="G869" s="2"/>
      <c r="I869" s="2"/>
    </row>
    <row r="870" spans="1:9" ht="12" customHeight="1" x14ac:dyDescent="0.2">
      <c r="A870" s="3"/>
      <c r="B870" s="2"/>
      <c r="C870" s="2"/>
      <c r="D870" s="2"/>
      <c r="E870" s="2"/>
      <c r="F870" s="2"/>
      <c r="G870" s="2"/>
      <c r="I870" s="2"/>
    </row>
    <row r="871" spans="1:9" ht="12" customHeight="1" x14ac:dyDescent="0.2">
      <c r="A871" s="3"/>
      <c r="B871" s="2"/>
      <c r="C871" s="2"/>
      <c r="D871" s="2"/>
      <c r="E871" s="2"/>
      <c r="F871" s="2"/>
      <c r="G871" s="2"/>
      <c r="I871" s="2"/>
    </row>
    <row r="872" spans="1:9" ht="12" customHeight="1" x14ac:dyDescent="0.2">
      <c r="A872" s="3"/>
      <c r="B872" s="2"/>
      <c r="C872" s="2"/>
      <c r="D872" s="2"/>
      <c r="E872" s="2"/>
      <c r="F872" s="2"/>
      <c r="G872" s="2"/>
      <c r="I872" s="2"/>
    </row>
    <row r="873" spans="1:9" ht="12" customHeight="1" x14ac:dyDescent="0.2">
      <c r="A873" s="3"/>
      <c r="B873" s="2"/>
      <c r="C873" s="2"/>
      <c r="D873" s="2"/>
      <c r="E873" s="2"/>
      <c r="F873" s="2"/>
      <c r="G873" s="2"/>
      <c r="I873" s="2"/>
    </row>
    <row r="874" spans="1:9" ht="12" customHeight="1" x14ac:dyDescent="0.2">
      <c r="A874" s="3"/>
      <c r="B874" s="2"/>
      <c r="C874" s="2"/>
      <c r="D874" s="2"/>
      <c r="E874" s="2"/>
      <c r="F874" s="2"/>
      <c r="G874" s="2"/>
      <c r="I874" s="2"/>
    </row>
    <row r="875" spans="1:9" ht="12" customHeight="1" x14ac:dyDescent="0.2">
      <c r="A875" s="3"/>
      <c r="B875" s="2"/>
      <c r="C875" s="2"/>
      <c r="D875" s="2"/>
      <c r="E875" s="2"/>
      <c r="F875" s="2"/>
      <c r="G875" s="2"/>
      <c r="I875" s="2"/>
    </row>
    <row r="876" spans="1:9" ht="12" customHeight="1" x14ac:dyDescent="0.2">
      <c r="A876" s="3"/>
      <c r="B876" s="2"/>
      <c r="C876" s="2"/>
      <c r="D876" s="2"/>
      <c r="E876" s="2"/>
      <c r="F876" s="2"/>
      <c r="G876" s="2"/>
      <c r="I876" s="2"/>
    </row>
    <row r="877" spans="1:9" ht="12" customHeight="1" x14ac:dyDescent="0.2">
      <c r="A877" s="3"/>
      <c r="B877" s="2"/>
      <c r="C877" s="2"/>
      <c r="D877" s="2"/>
      <c r="E877" s="2"/>
      <c r="F877" s="2"/>
      <c r="G877" s="2"/>
      <c r="I877" s="2"/>
    </row>
    <row r="878" spans="1:9" ht="12" customHeight="1" x14ac:dyDescent="0.2">
      <c r="A878" s="3"/>
      <c r="B878" s="2"/>
      <c r="C878" s="2"/>
      <c r="D878" s="2"/>
      <c r="E878" s="2"/>
      <c r="F878" s="2"/>
      <c r="G878" s="2"/>
      <c r="I878" s="2"/>
    </row>
    <row r="879" spans="1:9" ht="12" customHeight="1" x14ac:dyDescent="0.2">
      <c r="A879" s="3"/>
      <c r="B879" s="2"/>
      <c r="C879" s="2"/>
      <c r="D879" s="2"/>
      <c r="E879" s="2"/>
      <c r="F879" s="2"/>
      <c r="G879" s="2"/>
      <c r="I879" s="2"/>
    </row>
    <row r="880" spans="1:9" ht="12" customHeight="1" x14ac:dyDescent="0.2">
      <c r="A880" s="3"/>
      <c r="B880" s="2"/>
      <c r="C880" s="2"/>
      <c r="D880" s="2"/>
      <c r="E880" s="2"/>
      <c r="F880" s="2"/>
      <c r="G880" s="2"/>
      <c r="I880" s="2"/>
    </row>
    <row r="881" spans="1:9" ht="12" customHeight="1" x14ac:dyDescent="0.2">
      <c r="A881" s="3"/>
      <c r="B881" s="2"/>
      <c r="C881" s="2"/>
      <c r="D881" s="2"/>
      <c r="E881" s="2"/>
      <c r="F881" s="2"/>
      <c r="G881" s="2"/>
      <c r="I881" s="2"/>
    </row>
    <row r="882" spans="1:9" ht="12" customHeight="1" x14ac:dyDescent="0.2">
      <c r="A882" s="3"/>
      <c r="B882" s="2"/>
      <c r="C882" s="2"/>
      <c r="D882" s="2"/>
      <c r="E882" s="2"/>
      <c r="F882" s="2"/>
      <c r="G882" s="2"/>
      <c r="I882" s="2"/>
    </row>
    <row r="883" spans="1:9" ht="12" customHeight="1" x14ac:dyDescent="0.2">
      <c r="A883" s="3"/>
      <c r="B883" s="2"/>
      <c r="C883" s="2"/>
      <c r="D883" s="2"/>
      <c r="E883" s="2"/>
      <c r="F883" s="2"/>
      <c r="G883" s="2"/>
      <c r="I883" s="2"/>
    </row>
    <row r="884" spans="1:9" ht="12" customHeight="1" x14ac:dyDescent="0.2">
      <c r="A884" s="3"/>
      <c r="B884" s="2"/>
      <c r="C884" s="2"/>
      <c r="D884" s="2"/>
      <c r="E884" s="2"/>
      <c r="F884" s="2"/>
      <c r="G884" s="2"/>
      <c r="I884" s="2"/>
    </row>
    <row r="885" spans="1:9" ht="12" customHeight="1" x14ac:dyDescent="0.2">
      <c r="A885" s="3"/>
      <c r="B885" s="2"/>
      <c r="C885" s="2"/>
      <c r="D885" s="2"/>
      <c r="E885" s="2"/>
      <c r="F885" s="2"/>
      <c r="G885" s="2"/>
      <c r="I885" s="2"/>
    </row>
    <row r="886" spans="1:9" ht="12" customHeight="1" x14ac:dyDescent="0.2">
      <c r="A886" s="3"/>
      <c r="B886" s="2"/>
      <c r="C886" s="2"/>
      <c r="D886" s="2"/>
      <c r="E886" s="2"/>
      <c r="F886" s="2"/>
      <c r="G886" s="2"/>
      <c r="I886" s="2"/>
    </row>
    <row r="887" spans="1:9" ht="12" customHeight="1" x14ac:dyDescent="0.2">
      <c r="A887" s="3"/>
      <c r="B887" s="2"/>
      <c r="C887" s="2"/>
      <c r="D887" s="2"/>
      <c r="E887" s="2"/>
      <c r="F887" s="2"/>
      <c r="G887" s="2"/>
      <c r="I887" s="2"/>
    </row>
    <row r="888" spans="1:9" ht="12" customHeight="1" x14ac:dyDescent="0.2">
      <c r="A888" s="3"/>
      <c r="B888" s="2"/>
      <c r="C888" s="2"/>
      <c r="D888" s="2"/>
      <c r="E888" s="2"/>
      <c r="F888" s="2"/>
      <c r="G888" s="2"/>
      <c r="I888" s="2"/>
    </row>
    <row r="889" spans="1:9" ht="12" customHeight="1" x14ac:dyDescent="0.2">
      <c r="A889" s="3"/>
      <c r="B889" s="2"/>
      <c r="C889" s="2"/>
      <c r="D889" s="2"/>
      <c r="E889" s="2"/>
      <c r="F889" s="2"/>
      <c r="G889" s="2"/>
      <c r="I889" s="2"/>
    </row>
    <row r="890" spans="1:9" ht="12" customHeight="1" x14ac:dyDescent="0.2">
      <c r="A890" s="3"/>
      <c r="B890" s="2"/>
      <c r="C890" s="2"/>
      <c r="D890" s="2"/>
      <c r="E890" s="2"/>
      <c r="F890" s="2"/>
      <c r="G890" s="2"/>
      <c r="I890" s="2"/>
    </row>
    <row r="891" spans="1:9" ht="12" customHeight="1" x14ac:dyDescent="0.2">
      <c r="A891" s="3"/>
      <c r="B891" s="2"/>
      <c r="C891" s="2"/>
      <c r="D891" s="2"/>
      <c r="E891" s="2"/>
      <c r="F891" s="2"/>
      <c r="G891" s="2"/>
      <c r="I891" s="2"/>
    </row>
    <row r="892" spans="1:9" ht="12" customHeight="1" x14ac:dyDescent="0.2">
      <c r="A892" s="3"/>
      <c r="B892" s="2"/>
      <c r="C892" s="2"/>
      <c r="D892" s="2"/>
      <c r="E892" s="2"/>
      <c r="F892" s="2"/>
      <c r="G892" s="2"/>
      <c r="I892" s="2"/>
    </row>
    <row r="893" spans="1:9" ht="12" customHeight="1" x14ac:dyDescent="0.2">
      <c r="A893" s="3"/>
      <c r="B893" s="2"/>
      <c r="C893" s="2"/>
      <c r="D893" s="2"/>
      <c r="E893" s="2"/>
      <c r="F893" s="2"/>
      <c r="G893" s="2"/>
      <c r="I893" s="2"/>
    </row>
    <row r="894" spans="1:9" ht="12" customHeight="1" x14ac:dyDescent="0.2">
      <c r="A894" s="3"/>
      <c r="B894" s="2"/>
      <c r="C894" s="2"/>
      <c r="D894" s="2"/>
      <c r="E894" s="2"/>
      <c r="F894" s="2"/>
      <c r="G894" s="2"/>
      <c r="I894" s="2"/>
    </row>
    <row r="895" spans="1:9" ht="12" customHeight="1" x14ac:dyDescent="0.2">
      <c r="A895" s="3"/>
      <c r="B895" s="2"/>
      <c r="C895" s="2"/>
      <c r="D895" s="2"/>
      <c r="E895" s="2"/>
      <c r="F895" s="2"/>
      <c r="G895" s="2"/>
      <c r="I895" s="2"/>
    </row>
    <row r="896" spans="1:9" ht="12" customHeight="1" x14ac:dyDescent="0.2">
      <c r="A896" s="3"/>
      <c r="B896" s="2"/>
      <c r="C896" s="2"/>
      <c r="D896" s="2"/>
      <c r="E896" s="2"/>
      <c r="F896" s="2"/>
      <c r="G896" s="2"/>
      <c r="I896" s="2"/>
    </row>
    <row r="897" spans="1:9" ht="12" customHeight="1" x14ac:dyDescent="0.2">
      <c r="A897" s="3"/>
      <c r="B897" s="2"/>
      <c r="C897" s="2"/>
      <c r="D897" s="2"/>
      <c r="E897" s="2"/>
      <c r="F897" s="2"/>
      <c r="G897" s="2"/>
      <c r="I897" s="2"/>
    </row>
    <row r="898" spans="1:9" ht="12" customHeight="1" x14ac:dyDescent="0.2">
      <c r="A898" s="3"/>
      <c r="B898" s="2"/>
      <c r="C898" s="2"/>
      <c r="D898" s="2"/>
      <c r="E898" s="2"/>
      <c r="F898" s="2"/>
      <c r="G898" s="2"/>
      <c r="I898" s="2"/>
    </row>
    <row r="899" spans="1:9" ht="12" customHeight="1" x14ac:dyDescent="0.2">
      <c r="A899" s="3"/>
      <c r="B899" s="2"/>
      <c r="C899" s="2"/>
      <c r="D899" s="2"/>
      <c r="E899" s="2"/>
      <c r="F899" s="2"/>
      <c r="G899" s="2"/>
      <c r="I899" s="2"/>
    </row>
    <row r="900" spans="1:9" ht="12" customHeight="1" x14ac:dyDescent="0.2">
      <c r="A900" s="3"/>
      <c r="B900" s="2"/>
      <c r="C900" s="2"/>
      <c r="D900" s="2"/>
      <c r="E900" s="2"/>
      <c r="F900" s="2"/>
      <c r="G900" s="2"/>
      <c r="I900" s="2"/>
    </row>
    <row r="901" spans="1:9" ht="12" customHeight="1" x14ac:dyDescent="0.2">
      <c r="A901" s="3"/>
      <c r="B901" s="2"/>
      <c r="C901" s="2"/>
      <c r="D901" s="2"/>
      <c r="E901" s="2"/>
      <c r="F901" s="2"/>
      <c r="G901" s="2"/>
      <c r="I901" s="2"/>
    </row>
    <row r="902" spans="1:9" ht="12" customHeight="1" x14ac:dyDescent="0.2">
      <c r="A902" s="3"/>
      <c r="B902" s="2"/>
      <c r="C902" s="2"/>
      <c r="D902" s="2"/>
      <c r="E902" s="2"/>
      <c r="F902" s="2"/>
      <c r="G902" s="2"/>
      <c r="I902" s="2"/>
    </row>
    <row r="903" spans="1:9" ht="12" customHeight="1" x14ac:dyDescent="0.2">
      <c r="A903" s="3"/>
      <c r="B903" s="2"/>
      <c r="C903" s="2"/>
      <c r="D903" s="2"/>
      <c r="E903" s="2"/>
      <c r="F903" s="2"/>
      <c r="G903" s="2"/>
      <c r="I903" s="2"/>
    </row>
    <row r="904" spans="1:9" ht="12" customHeight="1" x14ac:dyDescent="0.2">
      <c r="A904" s="3"/>
      <c r="B904" s="2"/>
      <c r="C904" s="2"/>
      <c r="D904" s="2"/>
      <c r="E904" s="2"/>
      <c r="F904" s="2"/>
      <c r="G904" s="2"/>
      <c r="I904" s="2"/>
    </row>
    <row r="905" spans="1:9" ht="12" customHeight="1" x14ac:dyDescent="0.2">
      <c r="A905" s="3"/>
      <c r="B905" s="2"/>
      <c r="C905" s="2"/>
      <c r="D905" s="2"/>
      <c r="E905" s="2"/>
      <c r="F905" s="2"/>
      <c r="G905" s="2"/>
      <c r="I905" s="2"/>
    </row>
    <row r="906" spans="1:9" ht="12" customHeight="1" x14ac:dyDescent="0.2">
      <c r="A906" s="3"/>
      <c r="B906" s="2"/>
      <c r="C906" s="2"/>
      <c r="D906" s="2"/>
      <c r="E906" s="2"/>
      <c r="F906" s="2"/>
      <c r="G906" s="2"/>
      <c r="I906" s="2"/>
    </row>
    <row r="907" spans="1:9" ht="12" customHeight="1" x14ac:dyDescent="0.2">
      <c r="A907" s="3"/>
      <c r="B907" s="2"/>
      <c r="C907" s="2"/>
      <c r="D907" s="2"/>
      <c r="E907" s="2"/>
      <c r="F907" s="2"/>
      <c r="G907" s="2"/>
      <c r="I907" s="2"/>
    </row>
    <row r="908" spans="1:9" ht="12" customHeight="1" x14ac:dyDescent="0.2">
      <c r="A908" s="3"/>
      <c r="B908" s="2"/>
      <c r="C908" s="2"/>
      <c r="D908" s="2"/>
      <c r="E908" s="2"/>
      <c r="F908" s="2"/>
      <c r="G908" s="2"/>
      <c r="I908" s="2"/>
    </row>
    <row r="909" spans="1:9" ht="12" customHeight="1" x14ac:dyDescent="0.2">
      <c r="A909" s="3"/>
      <c r="B909" s="2"/>
      <c r="C909" s="2"/>
      <c r="D909" s="2"/>
      <c r="E909" s="2"/>
      <c r="F909" s="2"/>
      <c r="G909" s="2"/>
      <c r="I909" s="2"/>
    </row>
    <row r="910" spans="1:9" ht="12" customHeight="1" x14ac:dyDescent="0.2">
      <c r="A910" s="3"/>
      <c r="B910" s="2"/>
      <c r="C910" s="2"/>
      <c r="D910" s="2"/>
      <c r="E910" s="2"/>
      <c r="F910" s="2"/>
      <c r="G910" s="2"/>
      <c r="I910" s="2"/>
    </row>
    <row r="911" spans="1:9" ht="12" customHeight="1" x14ac:dyDescent="0.2">
      <c r="A911" s="3"/>
      <c r="B911" s="2"/>
      <c r="C911" s="2"/>
      <c r="D911" s="2"/>
      <c r="E911" s="2"/>
      <c r="F911" s="2"/>
      <c r="G911" s="2"/>
      <c r="I911" s="2"/>
    </row>
    <row r="912" spans="1:9" ht="12" customHeight="1" x14ac:dyDescent="0.2">
      <c r="A912" s="3"/>
      <c r="B912" s="2"/>
      <c r="C912" s="2"/>
      <c r="D912" s="2"/>
      <c r="E912" s="2"/>
      <c r="F912" s="2"/>
      <c r="G912" s="2"/>
      <c r="I912" s="2"/>
    </row>
    <row r="913" spans="1:9" ht="12" customHeight="1" x14ac:dyDescent="0.2">
      <c r="A913" s="3"/>
      <c r="B913" s="2"/>
      <c r="C913" s="2"/>
      <c r="D913" s="2"/>
      <c r="E913" s="2"/>
      <c r="F913" s="2"/>
      <c r="G913" s="2"/>
      <c r="I913" s="2"/>
    </row>
    <row r="914" spans="1:9" ht="12" customHeight="1" x14ac:dyDescent="0.2">
      <c r="A914" s="3"/>
      <c r="B914" s="2"/>
      <c r="C914" s="2"/>
      <c r="D914" s="2"/>
      <c r="E914" s="2"/>
      <c r="F914" s="2"/>
      <c r="G914" s="2"/>
      <c r="I914" s="2"/>
    </row>
    <row r="915" spans="1:9" ht="12" customHeight="1" x14ac:dyDescent="0.2">
      <c r="A915" s="3"/>
      <c r="B915" s="2"/>
      <c r="C915" s="2"/>
      <c r="D915" s="2"/>
      <c r="E915" s="2"/>
      <c r="F915" s="2"/>
      <c r="G915" s="2"/>
      <c r="I915" s="2"/>
    </row>
    <row r="916" spans="1:9" ht="12" customHeight="1" x14ac:dyDescent="0.2">
      <c r="A916" s="3"/>
      <c r="B916" s="2"/>
      <c r="C916" s="2"/>
      <c r="D916" s="2"/>
      <c r="E916" s="2"/>
      <c r="F916" s="2"/>
      <c r="G916" s="2"/>
      <c r="I916" s="2"/>
    </row>
    <row r="917" spans="1:9" ht="12" customHeight="1" x14ac:dyDescent="0.2">
      <c r="A917" s="3"/>
      <c r="B917" s="2"/>
      <c r="C917" s="2"/>
      <c r="D917" s="2"/>
      <c r="E917" s="2"/>
      <c r="F917" s="2"/>
      <c r="G917" s="2"/>
      <c r="I917" s="2"/>
    </row>
    <row r="918" spans="1:9" ht="12" customHeight="1" x14ac:dyDescent="0.2">
      <c r="A918" s="3"/>
      <c r="B918" s="2"/>
      <c r="C918" s="2"/>
      <c r="D918" s="2"/>
      <c r="E918" s="2"/>
      <c r="F918" s="2"/>
      <c r="G918" s="2"/>
      <c r="I918" s="2"/>
    </row>
    <row r="919" spans="1:9" ht="12" customHeight="1" x14ac:dyDescent="0.2">
      <c r="A919" s="3"/>
      <c r="B919" s="2"/>
      <c r="C919" s="2"/>
      <c r="D919" s="2"/>
      <c r="E919" s="2"/>
      <c r="F919" s="2"/>
      <c r="G919" s="2"/>
      <c r="I919" s="2"/>
    </row>
    <row r="920" spans="1:9" ht="12" customHeight="1" x14ac:dyDescent="0.2">
      <c r="A920" s="3"/>
      <c r="B920" s="2"/>
      <c r="C920" s="2"/>
      <c r="D920" s="2"/>
      <c r="E920" s="2"/>
      <c r="F920" s="2"/>
      <c r="G920" s="2"/>
      <c r="I920" s="2"/>
    </row>
    <row r="921" spans="1:9" ht="12" customHeight="1" x14ac:dyDescent="0.2">
      <c r="A921" s="3"/>
      <c r="B921" s="2"/>
      <c r="C921" s="2"/>
      <c r="D921" s="2"/>
      <c r="E921" s="2"/>
      <c r="F921" s="2"/>
      <c r="G921" s="2"/>
      <c r="I921" s="2"/>
    </row>
    <row r="922" spans="1:9" ht="12" customHeight="1" x14ac:dyDescent="0.2">
      <c r="A922" s="3"/>
      <c r="B922" s="2"/>
      <c r="C922" s="2"/>
      <c r="D922" s="2"/>
      <c r="E922" s="2"/>
      <c r="F922" s="2"/>
      <c r="G922" s="2"/>
      <c r="I922" s="2"/>
    </row>
    <row r="923" spans="1:9" ht="12" customHeight="1" x14ac:dyDescent="0.2">
      <c r="A923" s="3"/>
      <c r="B923" s="2"/>
      <c r="C923" s="2"/>
      <c r="D923" s="2"/>
      <c r="E923" s="2"/>
      <c r="F923" s="2"/>
      <c r="G923" s="2"/>
      <c r="I923" s="2"/>
    </row>
    <row r="924" spans="1:9" ht="12" customHeight="1" x14ac:dyDescent="0.2">
      <c r="A924" s="3"/>
      <c r="B924" s="2"/>
      <c r="C924" s="2"/>
      <c r="D924" s="2"/>
      <c r="E924" s="2"/>
      <c r="F924" s="2"/>
      <c r="G924" s="2"/>
      <c r="I924" s="2"/>
    </row>
    <row r="925" spans="1:9" ht="12" customHeight="1" x14ac:dyDescent="0.2">
      <c r="A925" s="3"/>
      <c r="B925" s="2"/>
      <c r="C925" s="2"/>
      <c r="D925" s="2"/>
      <c r="E925" s="2"/>
      <c r="F925" s="2"/>
      <c r="G925" s="2"/>
      <c r="I925" s="2"/>
    </row>
    <row r="926" spans="1:9" ht="12" customHeight="1" x14ac:dyDescent="0.2">
      <c r="A926" s="3"/>
      <c r="B926" s="2"/>
      <c r="C926" s="2"/>
      <c r="D926" s="2"/>
      <c r="E926" s="2"/>
      <c r="F926" s="2"/>
      <c r="G926" s="2"/>
      <c r="I926" s="2"/>
    </row>
    <row r="927" spans="1:9" ht="12" customHeight="1" x14ac:dyDescent="0.2">
      <c r="A927" s="3"/>
      <c r="B927" s="2"/>
      <c r="C927" s="2"/>
      <c r="D927" s="2"/>
      <c r="E927" s="2"/>
      <c r="F927" s="2"/>
      <c r="G927" s="2"/>
      <c r="I927" s="2"/>
    </row>
    <row r="928" spans="1:9" ht="12" customHeight="1" x14ac:dyDescent="0.2">
      <c r="A928" s="3"/>
      <c r="B928" s="2"/>
      <c r="C928" s="2"/>
      <c r="D928" s="2"/>
      <c r="E928" s="2"/>
      <c r="F928" s="2"/>
      <c r="G928" s="2"/>
      <c r="I928" s="2"/>
    </row>
    <row r="929" spans="1:9" ht="12" customHeight="1" x14ac:dyDescent="0.2">
      <c r="A929" s="3"/>
      <c r="B929" s="2"/>
      <c r="C929" s="2"/>
      <c r="D929" s="2"/>
      <c r="E929" s="2"/>
      <c r="F929" s="2"/>
      <c r="G929" s="2"/>
      <c r="I929" s="2"/>
    </row>
    <row r="930" spans="1:9" ht="12" customHeight="1" x14ac:dyDescent="0.2">
      <c r="A930" s="3"/>
      <c r="B930" s="2"/>
      <c r="C930" s="2"/>
      <c r="D930" s="2"/>
      <c r="E930" s="2"/>
      <c r="F930" s="2"/>
      <c r="G930" s="2"/>
      <c r="I930" s="2"/>
    </row>
    <row r="931" spans="1:9" ht="12" customHeight="1" x14ac:dyDescent="0.2">
      <c r="A931" s="3"/>
      <c r="B931" s="2"/>
      <c r="C931" s="2"/>
      <c r="D931" s="2"/>
      <c r="E931" s="2"/>
      <c r="F931" s="2"/>
      <c r="G931" s="2"/>
      <c r="I931" s="2"/>
    </row>
    <row r="932" spans="1:9" ht="12" customHeight="1" x14ac:dyDescent="0.2">
      <c r="A932" s="3"/>
      <c r="B932" s="2"/>
      <c r="C932" s="2"/>
      <c r="D932" s="2"/>
      <c r="E932" s="2"/>
      <c r="F932" s="2"/>
      <c r="G932" s="2"/>
      <c r="I932" s="2"/>
    </row>
    <row r="933" spans="1:9" ht="12" customHeight="1" x14ac:dyDescent="0.2">
      <c r="A933" s="3"/>
      <c r="B933" s="2"/>
      <c r="C933" s="2"/>
      <c r="D933" s="2"/>
      <c r="E933" s="2"/>
      <c r="F933" s="2"/>
      <c r="G933" s="2"/>
      <c r="I933" s="2"/>
    </row>
    <row r="934" spans="1:9" ht="12" customHeight="1" x14ac:dyDescent="0.2">
      <c r="A934" s="3"/>
      <c r="B934" s="2"/>
      <c r="C934" s="2"/>
      <c r="D934" s="2"/>
      <c r="E934" s="2"/>
      <c r="F934" s="2"/>
      <c r="G934" s="2"/>
      <c r="I934" s="2"/>
    </row>
    <row r="935" spans="1:9" ht="12" customHeight="1" x14ac:dyDescent="0.2">
      <c r="A935" s="3"/>
      <c r="B935" s="2"/>
      <c r="C935" s="2"/>
      <c r="D935" s="2"/>
      <c r="E935" s="2"/>
      <c r="F935" s="2"/>
      <c r="G935" s="2"/>
      <c r="I935" s="2"/>
    </row>
    <row r="936" spans="1:9" ht="12" customHeight="1" x14ac:dyDescent="0.2">
      <c r="A936" s="3"/>
      <c r="B936" s="2"/>
      <c r="C936" s="2"/>
      <c r="D936" s="2"/>
      <c r="E936" s="2"/>
      <c r="F936" s="2"/>
      <c r="G936" s="2"/>
      <c r="I936" s="2"/>
    </row>
    <row r="937" spans="1:9" ht="12" customHeight="1" x14ac:dyDescent="0.2">
      <c r="A937" s="3"/>
      <c r="B937" s="2"/>
      <c r="C937" s="2"/>
      <c r="D937" s="2"/>
      <c r="E937" s="2"/>
      <c r="F937" s="2"/>
      <c r="G937" s="2"/>
      <c r="I937" s="2"/>
    </row>
    <row r="938" spans="1:9" ht="12" customHeight="1" x14ac:dyDescent="0.2">
      <c r="A938" s="3"/>
      <c r="B938" s="2"/>
      <c r="C938" s="2"/>
      <c r="D938" s="2"/>
      <c r="E938" s="2"/>
      <c r="F938" s="2"/>
      <c r="G938" s="2"/>
      <c r="I938" s="2"/>
    </row>
    <row r="939" spans="1:9" ht="12" customHeight="1" x14ac:dyDescent="0.2">
      <c r="A939" s="3"/>
      <c r="B939" s="2"/>
      <c r="C939" s="2"/>
      <c r="D939" s="2"/>
      <c r="E939" s="2"/>
      <c r="F939" s="2"/>
      <c r="G939" s="2"/>
      <c r="I939" s="2"/>
    </row>
    <row r="940" spans="1:9" ht="12" customHeight="1" x14ac:dyDescent="0.2">
      <c r="A940" s="3"/>
      <c r="B940" s="2"/>
      <c r="C940" s="2"/>
      <c r="D940" s="2"/>
      <c r="E940" s="2"/>
      <c r="F940" s="2"/>
      <c r="G940" s="2"/>
      <c r="I940" s="2"/>
    </row>
    <row r="941" spans="1:9" ht="12" customHeight="1" x14ac:dyDescent="0.2">
      <c r="A941" s="3"/>
      <c r="B941" s="2"/>
      <c r="C941" s="2"/>
      <c r="D941" s="2"/>
      <c r="E941" s="2"/>
      <c r="F941" s="2"/>
      <c r="G941" s="2"/>
      <c r="I941" s="2"/>
    </row>
    <row r="942" spans="1:9" ht="12" customHeight="1" x14ac:dyDescent="0.2">
      <c r="A942" s="3"/>
      <c r="B942" s="2"/>
      <c r="C942" s="2"/>
      <c r="D942" s="2"/>
      <c r="E942" s="2"/>
      <c r="F942" s="2"/>
      <c r="G942" s="2"/>
      <c r="I942" s="2"/>
    </row>
    <row r="943" spans="1:9" ht="12" customHeight="1" x14ac:dyDescent="0.2">
      <c r="A943" s="3"/>
      <c r="B943" s="2"/>
      <c r="C943" s="2"/>
      <c r="D943" s="2"/>
      <c r="E943" s="2"/>
      <c r="F943" s="2"/>
      <c r="G943" s="2"/>
      <c r="I943" s="2"/>
    </row>
    <row r="944" spans="1:9" ht="12" customHeight="1" x14ac:dyDescent="0.2">
      <c r="A944" s="3"/>
      <c r="B944" s="2"/>
      <c r="C944" s="2"/>
      <c r="D944" s="2"/>
      <c r="E944" s="2"/>
      <c r="F944" s="2"/>
      <c r="G944" s="2"/>
      <c r="I944" s="2"/>
    </row>
    <row r="945" spans="1:9" ht="12" customHeight="1" x14ac:dyDescent="0.2">
      <c r="A945" s="3"/>
      <c r="B945" s="2"/>
      <c r="C945" s="2"/>
      <c r="D945" s="2"/>
      <c r="E945" s="2"/>
      <c r="F945" s="2"/>
      <c r="G945" s="2"/>
      <c r="I945" s="2"/>
    </row>
    <row r="946" spans="1:9" ht="12" customHeight="1" x14ac:dyDescent="0.2">
      <c r="A946" s="3"/>
      <c r="B946" s="2"/>
      <c r="C946" s="2"/>
      <c r="D946" s="2"/>
      <c r="E946" s="2"/>
      <c r="F946" s="2"/>
      <c r="G946" s="2"/>
      <c r="I946" s="2"/>
    </row>
    <row r="947" spans="1:9" ht="12" customHeight="1" x14ac:dyDescent="0.2">
      <c r="A947" s="3"/>
      <c r="B947" s="2"/>
      <c r="C947" s="2"/>
      <c r="D947" s="2"/>
      <c r="E947" s="2"/>
      <c r="F947" s="2"/>
      <c r="G947" s="2"/>
      <c r="I947" s="2"/>
    </row>
    <row r="948" spans="1:9" ht="12" customHeight="1" x14ac:dyDescent="0.2">
      <c r="A948" s="3"/>
      <c r="B948" s="2"/>
      <c r="C948" s="2"/>
      <c r="D948" s="2"/>
      <c r="E948" s="2"/>
      <c r="F948" s="2"/>
      <c r="G948" s="2"/>
      <c r="I948" s="2"/>
    </row>
    <row r="949" spans="1:9" ht="12" customHeight="1" x14ac:dyDescent="0.2">
      <c r="A949" s="3"/>
      <c r="B949" s="2"/>
      <c r="C949" s="2"/>
      <c r="D949" s="2"/>
      <c r="E949" s="2"/>
      <c r="F949" s="2"/>
      <c r="G949" s="2"/>
      <c r="I949" s="2"/>
    </row>
    <row r="950" spans="1:9" ht="12" customHeight="1" x14ac:dyDescent="0.2">
      <c r="A950" s="3"/>
      <c r="B950" s="2"/>
      <c r="C950" s="2"/>
      <c r="D950" s="2"/>
      <c r="E950" s="2"/>
      <c r="F950" s="2"/>
      <c r="G950" s="2"/>
      <c r="I950" s="2"/>
    </row>
    <row r="951" spans="1:9" ht="12" customHeight="1" x14ac:dyDescent="0.2">
      <c r="A951" s="3"/>
      <c r="B951" s="2"/>
      <c r="C951" s="2"/>
      <c r="D951" s="2"/>
      <c r="E951" s="2"/>
      <c r="F951" s="2"/>
      <c r="G951" s="2"/>
      <c r="I951" s="2"/>
    </row>
    <row r="952" spans="1:9" ht="12" customHeight="1" x14ac:dyDescent="0.2">
      <c r="A952" s="3"/>
      <c r="B952" s="2"/>
      <c r="C952" s="2"/>
      <c r="D952" s="2"/>
      <c r="E952" s="2"/>
      <c r="F952" s="2"/>
      <c r="G952" s="2"/>
      <c r="I952" s="2"/>
    </row>
    <row r="953" spans="1:9" ht="12" customHeight="1" x14ac:dyDescent="0.2">
      <c r="A953" s="3"/>
      <c r="B953" s="2"/>
      <c r="C953" s="2"/>
      <c r="D953" s="2"/>
      <c r="E953" s="2"/>
      <c r="F953" s="2"/>
      <c r="G953" s="2"/>
      <c r="I953" s="2"/>
    </row>
    <row r="954" spans="1:9" ht="12" customHeight="1" x14ac:dyDescent="0.2">
      <c r="A954" s="3"/>
      <c r="B954" s="2"/>
      <c r="C954" s="2"/>
      <c r="D954" s="2"/>
      <c r="E954" s="2"/>
      <c r="F954" s="2"/>
      <c r="G954" s="2"/>
      <c r="I954" s="2"/>
    </row>
    <row r="955" spans="1:9" ht="12" customHeight="1" x14ac:dyDescent="0.2">
      <c r="A955" s="3"/>
      <c r="B955" s="2"/>
      <c r="C955" s="2"/>
      <c r="D955" s="2"/>
      <c r="E955" s="2"/>
      <c r="F955" s="2"/>
      <c r="G955" s="2"/>
      <c r="I955" s="2"/>
    </row>
    <row r="956" spans="1:9" ht="12" customHeight="1" x14ac:dyDescent="0.2">
      <c r="A956" s="3"/>
      <c r="B956" s="2"/>
      <c r="C956" s="2"/>
      <c r="D956" s="2"/>
      <c r="E956" s="2"/>
      <c r="F956" s="2"/>
      <c r="G956" s="2"/>
      <c r="I956" s="2"/>
    </row>
    <row r="957" spans="1:9" ht="12" customHeight="1" x14ac:dyDescent="0.2">
      <c r="A957" s="3"/>
      <c r="B957" s="2"/>
      <c r="C957" s="2"/>
      <c r="D957" s="2"/>
      <c r="E957" s="2"/>
      <c r="F957" s="2"/>
      <c r="G957" s="2"/>
      <c r="I957" s="2"/>
    </row>
    <row r="958" spans="1:9" ht="12" customHeight="1" x14ac:dyDescent="0.2">
      <c r="A958" s="3"/>
      <c r="B958" s="2"/>
      <c r="C958" s="2"/>
      <c r="D958" s="2"/>
      <c r="E958" s="2"/>
      <c r="F958" s="2"/>
      <c r="G958" s="2"/>
      <c r="I958" s="2"/>
    </row>
    <row r="959" spans="1:9" ht="12" customHeight="1" x14ac:dyDescent="0.2">
      <c r="A959" s="3"/>
      <c r="B959" s="2"/>
      <c r="C959" s="2"/>
      <c r="D959" s="2"/>
      <c r="E959" s="2"/>
      <c r="F959" s="2"/>
      <c r="G959" s="2"/>
      <c r="I959" s="2"/>
    </row>
    <row r="960" spans="1:9" ht="12" customHeight="1" x14ac:dyDescent="0.2">
      <c r="A960" s="3"/>
      <c r="B960" s="2"/>
      <c r="C960" s="2"/>
      <c r="D960" s="2"/>
      <c r="E960" s="2"/>
      <c r="F960" s="2"/>
      <c r="G960" s="2"/>
      <c r="I960" s="2"/>
    </row>
    <row r="961" spans="1:9" ht="12" customHeight="1" x14ac:dyDescent="0.2">
      <c r="A961" s="3"/>
      <c r="B961" s="2"/>
      <c r="C961" s="2"/>
      <c r="D961" s="2"/>
      <c r="E961" s="2"/>
      <c r="F961" s="2"/>
      <c r="G961" s="2"/>
      <c r="I961" s="2"/>
    </row>
    <row r="962" spans="1:9" ht="12" customHeight="1" x14ac:dyDescent="0.2">
      <c r="A962" s="3"/>
      <c r="B962" s="2"/>
      <c r="C962" s="2"/>
      <c r="D962" s="2"/>
      <c r="E962" s="2"/>
      <c r="F962" s="2"/>
      <c r="G962" s="2"/>
      <c r="I962" s="2"/>
    </row>
    <row r="963" spans="1:9" ht="12" customHeight="1" x14ac:dyDescent="0.2">
      <c r="A963" s="3"/>
      <c r="B963" s="2"/>
      <c r="C963" s="2"/>
      <c r="D963" s="2"/>
      <c r="E963" s="2"/>
      <c r="F963" s="2"/>
      <c r="G963" s="2"/>
      <c r="I963" s="2"/>
    </row>
    <row r="964" spans="1:9" ht="12" customHeight="1" x14ac:dyDescent="0.2">
      <c r="A964" s="3"/>
      <c r="B964" s="2"/>
      <c r="C964" s="2"/>
      <c r="D964" s="2"/>
      <c r="E964" s="2"/>
      <c r="F964" s="2"/>
      <c r="G964" s="2"/>
      <c r="I964" s="2"/>
    </row>
    <row r="965" spans="1:9" ht="12" customHeight="1" x14ac:dyDescent="0.2">
      <c r="A965" s="3"/>
      <c r="B965" s="2"/>
      <c r="C965" s="2"/>
      <c r="D965" s="2"/>
      <c r="E965" s="2"/>
      <c r="F965" s="2"/>
      <c r="G965" s="2"/>
      <c r="I965" s="2"/>
    </row>
    <row r="966" spans="1:9" ht="12" customHeight="1" x14ac:dyDescent="0.2">
      <c r="A966" s="3"/>
      <c r="B966" s="2"/>
      <c r="C966" s="2"/>
      <c r="D966" s="2"/>
      <c r="E966" s="2"/>
      <c r="F966" s="2"/>
      <c r="G966" s="2"/>
      <c r="I966" s="2"/>
    </row>
    <row r="967" spans="1:9" ht="12" customHeight="1" x14ac:dyDescent="0.2">
      <c r="A967" s="3"/>
      <c r="B967" s="2"/>
      <c r="C967" s="2"/>
      <c r="D967" s="2"/>
      <c r="E967" s="2"/>
      <c r="F967" s="2"/>
      <c r="G967" s="2"/>
      <c r="I967" s="2"/>
    </row>
    <row r="968" spans="1:9" ht="12" customHeight="1" x14ac:dyDescent="0.2">
      <c r="A968" s="3"/>
      <c r="B968" s="2"/>
      <c r="C968" s="2"/>
      <c r="D968" s="2"/>
      <c r="E968" s="2"/>
      <c r="F968" s="2"/>
      <c r="G968" s="2"/>
      <c r="I968" s="2"/>
    </row>
    <row r="969" spans="1:9" ht="12" customHeight="1" x14ac:dyDescent="0.2">
      <c r="A969" s="3"/>
      <c r="B969" s="2"/>
      <c r="C969" s="2"/>
      <c r="D969" s="2"/>
      <c r="E969" s="2"/>
      <c r="F969" s="2"/>
      <c r="G969" s="2"/>
      <c r="I969" s="2"/>
    </row>
    <row r="970" spans="1:9" ht="12" customHeight="1" x14ac:dyDescent="0.2">
      <c r="A970" s="3"/>
      <c r="B970" s="2"/>
      <c r="C970" s="2"/>
      <c r="D970" s="2"/>
      <c r="E970" s="2"/>
      <c r="F970" s="2"/>
      <c r="G970" s="2"/>
      <c r="I970" s="2"/>
    </row>
    <row r="971" spans="1:9" ht="12" customHeight="1" x14ac:dyDescent="0.2">
      <c r="A971" s="3"/>
      <c r="B971" s="2"/>
      <c r="C971" s="2"/>
      <c r="D971" s="2"/>
      <c r="E971" s="2"/>
      <c r="F971" s="2"/>
      <c r="G971" s="2"/>
      <c r="I971" s="2"/>
    </row>
    <row r="972" spans="1:9" ht="12" customHeight="1" x14ac:dyDescent="0.2">
      <c r="A972" s="3"/>
      <c r="B972" s="2"/>
      <c r="C972" s="2"/>
      <c r="D972" s="2"/>
      <c r="E972" s="2"/>
      <c r="F972" s="2"/>
      <c r="G972" s="2"/>
      <c r="I972" s="2"/>
    </row>
    <row r="973" spans="1:9" ht="12" customHeight="1" x14ac:dyDescent="0.2">
      <c r="A973" s="3"/>
      <c r="B973" s="2"/>
      <c r="C973" s="2"/>
      <c r="D973" s="2"/>
      <c r="E973" s="2"/>
      <c r="F973" s="2"/>
      <c r="G973" s="2"/>
      <c r="I973" s="2"/>
    </row>
    <row r="974" spans="1:9" ht="12" customHeight="1" x14ac:dyDescent="0.2">
      <c r="A974" s="3"/>
      <c r="B974" s="2"/>
      <c r="C974" s="2"/>
      <c r="D974" s="2"/>
      <c r="E974" s="2"/>
      <c r="F974" s="2"/>
      <c r="G974" s="2"/>
      <c r="I974" s="2"/>
    </row>
    <row r="975" spans="1:9" ht="12" customHeight="1" x14ac:dyDescent="0.2">
      <c r="A975" s="3"/>
      <c r="B975" s="2"/>
      <c r="C975" s="2"/>
      <c r="D975" s="2"/>
      <c r="E975" s="2"/>
      <c r="F975" s="2"/>
      <c r="G975" s="2"/>
      <c r="I975" s="2"/>
    </row>
    <row r="976" spans="1:9" ht="12" customHeight="1" x14ac:dyDescent="0.2">
      <c r="A976" s="3"/>
      <c r="B976" s="2"/>
      <c r="C976" s="2"/>
      <c r="D976" s="2"/>
      <c r="E976" s="2"/>
      <c r="F976" s="2"/>
      <c r="G976" s="2"/>
      <c r="I976" s="2"/>
    </row>
    <row r="977" spans="1:9" ht="12" customHeight="1" x14ac:dyDescent="0.2">
      <c r="A977" s="3"/>
      <c r="B977" s="2"/>
      <c r="C977" s="2"/>
      <c r="D977" s="2"/>
      <c r="E977" s="2"/>
      <c r="F977" s="2"/>
      <c r="G977" s="2"/>
      <c r="I977" s="2"/>
    </row>
    <row r="978" spans="1:9" ht="12" customHeight="1" x14ac:dyDescent="0.2">
      <c r="A978" s="3"/>
      <c r="B978" s="2"/>
      <c r="C978" s="2"/>
      <c r="D978" s="2"/>
      <c r="E978" s="2"/>
      <c r="F978" s="2"/>
      <c r="G978" s="2"/>
      <c r="I978" s="2"/>
    </row>
    <row r="979" spans="1:9" ht="12" customHeight="1" x14ac:dyDescent="0.2">
      <c r="A979" s="3"/>
      <c r="B979" s="2"/>
      <c r="C979" s="2"/>
      <c r="D979" s="2"/>
      <c r="E979" s="2"/>
      <c r="F979" s="2"/>
      <c r="G979" s="2"/>
      <c r="I979" s="2"/>
    </row>
    <row r="980" spans="1:9" ht="12" customHeight="1" x14ac:dyDescent="0.2">
      <c r="A980" s="3"/>
      <c r="B980" s="2"/>
      <c r="C980" s="2"/>
      <c r="D980" s="2"/>
      <c r="E980" s="2"/>
      <c r="F980" s="2"/>
      <c r="G980" s="2"/>
      <c r="I980" s="2"/>
    </row>
    <row r="981" spans="1:9" ht="12" customHeight="1" x14ac:dyDescent="0.2">
      <c r="A981" s="3"/>
      <c r="B981" s="2"/>
      <c r="C981" s="2"/>
      <c r="D981" s="2"/>
      <c r="E981" s="2"/>
      <c r="F981" s="2"/>
      <c r="G981" s="2"/>
      <c r="I981" s="2"/>
    </row>
    <row r="982" spans="1:9" ht="12" customHeight="1" x14ac:dyDescent="0.2">
      <c r="A982" s="3"/>
      <c r="B982" s="2"/>
      <c r="C982" s="2"/>
      <c r="D982" s="2"/>
      <c r="E982" s="2"/>
      <c r="F982" s="2"/>
      <c r="G982" s="2"/>
      <c r="I982" s="2"/>
    </row>
    <row r="983" spans="1:9" ht="12" customHeight="1" x14ac:dyDescent="0.2">
      <c r="A983" s="3"/>
      <c r="B983" s="2"/>
      <c r="C983" s="2"/>
      <c r="D983" s="2"/>
      <c r="E983" s="2"/>
      <c r="F983" s="2"/>
      <c r="G983" s="2"/>
      <c r="I983" s="2"/>
    </row>
    <row r="984" spans="1:9" ht="12" customHeight="1" x14ac:dyDescent="0.2">
      <c r="A984" s="3"/>
      <c r="B984" s="2"/>
      <c r="C984" s="2"/>
      <c r="D984" s="2"/>
      <c r="E984" s="2"/>
      <c r="F984" s="2"/>
      <c r="G984" s="2"/>
      <c r="I984" s="2"/>
    </row>
    <row r="985" spans="1:9" ht="12" customHeight="1" x14ac:dyDescent="0.2">
      <c r="A985" s="3"/>
      <c r="B985" s="2"/>
      <c r="C985" s="2"/>
      <c r="D985" s="2"/>
      <c r="E985" s="2"/>
      <c r="F985" s="2"/>
      <c r="G985" s="2"/>
      <c r="I985" s="2"/>
    </row>
    <row r="986" spans="1:9" ht="12" customHeight="1" x14ac:dyDescent="0.2">
      <c r="A986" s="3"/>
      <c r="B986" s="2"/>
      <c r="C986" s="2"/>
      <c r="D986" s="2"/>
      <c r="E986" s="2"/>
      <c r="F986" s="2"/>
      <c r="G986" s="2"/>
      <c r="I986" s="2"/>
    </row>
    <row r="987" spans="1:9" ht="12" customHeight="1" x14ac:dyDescent="0.2">
      <c r="A987" s="3"/>
      <c r="B987" s="2"/>
      <c r="C987" s="2"/>
      <c r="D987" s="2"/>
      <c r="E987" s="2"/>
      <c r="F987" s="2"/>
      <c r="G987" s="2"/>
      <c r="I987" s="2"/>
    </row>
    <row r="988" spans="1:9" ht="12" customHeight="1" x14ac:dyDescent="0.2">
      <c r="A988" s="3"/>
      <c r="B988" s="2"/>
      <c r="C988" s="2"/>
      <c r="D988" s="2"/>
      <c r="E988" s="2"/>
      <c r="F988" s="2"/>
      <c r="G988" s="2"/>
      <c r="I988" s="2"/>
    </row>
    <row r="989" spans="1:9" ht="12" customHeight="1" x14ac:dyDescent="0.2">
      <c r="A989" s="3"/>
      <c r="B989" s="2"/>
      <c r="C989" s="2"/>
      <c r="D989" s="2"/>
      <c r="E989" s="2"/>
      <c r="F989" s="2"/>
      <c r="G989" s="2"/>
      <c r="I989" s="2"/>
    </row>
    <row r="990" spans="1:9" ht="12" customHeight="1" x14ac:dyDescent="0.2">
      <c r="A990" s="3"/>
      <c r="B990" s="2"/>
      <c r="C990" s="2"/>
      <c r="D990" s="2"/>
      <c r="E990" s="2"/>
      <c r="F990" s="2"/>
      <c r="G990" s="2"/>
      <c r="I990" s="2"/>
    </row>
    <row r="991" spans="1:9" ht="12" customHeight="1" x14ac:dyDescent="0.2">
      <c r="A991" s="3"/>
      <c r="B991" s="2"/>
      <c r="C991" s="2"/>
      <c r="D991" s="2"/>
      <c r="E991" s="2"/>
      <c r="F991" s="2"/>
      <c r="G991" s="2"/>
      <c r="I991" s="2"/>
    </row>
    <row r="992" spans="1:9" ht="12" customHeight="1" x14ac:dyDescent="0.2">
      <c r="A992" s="3"/>
      <c r="B992" s="2"/>
      <c r="C992" s="2"/>
      <c r="D992" s="2"/>
      <c r="E992" s="2"/>
      <c r="F992" s="2"/>
      <c r="G992" s="2"/>
      <c r="I992" s="2"/>
    </row>
    <row r="993" spans="1:9" ht="12" customHeight="1" x14ac:dyDescent="0.2">
      <c r="A993" s="3"/>
      <c r="B993" s="2"/>
      <c r="C993" s="2"/>
      <c r="D993" s="2"/>
      <c r="E993" s="2"/>
      <c r="F993" s="2"/>
      <c r="G993" s="2"/>
      <c r="I993" s="2"/>
    </row>
    <row r="994" spans="1:9" ht="12" customHeight="1" x14ac:dyDescent="0.2">
      <c r="A994" s="3"/>
      <c r="B994" s="2"/>
      <c r="C994" s="2"/>
      <c r="D994" s="2"/>
      <c r="E994" s="2"/>
      <c r="F994" s="2"/>
      <c r="G994" s="2"/>
      <c r="I994" s="2"/>
    </row>
    <row r="995" spans="1:9" ht="12" customHeight="1" x14ac:dyDescent="0.2">
      <c r="A995" s="3"/>
      <c r="B995" s="2"/>
      <c r="C995" s="2"/>
      <c r="D995" s="2"/>
      <c r="E995" s="2"/>
      <c r="F995" s="2"/>
      <c r="G995" s="2"/>
      <c r="I995" s="2"/>
    </row>
    <row r="996" spans="1:9" ht="12" customHeight="1" x14ac:dyDescent="0.2">
      <c r="A996" s="3"/>
      <c r="B996" s="2"/>
      <c r="C996" s="2"/>
      <c r="D996" s="2"/>
      <c r="E996" s="2"/>
      <c r="F996" s="2"/>
      <c r="G996" s="2"/>
      <c r="I996" s="2"/>
    </row>
    <row r="997" spans="1:9" ht="12" customHeight="1" x14ac:dyDescent="0.2">
      <c r="A997" s="3"/>
      <c r="B997" s="2"/>
      <c r="C997" s="2"/>
      <c r="D997" s="2"/>
      <c r="E997" s="2"/>
      <c r="F997" s="2"/>
      <c r="G997" s="2"/>
      <c r="I997" s="2"/>
    </row>
    <row r="998" spans="1:9" ht="12" customHeight="1" x14ac:dyDescent="0.2">
      <c r="A998" s="3"/>
      <c r="B998" s="2"/>
      <c r="C998" s="2"/>
      <c r="D998" s="2"/>
      <c r="E998" s="2"/>
      <c r="F998" s="2"/>
      <c r="G998" s="2"/>
      <c r="I998" s="2"/>
    </row>
    <row r="999" spans="1:9" ht="12" customHeight="1" x14ac:dyDescent="0.2">
      <c r="A999" s="3"/>
      <c r="B999" s="2"/>
      <c r="C999" s="2"/>
      <c r="D999" s="2"/>
      <c r="E999" s="2"/>
      <c r="F999" s="2"/>
      <c r="G999" s="2"/>
      <c r="I999" s="2"/>
    </row>
    <row r="1000" spans="1:9" ht="12" customHeight="1" x14ac:dyDescent="0.2">
      <c r="A1000" s="3"/>
      <c r="B1000" s="2"/>
      <c r="C1000" s="2"/>
      <c r="D1000" s="2"/>
      <c r="E1000" s="2"/>
      <c r="F1000" s="2"/>
      <c r="G1000" s="2"/>
      <c r="I1000" s="2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L43"/>
  <sheetViews>
    <sheetView workbookViewId="0"/>
  </sheetViews>
  <sheetFormatPr defaultColWidth="12.5703125" defaultRowHeight="15" customHeight="1" x14ac:dyDescent="0.2"/>
  <cols>
    <col min="1" max="1" width="22.28515625" customWidth="1"/>
    <col min="2" max="2" width="12.7109375" customWidth="1"/>
    <col min="3" max="3" width="10.140625" customWidth="1"/>
    <col min="4" max="4" width="14.5703125" customWidth="1"/>
    <col min="5" max="5" width="5.42578125" customWidth="1"/>
    <col min="6" max="6" width="8.7109375" customWidth="1"/>
    <col min="7" max="7" width="10" customWidth="1"/>
    <col min="8" max="8" width="6.42578125" customWidth="1"/>
  </cols>
  <sheetData>
    <row r="1" spans="1:12" ht="15" customHeight="1" x14ac:dyDescent="0.25">
      <c r="A1" s="69" t="s">
        <v>1</v>
      </c>
      <c r="B1" s="69" t="s">
        <v>2</v>
      </c>
      <c r="C1" s="69" t="s">
        <v>3</v>
      </c>
      <c r="D1" s="69" t="s">
        <v>4</v>
      </c>
      <c r="E1" s="69" t="s">
        <v>5</v>
      </c>
      <c r="F1" s="69" t="s">
        <v>6</v>
      </c>
      <c r="G1" s="69" t="s">
        <v>7</v>
      </c>
      <c r="H1" s="69" t="s">
        <v>8</v>
      </c>
    </row>
    <row r="2" spans="1:12" x14ac:dyDescent="0.2">
      <c r="A2" s="70" t="s">
        <v>227</v>
      </c>
      <c r="B2" s="70" t="s">
        <v>228</v>
      </c>
      <c r="C2" s="70" t="s">
        <v>55</v>
      </c>
      <c r="D2" s="70" t="s">
        <v>229</v>
      </c>
      <c r="E2" s="70" t="s">
        <v>230</v>
      </c>
      <c r="F2" s="70">
        <v>17.936900000000001</v>
      </c>
      <c r="G2" s="70">
        <v>-66.873800000000003</v>
      </c>
      <c r="H2" s="70">
        <v>5</v>
      </c>
      <c r="J2" s="70"/>
      <c r="K2" s="71" t="s">
        <v>231</v>
      </c>
      <c r="L2" s="72"/>
    </row>
    <row r="3" spans="1:12" x14ac:dyDescent="0.2">
      <c r="A3" s="70" t="s">
        <v>232</v>
      </c>
      <c r="B3" s="70" t="s">
        <v>233</v>
      </c>
      <c r="C3" s="70" t="s">
        <v>128</v>
      </c>
      <c r="D3" s="70" t="s">
        <v>234</v>
      </c>
      <c r="E3" s="70" t="s">
        <v>235</v>
      </c>
      <c r="F3" s="70">
        <v>18.382000000000001</v>
      </c>
      <c r="G3" s="70">
        <v>-67.488299999999995</v>
      </c>
      <c r="H3" s="70">
        <v>15</v>
      </c>
      <c r="J3" s="73"/>
      <c r="K3" s="71" t="s">
        <v>236</v>
      </c>
      <c r="L3" s="72"/>
    </row>
    <row r="4" spans="1:12" x14ac:dyDescent="0.2">
      <c r="A4" s="70" t="s">
        <v>237</v>
      </c>
      <c r="B4" s="70" t="s">
        <v>233</v>
      </c>
      <c r="C4" s="70" t="s">
        <v>126</v>
      </c>
      <c r="D4" s="70" t="s">
        <v>234</v>
      </c>
      <c r="E4" s="70" t="s">
        <v>235</v>
      </c>
      <c r="F4" s="70">
        <v>18.38158</v>
      </c>
      <c r="G4" s="70">
        <v>-67.488600000000005</v>
      </c>
      <c r="H4" s="70">
        <v>20</v>
      </c>
      <c r="K4" s="71" t="s">
        <v>238</v>
      </c>
      <c r="L4" s="72"/>
    </row>
    <row r="5" spans="1:12" x14ac:dyDescent="0.2">
      <c r="A5" s="70" t="s">
        <v>239</v>
      </c>
      <c r="B5" s="70" t="s">
        <v>240</v>
      </c>
      <c r="C5" s="70" t="s">
        <v>79</v>
      </c>
      <c r="D5" s="70" t="s">
        <v>229</v>
      </c>
      <c r="E5" s="70" t="s">
        <v>230</v>
      </c>
      <c r="F5" s="70">
        <v>17.888269999999999</v>
      </c>
      <c r="G5" s="70">
        <v>-66.997799999999998</v>
      </c>
      <c r="H5" s="70">
        <v>20</v>
      </c>
      <c r="L5" s="72"/>
    </row>
    <row r="6" spans="1:12" x14ac:dyDescent="0.2">
      <c r="A6" s="70" t="s">
        <v>241</v>
      </c>
      <c r="B6" s="70" t="s">
        <v>242</v>
      </c>
      <c r="C6" s="70" t="s">
        <v>93</v>
      </c>
      <c r="D6" s="70" t="s">
        <v>243</v>
      </c>
      <c r="E6" s="70" t="s">
        <v>244</v>
      </c>
      <c r="F6" s="70">
        <v>18.385439999999999</v>
      </c>
      <c r="G6" s="70">
        <v>-65.6297</v>
      </c>
      <c r="H6" s="70">
        <v>5</v>
      </c>
      <c r="L6" s="72"/>
    </row>
    <row r="7" spans="1:12" x14ac:dyDescent="0.2">
      <c r="A7" s="70" t="s">
        <v>245</v>
      </c>
      <c r="B7" s="70" t="s">
        <v>246</v>
      </c>
      <c r="C7" s="70" t="s">
        <v>89</v>
      </c>
      <c r="D7" s="70" t="s">
        <v>247</v>
      </c>
      <c r="E7" s="70" t="s">
        <v>244</v>
      </c>
      <c r="F7" s="70">
        <v>18.089639999999999</v>
      </c>
      <c r="G7" s="70">
        <v>-65.590100000000007</v>
      </c>
      <c r="H7" s="70">
        <v>15</v>
      </c>
      <c r="L7" s="72"/>
    </row>
    <row r="8" spans="1:12" x14ac:dyDescent="0.2">
      <c r="A8" s="70" t="s">
        <v>248</v>
      </c>
      <c r="B8" s="70" t="s">
        <v>233</v>
      </c>
      <c r="C8" s="70" t="s">
        <v>124</v>
      </c>
      <c r="D8" s="70" t="s">
        <v>234</v>
      </c>
      <c r="E8" s="70" t="s">
        <v>235</v>
      </c>
      <c r="F8" s="70">
        <v>18.377469999999999</v>
      </c>
      <c r="G8" s="70">
        <v>-67.483999999999995</v>
      </c>
      <c r="H8" s="70">
        <v>30</v>
      </c>
      <c r="L8" s="72"/>
    </row>
    <row r="9" spans="1:12" x14ac:dyDescent="0.2">
      <c r="A9" s="70" t="s">
        <v>249</v>
      </c>
      <c r="B9" s="70" t="s">
        <v>250</v>
      </c>
      <c r="C9" s="70" t="s">
        <v>99</v>
      </c>
      <c r="D9" s="70" t="s">
        <v>251</v>
      </c>
      <c r="E9" s="70" t="s">
        <v>252</v>
      </c>
      <c r="F9" s="70">
        <v>17.915330000000001</v>
      </c>
      <c r="G9" s="70">
        <v>-66.214100000000002</v>
      </c>
      <c r="H9" s="70">
        <v>10</v>
      </c>
      <c r="L9" s="72"/>
    </row>
    <row r="10" spans="1:12" x14ac:dyDescent="0.2">
      <c r="A10" s="70" t="s">
        <v>253</v>
      </c>
      <c r="B10" s="70" t="s">
        <v>254</v>
      </c>
      <c r="C10" s="70" t="s">
        <v>103</v>
      </c>
      <c r="D10" s="70" t="s">
        <v>255</v>
      </c>
      <c r="E10" s="70" t="s">
        <v>252</v>
      </c>
      <c r="F10" s="70">
        <v>17.895019999999999</v>
      </c>
      <c r="G10" s="70">
        <v>-66.528400000000005</v>
      </c>
      <c r="H10" s="70">
        <v>10</v>
      </c>
      <c r="L10" s="72"/>
    </row>
    <row r="11" spans="1:12" x14ac:dyDescent="0.2">
      <c r="A11" s="70" t="s">
        <v>256</v>
      </c>
      <c r="B11" s="70" t="s">
        <v>257</v>
      </c>
      <c r="C11" s="70" t="s">
        <v>112</v>
      </c>
      <c r="D11" s="70" t="s">
        <v>243</v>
      </c>
      <c r="E11" s="70" t="s">
        <v>258</v>
      </c>
      <c r="F11" s="70">
        <v>18.489550000000001</v>
      </c>
      <c r="G11" s="70">
        <v>-66.373599999999996</v>
      </c>
      <c r="H11" s="70">
        <v>10</v>
      </c>
      <c r="L11" s="72"/>
    </row>
    <row r="12" spans="1:12" x14ac:dyDescent="0.2">
      <c r="A12" s="70" t="s">
        <v>259</v>
      </c>
      <c r="B12" s="70" t="s">
        <v>228</v>
      </c>
      <c r="C12" s="70" t="s">
        <v>60</v>
      </c>
      <c r="D12" s="70" t="s">
        <v>229</v>
      </c>
      <c r="E12" s="70" t="s">
        <v>230</v>
      </c>
      <c r="F12" s="70">
        <v>17.936199999999999</v>
      </c>
      <c r="G12" s="70">
        <v>-66.888400000000004</v>
      </c>
      <c r="H12" s="70">
        <v>10</v>
      </c>
      <c r="L12" s="72"/>
    </row>
    <row r="13" spans="1:12" x14ac:dyDescent="0.2">
      <c r="A13" s="70" t="s">
        <v>260</v>
      </c>
      <c r="B13" s="70" t="s">
        <v>261</v>
      </c>
      <c r="C13" s="70" t="s">
        <v>97</v>
      </c>
      <c r="D13" s="70" t="s">
        <v>247</v>
      </c>
      <c r="E13" s="70" t="s">
        <v>244</v>
      </c>
      <c r="F13" s="70">
        <v>18.32779</v>
      </c>
      <c r="G13" s="70">
        <v>-65.331999999999994</v>
      </c>
      <c r="H13" s="70">
        <v>10</v>
      </c>
      <c r="L13" s="72"/>
    </row>
    <row r="14" spans="1:12" x14ac:dyDescent="0.2">
      <c r="A14" s="70" t="s">
        <v>262</v>
      </c>
      <c r="B14" s="70" t="s">
        <v>261</v>
      </c>
      <c r="C14" s="70" t="s">
        <v>95</v>
      </c>
      <c r="D14" s="70" t="s">
        <v>247</v>
      </c>
      <c r="E14" s="70" t="s">
        <v>244</v>
      </c>
      <c r="F14" s="70">
        <v>18.275870000000001</v>
      </c>
      <c r="G14" s="70">
        <v>-65.277299999999997</v>
      </c>
      <c r="H14" s="70">
        <v>20</v>
      </c>
    </row>
    <row r="15" spans="1:12" x14ac:dyDescent="0.2">
      <c r="A15" s="70" t="s">
        <v>263</v>
      </c>
      <c r="B15" s="70" t="s">
        <v>254</v>
      </c>
      <c r="C15" s="70" t="s">
        <v>105</v>
      </c>
      <c r="D15" s="70" t="s">
        <v>255</v>
      </c>
      <c r="E15" s="70" t="s">
        <v>252</v>
      </c>
      <c r="F15" s="70">
        <v>17.904</v>
      </c>
      <c r="G15" s="70">
        <v>-66.608599999999996</v>
      </c>
      <c r="H15" s="70">
        <v>20</v>
      </c>
    </row>
    <row r="16" spans="1:12" x14ac:dyDescent="0.2">
      <c r="A16" s="70" t="s">
        <v>264</v>
      </c>
      <c r="B16" s="70" t="s">
        <v>242</v>
      </c>
      <c r="C16" s="70" t="s">
        <v>90</v>
      </c>
      <c r="D16" s="70" t="s">
        <v>243</v>
      </c>
      <c r="E16" s="70" t="s">
        <v>244</v>
      </c>
      <c r="F16" s="70">
        <v>18.360330000000001</v>
      </c>
      <c r="G16" s="70">
        <v>-65.530900000000003</v>
      </c>
      <c r="H16" s="70">
        <v>5</v>
      </c>
    </row>
    <row r="17" spans="1:8" x14ac:dyDescent="0.2">
      <c r="A17" s="70" t="s">
        <v>265</v>
      </c>
      <c r="B17" s="70" t="s">
        <v>266</v>
      </c>
      <c r="C17" s="70" t="s">
        <v>114</v>
      </c>
      <c r="D17" s="70" t="s">
        <v>243</v>
      </c>
      <c r="E17" s="70" t="s">
        <v>258</v>
      </c>
      <c r="F17" s="70">
        <v>18.462219999999999</v>
      </c>
      <c r="G17" s="70">
        <v>-66.051699999999997</v>
      </c>
      <c r="H17" s="70">
        <v>5</v>
      </c>
    </row>
    <row r="18" spans="1:8" x14ac:dyDescent="0.2">
      <c r="A18" s="70" t="s">
        <v>267</v>
      </c>
      <c r="B18" s="70" t="s">
        <v>246</v>
      </c>
      <c r="C18" s="70" t="s">
        <v>86</v>
      </c>
      <c r="D18" s="70" t="s">
        <v>247</v>
      </c>
      <c r="E18" s="70" t="s">
        <v>244</v>
      </c>
      <c r="F18" s="70">
        <v>18.080570000000002</v>
      </c>
      <c r="G18" s="70">
        <v>-65.487899999999996</v>
      </c>
      <c r="H18" s="70">
        <v>10</v>
      </c>
    </row>
    <row r="19" spans="1:8" x14ac:dyDescent="0.2">
      <c r="A19" s="70" t="s">
        <v>268</v>
      </c>
      <c r="B19" s="70" t="s">
        <v>240</v>
      </c>
      <c r="C19" s="70" t="s">
        <v>76</v>
      </c>
      <c r="D19" s="70" t="s">
        <v>229</v>
      </c>
      <c r="E19" s="70" t="s">
        <v>230</v>
      </c>
      <c r="F19" s="70">
        <v>17.897600000000001</v>
      </c>
      <c r="G19" s="70">
        <v>-66.959900000000005</v>
      </c>
      <c r="H19" s="70">
        <v>20</v>
      </c>
    </row>
    <row r="20" spans="1:8" x14ac:dyDescent="0.2">
      <c r="A20" s="70" t="s">
        <v>269</v>
      </c>
      <c r="B20" s="70" t="s">
        <v>270</v>
      </c>
      <c r="C20" s="70" t="s">
        <v>106</v>
      </c>
      <c r="D20" s="70" t="s">
        <v>271</v>
      </c>
      <c r="E20" s="70" t="s">
        <v>235</v>
      </c>
      <c r="F20" s="70">
        <v>18.0017</v>
      </c>
      <c r="G20" s="70">
        <v>-67.329899999999995</v>
      </c>
      <c r="H20" s="70">
        <v>5</v>
      </c>
    </row>
    <row r="21" spans="1:8" x14ac:dyDescent="0.2">
      <c r="A21" s="70" t="s">
        <v>272</v>
      </c>
      <c r="B21" s="70" t="s">
        <v>273</v>
      </c>
      <c r="C21" s="70" t="s">
        <v>121</v>
      </c>
      <c r="D21" s="70" t="s">
        <v>271</v>
      </c>
      <c r="E21" s="70" t="s">
        <v>235</v>
      </c>
      <c r="F21" s="70">
        <v>18.17202</v>
      </c>
      <c r="G21" s="70">
        <v>-67.253</v>
      </c>
      <c r="H21" s="70">
        <v>20</v>
      </c>
    </row>
    <row r="22" spans="1:8" x14ac:dyDescent="0.2">
      <c r="A22" s="70" t="s">
        <v>274</v>
      </c>
      <c r="B22" s="70" t="s">
        <v>261</v>
      </c>
      <c r="C22" s="70" t="s">
        <v>96</v>
      </c>
      <c r="D22" s="70" t="s">
        <v>247</v>
      </c>
      <c r="E22" s="70" t="s">
        <v>244</v>
      </c>
      <c r="F22" s="70">
        <v>18.304929999999999</v>
      </c>
      <c r="G22" s="70">
        <v>-65.327699999999993</v>
      </c>
      <c r="H22" s="70">
        <v>5</v>
      </c>
    </row>
    <row r="23" spans="1:8" x14ac:dyDescent="0.2">
      <c r="A23" s="70" t="s">
        <v>275</v>
      </c>
      <c r="B23" s="70" t="s">
        <v>273</v>
      </c>
      <c r="C23" s="70" t="s">
        <v>119</v>
      </c>
      <c r="D23" s="70" t="s">
        <v>271</v>
      </c>
      <c r="E23" s="70" t="s">
        <v>235</v>
      </c>
      <c r="F23" s="70">
        <v>18.233529999999998</v>
      </c>
      <c r="G23" s="70">
        <v>-67.200599999999994</v>
      </c>
      <c r="H23" s="70">
        <v>10</v>
      </c>
    </row>
    <row r="24" spans="1:8" x14ac:dyDescent="0.2">
      <c r="A24" s="70" t="s">
        <v>276</v>
      </c>
      <c r="B24" s="70" t="s">
        <v>273</v>
      </c>
      <c r="C24" s="70" t="s">
        <v>117</v>
      </c>
      <c r="D24" s="70" t="s">
        <v>271</v>
      </c>
      <c r="E24" s="70" t="s">
        <v>235</v>
      </c>
      <c r="F24" s="70">
        <v>18.233499999999999</v>
      </c>
      <c r="G24" s="70">
        <v>-67.200900000000004</v>
      </c>
      <c r="H24" s="70">
        <v>20</v>
      </c>
    </row>
    <row r="25" spans="1:8" x14ac:dyDescent="0.2">
      <c r="A25" s="70" t="s">
        <v>277</v>
      </c>
      <c r="B25" s="70" t="s">
        <v>278</v>
      </c>
      <c r="C25" s="70" t="s">
        <v>75</v>
      </c>
      <c r="D25" s="70" t="s">
        <v>255</v>
      </c>
      <c r="E25" s="70" t="s">
        <v>252</v>
      </c>
      <c r="F25" s="70">
        <v>17.964880000000001</v>
      </c>
      <c r="G25" s="70">
        <v>-66.756500000000003</v>
      </c>
      <c r="H25" s="70">
        <v>5</v>
      </c>
    </row>
    <row r="26" spans="1:8" x14ac:dyDescent="0.2">
      <c r="A26" s="70" t="s">
        <v>279</v>
      </c>
      <c r="B26" s="70" t="s">
        <v>278</v>
      </c>
      <c r="C26" s="70" t="s">
        <v>73</v>
      </c>
      <c r="D26" s="70" t="s">
        <v>255</v>
      </c>
      <c r="E26" s="70" t="s">
        <v>252</v>
      </c>
      <c r="F26" s="70">
        <v>17.960930000000001</v>
      </c>
      <c r="G26" s="70">
        <v>-66.752899999999997</v>
      </c>
      <c r="H26" s="70">
        <v>10</v>
      </c>
    </row>
    <row r="27" spans="1:8" x14ac:dyDescent="0.2">
      <c r="A27" s="70" t="s">
        <v>280</v>
      </c>
      <c r="B27" s="70" t="s">
        <v>278</v>
      </c>
      <c r="C27" s="70" t="s">
        <v>70</v>
      </c>
      <c r="D27" s="70" t="s">
        <v>255</v>
      </c>
      <c r="E27" s="70" t="s">
        <v>252</v>
      </c>
      <c r="F27" s="70">
        <v>17.959530000000001</v>
      </c>
      <c r="G27" s="70">
        <v>-66.747</v>
      </c>
      <c r="H27" s="70">
        <v>20</v>
      </c>
    </row>
    <row r="28" spans="1:8" x14ac:dyDescent="0.2">
      <c r="A28" s="70" t="s">
        <v>281</v>
      </c>
      <c r="B28" s="70" t="s">
        <v>240</v>
      </c>
      <c r="C28" s="70" t="s">
        <v>82</v>
      </c>
      <c r="D28" s="70" t="s">
        <v>229</v>
      </c>
      <c r="E28" s="70" t="s">
        <v>230</v>
      </c>
      <c r="F28" s="70">
        <v>17.93937</v>
      </c>
      <c r="G28" s="70">
        <v>-67.050700000000006</v>
      </c>
      <c r="H28" s="70">
        <v>5</v>
      </c>
    </row>
    <row r="29" spans="1:8" x14ac:dyDescent="0.2">
      <c r="A29" s="70" t="s">
        <v>282</v>
      </c>
      <c r="B29" s="70" t="s">
        <v>240</v>
      </c>
      <c r="C29" s="70" t="s">
        <v>80</v>
      </c>
      <c r="D29" s="70" t="s">
        <v>229</v>
      </c>
      <c r="E29" s="70" t="s">
        <v>230</v>
      </c>
      <c r="F29" s="70">
        <v>17.934719999999999</v>
      </c>
      <c r="G29" s="70">
        <v>-67.048500000000004</v>
      </c>
      <c r="H29" s="70">
        <v>10</v>
      </c>
    </row>
    <row r="30" spans="1:8" x14ac:dyDescent="0.2">
      <c r="A30" s="70" t="s">
        <v>283</v>
      </c>
      <c r="B30" s="70" t="s">
        <v>270</v>
      </c>
      <c r="C30" s="70" t="s">
        <v>68</v>
      </c>
      <c r="D30" s="70" t="s">
        <v>271</v>
      </c>
      <c r="E30" s="70" t="s">
        <v>235</v>
      </c>
      <c r="F30" s="70">
        <v>18.14658</v>
      </c>
      <c r="G30" s="70">
        <v>-67.247600000000006</v>
      </c>
      <c r="H30" s="70">
        <v>5</v>
      </c>
    </row>
    <row r="31" spans="1:8" x14ac:dyDescent="0.2">
      <c r="A31" s="70" t="s">
        <v>284</v>
      </c>
      <c r="B31" s="70" t="s">
        <v>270</v>
      </c>
      <c r="C31" s="70" t="s">
        <v>67</v>
      </c>
      <c r="D31" s="70" t="s">
        <v>271</v>
      </c>
      <c r="E31" s="70" t="s">
        <v>235</v>
      </c>
      <c r="F31" s="70">
        <v>18.146529999999998</v>
      </c>
      <c r="G31" s="70">
        <v>-67.248000000000005</v>
      </c>
      <c r="H31" s="70">
        <v>10</v>
      </c>
    </row>
    <row r="32" spans="1:8" x14ac:dyDescent="0.2">
      <c r="A32" s="70" t="s">
        <v>285</v>
      </c>
      <c r="B32" s="70" t="s">
        <v>242</v>
      </c>
      <c r="C32" s="70" t="s">
        <v>92</v>
      </c>
      <c r="D32" s="70" t="s">
        <v>243</v>
      </c>
      <c r="E32" s="70" t="s">
        <v>244</v>
      </c>
      <c r="F32" s="70">
        <v>18.354659999999999</v>
      </c>
      <c r="G32" s="70">
        <v>-65.567099999999996</v>
      </c>
      <c r="H32" s="70">
        <v>20</v>
      </c>
    </row>
    <row r="33" spans="1:8" x14ac:dyDescent="0.2">
      <c r="A33" s="70" t="s">
        <v>286</v>
      </c>
      <c r="B33" s="70" t="s">
        <v>242</v>
      </c>
      <c r="C33" s="70" t="s">
        <v>91</v>
      </c>
      <c r="D33" s="70" t="s">
        <v>243</v>
      </c>
      <c r="E33" s="70" t="s">
        <v>244</v>
      </c>
      <c r="F33" s="70">
        <v>18.335370000000001</v>
      </c>
      <c r="G33" s="70">
        <v>-65.565600000000003</v>
      </c>
      <c r="H33" s="70">
        <v>10</v>
      </c>
    </row>
    <row r="34" spans="1:8" x14ac:dyDescent="0.2">
      <c r="A34" s="70" t="s">
        <v>287</v>
      </c>
      <c r="B34" s="70" t="s">
        <v>250</v>
      </c>
      <c r="C34" s="70" t="s">
        <v>101</v>
      </c>
      <c r="D34" s="70" t="s">
        <v>251</v>
      </c>
      <c r="E34" s="70" t="s">
        <v>252</v>
      </c>
      <c r="F34" s="70">
        <v>17.9346</v>
      </c>
      <c r="G34" s="70">
        <v>-66.302499999999995</v>
      </c>
      <c r="H34" s="70">
        <v>5</v>
      </c>
    </row>
    <row r="35" spans="1:8" x14ac:dyDescent="0.2">
      <c r="A35" s="70" t="s">
        <v>288</v>
      </c>
      <c r="B35" s="70" t="s">
        <v>270</v>
      </c>
      <c r="C35" s="70" t="s">
        <v>110</v>
      </c>
      <c r="D35" s="70" t="s">
        <v>271</v>
      </c>
      <c r="E35" s="70" t="s">
        <v>235</v>
      </c>
      <c r="F35" s="70">
        <v>17.991160000000001</v>
      </c>
      <c r="G35" s="70">
        <v>-67.233199999999997</v>
      </c>
      <c r="H35" s="70">
        <v>10</v>
      </c>
    </row>
    <row r="36" spans="1:8" x14ac:dyDescent="0.2">
      <c r="A36" s="70" t="s">
        <v>289</v>
      </c>
      <c r="B36" s="70" t="s">
        <v>273</v>
      </c>
      <c r="C36" s="70" t="s">
        <v>108</v>
      </c>
      <c r="D36" s="70" t="s">
        <v>271</v>
      </c>
      <c r="E36" s="70" t="s">
        <v>235</v>
      </c>
      <c r="F36" s="70">
        <v>18.189299999999999</v>
      </c>
      <c r="G36" s="70">
        <v>-67.191900000000004</v>
      </c>
      <c r="H36" s="70">
        <v>5</v>
      </c>
    </row>
    <row r="37" spans="1:8" ht="28.5" x14ac:dyDescent="0.2">
      <c r="A37" s="70" t="s">
        <v>290</v>
      </c>
      <c r="B37" s="70" t="s">
        <v>246</v>
      </c>
      <c r="C37" s="70" t="s">
        <v>84</v>
      </c>
      <c r="D37" s="70" t="s">
        <v>247</v>
      </c>
      <c r="E37" s="70" t="s">
        <v>244</v>
      </c>
      <c r="F37" s="70">
        <v>18.13869</v>
      </c>
      <c r="G37" s="70">
        <v>-65.197100000000006</v>
      </c>
      <c r="H37" s="70">
        <v>30</v>
      </c>
    </row>
    <row r="38" spans="1:8" ht="14.25" x14ac:dyDescent="0.2">
      <c r="A38" s="70" t="s">
        <v>291</v>
      </c>
      <c r="B38" s="70" t="s">
        <v>270</v>
      </c>
      <c r="C38" s="70" t="s">
        <v>66</v>
      </c>
      <c r="D38" s="70" t="s">
        <v>271</v>
      </c>
      <c r="E38" s="70" t="s">
        <v>235</v>
      </c>
      <c r="F38" s="70">
        <v>18.163039999999999</v>
      </c>
      <c r="G38" s="70">
        <v>-67.273700000000005</v>
      </c>
      <c r="H38" s="70">
        <v>10</v>
      </c>
    </row>
    <row r="39" spans="1:8" ht="14.25" x14ac:dyDescent="0.2">
      <c r="A39" s="70" t="s">
        <v>292</v>
      </c>
      <c r="B39" s="70" t="s">
        <v>270</v>
      </c>
      <c r="C39" s="70" t="s">
        <v>64</v>
      </c>
      <c r="D39" s="70" t="s">
        <v>271</v>
      </c>
      <c r="E39" s="70" t="s">
        <v>235</v>
      </c>
      <c r="F39" s="70">
        <v>18.16517</v>
      </c>
      <c r="G39" s="70">
        <v>-67.275199999999998</v>
      </c>
      <c r="H39" s="70">
        <v>20</v>
      </c>
    </row>
    <row r="40" spans="1:8" ht="14.25" x14ac:dyDescent="0.2">
      <c r="A40" s="70" t="s">
        <v>293</v>
      </c>
      <c r="B40" s="70" t="s">
        <v>270</v>
      </c>
      <c r="C40" s="70" t="s">
        <v>62</v>
      </c>
      <c r="D40" s="70" t="s">
        <v>271</v>
      </c>
      <c r="E40" s="70" t="s">
        <v>235</v>
      </c>
      <c r="F40" s="70">
        <v>18.166370000000001</v>
      </c>
      <c r="G40" s="70">
        <v>-67.276300000000006</v>
      </c>
      <c r="H40" s="70">
        <v>30</v>
      </c>
    </row>
    <row r="41" spans="1:8" ht="14.25" x14ac:dyDescent="0.2">
      <c r="A41" s="70" t="s">
        <v>294</v>
      </c>
      <c r="B41" s="70" t="s">
        <v>295</v>
      </c>
      <c r="C41" s="70" t="s">
        <v>133</v>
      </c>
      <c r="D41" s="70" t="s">
        <v>271</v>
      </c>
      <c r="E41" s="70" t="s">
        <v>235</v>
      </c>
      <c r="F41" s="70">
        <v>18.350719999999999</v>
      </c>
      <c r="G41" s="70">
        <v>-67.266900000000007</v>
      </c>
      <c r="H41" s="70">
        <v>5</v>
      </c>
    </row>
    <row r="42" spans="1:8" ht="14.25" x14ac:dyDescent="0.2">
      <c r="A42" s="70" t="s">
        <v>296</v>
      </c>
      <c r="B42" s="70" t="s">
        <v>295</v>
      </c>
      <c r="C42" s="70" t="s">
        <v>132</v>
      </c>
      <c r="D42" s="70" t="s">
        <v>271</v>
      </c>
      <c r="E42" s="70" t="s">
        <v>235</v>
      </c>
      <c r="F42" s="70">
        <v>18.34732</v>
      </c>
      <c r="G42" s="70">
        <v>-67.27</v>
      </c>
      <c r="H42" s="70">
        <v>10</v>
      </c>
    </row>
    <row r="43" spans="1:8" ht="14.25" x14ac:dyDescent="0.2">
      <c r="A43" s="70" t="s">
        <v>297</v>
      </c>
      <c r="B43" s="70" t="s">
        <v>295</v>
      </c>
      <c r="C43" s="70" t="s">
        <v>130</v>
      </c>
      <c r="D43" s="70" t="s">
        <v>271</v>
      </c>
      <c r="E43" s="70" t="s">
        <v>235</v>
      </c>
      <c r="F43" s="70">
        <v>18.346520000000002</v>
      </c>
      <c r="G43" s="70">
        <v>-67.271199999999993</v>
      </c>
      <c r="H43" s="70">
        <v>20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Table 1</vt:lpstr>
      <vt:lpstr>Table 2_Sampling_Stats</vt:lpstr>
      <vt:lpstr>Table 3_HydroLab QAQC</vt:lpstr>
      <vt:lpstr>Table 4</vt:lpstr>
      <vt:lpstr>Site_Meta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A Courtney</cp:lastModifiedBy>
  <dcterms:created xsi:type="dcterms:W3CDTF">2023-08-23T21:20:35Z</dcterms:created>
  <dcterms:modified xsi:type="dcterms:W3CDTF">2025-05-05T15:02:23Z</dcterms:modified>
</cp:coreProperties>
</file>