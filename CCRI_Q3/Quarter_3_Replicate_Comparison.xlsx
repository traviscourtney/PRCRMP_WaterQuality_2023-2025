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istemaupr-my.sharepoint.com/personal/travis_courtney_upr_edu/Documents/Documents/R/CCRI_Q3/"/>
    </mc:Choice>
  </mc:AlternateContent>
  <xr:revisionPtr revIDLastSave="12" documentId="13_ncr:40009_{22994F4A-87BB-497A-BF56-56697F47794F}" xr6:coauthVersionLast="47" xr6:coauthVersionMax="47" xr10:uidLastSave="{CA4715C2-B19E-4BA4-9BD6-3F29800BB080}"/>
  <bookViews>
    <workbookView xWindow="-120" yWindow="-120" windowWidth="29040" windowHeight="15720" xr2:uid="{00000000-000D-0000-FFFF-FFFF00000000}"/>
  </bookViews>
  <sheets>
    <sheet name="Quarter_3_Replicate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5" i="1" l="1"/>
  <c r="E24" i="1"/>
  <c r="P25" i="1"/>
  <c r="K24" i="1"/>
  <c r="H25" i="1"/>
  <c r="F25" i="1"/>
  <c r="C25" i="1"/>
  <c r="H22" i="1"/>
  <c r="U22" i="1"/>
  <c r="R23" i="1"/>
  <c r="O22" i="1"/>
  <c r="K23" i="1"/>
  <c r="G23" i="1"/>
  <c r="D23" i="1"/>
  <c r="R20" i="1"/>
  <c r="G20" i="1"/>
  <c r="S20" i="1"/>
  <c r="P21" i="1"/>
  <c r="K21" i="1"/>
  <c r="H21" i="1"/>
  <c r="E21" i="1"/>
  <c r="B21" i="1"/>
  <c r="U19" i="1"/>
  <c r="R19" i="1"/>
  <c r="K19" i="1"/>
  <c r="G18" i="1"/>
  <c r="D19" i="1"/>
  <c r="B18" i="1"/>
  <c r="T18" i="1"/>
  <c r="Q19" i="1"/>
  <c r="O18" i="1"/>
  <c r="I18" i="1"/>
  <c r="F19" i="1"/>
  <c r="V16" i="1"/>
  <c r="N16" i="1"/>
  <c r="H16" i="1"/>
  <c r="F16" i="1"/>
  <c r="C16" i="1"/>
  <c r="U17" i="1"/>
  <c r="S16" i="1"/>
  <c r="P16" i="1"/>
  <c r="K17" i="1"/>
  <c r="H17" i="1"/>
  <c r="E17" i="1"/>
  <c r="B17" i="1"/>
  <c r="V24" i="1"/>
  <c r="N24" i="1"/>
  <c r="D25" i="1"/>
  <c r="R25" i="1"/>
  <c r="Q25" i="1"/>
  <c r="G25" i="1"/>
  <c r="T22" i="1"/>
  <c r="I23" i="1"/>
  <c r="B23" i="1"/>
  <c r="V23" i="1"/>
  <c r="N23" i="1"/>
  <c r="C23" i="1"/>
  <c r="Q20" i="1"/>
  <c r="F21" i="1"/>
  <c r="U21" i="1"/>
  <c r="T21" i="1"/>
  <c r="I21" i="1"/>
  <c r="V18" i="1"/>
  <c r="N18" i="1"/>
  <c r="C18" i="1"/>
  <c r="P19" i="1"/>
  <c r="E19" i="1"/>
  <c r="R16" i="1"/>
  <c r="G16" i="1"/>
  <c r="T17" i="1"/>
  <c r="I16" i="1"/>
  <c r="K18" i="1"/>
  <c r="K25" i="1"/>
  <c r="E25" i="1"/>
  <c r="I25" i="1"/>
  <c r="J25" i="1"/>
  <c r="S25" i="1"/>
  <c r="T25" i="1"/>
  <c r="U25" i="1"/>
  <c r="B25" i="1"/>
  <c r="B24" i="1"/>
  <c r="E23" i="1"/>
  <c r="F23" i="1"/>
  <c r="H23" i="1"/>
  <c r="P23" i="1"/>
  <c r="Q23" i="1"/>
  <c r="S23" i="1"/>
  <c r="C21" i="1"/>
  <c r="D21" i="1"/>
  <c r="G21" i="1"/>
  <c r="N21" i="1"/>
  <c r="O21" i="1"/>
  <c r="S21" i="1"/>
  <c r="V21" i="1"/>
  <c r="X21" i="1"/>
  <c r="C19" i="1"/>
  <c r="G19" i="1"/>
  <c r="H19" i="1"/>
  <c r="O19" i="1"/>
  <c r="S19" i="1"/>
  <c r="B19" i="1"/>
  <c r="D17" i="1"/>
  <c r="F17" i="1"/>
  <c r="I17" i="1"/>
  <c r="N17" i="1"/>
  <c r="O17" i="1"/>
  <c r="Q17" i="1"/>
  <c r="V17" i="1"/>
  <c r="H18" i="1"/>
  <c r="S18" i="1"/>
  <c r="U18" i="1"/>
  <c r="C20" i="1"/>
  <c r="D20" i="1"/>
  <c r="E20" i="1"/>
  <c r="N20" i="1"/>
  <c r="O20" i="1"/>
  <c r="P20" i="1"/>
  <c r="V20" i="1"/>
  <c r="X20" i="1"/>
  <c r="E22" i="1"/>
  <c r="F22" i="1"/>
  <c r="G22" i="1"/>
  <c r="P22" i="1"/>
  <c r="Q22" i="1"/>
  <c r="S22" i="1"/>
  <c r="C24" i="1"/>
  <c r="D24" i="1"/>
  <c r="F24" i="1"/>
  <c r="I24" i="1"/>
  <c r="J24" i="1"/>
  <c r="P24" i="1"/>
  <c r="S24" i="1"/>
  <c r="T24" i="1"/>
  <c r="U24" i="1"/>
  <c r="D16" i="1"/>
  <c r="E16" i="1"/>
  <c r="O16" i="1"/>
  <c r="Q16" i="1"/>
  <c r="R22" i="1" l="1"/>
  <c r="D22" i="1"/>
  <c r="H20" i="1"/>
  <c r="R18" i="1"/>
  <c r="P17" i="1"/>
  <c r="C17" i="1"/>
  <c r="I19" i="1"/>
  <c r="R21" i="1"/>
  <c r="U16" i="1"/>
  <c r="O23" i="1"/>
  <c r="O24" i="1"/>
  <c r="U23" i="1"/>
  <c r="K16" i="1"/>
  <c r="F18" i="1"/>
  <c r="T19" i="1"/>
  <c r="B20" i="1"/>
  <c r="K22" i="1"/>
  <c r="V22" i="1"/>
  <c r="N22" i="1"/>
  <c r="C22" i="1"/>
  <c r="Q18" i="1"/>
  <c r="E18" i="1"/>
  <c r="S17" i="1"/>
  <c r="G17" i="1"/>
  <c r="V25" i="1"/>
  <c r="N25" i="1"/>
  <c r="V19" i="1"/>
  <c r="Q21" i="1"/>
  <c r="T23" i="1"/>
  <c r="T16" i="1"/>
  <c r="P18" i="1"/>
  <c r="D18" i="1"/>
  <c r="R17" i="1"/>
  <c r="H24" i="1"/>
  <c r="I22" i="1"/>
  <c r="F20" i="1"/>
  <c r="N19" i="1"/>
  <c r="R24" i="1"/>
  <c r="G24" i="1"/>
  <c r="U20" i="1"/>
  <c r="K20" i="1"/>
  <c r="B16" i="1"/>
  <c r="B22" i="1"/>
  <c r="Q24" i="1"/>
  <c r="T20" i="1"/>
  <c r="I20" i="1"/>
</calcChain>
</file>

<file path=xl/sharedStrings.xml><?xml version="1.0" encoding="utf-8"?>
<sst xmlns="http://schemas.openxmlformats.org/spreadsheetml/2006/main" count="120" uniqueCount="53">
  <si>
    <t>Site_Code</t>
  </si>
  <si>
    <t>Surface_Temp_C</t>
  </si>
  <si>
    <t>Surface_Sal_psu</t>
  </si>
  <si>
    <t>Surface_DO_mg_L</t>
  </si>
  <si>
    <t>Surface_pH</t>
  </si>
  <si>
    <t>Bottom_Temp_C</t>
  </si>
  <si>
    <t>Bottom_Sal_psu</t>
  </si>
  <si>
    <t>Bottom_DO_mg_L</t>
  </si>
  <si>
    <t>Bottom_pH</t>
  </si>
  <si>
    <t>Secchi_Avg_Depth</t>
  </si>
  <si>
    <t>TSS (mg/L)</t>
  </si>
  <si>
    <t>Enterococcus (MPN)</t>
  </si>
  <si>
    <t>SS (ml/L)</t>
  </si>
  <si>
    <t>Surface BOD (mg/L)</t>
  </si>
  <si>
    <t>Bottom BOD (mg/L)</t>
  </si>
  <si>
    <t>Chl-a (Âµg/L)</t>
  </si>
  <si>
    <t>Turbidity (NTU)</t>
  </si>
  <si>
    <t>Surface DIC (Âµmol/kg)</t>
  </si>
  <si>
    <t>Bottom DIC (Âµmol/kg)</t>
  </si>
  <si>
    <t>Surface TA (Âµmol/kg)</t>
  </si>
  <si>
    <t>Bottom TA (Âµmol/kg)</t>
  </si>
  <si>
    <t>NOx (mg/L)</t>
  </si>
  <si>
    <t>PO4 (mg/L)</t>
  </si>
  <si>
    <t>TKN (mg/L)</t>
  </si>
  <si>
    <t>DOMI05</t>
  </si>
  <si>
    <t>&gt; 2</t>
  </si>
  <si>
    <t>NA</t>
  </si>
  <si>
    <t>&lt; 0.1</t>
  </si>
  <si>
    <t>DOMI05-R</t>
  </si>
  <si>
    <t>ESPE10</t>
  </si>
  <si>
    <t>&gt; 9.5</t>
  </si>
  <si>
    <t>&lt; 10</t>
  </si>
  <si>
    <t>ESPE10-R</t>
  </si>
  <si>
    <t>GALL05</t>
  </si>
  <si>
    <t>&gt; 3</t>
  </si>
  <si>
    <t>&lt;10</t>
  </si>
  <si>
    <t>GALL05-R</t>
  </si>
  <si>
    <t>&gt; 6</t>
  </si>
  <si>
    <t>GUAN20</t>
  </si>
  <si>
    <t>&gt; 17.5</t>
  </si>
  <si>
    <t>GUAN20-R</t>
  </si>
  <si>
    <t>MLAN10</t>
  </si>
  <si>
    <t>MLAN10-R</t>
  </si>
  <si>
    <t>RPD</t>
  </si>
  <si>
    <t>NOx LOD (mg/L)</t>
  </si>
  <si>
    <t>PO4 LOD (mg/L)</t>
  </si>
  <si>
    <t>TKN LOD (mg/L)</t>
  </si>
  <si>
    <t>&lt;0.006</t>
  </si>
  <si>
    <t>&lt;0.09</t>
  </si>
  <si>
    <t>&lt;0.003</t>
  </si>
  <si>
    <t>Meets 20% RPD or agrees within precision of measurement</t>
  </si>
  <si>
    <t>Colors</t>
  </si>
  <si>
    <t>Exceeds 20% RPD or falls outside precision of measurement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</si>
</sst>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0" fontId="6" fillId="2" borderId="0" xfId="6" applyAlignment="1">
      <alignment horizontal="center"/>
    </xf>
    <xf numFmtId="0" fontId="8" fillId="4" borderId="0" xfId="8" applyAlignment="1">
      <alignment horizontal="center"/>
    </xf>
    <xf numFmtId="1" fontId="6" fillId="2" borderId="0" xfId="6" applyNumberFormat="1" applyAlignment="1">
      <alignment horizontal="center"/>
    </xf>
    <xf numFmtId="1" fontId="8" fillId="4" borderId="0" xfId="8" applyNumberFormat="1" applyAlignment="1">
      <alignment horizontal="center"/>
    </xf>
    <xf numFmtId="0" fontId="8" fillId="4" borderId="0" xfId="8" applyAlignment="1">
      <alignment horizontal="center"/>
    </xf>
    <xf numFmtId="0" fontId="6" fillId="2" borderId="0" xfId="6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5"/>
  <sheetViews>
    <sheetView tabSelected="1" workbookViewId="0">
      <selection activeCell="G2" sqref="G2"/>
    </sheetView>
  </sheetViews>
  <sheetFormatPr defaultRowHeight="15" x14ac:dyDescent="0.25"/>
  <cols>
    <col min="1" max="1" width="10.140625" style="1" bestFit="1" customWidth="1"/>
    <col min="2" max="2" width="15.85546875" style="1" bestFit="1" customWidth="1"/>
    <col min="3" max="3" width="15.7109375" style="1" bestFit="1" customWidth="1"/>
    <col min="4" max="4" width="16.85546875" style="1" bestFit="1" customWidth="1"/>
    <col min="5" max="5" width="11.140625" style="1" bestFit="1" customWidth="1"/>
    <col min="6" max="6" width="15.42578125" style="1" bestFit="1" customWidth="1"/>
    <col min="7" max="7" width="15.28515625" style="1" bestFit="1" customWidth="1"/>
    <col min="8" max="8" width="16.42578125" style="1" bestFit="1" customWidth="1"/>
    <col min="9" max="9" width="10.7109375" style="1" bestFit="1" customWidth="1"/>
    <col min="10" max="10" width="16.85546875" style="1" bestFit="1" customWidth="1"/>
    <col min="11" max="11" width="10.5703125" style="1" bestFit="1" customWidth="1"/>
    <col min="12" max="12" width="19.28515625" style="1" bestFit="1" customWidth="1"/>
    <col min="13" max="13" width="9.140625" style="1" bestFit="1" customWidth="1"/>
    <col min="14" max="14" width="18.5703125" style="1" bestFit="1" customWidth="1"/>
    <col min="15" max="15" width="18.140625" style="1" bestFit="1" customWidth="1"/>
    <col min="16" max="16" width="12.85546875" style="1" bestFit="1" customWidth="1"/>
    <col min="17" max="17" width="14.42578125" style="1" bestFit="1" customWidth="1"/>
    <col min="18" max="18" width="22.140625" style="1" bestFit="1" customWidth="1"/>
    <col min="19" max="19" width="21.7109375" style="1" bestFit="1" customWidth="1"/>
    <col min="20" max="20" width="20.85546875" style="1" bestFit="1" customWidth="1"/>
    <col min="21" max="21" width="20.42578125" style="1" bestFit="1" customWidth="1"/>
    <col min="22" max="22" width="15.28515625" style="1" bestFit="1" customWidth="1"/>
    <col min="23" max="24" width="15.140625" style="1" bestFit="1" customWidth="1"/>
  </cols>
  <sheetData>
    <row r="1" spans="1:24" x14ac:dyDescent="0.25">
      <c r="A1" s="1" t="s">
        <v>51</v>
      </c>
      <c r="B1" s="7" t="s">
        <v>50</v>
      </c>
      <c r="C1" s="7"/>
      <c r="D1" s="7"/>
      <c r="E1" s="7"/>
      <c r="G1" s="6" t="s">
        <v>52</v>
      </c>
      <c r="H1" s="6"/>
      <c r="I1" s="6"/>
      <c r="J1" s="6"/>
    </row>
    <row r="3" spans="1:24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44</v>
      </c>
      <c r="W3" s="1" t="s">
        <v>45</v>
      </c>
      <c r="X3" s="1" t="s">
        <v>46</v>
      </c>
    </row>
    <row r="4" spans="1:24" x14ac:dyDescent="0.25">
      <c r="A4" s="1" t="s">
        <v>24</v>
      </c>
      <c r="B4" s="2">
        <v>27.21</v>
      </c>
      <c r="C4" s="2">
        <v>37.200000000000003</v>
      </c>
      <c r="D4" s="2">
        <v>6.54</v>
      </c>
      <c r="E4" s="2">
        <v>8.17</v>
      </c>
      <c r="F4" s="2">
        <v>27.19</v>
      </c>
      <c r="G4" s="2">
        <v>37.18</v>
      </c>
      <c r="H4" s="2">
        <v>6.57</v>
      </c>
      <c r="I4" s="2">
        <v>8.17</v>
      </c>
      <c r="J4" s="2" t="s">
        <v>25</v>
      </c>
      <c r="K4" s="2">
        <v>7.8</v>
      </c>
      <c r="L4" s="2" t="s">
        <v>26</v>
      </c>
      <c r="M4" s="2" t="s">
        <v>27</v>
      </c>
      <c r="N4" s="3">
        <v>0.95</v>
      </c>
      <c r="O4" s="2">
        <v>0.35</v>
      </c>
      <c r="P4" s="2">
        <v>0</v>
      </c>
      <c r="Q4" s="2">
        <v>0.05</v>
      </c>
      <c r="R4" s="2">
        <v>2033</v>
      </c>
      <c r="S4" s="2">
        <v>2031</v>
      </c>
      <c r="T4" s="2">
        <v>2347</v>
      </c>
      <c r="U4" s="2">
        <v>2347</v>
      </c>
      <c r="V4" s="2">
        <v>6.0000000000000001E-3</v>
      </c>
      <c r="W4" s="2" t="s">
        <v>47</v>
      </c>
      <c r="X4" s="2">
        <v>0.109</v>
      </c>
    </row>
    <row r="5" spans="1:24" x14ac:dyDescent="0.25">
      <c r="A5" s="1" t="s">
        <v>28</v>
      </c>
      <c r="B5" s="2">
        <v>27.24</v>
      </c>
      <c r="C5" s="2">
        <v>37.06</v>
      </c>
      <c r="D5" s="2">
        <v>6.57</v>
      </c>
      <c r="E5" s="2">
        <v>8.18</v>
      </c>
      <c r="F5" s="2">
        <v>27.21</v>
      </c>
      <c r="G5" s="2">
        <v>37.1</v>
      </c>
      <c r="H5" s="2">
        <v>6.63</v>
      </c>
      <c r="I5" s="2">
        <v>8.18</v>
      </c>
      <c r="J5" s="2" t="s">
        <v>25</v>
      </c>
      <c r="K5" s="2">
        <v>4.5</v>
      </c>
      <c r="L5" s="2" t="s">
        <v>26</v>
      </c>
      <c r="M5" s="2" t="s">
        <v>27</v>
      </c>
      <c r="N5" s="3">
        <v>0.27</v>
      </c>
      <c r="O5" s="2">
        <v>0.49</v>
      </c>
      <c r="P5" s="2">
        <v>0.39</v>
      </c>
      <c r="Q5" s="2">
        <v>0.1</v>
      </c>
      <c r="R5" s="2">
        <v>2025</v>
      </c>
      <c r="S5" s="2">
        <v>2031</v>
      </c>
      <c r="T5" s="2">
        <v>2326</v>
      </c>
      <c r="U5" s="2">
        <v>2337</v>
      </c>
      <c r="V5" s="2">
        <v>6.0000000000000001E-3</v>
      </c>
      <c r="W5" s="2" t="s">
        <v>47</v>
      </c>
      <c r="X5" s="2" t="s">
        <v>48</v>
      </c>
    </row>
    <row r="6" spans="1:24" x14ac:dyDescent="0.25">
      <c r="A6" s="1" t="s">
        <v>29</v>
      </c>
      <c r="B6" s="2">
        <v>27.06</v>
      </c>
      <c r="C6" s="2">
        <v>36.61</v>
      </c>
      <c r="D6" s="2">
        <v>6.45</v>
      </c>
      <c r="E6" s="2">
        <v>8.23</v>
      </c>
      <c r="F6" s="2">
        <v>27.08</v>
      </c>
      <c r="G6" s="2">
        <v>36.78</v>
      </c>
      <c r="H6" s="2">
        <v>5.91</v>
      </c>
      <c r="I6" s="2">
        <v>8.1999999999999993</v>
      </c>
      <c r="J6" s="2" t="s">
        <v>30</v>
      </c>
      <c r="K6" s="2">
        <v>0.4</v>
      </c>
      <c r="L6" s="2" t="s">
        <v>31</v>
      </c>
      <c r="M6" s="2" t="s">
        <v>27</v>
      </c>
      <c r="N6" s="2">
        <v>0.01</v>
      </c>
      <c r="O6" s="2">
        <v>0.05</v>
      </c>
      <c r="P6" s="2">
        <v>0.19</v>
      </c>
      <c r="Q6" s="2">
        <v>0</v>
      </c>
      <c r="R6" s="2">
        <v>2010</v>
      </c>
      <c r="S6" s="2">
        <v>2021</v>
      </c>
      <c r="T6" s="2">
        <v>2338</v>
      </c>
      <c r="U6" s="2">
        <v>2350</v>
      </c>
      <c r="V6" s="2">
        <v>6.0000000000000001E-3</v>
      </c>
      <c r="W6" s="2" t="s">
        <v>47</v>
      </c>
      <c r="X6" s="2" t="s">
        <v>48</v>
      </c>
    </row>
    <row r="7" spans="1:24" x14ac:dyDescent="0.25">
      <c r="A7" s="1" t="s">
        <v>32</v>
      </c>
      <c r="B7" s="2">
        <v>27.08</v>
      </c>
      <c r="C7" s="2">
        <v>36.659999999999997</v>
      </c>
      <c r="D7" s="2">
        <v>6.4</v>
      </c>
      <c r="E7" s="2">
        <v>8.23</v>
      </c>
      <c r="F7" s="2">
        <v>27.07</v>
      </c>
      <c r="G7" s="2">
        <v>36.78</v>
      </c>
      <c r="H7" s="2">
        <v>6.08</v>
      </c>
      <c r="I7" s="2">
        <v>8.2100000000000009</v>
      </c>
      <c r="J7" s="2" t="s">
        <v>30</v>
      </c>
      <c r="K7" s="2">
        <v>4.7</v>
      </c>
      <c r="L7" s="2" t="s">
        <v>31</v>
      </c>
      <c r="M7" s="2" t="s">
        <v>27</v>
      </c>
      <c r="N7" s="2">
        <v>0.14000000000000001</v>
      </c>
      <c r="O7" s="2">
        <v>0.14000000000000001</v>
      </c>
      <c r="P7" s="2">
        <v>0.38</v>
      </c>
      <c r="Q7" s="2">
        <v>0.05</v>
      </c>
      <c r="R7" s="2">
        <v>2009</v>
      </c>
      <c r="S7" s="2">
        <v>2014</v>
      </c>
      <c r="T7" s="2">
        <v>2273</v>
      </c>
      <c r="U7" s="2">
        <v>2275</v>
      </c>
      <c r="V7" s="2" t="s">
        <v>49</v>
      </c>
      <c r="W7" s="2" t="s">
        <v>47</v>
      </c>
      <c r="X7" s="2" t="s">
        <v>48</v>
      </c>
    </row>
    <row r="8" spans="1:24" x14ac:dyDescent="0.25">
      <c r="A8" s="1" t="s">
        <v>33</v>
      </c>
      <c r="B8" s="2">
        <v>27.04</v>
      </c>
      <c r="C8" s="2">
        <v>36.619999999999997</v>
      </c>
      <c r="D8" s="2">
        <v>6.26</v>
      </c>
      <c r="E8" s="2">
        <v>8.18</v>
      </c>
      <c r="F8" s="2">
        <v>27.04</v>
      </c>
      <c r="G8" s="2">
        <v>36.630000000000003</v>
      </c>
      <c r="H8" s="2">
        <v>6.13</v>
      </c>
      <c r="I8" s="2">
        <v>8.18</v>
      </c>
      <c r="J8" s="2" t="s">
        <v>34</v>
      </c>
      <c r="K8" s="2">
        <v>7.4</v>
      </c>
      <c r="L8" s="2" t="s">
        <v>35</v>
      </c>
      <c r="M8" s="2" t="s">
        <v>27</v>
      </c>
      <c r="N8" s="2">
        <v>0.25</v>
      </c>
      <c r="O8" s="3">
        <v>1.72</v>
      </c>
      <c r="P8" s="2">
        <v>0.4</v>
      </c>
      <c r="Q8" s="2">
        <v>0</v>
      </c>
      <c r="R8" s="2">
        <v>2004</v>
      </c>
      <c r="S8" s="2">
        <v>2004</v>
      </c>
      <c r="T8" s="2">
        <v>2320</v>
      </c>
      <c r="U8" s="2">
        <v>2317</v>
      </c>
      <c r="V8" s="3">
        <v>3.4000000000000002E-2</v>
      </c>
      <c r="W8" s="2" t="s">
        <v>47</v>
      </c>
      <c r="X8" s="2">
        <v>0.16</v>
      </c>
    </row>
    <row r="9" spans="1:24" x14ac:dyDescent="0.25">
      <c r="A9" s="1" t="s">
        <v>36</v>
      </c>
      <c r="B9" s="2">
        <v>27.04</v>
      </c>
      <c r="C9" s="2">
        <v>36.54</v>
      </c>
      <c r="D9" s="2">
        <v>6.57</v>
      </c>
      <c r="E9" s="2">
        <v>8.1999999999999993</v>
      </c>
      <c r="F9" s="2">
        <v>27.05</v>
      </c>
      <c r="G9" s="2">
        <v>36.56</v>
      </c>
      <c r="H9" s="2">
        <v>6.19</v>
      </c>
      <c r="I9" s="2">
        <v>8.1999999999999993</v>
      </c>
      <c r="J9" s="2" t="s">
        <v>37</v>
      </c>
      <c r="K9" s="2">
        <v>7.5</v>
      </c>
      <c r="L9" s="2" t="s">
        <v>35</v>
      </c>
      <c r="M9" s="2" t="s">
        <v>27</v>
      </c>
      <c r="N9" s="2">
        <v>0.52</v>
      </c>
      <c r="O9" s="3">
        <v>0.64</v>
      </c>
      <c r="P9" s="2">
        <v>0.17</v>
      </c>
      <c r="Q9" s="2">
        <v>0</v>
      </c>
      <c r="R9" s="2">
        <v>2004</v>
      </c>
      <c r="S9" s="2">
        <v>2005</v>
      </c>
      <c r="T9" s="2">
        <v>2335</v>
      </c>
      <c r="U9" s="2">
        <v>2329</v>
      </c>
      <c r="V9" s="3">
        <v>1.0999999999999999E-2</v>
      </c>
      <c r="W9" s="2" t="s">
        <v>47</v>
      </c>
      <c r="X9" s="2">
        <v>0.30399999999999999</v>
      </c>
    </row>
    <row r="10" spans="1:24" x14ac:dyDescent="0.25">
      <c r="A10" s="1" t="s">
        <v>38</v>
      </c>
      <c r="B10" s="2">
        <v>27.07</v>
      </c>
      <c r="C10" s="2">
        <v>36.72</v>
      </c>
      <c r="D10" s="2">
        <v>6.33</v>
      </c>
      <c r="E10" s="2">
        <v>8.2100000000000009</v>
      </c>
      <c r="F10" s="2">
        <v>26.96</v>
      </c>
      <c r="G10" s="2">
        <v>36.85</v>
      </c>
      <c r="H10" s="2">
        <v>6.11</v>
      </c>
      <c r="I10" s="2">
        <v>8.2100000000000009</v>
      </c>
      <c r="J10" s="2" t="s">
        <v>39</v>
      </c>
      <c r="K10" s="2">
        <v>3.1</v>
      </c>
      <c r="L10" s="2" t="s">
        <v>35</v>
      </c>
      <c r="M10" s="2" t="s">
        <v>27</v>
      </c>
      <c r="N10" s="2">
        <v>0.55000000000000004</v>
      </c>
      <c r="O10" s="2">
        <v>0.76</v>
      </c>
      <c r="P10" s="2">
        <v>0.56000000000000005</v>
      </c>
      <c r="Q10" s="2">
        <v>0</v>
      </c>
      <c r="R10" s="2">
        <v>2011</v>
      </c>
      <c r="S10" s="2">
        <v>2015</v>
      </c>
      <c r="T10" s="2">
        <v>2333</v>
      </c>
      <c r="U10" s="2">
        <v>2339</v>
      </c>
      <c r="V10" s="2">
        <v>6.0000000000000001E-3</v>
      </c>
      <c r="W10" s="2" t="s">
        <v>47</v>
      </c>
      <c r="X10" s="2" t="s">
        <v>48</v>
      </c>
    </row>
    <row r="11" spans="1:24" x14ac:dyDescent="0.25">
      <c r="A11" s="1" t="s">
        <v>40</v>
      </c>
      <c r="B11" s="2">
        <v>27.09</v>
      </c>
      <c r="C11" s="2">
        <v>36.58</v>
      </c>
      <c r="D11" s="2">
        <v>6.45</v>
      </c>
      <c r="E11" s="2">
        <v>8.2200000000000006</v>
      </c>
      <c r="F11" s="2">
        <v>27</v>
      </c>
      <c r="G11" s="2">
        <v>36.82</v>
      </c>
      <c r="H11" s="2">
        <v>6.21</v>
      </c>
      <c r="I11" s="2">
        <v>8.2100000000000009</v>
      </c>
      <c r="J11" s="2" t="s">
        <v>39</v>
      </c>
      <c r="K11" s="2">
        <v>3.7</v>
      </c>
      <c r="L11" s="2" t="s">
        <v>35</v>
      </c>
      <c r="M11" s="2" t="s">
        <v>27</v>
      </c>
      <c r="N11" s="2">
        <v>0.63</v>
      </c>
      <c r="O11" s="2">
        <v>0.87</v>
      </c>
      <c r="P11" s="2">
        <v>0.4</v>
      </c>
      <c r="Q11" s="2">
        <v>0</v>
      </c>
      <c r="R11" s="2">
        <v>2008</v>
      </c>
      <c r="S11" s="2">
        <v>2002</v>
      </c>
      <c r="T11" s="2">
        <v>2338</v>
      </c>
      <c r="U11" s="2">
        <v>2332</v>
      </c>
      <c r="V11" s="2">
        <v>4.0000000000000001E-3</v>
      </c>
      <c r="W11" s="2" t="s">
        <v>47</v>
      </c>
      <c r="X11" s="2" t="s">
        <v>48</v>
      </c>
    </row>
    <row r="12" spans="1:24" x14ac:dyDescent="0.25">
      <c r="A12" s="1" t="s">
        <v>41</v>
      </c>
      <c r="B12" s="2">
        <v>27.31</v>
      </c>
      <c r="C12" s="2">
        <v>36.24</v>
      </c>
      <c r="D12" s="2">
        <v>6.46</v>
      </c>
      <c r="E12" s="2">
        <v>8.2100000000000009</v>
      </c>
      <c r="F12" s="2">
        <v>27.32</v>
      </c>
      <c r="G12" s="2">
        <v>36.159999999999997</v>
      </c>
      <c r="H12" s="2">
        <v>6.19</v>
      </c>
      <c r="I12" s="2">
        <v>8.1999999999999993</v>
      </c>
      <c r="J12" s="2">
        <v>5.5</v>
      </c>
      <c r="K12" s="2">
        <v>7</v>
      </c>
      <c r="L12" s="2" t="s">
        <v>31</v>
      </c>
      <c r="M12" s="2" t="s">
        <v>27</v>
      </c>
      <c r="N12" s="2">
        <v>0.19</v>
      </c>
      <c r="O12" s="2">
        <v>0.26</v>
      </c>
      <c r="P12" s="2">
        <v>0.96</v>
      </c>
      <c r="Q12" s="2">
        <v>0.2</v>
      </c>
      <c r="R12" s="2">
        <v>2010</v>
      </c>
      <c r="S12" s="2">
        <v>2010</v>
      </c>
      <c r="T12" s="2">
        <v>2330</v>
      </c>
      <c r="U12" s="2">
        <v>2328</v>
      </c>
      <c r="V12" s="2" t="s">
        <v>49</v>
      </c>
      <c r="W12" s="2" t="s">
        <v>47</v>
      </c>
      <c r="X12" s="2" t="s">
        <v>48</v>
      </c>
    </row>
    <row r="13" spans="1:24" x14ac:dyDescent="0.25">
      <c r="A13" s="1" t="s">
        <v>42</v>
      </c>
      <c r="B13" s="2">
        <v>27.32</v>
      </c>
      <c r="C13" s="2">
        <v>36.18</v>
      </c>
      <c r="D13" s="2">
        <v>6.48</v>
      </c>
      <c r="E13" s="2">
        <v>8.2200000000000006</v>
      </c>
      <c r="F13" s="2">
        <v>27.33</v>
      </c>
      <c r="G13" s="2">
        <v>36.26</v>
      </c>
      <c r="H13" s="2">
        <v>6.26</v>
      </c>
      <c r="I13" s="2">
        <v>8.2100000000000009</v>
      </c>
      <c r="J13" s="2">
        <v>5.25</v>
      </c>
      <c r="K13" s="2">
        <v>2.9</v>
      </c>
      <c r="L13" s="2" t="s">
        <v>31</v>
      </c>
      <c r="M13" s="2" t="s">
        <v>27</v>
      </c>
      <c r="N13" s="2">
        <v>0.32</v>
      </c>
      <c r="O13" s="2">
        <v>0.17</v>
      </c>
      <c r="P13" s="2">
        <v>0.8</v>
      </c>
      <c r="Q13" s="2">
        <v>0.25</v>
      </c>
      <c r="R13" s="2">
        <v>2006</v>
      </c>
      <c r="S13" s="2">
        <v>2005</v>
      </c>
      <c r="T13" s="2">
        <v>2328</v>
      </c>
      <c r="U13" s="2">
        <v>2319</v>
      </c>
      <c r="V13" s="2">
        <v>5.0000000000000001E-3</v>
      </c>
      <c r="W13" s="2" t="s">
        <v>47</v>
      </c>
      <c r="X13" s="2" t="s">
        <v>48</v>
      </c>
    </row>
    <row r="15" spans="1:24" x14ac:dyDescent="0.25">
      <c r="A15" s="1" t="s">
        <v>43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  <c r="H15" s="1" t="s">
        <v>7</v>
      </c>
      <c r="I15" s="1" t="s">
        <v>8</v>
      </c>
      <c r="J15" s="1" t="s">
        <v>9</v>
      </c>
      <c r="K15" s="1" t="s">
        <v>10</v>
      </c>
      <c r="L15" s="1" t="s">
        <v>11</v>
      </c>
      <c r="M15" s="1" t="s">
        <v>12</v>
      </c>
      <c r="N15" s="1" t="s">
        <v>13</v>
      </c>
      <c r="O15" s="1" t="s">
        <v>14</v>
      </c>
      <c r="P15" s="1" t="s">
        <v>15</v>
      </c>
      <c r="Q15" s="1" t="s">
        <v>16</v>
      </c>
      <c r="R15" s="1" t="s">
        <v>17</v>
      </c>
      <c r="S15" s="1" t="s">
        <v>18</v>
      </c>
      <c r="T15" s="1" t="s">
        <v>19</v>
      </c>
      <c r="U15" s="1" t="s">
        <v>20</v>
      </c>
      <c r="V15" s="1" t="s">
        <v>21</v>
      </c>
      <c r="W15" s="1" t="s">
        <v>22</v>
      </c>
      <c r="X15" s="1" t="s">
        <v>23</v>
      </c>
    </row>
    <row r="16" spans="1:24" x14ac:dyDescent="0.25">
      <c r="A16" s="1" t="s">
        <v>24</v>
      </c>
      <c r="B16" s="4">
        <f>ABS(((B4-B5)/((B4+B5)/2))*100)</f>
        <v>0.11019283746555586</v>
      </c>
      <c r="C16" s="4">
        <f t="shared" ref="C16:V16" si="0">ABS(((C4-C5)/((C4+C5)/2))*100)</f>
        <v>0.37705359547535838</v>
      </c>
      <c r="D16" s="4">
        <f t="shared" si="0"/>
        <v>0.45766590389016398</v>
      </c>
      <c r="E16" s="4">
        <f t="shared" si="0"/>
        <v>0.12232415902140412</v>
      </c>
      <c r="F16" s="4">
        <f t="shared" si="0"/>
        <v>7.3529411764704303E-2</v>
      </c>
      <c r="G16" s="4">
        <f t="shared" si="0"/>
        <v>0.21540118470651129</v>
      </c>
      <c r="H16" s="4">
        <f t="shared" si="0"/>
        <v>0.90909090909090318</v>
      </c>
      <c r="I16" s="4">
        <f t="shared" si="0"/>
        <v>0.12232415902140412</v>
      </c>
      <c r="J16" s="4">
        <v>0</v>
      </c>
      <c r="K16" s="4">
        <f t="shared" si="0"/>
        <v>53.658536585365844</v>
      </c>
      <c r="L16" s="4" t="s">
        <v>26</v>
      </c>
      <c r="M16" s="4">
        <v>0</v>
      </c>
      <c r="N16" s="5">
        <f t="shared" si="0"/>
        <v>111.47540983606557</v>
      </c>
      <c r="O16" s="4">
        <f t="shared" si="0"/>
        <v>33.333333333333336</v>
      </c>
      <c r="P16" s="4">
        <f t="shared" si="0"/>
        <v>200</v>
      </c>
      <c r="Q16" s="4">
        <f t="shared" si="0"/>
        <v>66.666666666666657</v>
      </c>
      <c r="R16" s="4">
        <f t="shared" si="0"/>
        <v>0.39428289797930016</v>
      </c>
      <c r="S16" s="4">
        <f t="shared" si="0"/>
        <v>0</v>
      </c>
      <c r="T16" s="4">
        <f t="shared" si="0"/>
        <v>0.89878022683500969</v>
      </c>
      <c r="U16" s="4">
        <f t="shared" si="0"/>
        <v>0.42698548249359519</v>
      </c>
      <c r="V16" s="4">
        <f t="shared" si="0"/>
        <v>0</v>
      </c>
      <c r="W16" s="4">
        <v>0</v>
      </c>
      <c r="X16" s="4">
        <v>0</v>
      </c>
    </row>
    <row r="17" spans="1:24" x14ac:dyDescent="0.25">
      <c r="A17" s="1" t="s">
        <v>28</v>
      </c>
      <c r="B17" s="4">
        <f>ABS(((B4-B5)/((B4+B5)/2))*100)</f>
        <v>0.11019283746555586</v>
      </c>
      <c r="C17" s="4">
        <f t="shared" ref="C17:V17" si="1">ABS(((C4-C5)/((C4+C5)/2))*100)</f>
        <v>0.37705359547535838</v>
      </c>
      <c r="D17" s="4">
        <f t="shared" si="1"/>
        <v>0.45766590389016398</v>
      </c>
      <c r="E17" s="4">
        <f t="shared" si="1"/>
        <v>0.12232415902140412</v>
      </c>
      <c r="F17" s="4">
        <f t="shared" si="1"/>
        <v>7.3529411764704303E-2</v>
      </c>
      <c r="G17" s="4">
        <f t="shared" si="1"/>
        <v>0.21540118470651129</v>
      </c>
      <c r="H17" s="4">
        <f t="shared" si="1"/>
        <v>0.90909090909090318</v>
      </c>
      <c r="I17" s="4">
        <f t="shared" si="1"/>
        <v>0.12232415902140412</v>
      </c>
      <c r="J17" s="4">
        <v>0</v>
      </c>
      <c r="K17" s="4">
        <f t="shared" si="1"/>
        <v>53.658536585365844</v>
      </c>
      <c r="L17" s="4" t="s">
        <v>26</v>
      </c>
      <c r="M17" s="4">
        <v>0</v>
      </c>
      <c r="N17" s="5">
        <f t="shared" si="1"/>
        <v>111.47540983606557</v>
      </c>
      <c r="O17" s="4">
        <f t="shared" si="1"/>
        <v>33.333333333333336</v>
      </c>
      <c r="P17" s="4">
        <f t="shared" si="1"/>
        <v>200</v>
      </c>
      <c r="Q17" s="4">
        <f t="shared" si="1"/>
        <v>66.666666666666657</v>
      </c>
      <c r="R17" s="4">
        <f t="shared" si="1"/>
        <v>0.39428289797930016</v>
      </c>
      <c r="S17" s="4">
        <f t="shared" si="1"/>
        <v>0</v>
      </c>
      <c r="T17" s="4">
        <f t="shared" si="1"/>
        <v>0.89878022683500969</v>
      </c>
      <c r="U17" s="4">
        <f t="shared" si="1"/>
        <v>0.42698548249359519</v>
      </c>
      <c r="V17" s="4">
        <f t="shared" si="1"/>
        <v>0</v>
      </c>
      <c r="W17" s="4">
        <v>0</v>
      </c>
      <c r="X17" s="4">
        <v>0</v>
      </c>
    </row>
    <row r="18" spans="1:24" x14ac:dyDescent="0.25">
      <c r="A18" s="1" t="s">
        <v>29</v>
      </c>
      <c r="B18" s="4">
        <f>ABS(((B6-B7)/((B6+B7)/2))*100)</f>
        <v>7.3882526782414387E-2</v>
      </c>
      <c r="C18" s="4">
        <f t="shared" ref="C18:V18" si="2">ABS(((C6-C7)/((C6+C7)/2))*100)</f>
        <v>0.13648150675582685</v>
      </c>
      <c r="D18" s="4">
        <f t="shared" si="2"/>
        <v>0.77821011673151463</v>
      </c>
      <c r="E18" s="4">
        <f t="shared" si="2"/>
        <v>0</v>
      </c>
      <c r="F18" s="4">
        <f t="shared" si="2"/>
        <v>3.6934441366566984E-2</v>
      </c>
      <c r="G18" s="4">
        <f t="shared" si="2"/>
        <v>0</v>
      </c>
      <c r="H18" s="4">
        <f t="shared" si="2"/>
        <v>2.8356964136780638</v>
      </c>
      <c r="I18" s="4">
        <f t="shared" si="2"/>
        <v>0.12187690432664915</v>
      </c>
      <c r="J18" s="4">
        <v>0</v>
      </c>
      <c r="K18" s="4">
        <f t="shared" si="2"/>
        <v>168.62745098039213</v>
      </c>
      <c r="L18" s="4">
        <v>0</v>
      </c>
      <c r="M18" s="4">
        <v>0</v>
      </c>
      <c r="N18" s="4">
        <f t="shared" si="2"/>
        <v>173.33333333333331</v>
      </c>
      <c r="O18" s="4">
        <f t="shared" si="2"/>
        <v>94.736842105263165</v>
      </c>
      <c r="P18" s="4">
        <f t="shared" si="2"/>
        <v>66.666666666666657</v>
      </c>
      <c r="Q18" s="4">
        <f t="shared" si="2"/>
        <v>200</v>
      </c>
      <c r="R18" s="4">
        <f t="shared" si="2"/>
        <v>4.9763622791739237E-2</v>
      </c>
      <c r="S18" s="4">
        <f t="shared" si="2"/>
        <v>0.34696406443618338</v>
      </c>
      <c r="T18" s="4">
        <f t="shared" si="2"/>
        <v>2.8193450444589025</v>
      </c>
      <c r="U18" s="4">
        <f t="shared" si="2"/>
        <v>3.2432432432432434</v>
      </c>
      <c r="V18" s="4" t="e">
        <f t="shared" si="2"/>
        <v>#VALUE!</v>
      </c>
      <c r="W18" s="4">
        <v>0</v>
      </c>
      <c r="X18" s="4">
        <v>0</v>
      </c>
    </row>
    <row r="19" spans="1:24" x14ac:dyDescent="0.25">
      <c r="A19" s="1" t="s">
        <v>32</v>
      </c>
      <c r="B19" s="4">
        <f>ABS(((B6-B7)/((B6+B7)/2))*100)</f>
        <v>7.3882526782414387E-2</v>
      </c>
      <c r="C19" s="4">
        <f t="shared" ref="C19:V19" si="3">ABS(((C6-C7)/((C6+C7)/2))*100)</f>
        <v>0.13648150675582685</v>
      </c>
      <c r="D19" s="4">
        <f t="shared" si="3"/>
        <v>0.77821011673151463</v>
      </c>
      <c r="E19" s="4">
        <f t="shared" si="3"/>
        <v>0</v>
      </c>
      <c r="F19" s="4">
        <f t="shared" si="3"/>
        <v>3.6934441366566984E-2</v>
      </c>
      <c r="G19" s="4">
        <f t="shared" si="3"/>
        <v>0</v>
      </c>
      <c r="H19" s="4">
        <f t="shared" si="3"/>
        <v>2.8356964136780638</v>
      </c>
      <c r="I19" s="4">
        <f t="shared" si="3"/>
        <v>0.12187690432664915</v>
      </c>
      <c r="J19" s="4">
        <v>0</v>
      </c>
      <c r="K19" s="4">
        <f t="shared" si="3"/>
        <v>168.62745098039213</v>
      </c>
      <c r="L19" s="4">
        <v>0</v>
      </c>
      <c r="M19" s="4">
        <v>0</v>
      </c>
      <c r="N19" s="4">
        <f t="shared" si="3"/>
        <v>173.33333333333331</v>
      </c>
      <c r="O19" s="4">
        <f t="shared" si="3"/>
        <v>94.736842105263165</v>
      </c>
      <c r="P19" s="4">
        <f t="shared" si="3"/>
        <v>66.666666666666657</v>
      </c>
      <c r="Q19" s="4">
        <f t="shared" si="3"/>
        <v>200</v>
      </c>
      <c r="R19" s="4">
        <f t="shared" si="3"/>
        <v>4.9763622791739237E-2</v>
      </c>
      <c r="S19" s="4">
        <f t="shared" si="3"/>
        <v>0.34696406443618338</v>
      </c>
      <c r="T19" s="4">
        <f t="shared" si="3"/>
        <v>2.8193450444589025</v>
      </c>
      <c r="U19" s="4">
        <f t="shared" si="3"/>
        <v>3.2432432432432434</v>
      </c>
      <c r="V19" s="4" t="e">
        <f t="shared" si="3"/>
        <v>#VALUE!</v>
      </c>
      <c r="W19" s="4">
        <v>0</v>
      </c>
      <c r="X19" s="4">
        <v>0</v>
      </c>
    </row>
    <row r="20" spans="1:24" x14ac:dyDescent="0.25">
      <c r="A20" s="1" t="s">
        <v>33</v>
      </c>
      <c r="B20" s="4">
        <f>ABS(((B8-B9)/((B8+B9)/2))*100)</f>
        <v>0</v>
      </c>
      <c r="C20" s="4">
        <f t="shared" ref="C20:X20" si="4">ABS(((C8-C9)/((C8+C9)/2))*100)</f>
        <v>0.21869874248222607</v>
      </c>
      <c r="D20" s="4">
        <f t="shared" si="4"/>
        <v>4.8324240062353931</v>
      </c>
      <c r="E20" s="4">
        <f t="shared" si="4"/>
        <v>0.244200244200239</v>
      </c>
      <c r="F20" s="4">
        <f t="shared" si="4"/>
        <v>3.6975411351457065E-2</v>
      </c>
      <c r="G20" s="4">
        <f t="shared" si="4"/>
        <v>0.1912829621533004</v>
      </c>
      <c r="H20" s="4">
        <f t="shared" si="4"/>
        <v>0.97402597402598212</v>
      </c>
      <c r="I20" s="4">
        <f t="shared" si="4"/>
        <v>0.244200244200239</v>
      </c>
      <c r="J20" s="4">
        <v>0</v>
      </c>
      <c r="K20" s="4">
        <f t="shared" si="4"/>
        <v>1.342281879194626</v>
      </c>
      <c r="L20" s="4">
        <v>0</v>
      </c>
      <c r="M20" s="4">
        <v>0</v>
      </c>
      <c r="N20" s="4">
        <f t="shared" si="4"/>
        <v>70.129870129870127</v>
      </c>
      <c r="O20" s="5">
        <f t="shared" si="4"/>
        <v>91.525423728813564</v>
      </c>
      <c r="P20" s="4">
        <f t="shared" si="4"/>
        <v>80.701754385964904</v>
      </c>
      <c r="Q20" s="4" t="e">
        <f t="shared" si="4"/>
        <v>#DIV/0!</v>
      </c>
      <c r="R20" s="4">
        <f t="shared" si="4"/>
        <v>0</v>
      </c>
      <c r="S20" s="4">
        <f t="shared" si="4"/>
        <v>4.9887752556747322E-2</v>
      </c>
      <c r="T20" s="4">
        <f t="shared" si="4"/>
        <v>0.64446831364124602</v>
      </c>
      <c r="U20" s="4">
        <f t="shared" si="4"/>
        <v>0.51657339647008182</v>
      </c>
      <c r="V20" s="5">
        <f t="shared" si="4"/>
        <v>102.22222222222224</v>
      </c>
      <c r="W20" s="4">
        <v>0</v>
      </c>
      <c r="X20" s="4">
        <f t="shared" si="4"/>
        <v>62.068965517241381</v>
      </c>
    </row>
    <row r="21" spans="1:24" x14ac:dyDescent="0.25">
      <c r="A21" s="1" t="s">
        <v>36</v>
      </c>
      <c r="B21" s="4">
        <f>ABS(((B8-B9)/((B8+B9)/2))*100)</f>
        <v>0</v>
      </c>
      <c r="C21" s="4">
        <f t="shared" ref="C21:X21" si="5">ABS(((C8-C9)/((C8+C9)/2))*100)</f>
        <v>0.21869874248222607</v>
      </c>
      <c r="D21" s="4">
        <f t="shared" si="5"/>
        <v>4.8324240062353931</v>
      </c>
      <c r="E21" s="4">
        <f t="shared" si="5"/>
        <v>0.244200244200239</v>
      </c>
      <c r="F21" s="4">
        <f t="shared" si="5"/>
        <v>3.6975411351457065E-2</v>
      </c>
      <c r="G21" s="4">
        <f t="shared" si="5"/>
        <v>0.1912829621533004</v>
      </c>
      <c r="H21" s="4">
        <f t="shared" si="5"/>
        <v>0.97402597402598212</v>
      </c>
      <c r="I21" s="4">
        <f t="shared" si="5"/>
        <v>0.244200244200239</v>
      </c>
      <c r="J21" s="4">
        <v>0</v>
      </c>
      <c r="K21" s="4">
        <f t="shared" si="5"/>
        <v>1.342281879194626</v>
      </c>
      <c r="L21" s="4">
        <v>0</v>
      </c>
      <c r="M21" s="4">
        <v>0</v>
      </c>
      <c r="N21" s="4">
        <f t="shared" si="5"/>
        <v>70.129870129870127</v>
      </c>
      <c r="O21" s="5">
        <f t="shared" si="5"/>
        <v>91.525423728813564</v>
      </c>
      <c r="P21" s="4">
        <f t="shared" si="5"/>
        <v>80.701754385964904</v>
      </c>
      <c r="Q21" s="4" t="e">
        <f t="shared" si="5"/>
        <v>#DIV/0!</v>
      </c>
      <c r="R21" s="4">
        <f t="shared" si="5"/>
        <v>0</v>
      </c>
      <c r="S21" s="4">
        <f t="shared" si="5"/>
        <v>4.9887752556747322E-2</v>
      </c>
      <c r="T21" s="4">
        <f t="shared" si="5"/>
        <v>0.64446831364124602</v>
      </c>
      <c r="U21" s="4">
        <f t="shared" si="5"/>
        <v>0.51657339647008182</v>
      </c>
      <c r="V21" s="5">
        <f t="shared" si="5"/>
        <v>102.22222222222224</v>
      </c>
      <c r="W21" s="4">
        <v>0</v>
      </c>
      <c r="X21" s="4">
        <f t="shared" si="5"/>
        <v>62.068965517241381</v>
      </c>
    </row>
    <row r="22" spans="1:24" x14ac:dyDescent="0.25">
      <c r="A22" s="1" t="s">
        <v>38</v>
      </c>
      <c r="B22" s="4">
        <f>ABS(((B10-B11)/((B10+B11)/2))*100)</f>
        <v>7.3855243722302719E-2</v>
      </c>
      <c r="C22" s="4">
        <f t="shared" ref="C22:V22" si="6">ABS(((C10-C11)/((C10+C11)/2))*100)</f>
        <v>0.38199181446112024</v>
      </c>
      <c r="D22" s="4">
        <f t="shared" si="6"/>
        <v>1.8779342723004708</v>
      </c>
      <c r="E22" s="4">
        <f t="shared" si="6"/>
        <v>0.12172854534388054</v>
      </c>
      <c r="F22" s="4">
        <f t="shared" si="6"/>
        <v>0.14825796886582338</v>
      </c>
      <c r="G22" s="4">
        <f t="shared" si="6"/>
        <v>8.1444278539435699E-2</v>
      </c>
      <c r="H22" s="4">
        <f t="shared" si="6"/>
        <v>1.6233766233766176</v>
      </c>
      <c r="I22" s="4">
        <f t="shared" si="6"/>
        <v>0</v>
      </c>
      <c r="J22" s="4">
        <v>0</v>
      </c>
      <c r="K22" s="4">
        <f t="shared" si="6"/>
        <v>17.647058823529413</v>
      </c>
      <c r="L22" s="4">
        <v>0</v>
      </c>
      <c r="M22" s="4">
        <v>0</v>
      </c>
      <c r="N22" s="4">
        <f t="shared" si="6"/>
        <v>13.559322033898297</v>
      </c>
      <c r="O22" s="4">
        <f t="shared" si="6"/>
        <v>13.496932515337424</v>
      </c>
      <c r="P22" s="4">
        <f t="shared" si="6"/>
        <v>33.333333333333336</v>
      </c>
      <c r="Q22" s="4" t="e">
        <f t="shared" si="6"/>
        <v>#DIV/0!</v>
      </c>
      <c r="R22" s="4">
        <f t="shared" si="6"/>
        <v>0.14929086837521771</v>
      </c>
      <c r="S22" s="4">
        <f t="shared" si="6"/>
        <v>0.64724919093851141</v>
      </c>
      <c r="T22" s="4">
        <f t="shared" si="6"/>
        <v>0.21408691928923143</v>
      </c>
      <c r="U22" s="4">
        <f t="shared" si="6"/>
        <v>0.29972168700492402</v>
      </c>
      <c r="V22" s="4">
        <f t="shared" si="6"/>
        <v>40</v>
      </c>
      <c r="W22" s="4">
        <v>0</v>
      </c>
      <c r="X22" s="4">
        <v>0</v>
      </c>
    </row>
    <row r="23" spans="1:24" x14ac:dyDescent="0.25">
      <c r="A23" s="1" t="s">
        <v>40</v>
      </c>
      <c r="B23" s="4">
        <f>ABS(((B10-B11)/((B10+B11)/2))*100)</f>
        <v>7.3855243722302719E-2</v>
      </c>
      <c r="C23" s="4">
        <f t="shared" ref="C23:V23" si="7">ABS(((C10-C11)/((C10+C11)/2))*100)</f>
        <v>0.38199181446112024</v>
      </c>
      <c r="D23" s="4">
        <f t="shared" si="7"/>
        <v>1.8779342723004708</v>
      </c>
      <c r="E23" s="4">
        <f t="shared" si="7"/>
        <v>0.12172854534388054</v>
      </c>
      <c r="F23" s="4">
        <f t="shared" si="7"/>
        <v>0.14825796886582338</v>
      </c>
      <c r="G23" s="4">
        <f t="shared" si="7"/>
        <v>8.1444278539435699E-2</v>
      </c>
      <c r="H23" s="4">
        <f t="shared" si="7"/>
        <v>1.6233766233766176</v>
      </c>
      <c r="I23" s="4">
        <f t="shared" si="7"/>
        <v>0</v>
      </c>
      <c r="J23" s="4">
        <v>0</v>
      </c>
      <c r="K23" s="4">
        <f t="shared" si="7"/>
        <v>17.647058823529413</v>
      </c>
      <c r="L23" s="4">
        <v>0</v>
      </c>
      <c r="M23" s="4">
        <v>0</v>
      </c>
      <c r="N23" s="4">
        <f t="shared" si="7"/>
        <v>13.559322033898297</v>
      </c>
      <c r="O23" s="4">
        <f t="shared" si="7"/>
        <v>13.496932515337424</v>
      </c>
      <c r="P23" s="4">
        <f t="shared" si="7"/>
        <v>33.333333333333336</v>
      </c>
      <c r="Q23" s="4" t="e">
        <f t="shared" si="7"/>
        <v>#DIV/0!</v>
      </c>
      <c r="R23" s="4">
        <f t="shared" si="7"/>
        <v>0.14929086837521771</v>
      </c>
      <c r="S23" s="4">
        <f t="shared" si="7"/>
        <v>0.64724919093851141</v>
      </c>
      <c r="T23" s="4">
        <f t="shared" si="7"/>
        <v>0.21408691928923143</v>
      </c>
      <c r="U23" s="4">
        <f t="shared" si="7"/>
        <v>0.29972168700492402</v>
      </c>
      <c r="V23" s="4">
        <f t="shared" si="7"/>
        <v>40</v>
      </c>
      <c r="W23" s="4">
        <v>0</v>
      </c>
      <c r="X23" s="4">
        <v>0</v>
      </c>
    </row>
    <row r="24" spans="1:24" x14ac:dyDescent="0.25">
      <c r="A24" s="1" t="s">
        <v>41</v>
      </c>
      <c r="B24" s="4">
        <f>ABS(((B12-B13)/((B12+B13)/2))*100)</f>
        <v>3.6609921288674956E-2</v>
      </c>
      <c r="C24" s="4">
        <f t="shared" ref="C24:V24" si="8">ABS(((C12-C13)/((C12+C13)/2))*100)</f>
        <v>0.1657000828500477</v>
      </c>
      <c r="D24" s="4">
        <f t="shared" si="8"/>
        <v>0.30911901081917248</v>
      </c>
      <c r="E24" s="4">
        <f t="shared" si="8"/>
        <v>0.12172854534388054</v>
      </c>
      <c r="F24" s="4">
        <f t="shared" si="8"/>
        <v>3.6596523330276347E-2</v>
      </c>
      <c r="G24" s="4">
        <f t="shared" si="8"/>
        <v>0.27616680475007299</v>
      </c>
      <c r="H24" s="4">
        <f t="shared" si="8"/>
        <v>1.1244979919678619</v>
      </c>
      <c r="I24" s="4">
        <f t="shared" si="8"/>
        <v>0.12187690432664915</v>
      </c>
      <c r="J24" s="4">
        <f t="shared" si="8"/>
        <v>4.6511627906976747</v>
      </c>
      <c r="K24" s="4">
        <f t="shared" si="8"/>
        <v>82.828282828282823</v>
      </c>
      <c r="L24" s="4">
        <v>0</v>
      </c>
      <c r="M24" s="4">
        <v>0</v>
      </c>
      <c r="N24" s="4">
        <f t="shared" si="8"/>
        <v>50.980392156862742</v>
      </c>
      <c r="O24" s="4">
        <f t="shared" si="8"/>
        <v>41.860465116279059</v>
      </c>
      <c r="P24" s="4">
        <f t="shared" si="8"/>
        <v>18.181818181818173</v>
      </c>
      <c r="Q24" s="4">
        <f t="shared" si="8"/>
        <v>22.222222222222214</v>
      </c>
      <c r="R24" s="4">
        <f t="shared" si="8"/>
        <v>0.19920318725099601</v>
      </c>
      <c r="S24" s="4">
        <f t="shared" si="8"/>
        <v>0.24906600249066002</v>
      </c>
      <c r="T24" s="4">
        <f t="shared" si="8"/>
        <v>8.5873765564620008E-2</v>
      </c>
      <c r="U24" s="4">
        <f t="shared" si="8"/>
        <v>0.38734667527437056</v>
      </c>
      <c r="V24" s="4" t="e">
        <f t="shared" si="8"/>
        <v>#VALUE!</v>
      </c>
      <c r="W24" s="4">
        <v>0</v>
      </c>
      <c r="X24" s="4">
        <v>0</v>
      </c>
    </row>
    <row r="25" spans="1:24" x14ac:dyDescent="0.25">
      <c r="A25" s="1" t="s">
        <v>42</v>
      </c>
      <c r="B25" s="4">
        <f>ABS(((B12-B13)/((B12+B13)/2))*100)</f>
        <v>3.6609921288674956E-2</v>
      </c>
      <c r="C25" s="4">
        <f t="shared" ref="C25:V25" si="9">ABS(((C12-C13)/((C12+C13)/2))*100)</f>
        <v>0.1657000828500477</v>
      </c>
      <c r="D25" s="4">
        <f t="shared" si="9"/>
        <v>0.30911901081917248</v>
      </c>
      <c r="E25" s="4">
        <f t="shared" si="9"/>
        <v>0.12172854534388054</v>
      </c>
      <c r="F25" s="4">
        <f t="shared" si="9"/>
        <v>3.6596523330276347E-2</v>
      </c>
      <c r="G25" s="4">
        <f t="shared" si="9"/>
        <v>0.27616680475007299</v>
      </c>
      <c r="H25" s="4">
        <f t="shared" si="9"/>
        <v>1.1244979919678619</v>
      </c>
      <c r="I25" s="4">
        <f t="shared" si="9"/>
        <v>0.12187690432664915</v>
      </c>
      <c r="J25" s="4">
        <f t="shared" si="9"/>
        <v>4.6511627906976747</v>
      </c>
      <c r="K25" s="4">
        <f t="shared" si="9"/>
        <v>82.828282828282823</v>
      </c>
      <c r="L25" s="4">
        <v>0</v>
      </c>
      <c r="M25" s="4">
        <v>0</v>
      </c>
      <c r="N25" s="4">
        <f t="shared" si="9"/>
        <v>50.980392156862742</v>
      </c>
      <c r="O25" s="4">
        <f t="shared" si="9"/>
        <v>41.860465116279059</v>
      </c>
      <c r="P25" s="4">
        <f t="shared" si="9"/>
        <v>18.181818181818173</v>
      </c>
      <c r="Q25" s="4">
        <f t="shared" si="9"/>
        <v>22.222222222222214</v>
      </c>
      <c r="R25" s="4">
        <f t="shared" si="9"/>
        <v>0.19920318725099601</v>
      </c>
      <c r="S25" s="4">
        <f t="shared" si="9"/>
        <v>0.24906600249066002</v>
      </c>
      <c r="T25" s="4">
        <f t="shared" si="9"/>
        <v>8.5873765564620008E-2</v>
      </c>
      <c r="U25" s="4">
        <f t="shared" si="9"/>
        <v>0.38734667527437056</v>
      </c>
      <c r="V25" s="4" t="e">
        <f t="shared" si="9"/>
        <v>#VALUE!</v>
      </c>
      <c r="W25" s="4">
        <v>0</v>
      </c>
      <c r="X25" s="4">
        <v>0</v>
      </c>
    </row>
  </sheetData>
  <mergeCells count="2">
    <mergeCell ref="B1:E1"/>
    <mergeCell ref="G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Quarter_3_Replicate_data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Travis A Courtney</cp:lastModifiedBy>
  <dcterms:created xsi:type="dcterms:W3CDTF">2024-03-20T14:31:06Z</dcterms:created>
  <dcterms:modified xsi:type="dcterms:W3CDTF">2024-03-20T15:22:51Z</dcterms:modified>
</cp:coreProperties>
</file>