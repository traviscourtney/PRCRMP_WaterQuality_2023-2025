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c/Desktop/Nutrients Recalculated Results + Pending Tasks/"/>
    </mc:Choice>
  </mc:AlternateContent>
  <xr:revisionPtr revIDLastSave="0" documentId="13_ncr:1_{B9656CDA-C6C6-5E44-9047-23AFD9DD8C04}" xr6:coauthVersionLast="47" xr6:coauthVersionMax="47" xr10:uidLastSave="{00000000-0000-0000-0000-000000000000}"/>
  <bookViews>
    <workbookView xWindow="3580" yWindow="1680" windowWidth="27640" windowHeight="16940" xr2:uid="{00000000-000D-0000-FFFF-FFFF00000000}"/>
  </bookViews>
  <sheets>
    <sheet name="230721_Channel3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1" l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<sst xmlns="http://schemas.openxmlformats.org/spreadsheetml/2006/main" count="96" uniqueCount="80">
  <si>
    <t xml:space="preserve">RUN </t>
  </si>
  <si>
    <t>230721_Channel3R1.RUN</t>
  </si>
  <si>
    <t>DATE</t>
  </si>
  <si>
    <t>7/21/2023</t>
  </si>
  <si>
    <t>TIME</t>
  </si>
  <si>
    <t>2:41:55 PM</t>
  </si>
  <si>
    <t>METH</t>
  </si>
  <si>
    <t>TKN</t>
  </si>
  <si>
    <t>UNIT</t>
  </si>
  <si>
    <t>mg/L</t>
  </si>
  <si>
    <t>Sample ID</t>
  </si>
  <si>
    <t>Results 3</t>
  </si>
  <si>
    <t>TKN (mg/L)</t>
  </si>
  <si>
    <t>Primer</t>
  </si>
  <si>
    <t>Drift</t>
  </si>
  <si>
    <t>2.24</t>
  </si>
  <si>
    <t>1.68</t>
  </si>
  <si>
    <t>1.12</t>
  </si>
  <si>
    <t>0.56</t>
  </si>
  <si>
    <t>0.224</t>
  </si>
  <si>
    <t>Blank (SamplerWash)</t>
  </si>
  <si>
    <t>Baseline</t>
  </si>
  <si>
    <t>High</t>
  </si>
  <si>
    <t>Low</t>
  </si>
  <si>
    <t>Blank</t>
  </si>
  <si>
    <t>Blank spiked</t>
  </si>
  <si>
    <t>CRM (0.8mg/L)</t>
  </si>
  <si>
    <t>1a</t>
  </si>
  <si>
    <t>1</t>
  </si>
  <si>
    <t>3</t>
  </si>
  <si>
    <t>4</t>
  </si>
  <si>
    <t>5</t>
  </si>
  <si>
    <t>6</t>
  </si>
  <si>
    <t>20</t>
  </si>
  <si>
    <t>22</t>
  </si>
  <si>
    <t>26</t>
  </si>
  <si>
    <t>24</t>
  </si>
  <si>
    <t>24 spiked</t>
  </si>
  <si>
    <t>28</t>
  </si>
  <si>
    <t>30</t>
  </si>
  <si>
    <t>38</t>
  </si>
  <si>
    <t>39</t>
  </si>
  <si>
    <t>40</t>
  </si>
  <si>
    <t>41</t>
  </si>
  <si>
    <t>42</t>
  </si>
  <si>
    <t>43</t>
  </si>
  <si>
    <t>44</t>
  </si>
  <si>
    <t>45</t>
  </si>
  <si>
    <t>45 spiked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</si>
  <si>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</si>
  <si>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</si>
  <si>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</si>
  <si>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</si>
  <si>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</si>
  <si>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</si>
  <si>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</si>
  <si>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</si>
  <si>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</si>
  <si>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49</t>
  </si>
  <si>
    <t>49 spiked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</si>
  <si>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</si>
  <si>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</si>
  <si>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</si>
  <si>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</si>
  <si>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</si>
  <si>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</si>
  <si>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</si>
  <si>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</si>
  <si>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</si>
  <si>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</si>
  <si>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65 spiked</t>
  </si>
  <si>
    <t>67</t>
  </si>
  <si>
    <t>68</t>
  </si>
  <si>
    <t>70</t>
  </si>
  <si>
    <t>71</t>
  </si>
  <si>
    <t>72</t>
  </si>
  <si>
    <t>73</t>
  </si>
  <si>
    <t>74</t>
  </si>
  <si>
    <t>74 spiked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</si>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</sst>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indexed="8"/>
      <name val="Calibri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0"/>
  <sheetViews>
    <sheetView tabSelected="1" topLeftCell="A59" workbookViewId="0">
      <selection activeCell="E14" sqref="E14"/>
    </sheetView>
  </sheetViews>
  <sheetFormatPr baseColWidth="10" defaultRowHeight="16" x14ac:dyDescent="0.2"/>
  <cols>
    <col min="1" max="1" width="18.83203125" customWidth="1"/>
  </cols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  <c r="B3" t="s">
        <v>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s="1" t="s">
        <v>7</v>
      </c>
    </row>
    <row r="6" spans="1:3" x14ac:dyDescent="0.2">
      <c r="A6" t="s">
        <v>8</v>
      </c>
      <c r="B6" s="1" t="s">
        <v>9</v>
      </c>
    </row>
    <row r="7" spans="1:3" x14ac:dyDescent="0.2">
      <c r="A7" t="s">
        <v>10</v>
      </c>
      <c r="B7" s="1" t="s">
        <v>11</v>
      </c>
      <c r="C7" s="2" t="s">
        <v>12</v>
      </c>
    </row>
    <row r="8" spans="1:3" x14ac:dyDescent="0.2">
      <c r="A8" t="s">
        <v>13</v>
      </c>
      <c r="B8">
        <v>2.2759999999999998</v>
      </c>
      <c r="C8" s="2">
        <f t="shared" ref="C8:C39" si="0">IF(B8&gt;B$14,B8,"&lt;0.254")</f>
        <v>2.2759999999999998</v>
      </c>
    </row>
    <row r="9" spans="1:3" x14ac:dyDescent="0.2">
      <c r="A9" t="s">
        <v>14</v>
      </c>
      <c r="B9">
        <v>2.4009999999999998</v>
      </c>
      <c r="C9" s="2">
        <f t="shared" si="0"/>
        <v>2.4009999999999998</v>
      </c>
    </row>
    <row r="10" spans="1:3" x14ac:dyDescent="0.2">
      <c r="A10" t="s">
        <v>15</v>
      </c>
      <c r="B10">
        <v>2.379</v>
      </c>
      <c r="C10" s="2">
        <f t="shared" si="0"/>
        <v>2.379</v>
      </c>
    </row>
    <row r="11" spans="1:3" x14ac:dyDescent="0.2">
      <c r="A11" t="s">
        <v>16</v>
      </c>
      <c r="B11">
        <v>1.798</v>
      </c>
      <c r="C11" s="2">
        <f t="shared" si="0"/>
        <v>1.798</v>
      </c>
    </row>
    <row r="12" spans="1:3" x14ac:dyDescent="0.2">
      <c r="A12" t="s">
        <v>17</v>
      </c>
      <c r="B12">
        <v>1.2050000000000001</v>
      </c>
      <c r="C12" s="2">
        <f t="shared" si="0"/>
        <v>1.2050000000000001</v>
      </c>
    </row>
    <row r="13" spans="1:3" x14ac:dyDescent="0.2">
      <c r="A13" t="s">
        <v>18</v>
      </c>
      <c r="B13">
        <v>0.61699999999999999</v>
      </c>
      <c r="C13" s="2">
        <f t="shared" si="0"/>
        <v>0.61699999999999999</v>
      </c>
    </row>
    <row r="14" spans="1:3" x14ac:dyDescent="0.2">
      <c r="A14" t="s">
        <v>19</v>
      </c>
      <c r="B14">
        <v>0.254</v>
      </c>
      <c r="C14" s="2" t="str">
        <f t="shared" si="0"/>
        <v>&lt;0.254</v>
      </c>
    </row>
    <row r="15" spans="1:3" x14ac:dyDescent="0.2">
      <c r="A15" t="s">
        <v>20</v>
      </c>
      <c r="B15">
        <v>0.23400000000000001</v>
      </c>
      <c r="C15" s="2" t="str">
        <f t="shared" si="0"/>
        <v>&lt;0.254</v>
      </c>
    </row>
    <row r="16" spans="1:3" x14ac:dyDescent="0.2">
      <c r="A16" t="s">
        <v>21</v>
      </c>
      <c r="B16">
        <v>0</v>
      </c>
      <c r="C16" s="2" t="str">
        <f t="shared" si="0"/>
        <v>&lt;0.254</v>
      </c>
    </row>
    <row r="17" spans="1:3" x14ac:dyDescent="0.2">
      <c r="A17" t="s">
        <v>22</v>
      </c>
      <c r="B17">
        <v>2.4950000000000001</v>
      </c>
      <c r="C17" s="2">
        <f t="shared" si="0"/>
        <v>2.4950000000000001</v>
      </c>
    </row>
    <row r="18" spans="1:3" x14ac:dyDescent="0.2">
      <c r="A18" t="s">
        <v>23</v>
      </c>
      <c r="B18">
        <v>0.246</v>
      </c>
      <c r="C18" s="2" t="str">
        <f t="shared" si="0"/>
        <v>&lt;0.254</v>
      </c>
    </row>
    <row r="19" spans="1:3" x14ac:dyDescent="0.2">
      <c r="A19" t="s">
        <v>23</v>
      </c>
      <c r="B19">
        <v>0.247</v>
      </c>
      <c r="C19" s="2" t="str">
        <f t="shared" si="0"/>
        <v>&lt;0.254</v>
      </c>
    </row>
    <row r="20" spans="1:3" x14ac:dyDescent="0.2">
      <c r="A20" t="s">
        <v>24</v>
      </c>
      <c r="B20">
        <v>0.22</v>
      </c>
      <c r="C20" s="2" t="str">
        <f t="shared" si="0"/>
        <v>&lt;0.254</v>
      </c>
    </row>
    <row r="21" spans="1:3" x14ac:dyDescent="0.2">
      <c r="A21" t="s">
        <v>25</v>
      </c>
      <c r="B21">
        <v>0.24399999999999999</v>
      </c>
      <c r="C21" s="2" t="str">
        <f t="shared" si="0"/>
        <v>&lt;0.254</v>
      </c>
    </row>
    <row r="22" spans="1:3" x14ac:dyDescent="0.2">
      <c r="A22" t="s">
        <v>26</v>
      </c>
      <c r="B22">
        <v>0.216</v>
      </c>
      <c r="C22" s="2" t="str">
        <f t="shared" si="0"/>
        <v>&lt;0.254</v>
      </c>
    </row>
    <row r="23" spans="1:3" x14ac:dyDescent="0.2">
      <c r="A23" t="s">
        <v>27</v>
      </c>
      <c r="B23">
        <v>0.27500000000000002</v>
      </c>
      <c r="C23" s="2">
        <f t="shared" si="0"/>
        <v>0.27500000000000002</v>
      </c>
    </row>
    <row r="24" spans="1:3" x14ac:dyDescent="0.2">
      <c r="A24" t="s">
        <v>28</v>
      </c>
      <c r="B24">
        <v>0.33900000000000002</v>
      </c>
      <c r="C24" s="2">
        <f t="shared" si="0"/>
        <v>0.33900000000000002</v>
      </c>
    </row>
    <row r="25" spans="1:3" x14ac:dyDescent="0.2">
      <c r="A25" t="s">
        <v>29</v>
      </c>
      <c r="B25">
        <v>0.47399999999999998</v>
      </c>
      <c r="C25" s="2">
        <f t="shared" si="0"/>
        <v>0.47399999999999998</v>
      </c>
    </row>
    <row r="26" spans="1:3" x14ac:dyDescent="0.2">
      <c r="A26" t="s">
        <v>30</v>
      </c>
      <c r="B26">
        <v>0.45400000000000001</v>
      </c>
      <c r="C26" s="2">
        <f t="shared" si="0"/>
        <v>0.45400000000000001</v>
      </c>
    </row>
    <row r="27" spans="1:3" x14ac:dyDescent="0.2">
      <c r="A27" t="s">
        <v>31</v>
      </c>
      <c r="B27">
        <v>0.13600000000000001</v>
      </c>
      <c r="C27" s="2" t="str">
        <f t="shared" si="0"/>
        <v>&lt;0.254</v>
      </c>
    </row>
    <row r="28" spans="1:3" x14ac:dyDescent="0.2">
      <c r="A28" t="s">
        <v>32</v>
      </c>
      <c r="B28">
        <v>0.53100000000000003</v>
      </c>
      <c r="C28" s="2">
        <f t="shared" si="0"/>
        <v>0.53100000000000003</v>
      </c>
    </row>
    <row r="29" spans="1:3" x14ac:dyDescent="0.2">
      <c r="A29" t="s">
        <v>33</v>
      </c>
      <c r="B29">
        <v>0.46899999999999997</v>
      </c>
      <c r="C29" s="2">
        <f t="shared" si="0"/>
        <v>0.46899999999999997</v>
      </c>
    </row>
    <row r="30" spans="1:3" x14ac:dyDescent="0.2">
      <c r="A30" t="s">
        <v>34</v>
      </c>
      <c r="B30">
        <v>0.38900000000000001</v>
      </c>
      <c r="C30" s="2">
        <f t="shared" si="0"/>
        <v>0.38900000000000001</v>
      </c>
    </row>
    <row r="31" spans="1:3" x14ac:dyDescent="0.2">
      <c r="A31" t="s">
        <v>35</v>
      </c>
      <c r="B31">
        <v>0.33</v>
      </c>
      <c r="C31" s="2">
        <f t="shared" si="0"/>
        <v>0.33</v>
      </c>
    </row>
    <row r="32" spans="1:3" x14ac:dyDescent="0.2">
      <c r="A32" t="s">
        <v>36</v>
      </c>
      <c r="B32">
        <v>0.45300000000000001</v>
      </c>
      <c r="C32" s="2">
        <f t="shared" si="0"/>
        <v>0.45300000000000001</v>
      </c>
    </row>
    <row r="33" spans="1:3" x14ac:dyDescent="0.2">
      <c r="A33" t="s">
        <v>37</v>
      </c>
      <c r="B33">
        <v>0.30099999999999999</v>
      </c>
      <c r="C33" s="2">
        <f t="shared" si="0"/>
        <v>0.30099999999999999</v>
      </c>
    </row>
    <row r="34" spans="1:3" x14ac:dyDescent="0.2">
      <c r="A34" t="s">
        <v>26</v>
      </c>
      <c r="B34">
        <v>0.24199999999999999</v>
      </c>
      <c r="C34" s="2" t="str">
        <f t="shared" si="0"/>
        <v>&lt;0.254</v>
      </c>
    </row>
    <row r="35" spans="1:3" x14ac:dyDescent="0.2">
      <c r="A35" t="s">
        <v>21</v>
      </c>
      <c r="B35">
        <v>0</v>
      </c>
      <c r="C35" s="2" t="str">
        <f t="shared" si="0"/>
        <v>&lt;0.254</v>
      </c>
    </row>
    <row r="36" spans="1:3" x14ac:dyDescent="0.2">
      <c r="A36" t="s">
        <v>14</v>
      </c>
      <c r="B36">
        <v>2.4009999999999998</v>
      </c>
      <c r="C36" s="2">
        <f t="shared" si="0"/>
        <v>2.4009999999999998</v>
      </c>
    </row>
    <row r="37" spans="1:3" x14ac:dyDescent="0.2">
      <c r="A37" t="s">
        <v>38</v>
      </c>
      <c r="B37">
        <v>0.22700000000000001</v>
      </c>
      <c r="C37" s="2" t="str">
        <f t="shared" si="0"/>
        <v>&lt;0.254</v>
      </c>
    </row>
    <row r="38" spans="1:3" x14ac:dyDescent="0.2">
      <c r="A38" t="s">
        <v>39</v>
      </c>
      <c r="B38">
        <v>0.247</v>
      </c>
      <c r="C38" s="2" t="str">
        <f t="shared" si="0"/>
        <v>&lt;0.254</v>
      </c>
    </row>
    <row r="39" spans="1:3" x14ac:dyDescent="0.2">
      <c r="A39" t="s">
        <v>40</v>
      </c>
      <c r="B39">
        <v>0.34200000000000003</v>
      </c>
      <c r="C39" s="2">
        <f t="shared" si="0"/>
        <v>0.34200000000000003</v>
      </c>
    </row>
    <row r="40" spans="1:3" x14ac:dyDescent="0.2">
      <c r="A40" t="s">
        <v>41</v>
      </c>
      <c r="B40">
        <v>0.32200000000000001</v>
      </c>
      <c r="C40" s="2">
        <f t="shared" ref="C40:C71" si="1">IF(B40&gt;B$14,B40,"&lt;0.254")</f>
        <v>0.32200000000000001</v>
      </c>
    </row>
    <row r="41" spans="1:3" x14ac:dyDescent="0.2">
      <c r="A41" t="s">
        <v>42</v>
      </c>
      <c r="B41">
        <v>0.44500000000000001</v>
      </c>
      <c r="C41" s="2">
        <f t="shared" si="1"/>
        <v>0.44500000000000001</v>
      </c>
    </row>
    <row r="42" spans="1:3" x14ac:dyDescent="0.2">
      <c r="A42" t="s">
        <v>43</v>
      </c>
      <c r="B42">
        <v>0.4</v>
      </c>
      <c r="C42" s="2">
        <f t="shared" si="1"/>
        <v>0.4</v>
      </c>
    </row>
    <row r="43" spans="1:3" x14ac:dyDescent="0.2">
      <c r="A43" t="s">
        <v>44</v>
      </c>
      <c r="B43">
        <v>0.45</v>
      </c>
      <c r="C43" s="2">
        <f t="shared" si="1"/>
        <v>0.45</v>
      </c>
    </row>
    <row r="44" spans="1:3" x14ac:dyDescent="0.2">
      <c r="A44" t="s">
        <v>45</v>
      </c>
      <c r="B44">
        <v>0.39500000000000002</v>
      </c>
      <c r="C44" s="2">
        <f t="shared" si="1"/>
        <v>0.39500000000000002</v>
      </c>
    </row>
    <row r="45" spans="1:3" x14ac:dyDescent="0.2">
      <c r="A45" t="s">
        <v>46</v>
      </c>
      <c r="B45">
        <v>0.41499999999999998</v>
      </c>
      <c r="C45" s="2">
        <f t="shared" si="1"/>
        <v>0.41499999999999998</v>
      </c>
    </row>
    <row r="46" spans="1:3" x14ac:dyDescent="0.2">
      <c r="A46" t="s">
        <v>47</v>
      </c>
      <c r="B46">
        <v>0.39600000000000002</v>
      </c>
      <c r="C46" s="2">
        <f t="shared" si="1"/>
        <v>0.39600000000000002</v>
      </c>
    </row>
    <row r="47" spans="1:3" x14ac:dyDescent="0.2">
      <c r="A47" t="s">
        <v>48</v>
      </c>
      <c r="B47">
        <v>0.23699999999999999</v>
      </c>
      <c r="C47" s="2" t="str">
        <f t="shared" si="1"/>
        <v>&lt;0.254</v>
      </c>
    </row>
    <row r="48" spans="1:3" x14ac:dyDescent="0.2">
      <c r="A48" t="s">
        <v>26</v>
      </c>
      <c r="B48">
        <v>0.251</v>
      </c>
      <c r="C48" s="2" t="str">
        <f t="shared" si="1"/>
        <v>&lt;0.254</v>
      </c>
    </row>
    <row r="49" spans="1:3" x14ac:dyDescent="0.2">
      <c r="A49" t="s">
        <v>21</v>
      </c>
      <c r="B49">
        <v>0</v>
      </c>
      <c r="C49" s="2" t="str">
        <f t="shared" si="1"/>
        <v>&lt;0.254</v>
      </c>
    </row>
    <row r="50" spans="1:3" x14ac:dyDescent="0.2">
      <c r="A50" t="s">
        <v>14</v>
      </c>
      <c r="B50">
        <v>2.4009999999999998</v>
      </c>
      <c r="C50" s="2">
        <f t="shared" si="1"/>
        <v>2.4009999999999998</v>
      </c>
    </row>
    <row r="51" spans="1:3" x14ac:dyDescent="0.2">
      <c r="A51" t="s">
        <v>49</v>
      </c>
      <c r="B51">
        <v>0.38300000000000001</v>
      </c>
      <c r="C51" s="2">
        <f t="shared" si="1"/>
        <v>0.38300000000000001</v>
      </c>
    </row>
    <row r="52" spans="1:3" x14ac:dyDescent="0.2">
      <c r="A52" t="s">
        <v>50</v>
      </c>
      <c r="B52">
        <v>0.28000000000000003</v>
      </c>
      <c r="C52" s="2">
        <f t="shared" si="1"/>
        <v>0.28000000000000003</v>
      </c>
    </row>
    <row r="53" spans="1:3" x14ac:dyDescent="0.2">
      <c r="A53" t="s">
        <v>51</v>
      </c>
      <c r="B53">
        <v>0.308</v>
      </c>
      <c r="C53" s="2">
        <f t="shared" si="1"/>
        <v>0.308</v>
      </c>
    </row>
    <row r="54" spans="1:3" x14ac:dyDescent="0.2">
      <c r="A54" t="s">
        <v>52</v>
      </c>
      <c r="B54">
        <v>7.5999999999999998E-2</v>
      </c>
      <c r="C54" s="2" t="str">
        <f t="shared" si="1"/>
        <v>&lt;0.254</v>
      </c>
    </row>
    <row r="55" spans="1:3" x14ac:dyDescent="0.2">
      <c r="A55" t="s">
        <v>53</v>
      </c>
      <c r="B55">
        <v>0.29499999999999998</v>
      </c>
      <c r="C55" s="2">
        <f t="shared" si="1"/>
        <v>0.29499999999999998</v>
      </c>
    </row>
    <row r="56" spans="1:3" x14ac:dyDescent="0.2">
      <c r="A56" t="s">
        <v>54</v>
      </c>
      <c r="B56">
        <v>0.30399999999999999</v>
      </c>
      <c r="C56" s="2">
        <f t="shared" si="1"/>
        <v>0.30399999999999999</v>
      </c>
    </row>
    <row r="57" spans="1:3" x14ac:dyDescent="0.2">
      <c r="A57" t="s">
        <v>55</v>
      </c>
      <c r="B57">
        <v>0.28100000000000003</v>
      </c>
      <c r="C57" s="2">
        <f t="shared" si="1"/>
        <v>0.28100000000000003</v>
      </c>
    </row>
    <row r="58" spans="1:3" x14ac:dyDescent="0.2">
      <c r="A58" t="s">
        <v>56</v>
      </c>
      <c r="B58">
        <v>0.253</v>
      </c>
      <c r="C58" s="2" t="str">
        <f t="shared" si="1"/>
        <v>&lt;0.254</v>
      </c>
    </row>
    <row r="59" spans="1:3" x14ac:dyDescent="0.2">
      <c r="A59" t="s">
        <v>57</v>
      </c>
      <c r="B59">
        <v>0.24099999999999999</v>
      </c>
      <c r="C59" s="2" t="str">
        <f t="shared" si="1"/>
        <v>&lt;0.254</v>
      </c>
    </row>
    <row r="60" spans="1:3" x14ac:dyDescent="0.2">
      <c r="A60" t="s">
        <v>58</v>
      </c>
      <c r="B60">
        <v>0.31900000000000001</v>
      </c>
      <c r="C60" s="2">
        <f t="shared" si="1"/>
        <v>0.31900000000000001</v>
      </c>
    </row>
    <row r="61" spans="1:3" x14ac:dyDescent="0.2">
      <c r="A61" t="s">
        <v>59</v>
      </c>
      <c r="B61">
        <v>0.36799999999999999</v>
      </c>
      <c r="C61" s="2">
        <f t="shared" si="1"/>
        <v>0.36799999999999999</v>
      </c>
    </row>
    <row r="62" spans="1:3" x14ac:dyDescent="0.2">
      <c r="A62" t="s">
        <v>26</v>
      </c>
      <c r="B62">
        <v>0.253</v>
      </c>
      <c r="C62" s="2" t="str">
        <f t="shared" si="1"/>
        <v>&lt;0.254</v>
      </c>
    </row>
    <row r="63" spans="1:3" x14ac:dyDescent="0.2">
      <c r="A63" t="s">
        <v>21</v>
      </c>
      <c r="B63">
        <v>0</v>
      </c>
      <c r="C63" s="2" t="str">
        <f t="shared" si="1"/>
        <v>&lt;0.254</v>
      </c>
    </row>
    <row r="64" spans="1:3" x14ac:dyDescent="0.2">
      <c r="A64" t="s">
        <v>14</v>
      </c>
      <c r="B64">
        <v>2.4009999999999998</v>
      </c>
      <c r="C64" s="2">
        <f t="shared" si="1"/>
        <v>2.4009999999999998</v>
      </c>
    </row>
    <row r="65" spans="1:3" x14ac:dyDescent="0.2">
      <c r="A65" t="s">
        <v>60</v>
      </c>
      <c r="B65">
        <v>0.26400000000000001</v>
      </c>
      <c r="C65" s="2">
        <f t="shared" si="1"/>
        <v>0.26400000000000001</v>
      </c>
    </row>
    <row r="66" spans="1:3" x14ac:dyDescent="0.2">
      <c r="A66" t="s">
        <v>61</v>
      </c>
      <c r="B66">
        <v>0.27500000000000002</v>
      </c>
      <c r="C66" s="2">
        <f t="shared" si="1"/>
        <v>0.27500000000000002</v>
      </c>
    </row>
    <row r="67" spans="1:3" x14ac:dyDescent="0.2">
      <c r="A67" t="s">
        <v>62</v>
      </c>
      <c r="B67">
        <v>0.28000000000000003</v>
      </c>
      <c r="C67" s="2">
        <f t="shared" si="1"/>
        <v>0.28000000000000003</v>
      </c>
    </row>
    <row r="68" spans="1:3" x14ac:dyDescent="0.2">
      <c r="A68" t="s">
        <v>63</v>
      </c>
      <c r="B68">
        <v>0.27400000000000002</v>
      </c>
      <c r="C68" s="2">
        <f t="shared" si="1"/>
        <v>0.27400000000000002</v>
      </c>
    </row>
    <row r="69" spans="1:3" x14ac:dyDescent="0.2">
      <c r="A69" t="s">
        <v>64</v>
      </c>
      <c r="B69">
        <v>0.24099999999999999</v>
      </c>
      <c r="C69" s="2" t="str">
        <f t="shared" si="1"/>
        <v>&lt;0.254</v>
      </c>
    </row>
    <row r="70" spans="1:3" x14ac:dyDescent="0.2">
      <c r="A70" t="s">
        <v>65</v>
      </c>
      <c r="B70">
        <v>0.316</v>
      </c>
      <c r="C70" s="2">
        <f t="shared" si="1"/>
        <v>0.316</v>
      </c>
    </row>
    <row r="71" spans="1:3" x14ac:dyDescent="0.2">
      <c r="A71" t="s">
        <v>66</v>
      </c>
      <c r="B71">
        <v>0.309</v>
      </c>
      <c r="C71" s="2">
        <f t="shared" si="1"/>
        <v>0.309</v>
      </c>
    </row>
    <row r="72" spans="1:3" x14ac:dyDescent="0.2">
      <c r="A72" t="s">
        <v>67</v>
      </c>
      <c r="B72">
        <v>0.28299999999999997</v>
      </c>
      <c r="C72" s="2">
        <f t="shared" ref="C72:C90" si="2">IF(B72&gt;B$14,B72,"&lt;0.254")</f>
        <v>0.28299999999999997</v>
      </c>
    </row>
    <row r="73" spans="1:3" x14ac:dyDescent="0.2">
      <c r="A73" t="s">
        <v>68</v>
      </c>
      <c r="B73">
        <v>0.27300000000000002</v>
      </c>
      <c r="C73" s="2">
        <f t="shared" si="2"/>
        <v>0.27300000000000002</v>
      </c>
    </row>
    <row r="74" spans="1:3" x14ac:dyDescent="0.2">
      <c r="A74" t="s">
        <v>69</v>
      </c>
      <c r="B74">
        <v>0.309</v>
      </c>
      <c r="C74" s="2">
        <f t="shared" si="2"/>
        <v>0.309</v>
      </c>
    </row>
    <row r="75" spans="1:3" x14ac:dyDescent="0.2">
      <c r="A75" t="s">
        <v>70</v>
      </c>
      <c r="B75">
        <v>5.3170000000000002</v>
      </c>
      <c r="C75" s="2">
        <f t="shared" si="2"/>
        <v>5.3170000000000002</v>
      </c>
    </row>
    <row r="76" spans="1:3" x14ac:dyDescent="0.2">
      <c r="A76" t="s">
        <v>26</v>
      </c>
      <c r="B76">
        <v>0.252</v>
      </c>
      <c r="C76" s="2" t="str">
        <f t="shared" si="2"/>
        <v>&lt;0.254</v>
      </c>
    </row>
    <row r="77" spans="1:3" x14ac:dyDescent="0.2">
      <c r="A77" t="s">
        <v>21</v>
      </c>
      <c r="B77">
        <v>0</v>
      </c>
      <c r="C77" s="2" t="str">
        <f t="shared" si="2"/>
        <v>&lt;0.254</v>
      </c>
    </row>
    <row r="78" spans="1:3" x14ac:dyDescent="0.2">
      <c r="A78" t="s">
        <v>14</v>
      </c>
      <c r="B78">
        <v>2.4009999999999998</v>
      </c>
      <c r="C78" s="2">
        <f t="shared" si="2"/>
        <v>2.4009999999999998</v>
      </c>
    </row>
    <row r="79" spans="1:3" x14ac:dyDescent="0.2">
      <c r="A79" t="s">
        <v>71</v>
      </c>
      <c r="B79">
        <v>0.30399999999999999</v>
      </c>
      <c r="C79" s="2">
        <f t="shared" si="2"/>
        <v>0.30399999999999999</v>
      </c>
    </row>
    <row r="80" spans="1:3" x14ac:dyDescent="0.2">
      <c r="A80" t="s">
        <v>72</v>
      </c>
      <c r="B80">
        <v>0.34899999999999998</v>
      </c>
      <c r="C80" s="2">
        <f t="shared" si="2"/>
        <v>0.34899999999999998</v>
      </c>
    </row>
    <row r="81" spans="1:3" x14ac:dyDescent="0.2">
      <c r="A81" t="s">
        <v>73</v>
      </c>
      <c r="B81">
        <v>0.25700000000000001</v>
      </c>
      <c r="C81" s="2">
        <f t="shared" si="2"/>
        <v>0.25700000000000001</v>
      </c>
    </row>
    <row r="82" spans="1:3" x14ac:dyDescent="0.2">
      <c r="A82" t="s">
        <v>74</v>
      </c>
      <c r="B82">
        <v>0.247</v>
      </c>
      <c r="C82" s="2" t="str">
        <f t="shared" si="2"/>
        <v>&lt;0.254</v>
      </c>
    </row>
    <row r="83" spans="1:3" x14ac:dyDescent="0.2">
      <c r="A83" t="s">
        <v>75</v>
      </c>
      <c r="B83">
        <v>0.33</v>
      </c>
      <c r="C83" s="2">
        <f t="shared" si="2"/>
        <v>0.33</v>
      </c>
    </row>
    <row r="84" spans="1:3" x14ac:dyDescent="0.2">
      <c r="A84" t="s">
        <v>76</v>
      </c>
      <c r="B84">
        <v>0.254</v>
      </c>
      <c r="C84" s="2" t="str">
        <f t="shared" si="2"/>
        <v>&lt;0.254</v>
      </c>
    </row>
    <row r="85" spans="1:3" x14ac:dyDescent="0.2">
      <c r="A85" t="s">
        <v>77</v>
      </c>
      <c r="B85">
        <v>0.26500000000000001</v>
      </c>
      <c r="C85" s="2">
        <f t="shared" si="2"/>
        <v>0.26500000000000001</v>
      </c>
    </row>
    <row r="86" spans="1:3" x14ac:dyDescent="0.2">
      <c r="A86" t="s">
        <v>78</v>
      </c>
      <c r="B86">
        <v>0.27600000000000002</v>
      </c>
      <c r="C86" s="2">
        <f t="shared" si="2"/>
        <v>0.27600000000000002</v>
      </c>
    </row>
    <row r="87" spans="1:3" x14ac:dyDescent="0.2">
      <c r="A87" t="s">
        <v>26</v>
      </c>
      <c r="B87">
        <v>0.214</v>
      </c>
      <c r="C87" s="2" t="str">
        <f t="shared" si="2"/>
        <v>&lt;0.254</v>
      </c>
    </row>
    <row r="88" spans="1:3" x14ac:dyDescent="0.2">
      <c r="A88" t="s">
        <v>21</v>
      </c>
      <c r="B88">
        <v>0</v>
      </c>
      <c r="C88" s="2" t="str">
        <f t="shared" si="2"/>
        <v>&lt;0.254</v>
      </c>
    </row>
    <row r="89" spans="1:3" x14ac:dyDescent="0.2">
      <c r="A89" t="s">
        <v>14</v>
      </c>
      <c r="B89">
        <v>2.4009999999999998</v>
      </c>
      <c r="C89" s="2">
        <f t="shared" si="2"/>
        <v>2.4009999999999998</v>
      </c>
    </row>
    <row r="90" spans="1:3" x14ac:dyDescent="0.2">
      <c r="A90" t="s">
        <v>79</v>
      </c>
      <c r="B90">
        <v>0</v>
      </c>
      <c r="C90" s="2" t="str">
        <f t="shared" si="2"/>
        <v>&lt;0.254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230721_Channel3R1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2023-07-26T13:00:27Z</dcterms:created>
  <dcterms:modified xsi:type="dcterms:W3CDTF">2023-07-26T13:03:07Z</dcterms:modified>
</cp:coreProperties>
</file>