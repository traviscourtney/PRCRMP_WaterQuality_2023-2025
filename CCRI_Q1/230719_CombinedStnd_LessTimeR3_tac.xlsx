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c/Desktop/Nutrients Recalculated Results + Pending Tasks/"/>
    </mc:Choice>
  </mc:AlternateContent>
  <xr:revisionPtr revIDLastSave="0" documentId="13_ncr:1_{43D4DF49-CEA1-B245-982E-859C669B72C6}" xr6:coauthVersionLast="47" xr6:coauthVersionMax="47" xr10:uidLastSave="{00000000-0000-0000-0000-000000000000}"/>
  <bookViews>
    <workbookView xWindow="2080" yWindow="1600" windowWidth="27640" windowHeight="16940" xr2:uid="{00000000-000D-0000-FFFF-FFFF00000000}"/>
  </bookViews>
  <sheets>
    <sheet name="230719_CombinedStnd_LessTimeR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8" i="1"/>
</calcChain>
</file>

<file path=xl/sharedStrings.xml><?xml version="1.0" encoding="utf-8"?>
<sst xmlns="http://schemas.openxmlformats.org/spreadsheetml/2006/main" count="109" uniqueCount="88">
  <si>
    <t xml:space="preserve">RUN </t>
  </si>
  <si>
    <t>230719_CombinedStnd_LessTimeR3.RUN</t>
  </si>
  <si>
    <t>DATE</t>
  </si>
  <si>
    <t>7/19/2023</t>
  </si>
  <si>
    <t>TIME</t>
  </si>
  <si>
    <t>4:39:07 PM</t>
  </si>
  <si>
    <t>METH</t>
  </si>
  <si>
    <t>NOx</t>
  </si>
  <si>
    <t>PO4</t>
  </si>
  <si>
    <t>UNIT</t>
  </si>
  <si>
    <t>mg/L</t>
  </si>
  <si>
    <t>Sample ID</t>
  </si>
  <si>
    <t>Results 3</t>
  </si>
  <si>
    <t>Primer</t>
  </si>
  <si>
    <t>0.191</t>
  </si>
  <si>
    <t>0.203</t>
  </si>
  <si>
    <t>Drift</t>
  </si>
  <si>
    <t>0.200</t>
  </si>
  <si>
    <t>0.100</t>
  </si>
  <si>
    <t>0.050</t>
  </si>
  <si>
    <t>0.025</t>
  </si>
  <si>
    <t>0.010</t>
  </si>
  <si>
    <t>0.005</t>
  </si>
  <si>
    <t>Blank (Ac. Seawater)</t>
  </si>
  <si>
    <t>Baseline</t>
  </si>
  <si>
    <t>High</t>
  </si>
  <si>
    <t>Low</t>
  </si>
  <si>
    <t>Blank</t>
  </si>
  <si>
    <t>RecoveryBlank spiked</t>
  </si>
  <si>
    <t>CRM NO3</t>
  </si>
  <si>
    <t>CRM PO4</t>
  </si>
  <si>
    <t>37</t>
  </si>
  <si>
    <t>NO3_5</t>
  </si>
  <si>
    <t>NO3_6</t>
  </si>
  <si>
    <t>PO4_3</t>
  </si>
  <si>
    <t>PO4_4</t>
  </si>
  <si>
    <t>PO4_5</t>
  </si>
  <si>
    <t>43</t>
  </si>
  <si>
    <t>23</t>
  </si>
  <si>
    <t>32</t>
  </si>
  <si>
    <t>29</t>
  </si>
  <si>
    <t>29 spiked</t>
  </si>
  <si>
    <t>21</t>
  </si>
  <si>
    <t>31</t>
  </si>
  <si>
    <t>27</t>
  </si>
  <si>
    <t>35</t>
  </si>
  <si>
    <t>36</t>
  </si>
  <si>
    <t>33</t>
  </si>
  <si>
    <t>34</t>
  </si>
  <si>
    <t>40</t>
  </si>
  <si>
    <t>52</t>
  </si>
  <si>
    <t>NO3_3</t>
  </si>
  <si>
    <t>NO3_3 spiked</t>
  </si>
  <si>
    <t>38</t>
  </si>
  <si>
    <t>39</t>
  </si>
  <si>
    <t>44</t>
  </si>
  <si>
    <t>45</t>
  </si>
  <si>
    <t>41</t>
  </si>
  <si>
    <t>47</t>
  </si>
  <si>
    <t>25</t>
  </si>
  <si>
    <t>49</t>
  </si>
  <si>
    <t>46</t>
  </si>
  <si>
    <t>42</t>
  </si>
  <si>
    <t>42 spiked</t>
  </si>
  <si>
    <t>50</t>
  </si>
  <si>
    <t>51</t>
  </si>
  <si>
    <t>55</t>
  </si>
  <si>
    <t>68</t>
  </si>
  <si>
    <t>59</t>
  </si>
  <si>
    <t>65</t>
  </si>
  <si>
    <t>67</t>
  </si>
  <si>
    <t>58</t>
  </si>
  <si>
    <t>54</t>
  </si>
  <si>
    <t>64</t>
  </si>
  <si>
    <t>64 spiked</t>
  </si>
  <si>
    <t>CRM 904</t>
  </si>
  <si>
    <t>61</t>
  </si>
  <si>
    <t>62</t>
  </si>
  <si>
    <t>56</t>
  </si>
  <si>
    <t>66</t>
  </si>
  <si>
    <t>48</t>
  </si>
  <si>
    <t>57</t>
  </si>
  <si>
    <t>53</t>
  </si>
  <si>
    <t>53 spiked</t>
  </si>
  <si>
    <t>End</t>
  </si>
  <si>
    <t>NOx (mg/L)</t>
  </si>
  <si>
    <t>PO4 (mg/L)</t>
  </si>
  <si>
    <t>Results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</si>
</sst>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7"/>
  <sheetViews>
    <sheetView tabSelected="1" workbookViewId="0">
      <selection activeCell="B8" sqref="B8"/>
    </sheetView>
  </sheetViews>
  <sheetFormatPr baseColWidth="10" defaultRowHeight="16" x14ac:dyDescent="0.2"/>
  <sheetData>
    <row r="2" spans="1:5" x14ac:dyDescent="0.2">
      <c r="A2" t="s">
        <v>0</v>
      </c>
      <c r="B2" t="s">
        <v>1</v>
      </c>
    </row>
    <row r="3" spans="1:5" x14ac:dyDescent="0.2">
      <c r="A3" t="s">
        <v>2</v>
      </c>
      <c r="B3" t="s">
        <v>3</v>
      </c>
    </row>
    <row r="4" spans="1:5" x14ac:dyDescent="0.2">
      <c r="A4" t="s">
        <v>4</v>
      </c>
      <c r="B4" t="s">
        <v>5</v>
      </c>
    </row>
    <row r="5" spans="1:5" x14ac:dyDescent="0.2">
      <c r="A5" t="s">
        <v>6</v>
      </c>
      <c r="B5" s="1" t="s">
        <v>7</v>
      </c>
      <c r="C5" s="1"/>
      <c r="D5" s="1" t="s">
        <v>8</v>
      </c>
    </row>
    <row r="6" spans="1:5" x14ac:dyDescent="0.2">
      <c r="A6" t="s">
        <v>9</v>
      </c>
      <c r="B6" s="1" t="s">
        <v>10</v>
      </c>
      <c r="C6" s="1"/>
      <c r="D6" s="1" t="s">
        <v>10</v>
      </c>
    </row>
    <row r="7" spans="1:5" x14ac:dyDescent="0.2">
      <c r="A7" t="s">
        <v>11</v>
      </c>
      <c r="B7" s="1" t="s">
        <v>87</v>
      </c>
      <c r="C7" s="2" t="s">
        <v>85</v>
      </c>
      <c r="D7" s="1" t="s">
        <v>12</v>
      </c>
      <c r="E7" s="2" t="s">
        <v>86</v>
      </c>
    </row>
    <row r="8" spans="1:5" x14ac:dyDescent="0.2">
      <c r="A8" t="s">
        <v>13</v>
      </c>
      <c r="B8" s="1" t="s">
        <v>14</v>
      </c>
      <c r="C8" s="2" t="str">
        <f>IF(B8&lt;B$15,"&lt;0.005",B8)</f>
        <v>0.191</v>
      </c>
      <c r="D8" s="1" t="s">
        <v>15</v>
      </c>
      <c r="E8" s="3" t="str">
        <f>IF(D8&lt;D$15,"&lt;0.01",D8)</f>
        <v>0.203</v>
      </c>
    </row>
    <row r="9" spans="1:5" x14ac:dyDescent="0.2">
      <c r="A9" t="s">
        <v>16</v>
      </c>
      <c r="B9">
        <v>0.192</v>
      </c>
      <c r="C9" s="2">
        <f t="shared" ref="C9:C72" si="0">IF(B9&lt;B$15,"&lt;0.005",B9)</f>
        <v>0.192</v>
      </c>
      <c r="D9">
        <v>0.20300000000000001</v>
      </c>
      <c r="E9" s="3">
        <f t="shared" ref="E9:E72" si="1">IF(D9&lt;D$15,"&lt;0.01",D9)</f>
        <v>0.20300000000000001</v>
      </c>
    </row>
    <row r="10" spans="1:5" x14ac:dyDescent="0.2">
      <c r="A10" t="s">
        <v>17</v>
      </c>
      <c r="B10">
        <v>0.19900000000000001</v>
      </c>
      <c r="C10" s="2">
        <f t="shared" si="0"/>
        <v>0.19900000000000001</v>
      </c>
      <c r="D10">
        <v>0.20399999999999999</v>
      </c>
      <c r="E10" s="3">
        <f t="shared" si="1"/>
        <v>0.20399999999999999</v>
      </c>
    </row>
    <row r="11" spans="1:5" x14ac:dyDescent="0.2">
      <c r="A11" t="s">
        <v>18</v>
      </c>
      <c r="B11">
        <v>0.10299999999999999</v>
      </c>
      <c r="C11" s="2">
        <f t="shared" si="0"/>
        <v>0.10299999999999999</v>
      </c>
      <c r="D11">
        <v>0.106</v>
      </c>
      <c r="E11" s="3">
        <f t="shared" si="1"/>
        <v>0.106</v>
      </c>
    </row>
    <row r="12" spans="1:5" x14ac:dyDescent="0.2">
      <c r="A12" t="s">
        <v>19</v>
      </c>
      <c r="B12">
        <v>5.1999999999999998E-2</v>
      </c>
      <c r="C12" s="2">
        <f t="shared" si="0"/>
        <v>5.1999999999999998E-2</v>
      </c>
      <c r="D12">
        <v>5.8999999999999997E-2</v>
      </c>
      <c r="E12" s="3">
        <f t="shared" si="1"/>
        <v>5.8999999999999997E-2</v>
      </c>
    </row>
    <row r="13" spans="1:5" x14ac:dyDescent="0.2">
      <c r="A13" t="s">
        <v>20</v>
      </c>
      <c r="B13">
        <v>2.7E-2</v>
      </c>
      <c r="C13" s="2">
        <f t="shared" si="0"/>
        <v>2.7E-2</v>
      </c>
      <c r="D13">
        <v>0.03</v>
      </c>
      <c r="E13" s="3">
        <f t="shared" si="1"/>
        <v>0.03</v>
      </c>
    </row>
    <row r="14" spans="1:5" x14ac:dyDescent="0.2">
      <c r="A14" t="s">
        <v>21</v>
      </c>
      <c r="B14">
        <v>1.0999999999999999E-2</v>
      </c>
      <c r="C14" s="2">
        <f t="shared" si="0"/>
        <v>1.0999999999999999E-2</v>
      </c>
      <c r="D14">
        <v>1.4E-2</v>
      </c>
      <c r="E14" s="3">
        <f t="shared" si="1"/>
        <v>1.4E-2</v>
      </c>
    </row>
    <row r="15" spans="1:5" x14ac:dyDescent="0.2">
      <c r="A15" t="s">
        <v>22</v>
      </c>
      <c r="B15">
        <v>6.0000000000000001E-3</v>
      </c>
      <c r="C15" s="2">
        <f t="shared" si="0"/>
        <v>6.0000000000000001E-3</v>
      </c>
      <c r="D15">
        <v>0.01</v>
      </c>
      <c r="E15" s="3">
        <f t="shared" si="1"/>
        <v>0.01</v>
      </c>
    </row>
    <row r="16" spans="1:5" x14ac:dyDescent="0.2">
      <c r="A16" t="s">
        <v>23</v>
      </c>
      <c r="B16">
        <v>-3.0000000000000001E-3</v>
      </c>
      <c r="C16" s="2" t="str">
        <f t="shared" si="0"/>
        <v>&lt;0.005</v>
      </c>
      <c r="D16">
        <v>4.0000000000000001E-3</v>
      </c>
      <c r="E16" s="3" t="str">
        <f t="shared" si="1"/>
        <v>&lt;0.01</v>
      </c>
    </row>
    <row r="17" spans="1:5" x14ac:dyDescent="0.2">
      <c r="A17" t="s">
        <v>24</v>
      </c>
      <c r="B17">
        <v>0</v>
      </c>
      <c r="C17" s="2" t="str">
        <f t="shared" si="0"/>
        <v>&lt;0.005</v>
      </c>
      <c r="D17">
        <v>0</v>
      </c>
      <c r="E17" s="3" t="str">
        <f t="shared" si="1"/>
        <v>&lt;0.01</v>
      </c>
    </row>
    <row r="18" spans="1:5" x14ac:dyDescent="0.2">
      <c r="A18" t="s">
        <v>25</v>
      </c>
      <c r="B18">
        <v>0.27100000000000002</v>
      </c>
      <c r="C18" s="2">
        <f t="shared" si="0"/>
        <v>0.27100000000000002</v>
      </c>
      <c r="D18">
        <v>0.20399999999999999</v>
      </c>
      <c r="E18" s="3">
        <f t="shared" si="1"/>
        <v>0.20399999999999999</v>
      </c>
    </row>
    <row r="19" spans="1:5" x14ac:dyDescent="0.2">
      <c r="A19" t="s">
        <v>26</v>
      </c>
      <c r="B19">
        <v>5.0000000000000001E-3</v>
      </c>
      <c r="C19" s="2" t="str">
        <f t="shared" si="0"/>
        <v>&lt;0.005</v>
      </c>
      <c r="D19">
        <v>0.01</v>
      </c>
      <c r="E19" s="3">
        <f t="shared" si="1"/>
        <v>0.01</v>
      </c>
    </row>
    <row r="20" spans="1:5" x14ac:dyDescent="0.2">
      <c r="A20" t="s">
        <v>26</v>
      </c>
      <c r="B20">
        <v>6.0000000000000001E-3</v>
      </c>
      <c r="C20" s="2">
        <f t="shared" si="0"/>
        <v>6.0000000000000001E-3</v>
      </c>
      <c r="D20">
        <v>0.01</v>
      </c>
      <c r="E20" s="3">
        <f t="shared" si="1"/>
        <v>0.01</v>
      </c>
    </row>
    <row r="21" spans="1:5" x14ac:dyDescent="0.2">
      <c r="A21" t="s">
        <v>27</v>
      </c>
      <c r="B21">
        <v>-5.0000000000000001E-3</v>
      </c>
      <c r="C21" s="2" t="str">
        <f t="shared" si="0"/>
        <v>&lt;0.005</v>
      </c>
      <c r="D21">
        <v>4.0000000000000001E-3</v>
      </c>
      <c r="E21" s="3" t="str">
        <f t="shared" si="1"/>
        <v>&lt;0.01</v>
      </c>
    </row>
    <row r="22" spans="1:5" x14ac:dyDescent="0.2">
      <c r="A22" t="s">
        <v>28</v>
      </c>
      <c r="B22">
        <v>2E-3</v>
      </c>
      <c r="C22" s="2" t="str">
        <f t="shared" si="0"/>
        <v>&lt;0.005</v>
      </c>
      <c r="D22">
        <v>7.0000000000000001E-3</v>
      </c>
      <c r="E22" s="3" t="str">
        <f t="shared" si="1"/>
        <v>&lt;0.01</v>
      </c>
    </row>
    <row r="23" spans="1:5" x14ac:dyDescent="0.2">
      <c r="A23" t="s">
        <v>29</v>
      </c>
      <c r="B23">
        <v>1.7999999999999999E-2</v>
      </c>
      <c r="C23" s="2">
        <f t="shared" si="0"/>
        <v>1.7999999999999999E-2</v>
      </c>
      <c r="D23">
        <v>8.0000000000000002E-3</v>
      </c>
      <c r="E23" s="3" t="str">
        <f t="shared" si="1"/>
        <v>&lt;0.01</v>
      </c>
    </row>
    <row r="24" spans="1:5" x14ac:dyDescent="0.2">
      <c r="A24" t="s">
        <v>30</v>
      </c>
      <c r="B24">
        <v>-6.0000000000000001E-3</v>
      </c>
      <c r="C24" s="2" t="str">
        <f t="shared" si="0"/>
        <v>&lt;0.005</v>
      </c>
      <c r="D24">
        <v>0.01</v>
      </c>
      <c r="E24" s="3">
        <f t="shared" si="1"/>
        <v>0.01</v>
      </c>
    </row>
    <row r="25" spans="1:5" x14ac:dyDescent="0.2">
      <c r="A25" t="s">
        <v>31</v>
      </c>
      <c r="B25">
        <v>1E-3</v>
      </c>
      <c r="C25" s="2" t="str">
        <f t="shared" si="0"/>
        <v>&lt;0.005</v>
      </c>
      <c r="D25">
        <v>3.0000000000000001E-3</v>
      </c>
      <c r="E25" s="3" t="str">
        <f t="shared" si="1"/>
        <v>&lt;0.01</v>
      </c>
    </row>
    <row r="26" spans="1:5" x14ac:dyDescent="0.2">
      <c r="A26" t="s">
        <v>32</v>
      </c>
      <c r="B26">
        <v>1E-3</v>
      </c>
      <c r="C26" s="2" t="str">
        <f t="shared" si="0"/>
        <v>&lt;0.005</v>
      </c>
      <c r="D26">
        <v>1E-3</v>
      </c>
      <c r="E26" s="3" t="str">
        <f t="shared" si="1"/>
        <v>&lt;0.01</v>
      </c>
    </row>
    <row r="27" spans="1:5" x14ac:dyDescent="0.2">
      <c r="A27" t="s">
        <v>33</v>
      </c>
      <c r="B27">
        <v>6.0000000000000001E-3</v>
      </c>
      <c r="C27" s="2">
        <f t="shared" si="0"/>
        <v>6.0000000000000001E-3</v>
      </c>
      <c r="D27">
        <v>1E-3</v>
      </c>
      <c r="E27" s="3" t="str">
        <f t="shared" si="1"/>
        <v>&lt;0.01</v>
      </c>
    </row>
    <row r="28" spans="1:5" x14ac:dyDescent="0.2">
      <c r="A28" t="s">
        <v>34</v>
      </c>
      <c r="B28">
        <v>-4.0000000000000001E-3</v>
      </c>
      <c r="C28" s="2" t="str">
        <f t="shared" si="0"/>
        <v>&lt;0.005</v>
      </c>
      <c r="D28">
        <v>1E-3</v>
      </c>
      <c r="E28" s="3" t="str">
        <f t="shared" si="1"/>
        <v>&lt;0.01</v>
      </c>
    </row>
    <row r="29" spans="1:5" x14ac:dyDescent="0.2">
      <c r="A29" t="s">
        <v>35</v>
      </c>
      <c r="B29">
        <v>-4.0000000000000001E-3</v>
      </c>
      <c r="C29" s="2" t="str">
        <f t="shared" si="0"/>
        <v>&lt;0.005</v>
      </c>
      <c r="D29">
        <v>6.0000000000000001E-3</v>
      </c>
      <c r="E29" s="3" t="str">
        <f t="shared" si="1"/>
        <v>&lt;0.01</v>
      </c>
    </row>
    <row r="30" spans="1:5" x14ac:dyDescent="0.2">
      <c r="A30" t="s">
        <v>36</v>
      </c>
      <c r="B30">
        <v>0</v>
      </c>
      <c r="C30" s="2" t="str">
        <f t="shared" si="0"/>
        <v>&lt;0.005</v>
      </c>
      <c r="D30">
        <v>1E-3</v>
      </c>
      <c r="E30" s="3" t="str">
        <f t="shared" si="1"/>
        <v>&lt;0.01</v>
      </c>
    </row>
    <row r="31" spans="1:5" x14ac:dyDescent="0.2">
      <c r="A31" t="s">
        <v>37</v>
      </c>
      <c r="B31">
        <v>3.0000000000000001E-3</v>
      </c>
      <c r="C31" s="2" t="str">
        <f t="shared" si="0"/>
        <v>&lt;0.005</v>
      </c>
      <c r="D31">
        <v>3.0000000000000001E-3</v>
      </c>
      <c r="E31" s="3" t="str">
        <f t="shared" si="1"/>
        <v>&lt;0.01</v>
      </c>
    </row>
    <row r="32" spans="1:5" x14ac:dyDescent="0.2">
      <c r="A32" t="s">
        <v>38</v>
      </c>
      <c r="B32">
        <v>0</v>
      </c>
      <c r="C32" s="2" t="str">
        <f t="shared" si="0"/>
        <v>&lt;0.005</v>
      </c>
      <c r="D32">
        <v>6.0000000000000001E-3</v>
      </c>
      <c r="E32" s="3" t="str">
        <f t="shared" si="1"/>
        <v>&lt;0.01</v>
      </c>
    </row>
    <row r="33" spans="1:5" x14ac:dyDescent="0.2">
      <c r="A33" t="s">
        <v>39</v>
      </c>
      <c r="B33">
        <v>-1.0999999999999999E-2</v>
      </c>
      <c r="C33" s="2" t="str">
        <f t="shared" si="0"/>
        <v>&lt;0.005</v>
      </c>
      <c r="D33">
        <v>2E-3</v>
      </c>
      <c r="E33" s="3" t="str">
        <f t="shared" si="1"/>
        <v>&lt;0.01</v>
      </c>
    </row>
    <row r="34" spans="1:5" x14ac:dyDescent="0.2">
      <c r="A34" t="s">
        <v>40</v>
      </c>
      <c r="B34">
        <v>0</v>
      </c>
      <c r="C34" s="2" t="str">
        <f t="shared" si="0"/>
        <v>&lt;0.005</v>
      </c>
      <c r="D34">
        <v>7.0000000000000001E-3</v>
      </c>
      <c r="E34" s="3" t="str">
        <f t="shared" si="1"/>
        <v>&lt;0.01</v>
      </c>
    </row>
    <row r="35" spans="1:5" x14ac:dyDescent="0.2">
      <c r="A35" t="s">
        <v>41</v>
      </c>
      <c r="B35">
        <v>0</v>
      </c>
      <c r="C35" s="2" t="str">
        <f t="shared" si="0"/>
        <v>&lt;0.005</v>
      </c>
      <c r="D35">
        <v>5.0000000000000001E-3</v>
      </c>
      <c r="E35" s="3" t="str">
        <f t="shared" si="1"/>
        <v>&lt;0.01</v>
      </c>
    </row>
    <row r="36" spans="1:5" x14ac:dyDescent="0.2">
      <c r="A36" t="s">
        <v>29</v>
      </c>
      <c r="B36">
        <v>3.1E-2</v>
      </c>
      <c r="C36" s="2">
        <f t="shared" si="0"/>
        <v>3.1E-2</v>
      </c>
      <c r="D36">
        <v>8.0000000000000002E-3</v>
      </c>
      <c r="E36" s="3" t="str">
        <f t="shared" si="1"/>
        <v>&lt;0.01</v>
      </c>
    </row>
    <row r="37" spans="1:5" x14ac:dyDescent="0.2">
      <c r="A37" t="s">
        <v>30</v>
      </c>
      <c r="B37">
        <v>0</v>
      </c>
      <c r="C37" s="2" t="str">
        <f t="shared" si="0"/>
        <v>&lt;0.005</v>
      </c>
      <c r="D37">
        <v>1.0999999999999999E-2</v>
      </c>
      <c r="E37" s="3">
        <f t="shared" si="1"/>
        <v>1.0999999999999999E-2</v>
      </c>
    </row>
    <row r="38" spans="1:5" x14ac:dyDescent="0.2">
      <c r="A38" t="s">
        <v>24</v>
      </c>
      <c r="B38">
        <v>0</v>
      </c>
      <c r="C38" s="2" t="str">
        <f t="shared" si="0"/>
        <v>&lt;0.005</v>
      </c>
      <c r="D38">
        <v>0</v>
      </c>
      <c r="E38" s="3" t="str">
        <f t="shared" si="1"/>
        <v>&lt;0.01</v>
      </c>
    </row>
    <row r="39" spans="1:5" x14ac:dyDescent="0.2">
      <c r="A39" t="s">
        <v>16</v>
      </c>
      <c r="B39">
        <v>0.192</v>
      </c>
      <c r="C39" s="2">
        <f t="shared" si="0"/>
        <v>0.192</v>
      </c>
      <c r="D39">
        <v>0.20300000000000001</v>
      </c>
      <c r="E39" s="3">
        <f t="shared" si="1"/>
        <v>0.20300000000000001</v>
      </c>
    </row>
    <row r="40" spans="1:5" x14ac:dyDescent="0.2">
      <c r="A40" t="s">
        <v>42</v>
      </c>
      <c r="B40">
        <v>0</v>
      </c>
      <c r="C40" s="2" t="str">
        <f t="shared" si="0"/>
        <v>&lt;0.005</v>
      </c>
      <c r="D40">
        <v>2E-3</v>
      </c>
      <c r="E40" s="3" t="str">
        <f t="shared" si="1"/>
        <v>&lt;0.01</v>
      </c>
    </row>
    <row r="41" spans="1:5" x14ac:dyDescent="0.2">
      <c r="A41" t="s">
        <v>43</v>
      </c>
      <c r="B41">
        <v>0</v>
      </c>
      <c r="C41" s="2" t="str">
        <f t="shared" si="0"/>
        <v>&lt;0.005</v>
      </c>
      <c r="D41">
        <v>2E-3</v>
      </c>
      <c r="E41" s="3" t="str">
        <f t="shared" si="1"/>
        <v>&lt;0.01</v>
      </c>
    </row>
    <row r="42" spans="1:5" x14ac:dyDescent="0.2">
      <c r="A42" t="s">
        <v>44</v>
      </c>
      <c r="B42">
        <v>0</v>
      </c>
      <c r="C42" s="2" t="str">
        <f t="shared" si="0"/>
        <v>&lt;0.005</v>
      </c>
      <c r="D42">
        <v>1E-3</v>
      </c>
      <c r="E42" s="3" t="str">
        <f t="shared" si="1"/>
        <v>&lt;0.01</v>
      </c>
    </row>
    <row r="43" spans="1:5" x14ac:dyDescent="0.2">
      <c r="A43" t="s">
        <v>45</v>
      </c>
      <c r="B43">
        <v>0</v>
      </c>
      <c r="C43" s="2" t="str">
        <f t="shared" si="0"/>
        <v>&lt;0.005</v>
      </c>
      <c r="D43">
        <v>2E-3</v>
      </c>
      <c r="E43" s="3" t="str">
        <f t="shared" si="1"/>
        <v>&lt;0.01</v>
      </c>
    </row>
    <row r="44" spans="1:5" x14ac:dyDescent="0.2">
      <c r="A44" t="s">
        <v>46</v>
      </c>
      <c r="B44">
        <v>0</v>
      </c>
      <c r="C44" s="2" t="str">
        <f t="shared" si="0"/>
        <v>&lt;0.005</v>
      </c>
      <c r="D44">
        <v>4.0000000000000001E-3</v>
      </c>
      <c r="E44" s="3" t="str">
        <f t="shared" si="1"/>
        <v>&lt;0.01</v>
      </c>
    </row>
    <row r="45" spans="1:5" x14ac:dyDescent="0.2">
      <c r="A45" t="s">
        <v>47</v>
      </c>
      <c r="B45">
        <v>0</v>
      </c>
      <c r="C45" s="2" t="str">
        <f t="shared" si="0"/>
        <v>&lt;0.005</v>
      </c>
      <c r="D45">
        <v>1E-3</v>
      </c>
      <c r="E45" s="3" t="str">
        <f t="shared" si="1"/>
        <v>&lt;0.01</v>
      </c>
    </row>
    <row r="46" spans="1:5" x14ac:dyDescent="0.2">
      <c r="A46" t="s">
        <v>48</v>
      </c>
      <c r="B46">
        <v>6.0000000000000001E-3</v>
      </c>
      <c r="C46" s="2">
        <f t="shared" si="0"/>
        <v>6.0000000000000001E-3</v>
      </c>
      <c r="D46">
        <v>2E-3</v>
      </c>
      <c r="E46" s="3" t="str">
        <f t="shared" si="1"/>
        <v>&lt;0.01</v>
      </c>
    </row>
    <row r="47" spans="1:5" x14ac:dyDescent="0.2">
      <c r="A47" t="s">
        <v>49</v>
      </c>
      <c r="B47">
        <v>0.01</v>
      </c>
      <c r="C47" s="2">
        <f t="shared" si="0"/>
        <v>0.01</v>
      </c>
      <c r="D47">
        <v>3.0000000000000001E-3</v>
      </c>
      <c r="E47" s="3" t="str">
        <f t="shared" si="1"/>
        <v>&lt;0.01</v>
      </c>
    </row>
    <row r="48" spans="1:5" x14ac:dyDescent="0.2">
      <c r="A48" t="s">
        <v>50</v>
      </c>
      <c r="B48">
        <v>0</v>
      </c>
      <c r="C48" s="2" t="str">
        <f t="shared" si="0"/>
        <v>&lt;0.005</v>
      </c>
      <c r="D48">
        <v>3.0000000000000001E-3</v>
      </c>
      <c r="E48" s="3" t="str">
        <f t="shared" si="1"/>
        <v>&lt;0.01</v>
      </c>
    </row>
    <row r="49" spans="1:5" x14ac:dyDescent="0.2">
      <c r="A49" t="s">
        <v>51</v>
      </c>
      <c r="B49">
        <v>-0.01</v>
      </c>
      <c r="C49" s="2" t="str">
        <f t="shared" si="0"/>
        <v>&lt;0.005</v>
      </c>
      <c r="D49">
        <v>2E-3</v>
      </c>
      <c r="E49" s="3" t="str">
        <f t="shared" si="1"/>
        <v>&lt;0.01</v>
      </c>
    </row>
    <row r="50" spans="1:5" x14ac:dyDescent="0.2">
      <c r="A50" t="s">
        <v>52</v>
      </c>
      <c r="B50">
        <v>0.05</v>
      </c>
      <c r="C50" s="2">
        <f t="shared" si="0"/>
        <v>0.05</v>
      </c>
      <c r="D50">
        <v>4.0000000000000001E-3</v>
      </c>
      <c r="E50" s="3" t="str">
        <f t="shared" si="1"/>
        <v>&lt;0.01</v>
      </c>
    </row>
    <row r="51" spans="1:5" x14ac:dyDescent="0.2">
      <c r="A51" t="s">
        <v>29</v>
      </c>
      <c r="B51">
        <v>0</v>
      </c>
      <c r="C51" s="2" t="str">
        <f t="shared" si="0"/>
        <v>&lt;0.005</v>
      </c>
      <c r="D51">
        <v>8.0000000000000002E-3</v>
      </c>
      <c r="E51" s="3" t="str">
        <f t="shared" si="1"/>
        <v>&lt;0.01</v>
      </c>
    </row>
    <row r="52" spans="1:5" x14ac:dyDescent="0.2">
      <c r="A52" t="s">
        <v>30</v>
      </c>
      <c r="B52">
        <v>-5.0000000000000001E-3</v>
      </c>
      <c r="C52" s="2" t="str">
        <f t="shared" si="0"/>
        <v>&lt;0.005</v>
      </c>
      <c r="D52">
        <v>0.01</v>
      </c>
      <c r="E52" s="3">
        <f t="shared" si="1"/>
        <v>0.01</v>
      </c>
    </row>
    <row r="53" spans="1:5" x14ac:dyDescent="0.2">
      <c r="A53" t="s">
        <v>24</v>
      </c>
      <c r="B53">
        <v>0</v>
      </c>
      <c r="C53" s="2" t="str">
        <f t="shared" si="0"/>
        <v>&lt;0.005</v>
      </c>
      <c r="D53">
        <v>0</v>
      </c>
      <c r="E53" s="3" t="str">
        <f t="shared" si="1"/>
        <v>&lt;0.01</v>
      </c>
    </row>
    <row r="54" spans="1:5" x14ac:dyDescent="0.2">
      <c r="A54" t="s">
        <v>16</v>
      </c>
      <c r="B54">
        <v>0.192</v>
      </c>
      <c r="C54" s="2">
        <f t="shared" si="0"/>
        <v>0.192</v>
      </c>
      <c r="D54">
        <v>0.20300000000000001</v>
      </c>
      <c r="E54" s="3">
        <f t="shared" si="1"/>
        <v>0.20300000000000001</v>
      </c>
    </row>
    <row r="55" spans="1:5" x14ac:dyDescent="0.2">
      <c r="A55" t="s">
        <v>53</v>
      </c>
      <c r="B55">
        <v>8.9999999999999993E-3</v>
      </c>
      <c r="C55" s="2">
        <f t="shared" si="0"/>
        <v>8.9999999999999993E-3</v>
      </c>
      <c r="D55">
        <v>5.0000000000000001E-3</v>
      </c>
      <c r="E55" s="3" t="str">
        <f t="shared" si="1"/>
        <v>&lt;0.01</v>
      </c>
    </row>
    <row r="56" spans="1:5" x14ac:dyDescent="0.2">
      <c r="A56" t="s">
        <v>54</v>
      </c>
      <c r="B56">
        <v>1.6E-2</v>
      </c>
      <c r="C56" s="2">
        <f t="shared" si="0"/>
        <v>1.6E-2</v>
      </c>
      <c r="D56">
        <v>1E-3</v>
      </c>
      <c r="E56" s="3" t="str">
        <f t="shared" si="1"/>
        <v>&lt;0.01</v>
      </c>
    </row>
    <row r="57" spans="1:5" x14ac:dyDescent="0.2">
      <c r="A57" t="s">
        <v>55</v>
      </c>
      <c r="B57">
        <v>0</v>
      </c>
      <c r="C57" s="2" t="str">
        <f t="shared" si="0"/>
        <v>&lt;0.005</v>
      </c>
      <c r="D57">
        <v>6.0000000000000001E-3</v>
      </c>
      <c r="E57" s="3" t="str">
        <f t="shared" si="1"/>
        <v>&lt;0.01</v>
      </c>
    </row>
    <row r="58" spans="1:5" x14ac:dyDescent="0.2">
      <c r="A58" t="s">
        <v>56</v>
      </c>
      <c r="B58">
        <v>-7.0000000000000001E-3</v>
      </c>
      <c r="C58" s="2" t="str">
        <f t="shared" si="0"/>
        <v>&lt;0.005</v>
      </c>
      <c r="D58">
        <v>1E-3</v>
      </c>
      <c r="E58" s="3" t="str">
        <f t="shared" si="1"/>
        <v>&lt;0.01</v>
      </c>
    </row>
    <row r="59" spans="1:5" x14ac:dyDescent="0.2">
      <c r="A59" t="s">
        <v>57</v>
      </c>
      <c r="B59">
        <v>-8.9999999999999993E-3</v>
      </c>
      <c r="C59" s="2" t="str">
        <f t="shared" si="0"/>
        <v>&lt;0.005</v>
      </c>
      <c r="D59">
        <v>1E-3</v>
      </c>
      <c r="E59" s="3" t="str">
        <f t="shared" si="1"/>
        <v>&lt;0.01</v>
      </c>
    </row>
    <row r="60" spans="1:5" x14ac:dyDescent="0.2">
      <c r="A60" t="s">
        <v>58</v>
      </c>
      <c r="B60">
        <v>-2E-3</v>
      </c>
      <c r="C60" s="2" t="str">
        <f t="shared" si="0"/>
        <v>&lt;0.005</v>
      </c>
      <c r="D60">
        <v>2E-3</v>
      </c>
      <c r="E60" s="3" t="str">
        <f t="shared" si="1"/>
        <v>&lt;0.01</v>
      </c>
    </row>
    <row r="61" spans="1:5" x14ac:dyDescent="0.2">
      <c r="A61" t="s">
        <v>59</v>
      </c>
      <c r="B61">
        <v>-8.9999999999999993E-3</v>
      </c>
      <c r="C61" s="2" t="str">
        <f t="shared" si="0"/>
        <v>&lt;0.005</v>
      </c>
      <c r="D61">
        <v>1E-3</v>
      </c>
      <c r="E61" s="3" t="str">
        <f t="shared" si="1"/>
        <v>&lt;0.01</v>
      </c>
    </row>
    <row r="62" spans="1:5" x14ac:dyDescent="0.2">
      <c r="A62" t="s">
        <v>60</v>
      </c>
      <c r="B62">
        <v>3.7999999999999999E-2</v>
      </c>
      <c r="C62" s="2">
        <f t="shared" si="0"/>
        <v>3.7999999999999999E-2</v>
      </c>
      <c r="D62">
        <v>1E-3</v>
      </c>
      <c r="E62" s="3" t="str">
        <f t="shared" si="1"/>
        <v>&lt;0.01</v>
      </c>
    </row>
    <row r="63" spans="1:5" x14ac:dyDescent="0.2">
      <c r="A63" t="s">
        <v>61</v>
      </c>
      <c r="B63">
        <v>0.01</v>
      </c>
      <c r="C63" s="2">
        <f t="shared" si="0"/>
        <v>0.01</v>
      </c>
      <c r="D63">
        <v>2E-3</v>
      </c>
      <c r="E63" s="3" t="str">
        <f t="shared" si="1"/>
        <v>&lt;0.01</v>
      </c>
    </row>
    <row r="64" spans="1:5" x14ac:dyDescent="0.2">
      <c r="A64" t="s">
        <v>62</v>
      </c>
      <c r="B64">
        <v>5.0000000000000001E-3</v>
      </c>
      <c r="C64" s="2" t="str">
        <f t="shared" si="0"/>
        <v>&lt;0.005</v>
      </c>
      <c r="D64">
        <v>4.0000000000000001E-3</v>
      </c>
      <c r="E64" s="3" t="str">
        <f t="shared" si="1"/>
        <v>&lt;0.01</v>
      </c>
    </row>
    <row r="65" spans="1:5" x14ac:dyDescent="0.2">
      <c r="A65" t="s">
        <v>63</v>
      </c>
      <c r="B65">
        <v>5.6000000000000001E-2</v>
      </c>
      <c r="C65" s="2">
        <f t="shared" si="0"/>
        <v>5.6000000000000001E-2</v>
      </c>
      <c r="D65">
        <v>7.0000000000000001E-3</v>
      </c>
      <c r="E65" s="3" t="str">
        <f t="shared" si="1"/>
        <v>&lt;0.01</v>
      </c>
    </row>
    <row r="66" spans="1:5" x14ac:dyDescent="0.2">
      <c r="A66" t="s">
        <v>29</v>
      </c>
      <c r="B66">
        <v>-7.0000000000000001E-3</v>
      </c>
      <c r="C66" s="2" t="str">
        <f t="shared" si="0"/>
        <v>&lt;0.005</v>
      </c>
      <c r="D66">
        <v>8.0000000000000002E-3</v>
      </c>
      <c r="E66" s="3" t="str">
        <f t="shared" si="1"/>
        <v>&lt;0.01</v>
      </c>
    </row>
    <row r="67" spans="1:5" x14ac:dyDescent="0.2">
      <c r="A67" t="s">
        <v>30</v>
      </c>
      <c r="B67">
        <v>-4.0000000000000001E-3</v>
      </c>
      <c r="C67" s="2" t="str">
        <f t="shared" si="0"/>
        <v>&lt;0.005</v>
      </c>
      <c r="D67">
        <v>0.01</v>
      </c>
      <c r="E67" s="3">
        <f t="shared" si="1"/>
        <v>0.01</v>
      </c>
    </row>
    <row r="68" spans="1:5" x14ac:dyDescent="0.2">
      <c r="A68" t="s">
        <v>24</v>
      </c>
      <c r="B68">
        <v>0</v>
      </c>
      <c r="C68" s="2" t="str">
        <f t="shared" si="0"/>
        <v>&lt;0.005</v>
      </c>
      <c r="D68">
        <v>0</v>
      </c>
      <c r="E68" s="3" t="str">
        <f t="shared" si="1"/>
        <v>&lt;0.01</v>
      </c>
    </row>
    <row r="69" spans="1:5" x14ac:dyDescent="0.2">
      <c r="A69" t="s">
        <v>16</v>
      </c>
      <c r="B69">
        <v>0.192</v>
      </c>
      <c r="C69" s="2">
        <f t="shared" si="0"/>
        <v>0.192</v>
      </c>
      <c r="D69">
        <v>0.20300000000000001</v>
      </c>
      <c r="E69" s="3">
        <f t="shared" si="1"/>
        <v>0.20300000000000001</v>
      </c>
    </row>
    <row r="70" spans="1:5" x14ac:dyDescent="0.2">
      <c r="A70" t="s">
        <v>64</v>
      </c>
      <c r="B70">
        <v>2E-3</v>
      </c>
      <c r="C70" s="2" t="str">
        <f t="shared" si="0"/>
        <v>&lt;0.005</v>
      </c>
      <c r="D70">
        <v>3.0000000000000001E-3</v>
      </c>
      <c r="E70" s="3" t="str">
        <f t="shared" si="1"/>
        <v>&lt;0.01</v>
      </c>
    </row>
    <row r="71" spans="1:5" x14ac:dyDescent="0.2">
      <c r="A71" t="s">
        <v>65</v>
      </c>
      <c r="B71">
        <v>0</v>
      </c>
      <c r="C71" s="2" t="str">
        <f t="shared" si="0"/>
        <v>&lt;0.005</v>
      </c>
      <c r="D71">
        <v>3.0000000000000001E-3</v>
      </c>
      <c r="E71" s="3" t="str">
        <f t="shared" si="1"/>
        <v>&lt;0.01</v>
      </c>
    </row>
    <row r="72" spans="1:5" x14ac:dyDescent="0.2">
      <c r="A72" t="s">
        <v>66</v>
      </c>
      <c r="B72">
        <v>0</v>
      </c>
      <c r="C72" s="2" t="str">
        <f t="shared" si="0"/>
        <v>&lt;0.005</v>
      </c>
      <c r="D72">
        <v>4.0000000000000001E-3</v>
      </c>
      <c r="E72" s="3" t="str">
        <f t="shared" si="1"/>
        <v>&lt;0.01</v>
      </c>
    </row>
    <row r="73" spans="1:5" x14ac:dyDescent="0.2">
      <c r="A73" t="s">
        <v>67</v>
      </c>
      <c r="B73">
        <v>0</v>
      </c>
      <c r="C73" s="2" t="str">
        <f t="shared" ref="C73:C97" si="2">IF(B73&lt;B$15,"&lt;0.005",B73)</f>
        <v>&lt;0.005</v>
      </c>
      <c r="D73">
        <v>1E-3</v>
      </c>
      <c r="E73" s="3" t="str">
        <f t="shared" ref="E73:E97" si="3">IF(D73&lt;D$15,"&lt;0.01",D73)</f>
        <v>&lt;0.01</v>
      </c>
    </row>
    <row r="74" spans="1:5" x14ac:dyDescent="0.2">
      <c r="A74" t="s">
        <v>68</v>
      </c>
      <c r="B74">
        <v>-8.0000000000000002E-3</v>
      </c>
      <c r="C74" s="2" t="str">
        <f t="shared" si="2"/>
        <v>&lt;0.005</v>
      </c>
      <c r="D74">
        <v>6.0000000000000001E-3</v>
      </c>
      <c r="E74" s="3" t="str">
        <f t="shared" si="3"/>
        <v>&lt;0.01</v>
      </c>
    </row>
    <row r="75" spans="1:5" x14ac:dyDescent="0.2">
      <c r="A75" t="s">
        <v>69</v>
      </c>
      <c r="B75">
        <v>0</v>
      </c>
      <c r="C75" s="2" t="str">
        <f t="shared" si="2"/>
        <v>&lt;0.005</v>
      </c>
      <c r="D75">
        <v>4.0000000000000001E-3</v>
      </c>
      <c r="E75" s="3" t="str">
        <f t="shared" si="3"/>
        <v>&lt;0.01</v>
      </c>
    </row>
    <row r="76" spans="1:5" x14ac:dyDescent="0.2">
      <c r="A76" t="s">
        <v>70</v>
      </c>
      <c r="B76">
        <v>0</v>
      </c>
      <c r="C76" s="2" t="str">
        <f t="shared" si="2"/>
        <v>&lt;0.005</v>
      </c>
      <c r="D76">
        <v>4.0000000000000001E-3</v>
      </c>
      <c r="E76" s="3" t="str">
        <f t="shared" si="3"/>
        <v>&lt;0.01</v>
      </c>
    </row>
    <row r="77" spans="1:5" x14ac:dyDescent="0.2">
      <c r="A77" t="s">
        <v>71</v>
      </c>
      <c r="B77">
        <v>0</v>
      </c>
      <c r="C77" s="2" t="str">
        <f t="shared" si="2"/>
        <v>&lt;0.005</v>
      </c>
      <c r="D77">
        <v>5.0000000000000001E-3</v>
      </c>
      <c r="E77" s="3" t="str">
        <f t="shared" si="3"/>
        <v>&lt;0.01</v>
      </c>
    </row>
    <row r="78" spans="1:5" x14ac:dyDescent="0.2">
      <c r="A78" t="s">
        <v>72</v>
      </c>
      <c r="B78">
        <v>3.0000000000000001E-3</v>
      </c>
      <c r="C78" s="2" t="str">
        <f t="shared" si="2"/>
        <v>&lt;0.005</v>
      </c>
      <c r="D78">
        <v>2E-3</v>
      </c>
      <c r="E78" s="3" t="str">
        <f t="shared" si="3"/>
        <v>&lt;0.01</v>
      </c>
    </row>
    <row r="79" spans="1:5" x14ac:dyDescent="0.2">
      <c r="A79" t="s">
        <v>73</v>
      </c>
      <c r="B79">
        <v>5.0999999999999997E-2</v>
      </c>
      <c r="C79" s="2">
        <f t="shared" si="2"/>
        <v>5.0999999999999997E-2</v>
      </c>
      <c r="D79">
        <v>4.0000000000000001E-3</v>
      </c>
      <c r="E79" s="3" t="str">
        <f t="shared" si="3"/>
        <v>&lt;0.01</v>
      </c>
    </row>
    <row r="80" spans="1:5" x14ac:dyDescent="0.2">
      <c r="A80" t="s">
        <v>74</v>
      </c>
      <c r="B80">
        <v>4.2000000000000003E-2</v>
      </c>
      <c r="C80" s="2">
        <f t="shared" si="2"/>
        <v>4.2000000000000003E-2</v>
      </c>
      <c r="D80">
        <v>2.5999999999999999E-2</v>
      </c>
      <c r="E80" s="3">
        <f t="shared" si="3"/>
        <v>2.5999999999999999E-2</v>
      </c>
    </row>
    <row r="81" spans="1:5" x14ac:dyDescent="0.2">
      <c r="A81" t="s">
        <v>29</v>
      </c>
      <c r="B81">
        <v>0</v>
      </c>
      <c r="C81" s="2" t="str">
        <f t="shared" si="2"/>
        <v>&lt;0.005</v>
      </c>
      <c r="D81">
        <v>7.0000000000000001E-3</v>
      </c>
      <c r="E81" s="3" t="str">
        <f t="shared" si="3"/>
        <v>&lt;0.01</v>
      </c>
    </row>
    <row r="82" spans="1:5" x14ac:dyDescent="0.2">
      <c r="A82" t="s">
        <v>75</v>
      </c>
      <c r="B82">
        <v>0</v>
      </c>
      <c r="C82" s="2" t="str">
        <f t="shared" si="2"/>
        <v>&lt;0.005</v>
      </c>
      <c r="D82">
        <v>8.9999999999999993E-3</v>
      </c>
      <c r="E82" s="3" t="str">
        <f t="shared" si="3"/>
        <v>&lt;0.01</v>
      </c>
    </row>
    <row r="83" spans="1:5" x14ac:dyDescent="0.2">
      <c r="A83" t="s">
        <v>24</v>
      </c>
      <c r="B83">
        <v>0</v>
      </c>
      <c r="C83" s="2" t="str">
        <f t="shared" si="2"/>
        <v>&lt;0.005</v>
      </c>
      <c r="D83">
        <v>0</v>
      </c>
      <c r="E83" s="3" t="str">
        <f t="shared" si="3"/>
        <v>&lt;0.01</v>
      </c>
    </row>
    <row r="84" spans="1:5" x14ac:dyDescent="0.2">
      <c r="A84" t="s">
        <v>16</v>
      </c>
      <c r="B84">
        <v>0.192</v>
      </c>
      <c r="C84" s="2">
        <f t="shared" si="2"/>
        <v>0.192</v>
      </c>
      <c r="D84">
        <v>0.20300000000000001</v>
      </c>
      <c r="E84" s="3">
        <f t="shared" si="3"/>
        <v>0.20300000000000001</v>
      </c>
    </row>
    <row r="85" spans="1:5" x14ac:dyDescent="0.2">
      <c r="A85" t="s">
        <v>76</v>
      </c>
      <c r="B85">
        <v>-7.0000000000000001E-3</v>
      </c>
      <c r="C85" s="2" t="str">
        <f t="shared" si="2"/>
        <v>&lt;0.005</v>
      </c>
      <c r="D85">
        <v>5.0000000000000001E-3</v>
      </c>
      <c r="E85" s="3" t="str">
        <f t="shared" si="3"/>
        <v>&lt;0.01</v>
      </c>
    </row>
    <row r="86" spans="1:5" x14ac:dyDescent="0.2">
      <c r="A86" t="s">
        <v>77</v>
      </c>
      <c r="B86">
        <v>0</v>
      </c>
      <c r="C86" s="2" t="str">
        <f t="shared" si="2"/>
        <v>&lt;0.005</v>
      </c>
      <c r="D86">
        <v>6.0000000000000001E-3</v>
      </c>
      <c r="E86" s="3" t="str">
        <f t="shared" si="3"/>
        <v>&lt;0.01</v>
      </c>
    </row>
    <row r="87" spans="1:5" x14ac:dyDescent="0.2">
      <c r="A87" t="s">
        <v>78</v>
      </c>
      <c r="B87">
        <v>-3.0000000000000001E-3</v>
      </c>
      <c r="C87" s="2" t="str">
        <f t="shared" si="2"/>
        <v>&lt;0.005</v>
      </c>
      <c r="D87">
        <v>3.0000000000000001E-3</v>
      </c>
      <c r="E87" s="3" t="str">
        <f t="shared" si="3"/>
        <v>&lt;0.01</v>
      </c>
    </row>
    <row r="88" spans="1:5" x14ac:dyDescent="0.2">
      <c r="A88" t="s">
        <v>79</v>
      </c>
      <c r="B88">
        <v>0</v>
      </c>
      <c r="C88" s="2" t="str">
        <f t="shared" si="2"/>
        <v>&lt;0.005</v>
      </c>
      <c r="D88">
        <v>5.0000000000000001E-3</v>
      </c>
      <c r="E88" s="3" t="str">
        <f t="shared" si="3"/>
        <v>&lt;0.01</v>
      </c>
    </row>
    <row r="89" spans="1:5" x14ac:dyDescent="0.2">
      <c r="A89" t="s">
        <v>80</v>
      </c>
      <c r="B89">
        <v>-5.0000000000000001E-3</v>
      </c>
      <c r="C89" s="2" t="str">
        <f t="shared" si="2"/>
        <v>&lt;0.005</v>
      </c>
      <c r="D89">
        <v>2E-3</v>
      </c>
      <c r="E89" s="3" t="str">
        <f t="shared" si="3"/>
        <v>&lt;0.01</v>
      </c>
    </row>
    <row r="90" spans="1:5" x14ac:dyDescent="0.2">
      <c r="A90" t="s">
        <v>81</v>
      </c>
      <c r="B90">
        <v>1E-3</v>
      </c>
      <c r="C90" s="2" t="str">
        <f t="shared" si="2"/>
        <v>&lt;0.005</v>
      </c>
      <c r="D90">
        <v>2E-3</v>
      </c>
      <c r="E90" s="3" t="str">
        <f t="shared" si="3"/>
        <v>&lt;0.01</v>
      </c>
    </row>
    <row r="91" spans="1:5" x14ac:dyDescent="0.2">
      <c r="A91" t="s">
        <v>82</v>
      </c>
      <c r="B91">
        <v>2.1000000000000001E-2</v>
      </c>
      <c r="C91" s="2">
        <f t="shared" si="2"/>
        <v>2.1000000000000001E-2</v>
      </c>
      <c r="D91">
        <v>4.0000000000000001E-3</v>
      </c>
      <c r="E91" s="3" t="str">
        <f t="shared" si="3"/>
        <v>&lt;0.01</v>
      </c>
    </row>
    <row r="92" spans="1:5" x14ac:dyDescent="0.2">
      <c r="A92" t="s">
        <v>83</v>
      </c>
      <c r="B92">
        <v>4.9000000000000002E-2</v>
      </c>
      <c r="C92" s="2">
        <f t="shared" si="2"/>
        <v>4.9000000000000002E-2</v>
      </c>
      <c r="D92">
        <v>1.2999999999999999E-2</v>
      </c>
      <c r="E92" s="3">
        <f t="shared" si="3"/>
        <v>1.2999999999999999E-2</v>
      </c>
    </row>
    <row r="93" spans="1:5" x14ac:dyDescent="0.2">
      <c r="A93" t="s">
        <v>29</v>
      </c>
      <c r="B93">
        <v>0</v>
      </c>
      <c r="C93" s="2" t="str">
        <f t="shared" si="2"/>
        <v>&lt;0.005</v>
      </c>
      <c r="D93">
        <v>7.0000000000000001E-3</v>
      </c>
      <c r="E93" s="3" t="str">
        <f t="shared" si="3"/>
        <v>&lt;0.01</v>
      </c>
    </row>
    <row r="94" spans="1:5" x14ac:dyDescent="0.2">
      <c r="A94" t="s">
        <v>30</v>
      </c>
      <c r="B94">
        <v>0</v>
      </c>
      <c r="C94" s="2" t="str">
        <f t="shared" si="2"/>
        <v>&lt;0.005</v>
      </c>
      <c r="D94">
        <v>8.9999999999999993E-3</v>
      </c>
      <c r="E94" s="3" t="str">
        <f t="shared" si="3"/>
        <v>&lt;0.01</v>
      </c>
    </row>
    <row r="95" spans="1:5" x14ac:dyDescent="0.2">
      <c r="A95" t="s">
        <v>24</v>
      </c>
      <c r="B95">
        <v>0</v>
      </c>
      <c r="C95" s="2" t="str">
        <f t="shared" si="2"/>
        <v>&lt;0.005</v>
      </c>
      <c r="D95">
        <v>0</v>
      </c>
      <c r="E95" s="3" t="str">
        <f t="shared" si="3"/>
        <v>&lt;0.01</v>
      </c>
    </row>
    <row r="96" spans="1:5" x14ac:dyDescent="0.2">
      <c r="A96" t="s">
        <v>16</v>
      </c>
      <c r="B96">
        <v>0.192</v>
      </c>
      <c r="C96" s="2">
        <f t="shared" si="2"/>
        <v>0.192</v>
      </c>
      <c r="D96">
        <v>0.20300000000000001</v>
      </c>
      <c r="E96" s="3">
        <f t="shared" si="3"/>
        <v>0.20300000000000001</v>
      </c>
    </row>
    <row r="97" spans="1:5" x14ac:dyDescent="0.2">
      <c r="A97" t="s">
        <v>84</v>
      </c>
      <c r="B97">
        <v>0</v>
      </c>
      <c r="C97" s="2" t="str">
        <f t="shared" si="2"/>
        <v>&lt;0.005</v>
      </c>
      <c r="D97">
        <v>0</v>
      </c>
      <c r="E97" s="3" t="str">
        <f t="shared" si="3"/>
        <v>&lt;0.01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230719_CombinedStnd_LessTimeR3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2023-07-26T12:58:43Z</dcterms:created>
  <dcterms:modified xsi:type="dcterms:W3CDTF">2023-07-26T13:34:44Z</dcterms:modified>
</cp:coreProperties>
</file>